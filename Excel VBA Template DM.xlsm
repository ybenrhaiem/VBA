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C:\Users\Asus\Desktop\EXCEL VBA\"/>
    </mc:Choice>
  </mc:AlternateContent>
  <xr:revisionPtr revIDLastSave="0" documentId="13_ncr:1_{C3F4DEFC-7D86-403E-A449-27B2F0FEFB67}" xr6:coauthVersionLast="44" xr6:coauthVersionMax="47" xr10:uidLastSave="{00000000-0000-0000-0000-000000000000}"/>
  <bookViews>
    <workbookView xWindow="-120" yWindow="-120" windowWidth="20730" windowHeight="11040" firstSheet="1" activeTab="3" xr2:uid="{00000000-000D-0000-FFFF-FFFF00000000}"/>
  </bookViews>
  <sheets>
    <sheet name="SPA" sheetId="13" state="veryHidden" r:id="rId1"/>
    <sheet name="FY" sheetId="52" r:id="rId2"/>
    <sheet name="SKU FY" sheetId="53" r:id="rId3"/>
    <sheet name="MAIN" sheetId="2" r:id="rId4"/>
    <sheet name="MAIN €" sheetId="37" state="veryHidden" r:id="rId5"/>
    <sheet name="Snapshot (Last Cycle)" sheetId="30" r:id="rId6"/>
  </sheets>
  <functionGroups builtInGroupCount="19"/>
  <definedNames>
    <definedName name="_xlnm._FilterDatabase" localSheetId="5" hidden="1">'Snapshot (Last Cycle)'!$A$1:$R$351</definedName>
    <definedName name="Slicer_DESCRIP">#N/A</definedName>
    <definedName name="Slicer_Family">#N/A</definedName>
    <definedName name="Slicer_NAME">#N/A</definedName>
  </definedNames>
  <calcPr calcId="191028"/>
  <pivotCaches>
    <pivotCache cacheId="0" r:id="rId7"/>
    <pivotCache cacheId="16" r:id="rId8"/>
    <pivotCache cacheId="23"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J18" i="37" l="1"/>
  <c r="CK18" i="37"/>
  <c r="CL18" i="37"/>
  <c r="CM18" i="37"/>
  <c r="CN18" i="37"/>
  <c r="CO18" i="37"/>
  <c r="CP18" i="37"/>
  <c r="CQ18" i="37"/>
  <c r="CR18" i="37"/>
  <c r="CS18" i="37"/>
  <c r="CT18" i="37"/>
  <c r="CU18" i="37"/>
  <c r="CJ19" i="37"/>
  <c r="CK19" i="37"/>
  <c r="CL19" i="37"/>
  <c r="CM19" i="37"/>
  <c r="CN19" i="37"/>
  <c r="CO19" i="37"/>
  <c r="CP19" i="37"/>
  <c r="CQ19" i="37"/>
  <c r="CR19" i="37"/>
  <c r="CS19" i="37"/>
  <c r="CT19" i="37"/>
  <c r="CU19" i="37"/>
  <c r="CJ20" i="37"/>
  <c r="CK20" i="37"/>
  <c r="CL20" i="37"/>
  <c r="CM20" i="37"/>
  <c r="CN20" i="37"/>
  <c r="CO20" i="37"/>
  <c r="CP20" i="37"/>
  <c r="CQ20" i="37"/>
  <c r="CR20" i="37"/>
  <c r="CS20" i="37"/>
  <c r="CT20" i="37"/>
  <c r="CU20" i="37"/>
  <c r="CJ21" i="37"/>
  <c r="CK21" i="37"/>
  <c r="CL21" i="37"/>
  <c r="CM21" i="37"/>
  <c r="CN21" i="37"/>
  <c r="CO21" i="37"/>
  <c r="CP21" i="37"/>
  <c r="CQ21" i="37"/>
  <c r="CR21" i="37"/>
  <c r="CS21" i="37"/>
  <c r="CT21" i="37"/>
  <c r="CU21" i="37"/>
  <c r="CJ22" i="37"/>
  <c r="CK22" i="37"/>
  <c r="CL22" i="37"/>
  <c r="CM22" i="37"/>
  <c r="CN22" i="37"/>
  <c r="CO22" i="37"/>
  <c r="CP22" i="37"/>
  <c r="CQ22" i="37"/>
  <c r="CR22" i="37"/>
  <c r="CS22" i="37"/>
  <c r="CT22" i="37"/>
  <c r="CU22" i="37"/>
  <c r="CJ23" i="37"/>
  <c r="CK23" i="37"/>
  <c r="CL23" i="37"/>
  <c r="CM23" i="37"/>
  <c r="CN23" i="37"/>
  <c r="CO23" i="37"/>
  <c r="CP23" i="37"/>
  <c r="CQ23" i="37"/>
  <c r="CR23" i="37"/>
  <c r="CS23" i="37"/>
  <c r="CT23" i="37"/>
  <c r="CU23" i="37"/>
  <c r="CJ24" i="37"/>
  <c r="CK24" i="37"/>
  <c r="CL24" i="37"/>
  <c r="CM24" i="37"/>
  <c r="CN24" i="37"/>
  <c r="CO24" i="37"/>
  <c r="CP24" i="37"/>
  <c r="CQ24" i="37"/>
  <c r="CR24" i="37"/>
  <c r="CS24" i="37"/>
  <c r="CT24" i="37"/>
  <c r="CU24" i="37"/>
  <c r="CJ25" i="37"/>
  <c r="CK25" i="37"/>
  <c r="CL25" i="37"/>
  <c r="CM25" i="37"/>
  <c r="CN25" i="37"/>
  <c r="CO25" i="37"/>
  <c r="CP25" i="37"/>
  <c r="CQ25" i="37"/>
  <c r="CR25" i="37"/>
  <c r="CS25" i="37"/>
  <c r="CT25" i="37"/>
  <c r="CU25" i="37"/>
  <c r="CJ26" i="37"/>
  <c r="CK26" i="37"/>
  <c r="CL26" i="37"/>
  <c r="CM26" i="37"/>
  <c r="CN26" i="37"/>
  <c r="CO26" i="37"/>
  <c r="CP26" i="37"/>
  <c r="CQ26" i="37"/>
  <c r="CR26" i="37"/>
  <c r="CS26" i="37"/>
  <c r="CT26" i="37"/>
  <c r="CU26" i="37"/>
  <c r="CJ27" i="37"/>
  <c r="CK27" i="37"/>
  <c r="CL27" i="37"/>
  <c r="CM27" i="37"/>
  <c r="CN27" i="37"/>
  <c r="CO27" i="37"/>
  <c r="CP27" i="37"/>
  <c r="CQ27" i="37"/>
  <c r="CR27" i="37"/>
  <c r="CS27" i="37"/>
  <c r="CT27" i="37"/>
  <c r="CU27" i="37"/>
  <c r="CJ28" i="37"/>
  <c r="CK28" i="37"/>
  <c r="CL28" i="37"/>
  <c r="CM28" i="37"/>
  <c r="CN28" i="37"/>
  <c r="CO28" i="37"/>
  <c r="CP28" i="37"/>
  <c r="CQ28" i="37"/>
  <c r="CR28" i="37"/>
  <c r="CS28" i="37"/>
  <c r="CT28" i="37"/>
  <c r="CU28" i="37"/>
  <c r="CJ29" i="37"/>
  <c r="CK29" i="37"/>
  <c r="CL29" i="37"/>
  <c r="CM29" i="37"/>
  <c r="CN29" i="37"/>
  <c r="CO29" i="37"/>
  <c r="CP29" i="37"/>
  <c r="CQ29" i="37"/>
  <c r="CR29" i="37"/>
  <c r="CS29" i="37"/>
  <c r="CT29" i="37"/>
  <c r="CU29" i="37"/>
  <c r="CJ30" i="37"/>
  <c r="CK30" i="37"/>
  <c r="CL30" i="37"/>
  <c r="CM30" i="37"/>
  <c r="CN30" i="37"/>
  <c r="CO30" i="37"/>
  <c r="CP30" i="37"/>
  <c r="CQ30" i="37"/>
  <c r="CR30" i="37"/>
  <c r="CS30" i="37"/>
  <c r="CT30" i="37"/>
  <c r="CU30" i="37"/>
  <c r="CJ31" i="37"/>
  <c r="CK31" i="37"/>
  <c r="CL31" i="37"/>
  <c r="CM31" i="37"/>
  <c r="CN31" i="37"/>
  <c r="CO31" i="37"/>
  <c r="CP31" i="37"/>
  <c r="CQ31" i="37"/>
  <c r="CR31" i="37"/>
  <c r="CS31" i="37"/>
  <c r="CT31" i="37"/>
  <c r="CU31" i="37"/>
  <c r="CJ32" i="37"/>
  <c r="CK32" i="37"/>
  <c r="CL32" i="37"/>
  <c r="CM32" i="37"/>
  <c r="CN32" i="37"/>
  <c r="CO32" i="37"/>
  <c r="CP32" i="37"/>
  <c r="CQ32" i="37"/>
  <c r="CR32" i="37"/>
  <c r="CS32" i="37"/>
  <c r="CT32" i="37"/>
  <c r="CU32" i="37"/>
  <c r="CJ33" i="37"/>
  <c r="CK33" i="37"/>
  <c r="CL33" i="37"/>
  <c r="CM33" i="37"/>
  <c r="CN33" i="37"/>
  <c r="CO33" i="37"/>
  <c r="CP33" i="37"/>
  <c r="CQ33" i="37"/>
  <c r="CR33" i="37"/>
  <c r="CS33" i="37"/>
  <c r="CT33" i="37"/>
  <c r="CU33" i="37"/>
  <c r="CJ34" i="37"/>
  <c r="CK34" i="37"/>
  <c r="CL34" i="37"/>
  <c r="CM34" i="37"/>
  <c r="CN34" i="37"/>
  <c r="CO34" i="37"/>
  <c r="CP34" i="37"/>
  <c r="CQ34" i="37"/>
  <c r="CR34" i="37"/>
  <c r="CS34" i="37"/>
  <c r="CT34" i="37"/>
  <c r="CU34" i="37"/>
  <c r="CJ35" i="37"/>
  <c r="CK35" i="37"/>
  <c r="CL35" i="37"/>
  <c r="CM35" i="37"/>
  <c r="CN35" i="37"/>
  <c r="CO35" i="37"/>
  <c r="CP35" i="37"/>
  <c r="CQ35" i="37"/>
  <c r="CR35" i="37"/>
  <c r="CS35" i="37"/>
  <c r="CT35" i="37"/>
  <c r="CU35" i="37"/>
  <c r="CJ36" i="37"/>
  <c r="CK36" i="37"/>
  <c r="CL36" i="37"/>
  <c r="CM36" i="37"/>
  <c r="CN36" i="37"/>
  <c r="CO36" i="37"/>
  <c r="CP36" i="37"/>
  <c r="CQ36" i="37"/>
  <c r="CR36" i="37"/>
  <c r="CS36" i="37"/>
  <c r="CT36" i="37"/>
  <c r="CU36" i="37"/>
  <c r="CJ37" i="37"/>
  <c r="CK37" i="37"/>
  <c r="CL37" i="37"/>
  <c r="CM37" i="37"/>
  <c r="CN37" i="37"/>
  <c r="CO37" i="37"/>
  <c r="CP37" i="37"/>
  <c r="CQ37" i="37"/>
  <c r="CR37" i="37"/>
  <c r="CS37" i="37"/>
  <c r="CT37" i="37"/>
  <c r="CU37" i="37"/>
  <c r="CJ38" i="37"/>
  <c r="CK38" i="37"/>
  <c r="CL38" i="37"/>
  <c r="CM38" i="37"/>
  <c r="CN38" i="37"/>
  <c r="CO38" i="37"/>
  <c r="CP38" i="37"/>
  <c r="CQ38" i="37"/>
  <c r="CR38" i="37"/>
  <c r="CS38" i="37"/>
  <c r="CT38" i="37"/>
  <c r="CU38" i="37"/>
  <c r="CJ39" i="37"/>
  <c r="CK39" i="37"/>
  <c r="CL39" i="37"/>
  <c r="CM39" i="37"/>
  <c r="CN39" i="37"/>
  <c r="CO39" i="37"/>
  <c r="CP39" i="37"/>
  <c r="CQ39" i="37"/>
  <c r="CR39" i="37"/>
  <c r="CS39" i="37"/>
  <c r="CT39" i="37"/>
  <c r="CU39" i="37"/>
  <c r="CJ40" i="37"/>
  <c r="CK40" i="37"/>
  <c r="CL40" i="37"/>
  <c r="CM40" i="37"/>
  <c r="CN40" i="37"/>
  <c r="CO40" i="37"/>
  <c r="CP40" i="37"/>
  <c r="CQ40" i="37"/>
  <c r="CR40" i="37"/>
  <c r="CS40" i="37"/>
  <c r="CT40" i="37"/>
  <c r="CU40" i="37"/>
  <c r="CJ41" i="37"/>
  <c r="CK41" i="37"/>
  <c r="CL41" i="37"/>
  <c r="CM41" i="37"/>
  <c r="CN41" i="37"/>
  <c r="CO41" i="37"/>
  <c r="CP41" i="37"/>
  <c r="CQ41" i="37"/>
  <c r="CR41" i="37"/>
  <c r="CS41" i="37"/>
  <c r="CT41" i="37"/>
  <c r="CU41" i="37"/>
  <c r="CJ42" i="37"/>
  <c r="CK42" i="37"/>
  <c r="CL42" i="37"/>
  <c r="CM42" i="37"/>
  <c r="CN42" i="37"/>
  <c r="CO42" i="37"/>
  <c r="CP42" i="37"/>
  <c r="CQ42" i="37"/>
  <c r="CR42" i="37"/>
  <c r="CS42" i="37"/>
  <c r="CT42" i="37"/>
  <c r="CU42" i="37"/>
  <c r="CJ43" i="37"/>
  <c r="CK43" i="37"/>
  <c r="CL43" i="37"/>
  <c r="CM43" i="37"/>
  <c r="CN43" i="37"/>
  <c r="CO43" i="37"/>
  <c r="CP43" i="37"/>
  <c r="CQ43" i="37"/>
  <c r="CR43" i="37"/>
  <c r="CS43" i="37"/>
  <c r="CT43" i="37"/>
  <c r="CU43" i="37"/>
  <c r="CJ44" i="37"/>
  <c r="CK44" i="37"/>
  <c r="CL44" i="37"/>
  <c r="CM44" i="37"/>
  <c r="CN44" i="37"/>
  <c r="CO44" i="37"/>
  <c r="CP44" i="37"/>
  <c r="CQ44" i="37"/>
  <c r="CR44" i="37"/>
  <c r="CS44" i="37"/>
  <c r="CT44" i="37"/>
  <c r="CU44" i="37"/>
  <c r="CJ45" i="37"/>
  <c r="CK45" i="37"/>
  <c r="CL45" i="37"/>
  <c r="CM45" i="37"/>
  <c r="CN45" i="37"/>
  <c r="CO45" i="37"/>
  <c r="CP45" i="37"/>
  <c r="CQ45" i="37"/>
  <c r="CR45" i="37"/>
  <c r="CS45" i="37"/>
  <c r="CT45" i="37"/>
  <c r="CU45" i="37"/>
  <c r="CJ46" i="37"/>
  <c r="CK46" i="37"/>
  <c r="CL46" i="37"/>
  <c r="CM46" i="37"/>
  <c r="CN46" i="37"/>
  <c r="CO46" i="37"/>
  <c r="CP46" i="37"/>
  <c r="CQ46" i="37"/>
  <c r="CR46" i="37"/>
  <c r="CS46" i="37"/>
  <c r="CT46" i="37"/>
  <c r="CU46" i="37"/>
  <c r="CJ47" i="37"/>
  <c r="CK47" i="37"/>
  <c r="CL47" i="37"/>
  <c r="CM47" i="37"/>
  <c r="CN47" i="37"/>
  <c r="CO47" i="37"/>
  <c r="CP47" i="37"/>
  <c r="CQ47" i="37"/>
  <c r="CR47" i="37"/>
  <c r="CS47" i="37"/>
  <c r="CT47" i="37"/>
  <c r="CU47" i="37"/>
  <c r="CJ48" i="37"/>
  <c r="CK48" i="37"/>
  <c r="CL48" i="37"/>
  <c r="CM48" i="37"/>
  <c r="CN48" i="37"/>
  <c r="CO48" i="37"/>
  <c r="CP48" i="37"/>
  <c r="CQ48" i="37"/>
  <c r="CR48" i="37"/>
  <c r="CS48" i="37"/>
  <c r="CT48" i="37"/>
  <c r="CU48" i="37"/>
  <c r="CJ49" i="37"/>
  <c r="CK49" i="37"/>
  <c r="CL49" i="37"/>
  <c r="CM49" i="37"/>
  <c r="CN49" i="37"/>
  <c r="CO49" i="37"/>
  <c r="CP49" i="37"/>
  <c r="CQ49" i="37"/>
  <c r="CR49" i="37"/>
  <c r="CS49" i="37"/>
  <c r="CT49" i="37"/>
  <c r="CU49" i="37"/>
  <c r="CJ50" i="37"/>
  <c r="CK50" i="37"/>
  <c r="CL50" i="37"/>
  <c r="CM50" i="37"/>
  <c r="CN50" i="37"/>
  <c r="CO50" i="37"/>
  <c r="CP50" i="37"/>
  <c r="CQ50" i="37"/>
  <c r="CR50" i="37"/>
  <c r="CS50" i="37"/>
  <c r="CT50" i="37"/>
  <c r="CU50" i="37"/>
  <c r="CJ51" i="37"/>
  <c r="CK51" i="37"/>
  <c r="CL51" i="37"/>
  <c r="CM51" i="37"/>
  <c r="CN51" i="37"/>
  <c r="CO51" i="37"/>
  <c r="CP51" i="37"/>
  <c r="CQ51" i="37"/>
  <c r="CR51" i="37"/>
  <c r="CS51" i="37"/>
  <c r="CT51" i="37"/>
  <c r="CU51" i="37"/>
  <c r="CJ52" i="37"/>
  <c r="CK52" i="37"/>
  <c r="CL52" i="37"/>
  <c r="CM52" i="37"/>
  <c r="CN52" i="37"/>
  <c r="CO52" i="37"/>
  <c r="CP52" i="37"/>
  <c r="CQ52" i="37"/>
  <c r="CR52" i="37"/>
  <c r="CS52" i="37"/>
  <c r="CT52" i="37"/>
  <c r="CU52" i="37"/>
  <c r="CJ53" i="37"/>
  <c r="CK53" i="37"/>
  <c r="CL53" i="37"/>
  <c r="CM53" i="37"/>
  <c r="CN53" i="37"/>
  <c r="CO53" i="37"/>
  <c r="CP53" i="37"/>
  <c r="CQ53" i="37"/>
  <c r="CR53" i="37"/>
  <c r="CS53" i="37"/>
  <c r="CT53" i="37"/>
  <c r="CU53" i="37"/>
  <c r="CJ54" i="37"/>
  <c r="CK54" i="37"/>
  <c r="CL54" i="37"/>
  <c r="CM54" i="37"/>
  <c r="CN54" i="37"/>
  <c r="CO54" i="37"/>
  <c r="CP54" i="37"/>
  <c r="CQ54" i="37"/>
  <c r="CR54" i="37"/>
  <c r="CS54" i="37"/>
  <c r="CT54" i="37"/>
  <c r="CU54" i="37"/>
  <c r="CJ55" i="37"/>
  <c r="CK55" i="37"/>
  <c r="CL55" i="37"/>
  <c r="CM55" i="37"/>
  <c r="CN55" i="37"/>
  <c r="CO55" i="37"/>
  <c r="CP55" i="37"/>
  <c r="CQ55" i="37"/>
  <c r="CR55" i="37"/>
  <c r="CS55" i="37"/>
  <c r="CT55" i="37"/>
  <c r="CU55" i="37"/>
  <c r="CJ56" i="37"/>
  <c r="CK56" i="37"/>
  <c r="CL56" i="37"/>
  <c r="CM56" i="37"/>
  <c r="CN56" i="37"/>
  <c r="CO56" i="37"/>
  <c r="CP56" i="37"/>
  <c r="CQ56" i="37"/>
  <c r="CR56" i="37"/>
  <c r="CS56" i="37"/>
  <c r="CT56" i="37"/>
  <c r="CU56" i="37"/>
  <c r="CJ57" i="37"/>
  <c r="CK57" i="37"/>
  <c r="CL57" i="37"/>
  <c r="CM57" i="37"/>
  <c r="CN57" i="37"/>
  <c r="CO57" i="37"/>
  <c r="CP57" i="37"/>
  <c r="CQ57" i="37"/>
  <c r="CR57" i="37"/>
  <c r="CS57" i="37"/>
  <c r="CT57" i="37"/>
  <c r="CU57" i="37"/>
  <c r="CJ58" i="37"/>
  <c r="CK58" i="37"/>
  <c r="CL58" i="37"/>
  <c r="CM58" i="37"/>
  <c r="CN58" i="37"/>
  <c r="CO58" i="37"/>
  <c r="CP58" i="37"/>
  <c r="CQ58" i="37"/>
  <c r="CR58" i="37"/>
  <c r="CS58" i="37"/>
  <c r="CT58" i="37"/>
  <c r="CU58" i="37"/>
  <c r="CJ59" i="37"/>
  <c r="CK59" i="37"/>
  <c r="CL59" i="37"/>
  <c r="CM59" i="37"/>
  <c r="CN59" i="37"/>
  <c r="CO59" i="37"/>
  <c r="CP59" i="37"/>
  <c r="CQ59" i="37"/>
  <c r="CR59" i="37"/>
  <c r="CS59" i="37"/>
  <c r="CT59" i="37"/>
  <c r="CU59" i="37"/>
  <c r="CJ60" i="37"/>
  <c r="CK60" i="37"/>
  <c r="CL60" i="37"/>
  <c r="CM60" i="37"/>
  <c r="CN60" i="37"/>
  <c r="CO60" i="37"/>
  <c r="CP60" i="37"/>
  <c r="CQ60" i="37"/>
  <c r="CR60" i="37"/>
  <c r="CS60" i="37"/>
  <c r="CT60" i="37"/>
  <c r="CU60" i="37"/>
  <c r="CJ61" i="37"/>
  <c r="CK61" i="37"/>
  <c r="CL61" i="37"/>
  <c r="CM61" i="37"/>
  <c r="CN61" i="37"/>
  <c r="CO61" i="37"/>
  <c r="CP61" i="37"/>
  <c r="CQ61" i="37"/>
  <c r="CR61" i="37"/>
  <c r="CS61" i="37"/>
  <c r="CT61" i="37"/>
  <c r="CU61" i="37"/>
  <c r="CJ62" i="37"/>
  <c r="CK62" i="37"/>
  <c r="CL62" i="37"/>
  <c r="CM62" i="37"/>
  <c r="CN62" i="37"/>
  <c r="CO62" i="37"/>
  <c r="CP62" i="37"/>
  <c r="CQ62" i="37"/>
  <c r="CR62" i="37"/>
  <c r="CS62" i="37"/>
  <c r="CT62" i="37"/>
  <c r="CU62" i="37"/>
  <c r="CJ63" i="37"/>
  <c r="CK63" i="37"/>
  <c r="CL63" i="37"/>
  <c r="CM63" i="37"/>
  <c r="CN63" i="37"/>
  <c r="CO63" i="37"/>
  <c r="CP63" i="37"/>
  <c r="CQ63" i="37"/>
  <c r="CR63" i="37"/>
  <c r="CS63" i="37"/>
  <c r="CT63" i="37"/>
  <c r="CU63" i="37"/>
  <c r="CJ64" i="37"/>
  <c r="CK64" i="37"/>
  <c r="CL64" i="37"/>
  <c r="CM64" i="37"/>
  <c r="CN64" i="37"/>
  <c r="CO64" i="37"/>
  <c r="CP64" i="37"/>
  <c r="CQ64" i="37"/>
  <c r="CR64" i="37"/>
  <c r="CS64" i="37"/>
  <c r="CT64" i="37"/>
  <c r="CU64" i="37"/>
  <c r="CJ65" i="37"/>
  <c r="CK65" i="37"/>
  <c r="CL65" i="37"/>
  <c r="CM65" i="37"/>
  <c r="CN65" i="37"/>
  <c r="CO65" i="37"/>
  <c r="CP65" i="37"/>
  <c r="CQ65" i="37"/>
  <c r="CR65" i="37"/>
  <c r="CS65" i="37"/>
  <c r="CT65" i="37"/>
  <c r="CU65" i="37"/>
  <c r="CJ66" i="37"/>
  <c r="CK66" i="37"/>
  <c r="CL66" i="37"/>
  <c r="CM66" i="37"/>
  <c r="CN66" i="37"/>
  <c r="CO66" i="37"/>
  <c r="CP66" i="37"/>
  <c r="CQ66" i="37"/>
  <c r="CR66" i="37"/>
  <c r="CS66" i="37"/>
  <c r="CT66" i="37"/>
  <c r="CU66" i="37"/>
  <c r="CJ67" i="37"/>
  <c r="CK67" i="37"/>
  <c r="CL67" i="37"/>
  <c r="CM67" i="37"/>
  <c r="CN67" i="37"/>
  <c r="CO67" i="37"/>
  <c r="CP67" i="37"/>
  <c r="CQ67" i="37"/>
  <c r="CR67" i="37"/>
  <c r="CS67" i="37"/>
  <c r="CT67" i="37"/>
  <c r="CU67" i="37"/>
  <c r="CJ68" i="37"/>
  <c r="CK68" i="37"/>
  <c r="CL68" i="37"/>
  <c r="CM68" i="37"/>
  <c r="CN68" i="37"/>
  <c r="CO68" i="37"/>
  <c r="CP68" i="37"/>
  <c r="CQ68" i="37"/>
  <c r="CR68" i="37"/>
  <c r="CS68" i="37"/>
  <c r="CT68" i="37"/>
  <c r="CU68" i="37"/>
  <c r="CJ69" i="37"/>
  <c r="CK69" i="37"/>
  <c r="CL69" i="37"/>
  <c r="CM69" i="37"/>
  <c r="CN69" i="37"/>
  <c r="CO69" i="37"/>
  <c r="CP69" i="37"/>
  <c r="CQ69" i="37"/>
  <c r="CR69" i="37"/>
  <c r="CS69" i="37"/>
  <c r="CT69" i="37"/>
  <c r="CU69" i="37"/>
  <c r="CJ70" i="37"/>
  <c r="CK70" i="37"/>
  <c r="CL70" i="37"/>
  <c r="CM70" i="37"/>
  <c r="CN70" i="37"/>
  <c r="CO70" i="37"/>
  <c r="CP70" i="37"/>
  <c r="CQ70" i="37"/>
  <c r="CR70" i="37"/>
  <c r="CS70" i="37"/>
  <c r="CT70" i="37"/>
  <c r="CU70" i="37"/>
  <c r="CJ71" i="37"/>
  <c r="CK71" i="37"/>
  <c r="CL71" i="37"/>
  <c r="CM71" i="37"/>
  <c r="CN71" i="37"/>
  <c r="CO71" i="37"/>
  <c r="CP71" i="37"/>
  <c r="CQ71" i="37"/>
  <c r="CR71" i="37"/>
  <c r="CS71" i="37"/>
  <c r="CT71" i="37"/>
  <c r="CU71" i="37"/>
  <c r="CJ72" i="37"/>
  <c r="CK72" i="37"/>
  <c r="CL72" i="37"/>
  <c r="CM72" i="37"/>
  <c r="CN72" i="37"/>
  <c r="CO72" i="37"/>
  <c r="CP72" i="37"/>
  <c r="CQ72" i="37"/>
  <c r="CR72" i="37"/>
  <c r="CS72" i="37"/>
  <c r="CT72" i="37"/>
  <c r="CU72" i="37"/>
  <c r="CJ73" i="37"/>
  <c r="CK73" i="37"/>
  <c r="CL73" i="37"/>
  <c r="CM73" i="37"/>
  <c r="CN73" i="37"/>
  <c r="CO73" i="37"/>
  <c r="CP73" i="37"/>
  <c r="CQ73" i="37"/>
  <c r="CR73" i="37"/>
  <c r="CS73" i="37"/>
  <c r="CT73" i="37"/>
  <c r="CU73" i="37"/>
  <c r="CJ74" i="37"/>
  <c r="CK74" i="37"/>
  <c r="CL74" i="37"/>
  <c r="CM74" i="37"/>
  <c r="CN74" i="37"/>
  <c r="CO74" i="37"/>
  <c r="CP74" i="37"/>
  <c r="CQ74" i="37"/>
  <c r="CR74" i="37"/>
  <c r="CS74" i="37"/>
  <c r="CT74" i="37"/>
  <c r="CU74" i="37"/>
  <c r="CJ75" i="37"/>
  <c r="CK75" i="37"/>
  <c r="CL75" i="37"/>
  <c r="CM75" i="37"/>
  <c r="CN75" i="37"/>
  <c r="CO75" i="37"/>
  <c r="CP75" i="37"/>
  <c r="CQ75" i="37"/>
  <c r="CR75" i="37"/>
  <c r="CS75" i="37"/>
  <c r="CT75" i="37"/>
  <c r="CU75" i="37"/>
  <c r="CJ76" i="37"/>
  <c r="CK76" i="37"/>
  <c r="CL76" i="37"/>
  <c r="CM76" i="37"/>
  <c r="CN76" i="37"/>
  <c r="CO76" i="37"/>
  <c r="CP76" i="37"/>
  <c r="CQ76" i="37"/>
  <c r="CR76" i="37"/>
  <c r="CS76" i="37"/>
  <c r="CT76" i="37"/>
  <c r="CU76" i="37"/>
  <c r="CJ77" i="37"/>
  <c r="CK77" i="37"/>
  <c r="CL77" i="37"/>
  <c r="CM77" i="37"/>
  <c r="CN77" i="37"/>
  <c r="CO77" i="37"/>
  <c r="CP77" i="37"/>
  <c r="CQ77" i="37"/>
  <c r="CR77" i="37"/>
  <c r="CS77" i="37"/>
  <c r="CT77" i="37"/>
  <c r="CU77" i="37"/>
  <c r="CJ78" i="37"/>
  <c r="CK78" i="37"/>
  <c r="CL78" i="37"/>
  <c r="CM78" i="37"/>
  <c r="CN78" i="37"/>
  <c r="CO78" i="37"/>
  <c r="CP78" i="37"/>
  <c r="CQ78" i="37"/>
  <c r="CR78" i="37"/>
  <c r="CS78" i="37"/>
  <c r="CT78" i="37"/>
  <c r="CU78" i="37"/>
  <c r="CJ79" i="37"/>
  <c r="CK79" i="37"/>
  <c r="CL79" i="37"/>
  <c r="CM79" i="37"/>
  <c r="CN79" i="37"/>
  <c r="CO79" i="37"/>
  <c r="CP79" i="37"/>
  <c r="CQ79" i="37"/>
  <c r="CR79" i="37"/>
  <c r="CS79" i="37"/>
  <c r="CT79" i="37"/>
  <c r="CU79" i="37"/>
  <c r="CJ80" i="37"/>
  <c r="CK80" i="37"/>
  <c r="CL80" i="37"/>
  <c r="CM80" i="37"/>
  <c r="CN80" i="37"/>
  <c r="CO80" i="37"/>
  <c r="CP80" i="37"/>
  <c r="CQ80" i="37"/>
  <c r="CR80" i="37"/>
  <c r="CS80" i="37"/>
  <c r="CT80" i="37"/>
  <c r="CU80" i="37"/>
  <c r="CJ81" i="37"/>
  <c r="CK81" i="37"/>
  <c r="CL81" i="37"/>
  <c r="CM81" i="37"/>
  <c r="CN81" i="37"/>
  <c r="CO81" i="37"/>
  <c r="CP81" i="37"/>
  <c r="CQ81" i="37"/>
  <c r="CR81" i="37"/>
  <c r="CS81" i="37"/>
  <c r="CT81" i="37"/>
  <c r="CU81" i="37"/>
  <c r="CJ82" i="37"/>
  <c r="CK82" i="37"/>
  <c r="CL82" i="37"/>
  <c r="CM82" i="37"/>
  <c r="CN82" i="37"/>
  <c r="CO82" i="37"/>
  <c r="CP82" i="37"/>
  <c r="CQ82" i="37"/>
  <c r="CR82" i="37"/>
  <c r="CS82" i="37"/>
  <c r="CT82" i="37"/>
  <c r="CU82" i="37"/>
  <c r="CJ83" i="37"/>
  <c r="CK83" i="37"/>
  <c r="CL83" i="37"/>
  <c r="CM83" i="37"/>
  <c r="CN83" i="37"/>
  <c r="CO83" i="37"/>
  <c r="CP83" i="37"/>
  <c r="CQ83" i="37"/>
  <c r="CR83" i="37"/>
  <c r="CS83" i="37"/>
  <c r="CT83" i="37"/>
  <c r="CU83" i="37"/>
  <c r="CJ84" i="37"/>
  <c r="CK84" i="37"/>
  <c r="CL84" i="37"/>
  <c r="CM84" i="37"/>
  <c r="CN84" i="37"/>
  <c r="CO84" i="37"/>
  <c r="CP84" i="37"/>
  <c r="CQ84" i="37"/>
  <c r="CR84" i="37"/>
  <c r="CS84" i="37"/>
  <c r="CT84" i="37"/>
  <c r="CU84" i="37"/>
  <c r="CJ85" i="37"/>
  <c r="CK85" i="37"/>
  <c r="CL85" i="37"/>
  <c r="CM85" i="37"/>
  <c r="CN85" i="37"/>
  <c r="CO85" i="37"/>
  <c r="CP85" i="37"/>
  <c r="CQ85" i="37"/>
  <c r="CR85" i="37"/>
  <c r="CS85" i="37"/>
  <c r="CT85" i="37"/>
  <c r="CU85" i="37"/>
  <c r="CJ86" i="37"/>
  <c r="CK86" i="37"/>
  <c r="CL86" i="37"/>
  <c r="CM86" i="37"/>
  <c r="CN86" i="37"/>
  <c r="CO86" i="37"/>
  <c r="CP86" i="37"/>
  <c r="CQ86" i="37"/>
  <c r="CR86" i="37"/>
  <c r="CS86" i="37"/>
  <c r="CT86" i="37"/>
  <c r="CU86" i="37"/>
  <c r="CJ87" i="37"/>
  <c r="CK87" i="37"/>
  <c r="CL87" i="37"/>
  <c r="CM87" i="37"/>
  <c r="CN87" i="37"/>
  <c r="CO87" i="37"/>
  <c r="CP87" i="37"/>
  <c r="CQ87" i="37"/>
  <c r="CR87" i="37"/>
  <c r="CS87" i="37"/>
  <c r="CT87" i="37"/>
  <c r="CU87" i="37"/>
  <c r="CJ88" i="37"/>
  <c r="CK88" i="37"/>
  <c r="CL88" i="37"/>
  <c r="CM88" i="37"/>
  <c r="CN88" i="37"/>
  <c r="CO88" i="37"/>
  <c r="CP88" i="37"/>
  <c r="CQ88" i="37"/>
  <c r="CR88" i="37"/>
  <c r="CS88" i="37"/>
  <c r="CT88" i="37"/>
  <c r="CU88" i="37"/>
  <c r="CJ89" i="37"/>
  <c r="CK89" i="37"/>
  <c r="CL89" i="37"/>
  <c r="CM89" i="37"/>
  <c r="CN89" i="37"/>
  <c r="CO89" i="37"/>
  <c r="CP89" i="37"/>
  <c r="CQ89" i="37"/>
  <c r="CR89" i="37"/>
  <c r="CS89" i="37"/>
  <c r="CT89" i="37"/>
  <c r="CU89" i="37"/>
  <c r="CJ90" i="37"/>
  <c r="CK90" i="37"/>
  <c r="CL90" i="37"/>
  <c r="CM90" i="37"/>
  <c r="CN90" i="37"/>
  <c r="CO90" i="37"/>
  <c r="CP90" i="37"/>
  <c r="CQ90" i="37"/>
  <c r="CR90" i="37"/>
  <c r="CS90" i="37"/>
  <c r="CT90" i="37"/>
  <c r="CU90" i="37"/>
  <c r="CJ91" i="37"/>
  <c r="CK91" i="37"/>
  <c r="CL91" i="37"/>
  <c r="CM91" i="37"/>
  <c r="CN91" i="37"/>
  <c r="CO91" i="37"/>
  <c r="CP91" i="37"/>
  <c r="CQ91" i="37"/>
  <c r="CR91" i="37"/>
  <c r="CS91" i="37"/>
  <c r="CT91" i="37"/>
  <c r="CU91" i="37"/>
  <c r="CJ92" i="37"/>
  <c r="CK92" i="37"/>
  <c r="CL92" i="37"/>
  <c r="CM92" i="37"/>
  <c r="CN92" i="37"/>
  <c r="CO92" i="37"/>
  <c r="CP92" i="37"/>
  <c r="CQ92" i="37"/>
  <c r="CR92" i="37"/>
  <c r="CS92" i="37"/>
  <c r="CT92" i="37"/>
  <c r="CU92" i="37"/>
  <c r="CJ93" i="37"/>
  <c r="CK93" i="37"/>
  <c r="CL93" i="37"/>
  <c r="CM93" i="37"/>
  <c r="CN93" i="37"/>
  <c r="CO93" i="37"/>
  <c r="CP93" i="37"/>
  <c r="CQ93" i="37"/>
  <c r="CR93" i="37"/>
  <c r="CS93" i="37"/>
  <c r="CT93" i="37"/>
  <c r="CU93" i="37"/>
  <c r="CJ94" i="37"/>
  <c r="CK94" i="37"/>
  <c r="CL94" i="37"/>
  <c r="CM94" i="37"/>
  <c r="CN94" i="37"/>
  <c r="CO94" i="37"/>
  <c r="CP94" i="37"/>
  <c r="CQ94" i="37"/>
  <c r="CR94" i="37"/>
  <c r="CS94" i="37"/>
  <c r="CT94" i="37"/>
  <c r="CU94" i="37"/>
  <c r="CJ95" i="37"/>
  <c r="CK95" i="37"/>
  <c r="CL95" i="37"/>
  <c r="CM95" i="37"/>
  <c r="CN95" i="37"/>
  <c r="CO95" i="37"/>
  <c r="CP95" i="37"/>
  <c r="CQ95" i="37"/>
  <c r="CR95" i="37"/>
  <c r="CS95" i="37"/>
  <c r="CT95" i="37"/>
  <c r="CU95" i="37"/>
  <c r="CJ96" i="37"/>
  <c r="CK96" i="37"/>
  <c r="CL96" i="37"/>
  <c r="CM96" i="37"/>
  <c r="CN96" i="37"/>
  <c r="CO96" i="37"/>
  <c r="CP96" i="37"/>
  <c r="CQ96" i="37"/>
  <c r="CR96" i="37"/>
  <c r="CS96" i="37"/>
  <c r="CT96" i="37"/>
  <c r="CU96" i="37"/>
  <c r="CJ97" i="37"/>
  <c r="CK97" i="37"/>
  <c r="CL97" i="37"/>
  <c r="CM97" i="37"/>
  <c r="CN97" i="37"/>
  <c r="CO97" i="37"/>
  <c r="CP97" i="37"/>
  <c r="CQ97" i="37"/>
  <c r="CR97" i="37"/>
  <c r="CS97" i="37"/>
  <c r="CT97" i="37"/>
  <c r="CU97" i="37"/>
  <c r="CJ98" i="37"/>
  <c r="CK98" i="37"/>
  <c r="CL98" i="37"/>
  <c r="CM98" i="37"/>
  <c r="CN98" i="37"/>
  <c r="CO98" i="37"/>
  <c r="CP98" i="37"/>
  <c r="CQ98" i="37"/>
  <c r="CR98" i="37"/>
  <c r="CS98" i="37"/>
  <c r="CT98" i="37"/>
  <c r="CU98" i="37"/>
  <c r="CJ99" i="37"/>
  <c r="CK99" i="37"/>
  <c r="CL99" i="37"/>
  <c r="CM99" i="37"/>
  <c r="CN99" i="37"/>
  <c r="CO99" i="37"/>
  <c r="CP99" i="37"/>
  <c r="CQ99" i="37"/>
  <c r="CR99" i="37"/>
  <c r="CS99" i="37"/>
  <c r="CT99" i="37"/>
  <c r="CU99" i="37"/>
  <c r="CJ100" i="37"/>
  <c r="CK100" i="37"/>
  <c r="CL100" i="37"/>
  <c r="CM100" i="37"/>
  <c r="CN100" i="37"/>
  <c r="CO100" i="37"/>
  <c r="CP100" i="37"/>
  <c r="CQ100" i="37"/>
  <c r="CR100" i="37"/>
  <c r="CS100" i="37"/>
  <c r="CT100" i="37"/>
  <c r="CU100" i="37"/>
  <c r="CJ101" i="37"/>
  <c r="CK101" i="37"/>
  <c r="CL101" i="37"/>
  <c r="CM101" i="37"/>
  <c r="CN101" i="37"/>
  <c r="CO101" i="37"/>
  <c r="CP101" i="37"/>
  <c r="CQ101" i="37"/>
  <c r="CR101" i="37"/>
  <c r="CS101" i="37"/>
  <c r="CT101" i="37"/>
  <c r="CU101" i="37"/>
  <c r="CJ102" i="37"/>
  <c r="CK102" i="37"/>
  <c r="CL102" i="37"/>
  <c r="CM102" i="37"/>
  <c r="CN102" i="37"/>
  <c r="CO102" i="37"/>
  <c r="CP102" i="37"/>
  <c r="CQ102" i="37"/>
  <c r="CR102" i="37"/>
  <c r="CS102" i="37"/>
  <c r="CT102" i="37"/>
  <c r="CU102" i="37"/>
  <c r="CJ103" i="37"/>
  <c r="CK103" i="37"/>
  <c r="CL103" i="37"/>
  <c r="CM103" i="37"/>
  <c r="CN103" i="37"/>
  <c r="CO103" i="37"/>
  <c r="CP103" i="37"/>
  <c r="CQ103" i="37"/>
  <c r="CR103" i="37"/>
  <c r="CS103" i="37"/>
  <c r="CT103" i="37"/>
  <c r="CU103" i="37"/>
  <c r="CJ104" i="37"/>
  <c r="CK104" i="37"/>
  <c r="CL104" i="37"/>
  <c r="CM104" i="37"/>
  <c r="CN104" i="37"/>
  <c r="CO104" i="37"/>
  <c r="CP104" i="37"/>
  <c r="CQ104" i="37"/>
  <c r="CR104" i="37"/>
  <c r="CS104" i="37"/>
  <c r="CT104" i="37"/>
  <c r="CU104" i="37"/>
  <c r="CJ105" i="37"/>
  <c r="CK105" i="37"/>
  <c r="CL105" i="37"/>
  <c r="CM105" i="37"/>
  <c r="CN105" i="37"/>
  <c r="CO105" i="37"/>
  <c r="CP105" i="37"/>
  <c r="CQ105" i="37"/>
  <c r="CR105" i="37"/>
  <c r="CS105" i="37"/>
  <c r="CT105" i="37"/>
  <c r="CU105" i="37"/>
  <c r="CJ106" i="37"/>
  <c r="CK106" i="37"/>
  <c r="CL106" i="37"/>
  <c r="CM106" i="37"/>
  <c r="CN106" i="37"/>
  <c r="CO106" i="37"/>
  <c r="CP106" i="37"/>
  <c r="CQ106" i="37"/>
  <c r="CR106" i="37"/>
  <c r="CS106" i="37"/>
  <c r="CT106" i="37"/>
  <c r="CU106" i="37"/>
  <c r="CJ107" i="37"/>
  <c r="CK107" i="37"/>
  <c r="CL107" i="37"/>
  <c r="CM107" i="37"/>
  <c r="CN107" i="37"/>
  <c r="CO107" i="37"/>
  <c r="CP107" i="37"/>
  <c r="CQ107" i="37"/>
  <c r="CR107" i="37"/>
  <c r="CS107" i="37"/>
  <c r="CT107" i="37"/>
  <c r="CU107" i="37"/>
  <c r="CJ108" i="37"/>
  <c r="CK108" i="37"/>
  <c r="CL108" i="37"/>
  <c r="CM108" i="37"/>
  <c r="CN108" i="37"/>
  <c r="CO108" i="37"/>
  <c r="CP108" i="37"/>
  <c r="CQ108" i="37"/>
  <c r="CR108" i="37"/>
  <c r="CS108" i="37"/>
  <c r="CT108" i="37"/>
  <c r="CU108" i="37"/>
  <c r="CJ109" i="37"/>
  <c r="CK109" i="37"/>
  <c r="CL109" i="37"/>
  <c r="CM109" i="37"/>
  <c r="CN109" i="37"/>
  <c r="CO109" i="37"/>
  <c r="CP109" i="37"/>
  <c r="CQ109" i="37"/>
  <c r="CR109" i="37"/>
  <c r="CS109" i="37"/>
  <c r="CT109" i="37"/>
  <c r="CU109" i="37"/>
  <c r="CJ110" i="37"/>
  <c r="CK110" i="37"/>
  <c r="CL110" i="37"/>
  <c r="CM110" i="37"/>
  <c r="CN110" i="37"/>
  <c r="CO110" i="37"/>
  <c r="CP110" i="37"/>
  <c r="CQ110" i="37"/>
  <c r="CR110" i="37"/>
  <c r="CS110" i="37"/>
  <c r="CT110" i="37"/>
  <c r="CU110" i="37"/>
  <c r="CJ111" i="37"/>
  <c r="CK111" i="37"/>
  <c r="CL111" i="37"/>
  <c r="CM111" i="37"/>
  <c r="CN111" i="37"/>
  <c r="CO111" i="37"/>
  <c r="CP111" i="37"/>
  <c r="CQ111" i="37"/>
  <c r="CR111" i="37"/>
  <c r="CS111" i="37"/>
  <c r="CT111" i="37"/>
  <c r="CU111" i="37"/>
  <c r="CJ112" i="37"/>
  <c r="CK112" i="37"/>
  <c r="CL112" i="37"/>
  <c r="CM112" i="37"/>
  <c r="CN112" i="37"/>
  <c r="CO112" i="37"/>
  <c r="CP112" i="37"/>
  <c r="CQ112" i="37"/>
  <c r="CR112" i="37"/>
  <c r="CS112" i="37"/>
  <c r="CT112" i="37"/>
  <c r="CU112" i="37"/>
  <c r="CJ113" i="37"/>
  <c r="CK113" i="37"/>
  <c r="CL113" i="37"/>
  <c r="CM113" i="37"/>
  <c r="CN113" i="37"/>
  <c r="CO113" i="37"/>
  <c r="CP113" i="37"/>
  <c r="CQ113" i="37"/>
  <c r="CR113" i="37"/>
  <c r="CS113" i="37"/>
  <c r="CT113" i="37"/>
  <c r="CU113" i="37"/>
  <c r="CJ114" i="37"/>
  <c r="CK114" i="37"/>
  <c r="CL114" i="37"/>
  <c r="CM114" i="37"/>
  <c r="CN114" i="37"/>
  <c r="CO114" i="37"/>
  <c r="CP114" i="37"/>
  <c r="CQ114" i="37"/>
  <c r="CR114" i="37"/>
  <c r="CS114" i="37"/>
  <c r="CT114" i="37"/>
  <c r="CU114" i="37"/>
  <c r="CJ115" i="37"/>
  <c r="CK115" i="37"/>
  <c r="CL115" i="37"/>
  <c r="CM115" i="37"/>
  <c r="CN115" i="37"/>
  <c r="CO115" i="37"/>
  <c r="CP115" i="37"/>
  <c r="CQ115" i="37"/>
  <c r="CR115" i="37"/>
  <c r="CS115" i="37"/>
  <c r="CT115" i="37"/>
  <c r="CU115" i="37"/>
  <c r="CJ116" i="37"/>
  <c r="CK116" i="37"/>
  <c r="CL116" i="37"/>
  <c r="CM116" i="37"/>
  <c r="CN116" i="37"/>
  <c r="CO116" i="37"/>
  <c r="CP116" i="37"/>
  <c r="CQ116" i="37"/>
  <c r="CR116" i="37"/>
  <c r="CS116" i="37"/>
  <c r="CT116" i="37"/>
  <c r="CU116" i="37"/>
  <c r="CJ117" i="37"/>
  <c r="CK117" i="37"/>
  <c r="CL117" i="37"/>
  <c r="CM117" i="37"/>
  <c r="CN117" i="37"/>
  <c r="CO117" i="37"/>
  <c r="CP117" i="37"/>
  <c r="CQ117" i="37"/>
  <c r="CR117" i="37"/>
  <c r="CS117" i="37"/>
  <c r="CT117" i="37"/>
  <c r="CU117" i="37"/>
  <c r="CJ118" i="37"/>
  <c r="CK118" i="37"/>
  <c r="CL118" i="37"/>
  <c r="CM118" i="37"/>
  <c r="CN118" i="37"/>
  <c r="CO118" i="37"/>
  <c r="CP118" i="37"/>
  <c r="CQ118" i="37"/>
  <c r="CR118" i="37"/>
  <c r="CS118" i="37"/>
  <c r="CT118" i="37"/>
  <c r="CU118" i="37"/>
  <c r="CJ119" i="37"/>
  <c r="CK119" i="37"/>
  <c r="CL119" i="37"/>
  <c r="CM119" i="37"/>
  <c r="CN119" i="37"/>
  <c r="CO119" i="37"/>
  <c r="CP119" i="37"/>
  <c r="CQ119" i="37"/>
  <c r="CR119" i="37"/>
  <c r="CS119" i="37"/>
  <c r="CT119" i="37"/>
  <c r="CU119" i="37"/>
  <c r="CJ120" i="37"/>
  <c r="CK120" i="37"/>
  <c r="CL120" i="37"/>
  <c r="CM120" i="37"/>
  <c r="CN120" i="37"/>
  <c r="CO120" i="37"/>
  <c r="CP120" i="37"/>
  <c r="CQ120" i="37"/>
  <c r="CR120" i="37"/>
  <c r="CS120" i="37"/>
  <c r="CT120" i="37"/>
  <c r="CU120" i="37"/>
  <c r="CJ121" i="37"/>
  <c r="CK121" i="37"/>
  <c r="CL121" i="37"/>
  <c r="CM121" i="37"/>
  <c r="CN121" i="37"/>
  <c r="CO121" i="37"/>
  <c r="CP121" i="37"/>
  <c r="CQ121" i="37"/>
  <c r="CR121" i="37"/>
  <c r="CS121" i="37"/>
  <c r="CT121" i="37"/>
  <c r="CU121" i="37"/>
  <c r="CJ122" i="37"/>
  <c r="CK122" i="37"/>
  <c r="CL122" i="37"/>
  <c r="CM122" i="37"/>
  <c r="CN122" i="37"/>
  <c r="CO122" i="37"/>
  <c r="CP122" i="37"/>
  <c r="CQ122" i="37"/>
  <c r="CR122" i="37"/>
  <c r="CS122" i="37"/>
  <c r="CT122" i="37"/>
  <c r="CU122" i="37"/>
  <c r="CJ123" i="37"/>
  <c r="CK123" i="37"/>
  <c r="CL123" i="37"/>
  <c r="CM123" i="37"/>
  <c r="CN123" i="37"/>
  <c r="CO123" i="37"/>
  <c r="CP123" i="37"/>
  <c r="CQ123" i="37"/>
  <c r="CR123" i="37"/>
  <c r="CS123" i="37"/>
  <c r="CT123" i="37"/>
  <c r="CU123" i="37"/>
  <c r="CJ124" i="37"/>
  <c r="CK124" i="37"/>
  <c r="CL124" i="37"/>
  <c r="CM124" i="37"/>
  <c r="CN124" i="37"/>
  <c r="CO124" i="37"/>
  <c r="CP124" i="37"/>
  <c r="CQ124" i="37"/>
  <c r="CR124" i="37"/>
  <c r="CS124" i="37"/>
  <c r="CT124" i="37"/>
  <c r="CU124" i="37"/>
  <c r="CJ125" i="37"/>
  <c r="CK125" i="37"/>
  <c r="CL125" i="37"/>
  <c r="CM125" i="37"/>
  <c r="CN125" i="37"/>
  <c r="CO125" i="37"/>
  <c r="CP125" i="37"/>
  <c r="CQ125" i="37"/>
  <c r="CR125" i="37"/>
  <c r="CS125" i="37"/>
  <c r="CT125" i="37"/>
  <c r="CU125" i="37"/>
  <c r="CJ126" i="37"/>
  <c r="CK126" i="37"/>
  <c r="CL126" i="37"/>
  <c r="CM126" i="37"/>
  <c r="CN126" i="37"/>
  <c r="CO126" i="37"/>
  <c r="CP126" i="37"/>
  <c r="CQ126" i="37"/>
  <c r="CR126" i="37"/>
  <c r="CS126" i="37"/>
  <c r="CT126" i="37"/>
  <c r="CU126" i="37"/>
  <c r="CJ127" i="37"/>
  <c r="CK127" i="37"/>
  <c r="CL127" i="37"/>
  <c r="CM127" i="37"/>
  <c r="CN127" i="37"/>
  <c r="CO127" i="37"/>
  <c r="CP127" i="37"/>
  <c r="CQ127" i="37"/>
  <c r="CR127" i="37"/>
  <c r="CS127" i="37"/>
  <c r="CT127" i="37"/>
  <c r="CU127" i="37"/>
  <c r="CJ128" i="37"/>
  <c r="CK128" i="37"/>
  <c r="CL128" i="37"/>
  <c r="CM128" i="37"/>
  <c r="CN128" i="37"/>
  <c r="CO128" i="37"/>
  <c r="CP128" i="37"/>
  <c r="CQ128" i="37"/>
  <c r="CR128" i="37"/>
  <c r="CS128" i="37"/>
  <c r="CT128" i="37"/>
  <c r="CU128" i="37"/>
  <c r="CJ129" i="37"/>
  <c r="CK129" i="37"/>
  <c r="CL129" i="37"/>
  <c r="CM129" i="37"/>
  <c r="CN129" i="37"/>
  <c r="CO129" i="37"/>
  <c r="CP129" i="37"/>
  <c r="CQ129" i="37"/>
  <c r="CR129" i="37"/>
  <c r="CS129" i="37"/>
  <c r="CT129" i="37"/>
  <c r="CU129" i="37"/>
  <c r="CJ130" i="37"/>
  <c r="CK130" i="37"/>
  <c r="CL130" i="37"/>
  <c r="CM130" i="37"/>
  <c r="CN130" i="37"/>
  <c r="CO130" i="37"/>
  <c r="CP130" i="37"/>
  <c r="CQ130" i="37"/>
  <c r="CR130" i="37"/>
  <c r="CS130" i="37"/>
  <c r="CT130" i="37"/>
  <c r="CU130" i="37"/>
  <c r="CJ131" i="37"/>
  <c r="CK131" i="37"/>
  <c r="CL131" i="37"/>
  <c r="CM131" i="37"/>
  <c r="CN131" i="37"/>
  <c r="CO131" i="37"/>
  <c r="CP131" i="37"/>
  <c r="CQ131" i="37"/>
  <c r="CR131" i="37"/>
  <c r="CS131" i="37"/>
  <c r="CT131" i="37"/>
  <c r="CU131" i="37"/>
  <c r="CJ132" i="37"/>
  <c r="CK132" i="37"/>
  <c r="CL132" i="37"/>
  <c r="CM132" i="37"/>
  <c r="CN132" i="37"/>
  <c r="CO132" i="37"/>
  <c r="CP132" i="37"/>
  <c r="CQ132" i="37"/>
  <c r="CR132" i="37"/>
  <c r="CS132" i="37"/>
  <c r="CT132" i="37"/>
  <c r="CU132" i="37"/>
  <c r="CJ133" i="37"/>
  <c r="CK133" i="37"/>
  <c r="CL133" i="37"/>
  <c r="CM133" i="37"/>
  <c r="CN133" i="37"/>
  <c r="CO133" i="37"/>
  <c r="CP133" i="37"/>
  <c r="CQ133" i="37"/>
  <c r="CR133" i="37"/>
  <c r="CS133" i="37"/>
  <c r="CT133" i="37"/>
  <c r="CU133" i="37"/>
  <c r="CJ134" i="37"/>
  <c r="CK134" i="37"/>
  <c r="CL134" i="37"/>
  <c r="CM134" i="37"/>
  <c r="CN134" i="37"/>
  <c r="CO134" i="37"/>
  <c r="CP134" i="37"/>
  <c r="CQ134" i="37"/>
  <c r="CR134" i="37"/>
  <c r="CS134" i="37"/>
  <c r="CT134" i="37"/>
  <c r="CU134" i="37"/>
  <c r="CJ135" i="37"/>
  <c r="CK135" i="37"/>
  <c r="CL135" i="37"/>
  <c r="CM135" i="37"/>
  <c r="CN135" i="37"/>
  <c r="CO135" i="37"/>
  <c r="CP135" i="37"/>
  <c r="CQ135" i="37"/>
  <c r="CR135" i="37"/>
  <c r="CS135" i="37"/>
  <c r="CT135" i="37"/>
  <c r="CU135" i="37"/>
  <c r="CJ136" i="37"/>
  <c r="CK136" i="37"/>
  <c r="CL136" i="37"/>
  <c r="CM136" i="37"/>
  <c r="CN136" i="37"/>
  <c r="CO136" i="37"/>
  <c r="CP136" i="37"/>
  <c r="CQ136" i="37"/>
  <c r="CR136" i="37"/>
  <c r="CS136" i="37"/>
  <c r="CT136" i="37"/>
  <c r="CU136" i="37"/>
  <c r="CJ137" i="37"/>
  <c r="CK137" i="37"/>
  <c r="CL137" i="37"/>
  <c r="CM137" i="37"/>
  <c r="CN137" i="37"/>
  <c r="CO137" i="37"/>
  <c r="CP137" i="37"/>
  <c r="CQ137" i="37"/>
  <c r="CR137" i="37"/>
  <c r="CS137" i="37"/>
  <c r="CT137" i="37"/>
  <c r="CU137" i="37"/>
  <c r="CJ138" i="37"/>
  <c r="CK138" i="37"/>
  <c r="CL138" i="37"/>
  <c r="CM138" i="37"/>
  <c r="CN138" i="37"/>
  <c r="CO138" i="37"/>
  <c r="CP138" i="37"/>
  <c r="CQ138" i="37"/>
  <c r="CR138" i="37"/>
  <c r="CS138" i="37"/>
  <c r="CT138" i="37"/>
  <c r="CU138" i="37"/>
  <c r="CJ139" i="37"/>
  <c r="CK139" i="37"/>
  <c r="CL139" i="37"/>
  <c r="CM139" i="37"/>
  <c r="CN139" i="37"/>
  <c r="CO139" i="37"/>
  <c r="CP139" i="37"/>
  <c r="CQ139" i="37"/>
  <c r="CR139" i="37"/>
  <c r="CS139" i="37"/>
  <c r="CT139" i="37"/>
  <c r="CU139" i="37"/>
  <c r="CJ140" i="37"/>
  <c r="CK140" i="37"/>
  <c r="CL140" i="37"/>
  <c r="CM140" i="37"/>
  <c r="CN140" i="37"/>
  <c r="CO140" i="37"/>
  <c r="CP140" i="37"/>
  <c r="CQ140" i="37"/>
  <c r="CR140" i="37"/>
  <c r="CS140" i="37"/>
  <c r="CT140" i="37"/>
  <c r="CU140" i="37"/>
  <c r="CJ141" i="37"/>
  <c r="CK141" i="37"/>
  <c r="CL141" i="37"/>
  <c r="CM141" i="37"/>
  <c r="CN141" i="37"/>
  <c r="CO141" i="37"/>
  <c r="CP141" i="37"/>
  <c r="CQ141" i="37"/>
  <c r="CR141" i="37"/>
  <c r="CS141" i="37"/>
  <c r="CT141" i="37"/>
  <c r="CU141" i="37"/>
  <c r="CJ142" i="37"/>
  <c r="CK142" i="37"/>
  <c r="CL142" i="37"/>
  <c r="CM142" i="37"/>
  <c r="CN142" i="37"/>
  <c r="CO142" i="37"/>
  <c r="CP142" i="37"/>
  <c r="CQ142" i="37"/>
  <c r="CR142" i="37"/>
  <c r="CS142" i="37"/>
  <c r="CT142" i="37"/>
  <c r="CU142" i="37"/>
  <c r="CJ143" i="37"/>
  <c r="CK143" i="37"/>
  <c r="CL143" i="37"/>
  <c r="CM143" i="37"/>
  <c r="CN143" i="37"/>
  <c r="CO143" i="37"/>
  <c r="CP143" i="37"/>
  <c r="CQ143" i="37"/>
  <c r="CR143" i="37"/>
  <c r="CS143" i="37"/>
  <c r="CT143" i="37"/>
  <c r="CU143" i="37"/>
  <c r="CJ144" i="37"/>
  <c r="CK144" i="37"/>
  <c r="CL144" i="37"/>
  <c r="CM144" i="37"/>
  <c r="CN144" i="37"/>
  <c r="CO144" i="37"/>
  <c r="CP144" i="37"/>
  <c r="CQ144" i="37"/>
  <c r="CR144" i="37"/>
  <c r="CS144" i="37"/>
  <c r="CT144" i="37"/>
  <c r="CU144" i="37"/>
  <c r="CJ145" i="37"/>
  <c r="CK145" i="37"/>
  <c r="CL145" i="37"/>
  <c r="CM145" i="37"/>
  <c r="CN145" i="37"/>
  <c r="CO145" i="37"/>
  <c r="CP145" i="37"/>
  <c r="CQ145" i="37"/>
  <c r="CR145" i="37"/>
  <c r="CS145" i="37"/>
  <c r="CT145" i="37"/>
  <c r="CU145" i="37"/>
  <c r="CJ146" i="37"/>
  <c r="CK146" i="37"/>
  <c r="CL146" i="37"/>
  <c r="CM146" i="37"/>
  <c r="CN146" i="37"/>
  <c r="CO146" i="37"/>
  <c r="CP146" i="37"/>
  <c r="CQ146" i="37"/>
  <c r="CR146" i="37"/>
  <c r="CS146" i="37"/>
  <c r="CT146" i="37"/>
  <c r="CU146" i="37"/>
  <c r="CJ147" i="37"/>
  <c r="CK147" i="37"/>
  <c r="CL147" i="37"/>
  <c r="CM147" i="37"/>
  <c r="CN147" i="37"/>
  <c r="CO147" i="37"/>
  <c r="CP147" i="37"/>
  <c r="CQ147" i="37"/>
  <c r="CR147" i="37"/>
  <c r="CS147" i="37"/>
  <c r="CT147" i="37"/>
  <c r="CU147" i="37"/>
  <c r="CJ148" i="37"/>
  <c r="CK148" i="37"/>
  <c r="CL148" i="37"/>
  <c r="CM148" i="37"/>
  <c r="CN148" i="37"/>
  <c r="CO148" i="37"/>
  <c r="CP148" i="37"/>
  <c r="CQ148" i="37"/>
  <c r="CR148" i="37"/>
  <c r="CS148" i="37"/>
  <c r="CT148" i="37"/>
  <c r="CU148" i="37"/>
  <c r="CJ149" i="37"/>
  <c r="CK149" i="37"/>
  <c r="CL149" i="37"/>
  <c r="CM149" i="37"/>
  <c r="CN149" i="37"/>
  <c r="CO149" i="37"/>
  <c r="CP149" i="37"/>
  <c r="CQ149" i="37"/>
  <c r="CR149" i="37"/>
  <c r="CS149" i="37"/>
  <c r="CT149" i="37"/>
  <c r="CU149" i="37"/>
  <c r="CJ150" i="37"/>
  <c r="CK150" i="37"/>
  <c r="CL150" i="37"/>
  <c r="CM150" i="37"/>
  <c r="CN150" i="37"/>
  <c r="CO150" i="37"/>
  <c r="CP150" i="37"/>
  <c r="CQ150" i="37"/>
  <c r="CR150" i="37"/>
  <c r="CS150" i="37"/>
  <c r="CT150" i="37"/>
  <c r="CU150" i="37"/>
  <c r="CJ151" i="37"/>
  <c r="CK151" i="37"/>
  <c r="CL151" i="37"/>
  <c r="CM151" i="37"/>
  <c r="CN151" i="37"/>
  <c r="CO151" i="37"/>
  <c r="CP151" i="37"/>
  <c r="CQ151" i="37"/>
  <c r="CR151" i="37"/>
  <c r="CS151" i="37"/>
  <c r="CT151" i="37"/>
  <c r="CU151" i="37"/>
  <c r="CJ152" i="37"/>
  <c r="CK152" i="37"/>
  <c r="CL152" i="37"/>
  <c r="CM152" i="37"/>
  <c r="CN152" i="37"/>
  <c r="CO152" i="37"/>
  <c r="CP152" i="37"/>
  <c r="CQ152" i="37"/>
  <c r="CR152" i="37"/>
  <c r="CS152" i="37"/>
  <c r="CT152" i="37"/>
  <c r="CU152" i="37"/>
  <c r="CJ153" i="37"/>
  <c r="CK153" i="37"/>
  <c r="CL153" i="37"/>
  <c r="CM153" i="37"/>
  <c r="CN153" i="37"/>
  <c r="CO153" i="37"/>
  <c r="CP153" i="37"/>
  <c r="CQ153" i="37"/>
  <c r="CR153" i="37"/>
  <c r="CS153" i="37"/>
  <c r="CT153" i="37"/>
  <c r="CU153" i="37"/>
  <c r="CJ154" i="37"/>
  <c r="CK154" i="37"/>
  <c r="CL154" i="37"/>
  <c r="CM154" i="37"/>
  <c r="CN154" i="37"/>
  <c r="CO154" i="37"/>
  <c r="CP154" i="37"/>
  <c r="CQ154" i="37"/>
  <c r="CR154" i="37"/>
  <c r="CS154" i="37"/>
  <c r="CT154" i="37"/>
  <c r="CU154" i="37"/>
  <c r="CJ155" i="37"/>
  <c r="CK155" i="37"/>
  <c r="CL155" i="37"/>
  <c r="CM155" i="37"/>
  <c r="CN155" i="37"/>
  <c r="CO155" i="37"/>
  <c r="CP155" i="37"/>
  <c r="CQ155" i="37"/>
  <c r="CR155" i="37"/>
  <c r="CS155" i="37"/>
  <c r="CT155" i="37"/>
  <c r="CU155" i="37"/>
  <c r="CJ156" i="37"/>
  <c r="CK156" i="37"/>
  <c r="CL156" i="37"/>
  <c r="CM156" i="37"/>
  <c r="CN156" i="37"/>
  <c r="CO156" i="37"/>
  <c r="CP156" i="37"/>
  <c r="CQ156" i="37"/>
  <c r="CR156" i="37"/>
  <c r="CS156" i="37"/>
  <c r="CT156" i="37"/>
  <c r="CU156" i="37"/>
  <c r="CJ157" i="37"/>
  <c r="CK157" i="37"/>
  <c r="CL157" i="37"/>
  <c r="CM157" i="37"/>
  <c r="CN157" i="37"/>
  <c r="CO157" i="37"/>
  <c r="CP157" i="37"/>
  <c r="CQ157" i="37"/>
  <c r="CR157" i="37"/>
  <c r="CS157" i="37"/>
  <c r="CT157" i="37"/>
  <c r="CU157" i="37"/>
  <c r="CJ158" i="37"/>
  <c r="CK158" i="37"/>
  <c r="CL158" i="37"/>
  <c r="CM158" i="37"/>
  <c r="CN158" i="37"/>
  <c r="CO158" i="37"/>
  <c r="CP158" i="37"/>
  <c r="CQ158" i="37"/>
  <c r="CR158" i="37"/>
  <c r="CS158" i="37"/>
  <c r="CT158" i="37"/>
  <c r="CU158" i="37"/>
  <c r="CJ159" i="37"/>
  <c r="CK159" i="37"/>
  <c r="CL159" i="37"/>
  <c r="CM159" i="37"/>
  <c r="CN159" i="37"/>
  <c r="CO159" i="37"/>
  <c r="CP159" i="37"/>
  <c r="CQ159" i="37"/>
  <c r="CR159" i="37"/>
  <c r="CS159" i="37"/>
  <c r="CT159" i="37"/>
  <c r="CU159" i="37"/>
  <c r="CJ160" i="37"/>
  <c r="CK160" i="37"/>
  <c r="CL160" i="37"/>
  <c r="CM160" i="37"/>
  <c r="CN160" i="37"/>
  <c r="CO160" i="37"/>
  <c r="CP160" i="37"/>
  <c r="CQ160" i="37"/>
  <c r="CR160" i="37"/>
  <c r="CS160" i="37"/>
  <c r="CT160" i="37"/>
  <c r="CU160" i="37"/>
  <c r="CJ161" i="37"/>
  <c r="CK161" i="37"/>
  <c r="CL161" i="37"/>
  <c r="CM161" i="37"/>
  <c r="CN161" i="37"/>
  <c r="CO161" i="37"/>
  <c r="CP161" i="37"/>
  <c r="CQ161" i="37"/>
  <c r="CR161" i="37"/>
  <c r="CS161" i="37"/>
  <c r="CT161" i="37"/>
  <c r="CU161" i="37"/>
  <c r="CJ162" i="37"/>
  <c r="CK162" i="37"/>
  <c r="CL162" i="37"/>
  <c r="CM162" i="37"/>
  <c r="CN162" i="37"/>
  <c r="CO162" i="37"/>
  <c r="CP162" i="37"/>
  <c r="CQ162" i="37"/>
  <c r="CR162" i="37"/>
  <c r="CS162" i="37"/>
  <c r="CT162" i="37"/>
  <c r="CU162" i="37"/>
  <c r="CJ163" i="37"/>
  <c r="CK163" i="37"/>
  <c r="CL163" i="37"/>
  <c r="CM163" i="37"/>
  <c r="CN163" i="37"/>
  <c r="CO163" i="37"/>
  <c r="CP163" i="37"/>
  <c r="CQ163" i="37"/>
  <c r="CR163" i="37"/>
  <c r="CS163" i="37"/>
  <c r="CT163" i="37"/>
  <c r="CU163" i="37"/>
  <c r="CJ164" i="37"/>
  <c r="CK164" i="37"/>
  <c r="CL164" i="37"/>
  <c r="CM164" i="37"/>
  <c r="CN164" i="37"/>
  <c r="CO164" i="37"/>
  <c r="CP164" i="37"/>
  <c r="CQ164" i="37"/>
  <c r="CR164" i="37"/>
  <c r="CS164" i="37"/>
  <c r="CT164" i="37"/>
  <c r="CU164" i="37"/>
  <c r="CJ165" i="37"/>
  <c r="CK165" i="37"/>
  <c r="CL165" i="37"/>
  <c r="CM165" i="37"/>
  <c r="CN165" i="37"/>
  <c r="CO165" i="37"/>
  <c r="CP165" i="37"/>
  <c r="CQ165" i="37"/>
  <c r="CR165" i="37"/>
  <c r="CS165" i="37"/>
  <c r="CT165" i="37"/>
  <c r="CU165" i="37"/>
  <c r="CJ166" i="37"/>
  <c r="CK166" i="37"/>
  <c r="CL166" i="37"/>
  <c r="CM166" i="37"/>
  <c r="CN166" i="37"/>
  <c r="CO166" i="37"/>
  <c r="CP166" i="37"/>
  <c r="CQ166" i="37"/>
  <c r="CR166" i="37"/>
  <c r="CS166" i="37"/>
  <c r="CT166" i="37"/>
  <c r="CU166" i="37"/>
  <c r="CJ167" i="37"/>
  <c r="CK167" i="37"/>
  <c r="CL167" i="37"/>
  <c r="CM167" i="37"/>
  <c r="CN167" i="37"/>
  <c r="CO167" i="37"/>
  <c r="CP167" i="37"/>
  <c r="CQ167" i="37"/>
  <c r="CR167" i="37"/>
  <c r="CS167" i="37"/>
  <c r="CT167" i="37"/>
  <c r="CU167" i="37"/>
  <c r="CJ168" i="37"/>
  <c r="CK168" i="37"/>
  <c r="CL168" i="37"/>
  <c r="CM168" i="37"/>
  <c r="CN168" i="37"/>
  <c r="CO168" i="37"/>
  <c r="CP168" i="37"/>
  <c r="CQ168" i="37"/>
  <c r="CR168" i="37"/>
  <c r="CS168" i="37"/>
  <c r="CT168" i="37"/>
  <c r="CU168" i="37"/>
  <c r="CJ169" i="37"/>
  <c r="CK169" i="37"/>
  <c r="CL169" i="37"/>
  <c r="CM169" i="37"/>
  <c r="CN169" i="37"/>
  <c r="CO169" i="37"/>
  <c r="CP169" i="37"/>
  <c r="CQ169" i="37"/>
  <c r="CR169" i="37"/>
  <c r="CS169" i="37"/>
  <c r="CT169" i="37"/>
  <c r="CU169" i="37"/>
  <c r="CJ170" i="37"/>
  <c r="CK170" i="37"/>
  <c r="CL170" i="37"/>
  <c r="CM170" i="37"/>
  <c r="CN170" i="37"/>
  <c r="CO170" i="37"/>
  <c r="CP170" i="37"/>
  <c r="CQ170" i="37"/>
  <c r="CR170" i="37"/>
  <c r="CS170" i="37"/>
  <c r="CT170" i="37"/>
  <c r="CU170" i="37"/>
  <c r="CJ171" i="37"/>
  <c r="CK171" i="37"/>
  <c r="CL171" i="37"/>
  <c r="CM171" i="37"/>
  <c r="CN171" i="37"/>
  <c r="CO171" i="37"/>
  <c r="CP171" i="37"/>
  <c r="CQ171" i="37"/>
  <c r="CR171" i="37"/>
  <c r="CS171" i="37"/>
  <c r="CT171" i="37"/>
  <c r="CU171" i="37"/>
  <c r="CJ172" i="37"/>
  <c r="CK172" i="37"/>
  <c r="CL172" i="37"/>
  <c r="CM172" i="37"/>
  <c r="CN172" i="37"/>
  <c r="CO172" i="37"/>
  <c r="CP172" i="37"/>
  <c r="CQ172" i="37"/>
  <c r="CR172" i="37"/>
  <c r="CS172" i="37"/>
  <c r="CT172" i="37"/>
  <c r="CU172" i="37"/>
  <c r="CJ173" i="37"/>
  <c r="CK173" i="37"/>
  <c r="CL173" i="37"/>
  <c r="CM173" i="37"/>
  <c r="CN173" i="37"/>
  <c r="CO173" i="37"/>
  <c r="CP173" i="37"/>
  <c r="CQ173" i="37"/>
  <c r="CR173" i="37"/>
  <c r="CS173" i="37"/>
  <c r="CT173" i="37"/>
  <c r="CU173" i="37"/>
  <c r="CJ174" i="37"/>
  <c r="CK174" i="37"/>
  <c r="CL174" i="37"/>
  <c r="CM174" i="37"/>
  <c r="CN174" i="37"/>
  <c r="CO174" i="37"/>
  <c r="CP174" i="37"/>
  <c r="CQ174" i="37"/>
  <c r="CR174" i="37"/>
  <c r="CS174" i="37"/>
  <c r="CT174" i="37"/>
  <c r="CU174" i="37"/>
  <c r="CJ175" i="37"/>
  <c r="CK175" i="37"/>
  <c r="CL175" i="37"/>
  <c r="CM175" i="37"/>
  <c r="CN175" i="37"/>
  <c r="CO175" i="37"/>
  <c r="CP175" i="37"/>
  <c r="CQ175" i="37"/>
  <c r="CR175" i="37"/>
  <c r="CS175" i="37"/>
  <c r="CT175" i="37"/>
  <c r="CU175" i="37"/>
  <c r="CJ176" i="37"/>
  <c r="CK176" i="37"/>
  <c r="CL176" i="37"/>
  <c r="CM176" i="37"/>
  <c r="CN176" i="37"/>
  <c r="CO176" i="37"/>
  <c r="CP176" i="37"/>
  <c r="CQ176" i="37"/>
  <c r="CR176" i="37"/>
  <c r="CS176" i="37"/>
  <c r="CT176" i="37"/>
  <c r="CU176" i="37"/>
  <c r="CJ177" i="37"/>
  <c r="CK177" i="37"/>
  <c r="CL177" i="37"/>
  <c r="CM177" i="37"/>
  <c r="CN177" i="37"/>
  <c r="CO177" i="37"/>
  <c r="CP177" i="37"/>
  <c r="CQ177" i="37"/>
  <c r="CR177" i="37"/>
  <c r="CS177" i="37"/>
  <c r="CT177" i="37"/>
  <c r="CU177" i="37"/>
  <c r="CJ178" i="37"/>
  <c r="CK178" i="37"/>
  <c r="CL178" i="37"/>
  <c r="CM178" i="37"/>
  <c r="CN178" i="37"/>
  <c r="CO178" i="37"/>
  <c r="CP178" i="37"/>
  <c r="CQ178" i="37"/>
  <c r="CR178" i="37"/>
  <c r="CS178" i="37"/>
  <c r="CT178" i="37"/>
  <c r="CU178" i="37"/>
  <c r="CJ179" i="37"/>
  <c r="CK179" i="37"/>
  <c r="CL179" i="37"/>
  <c r="CM179" i="37"/>
  <c r="CN179" i="37"/>
  <c r="CO179" i="37"/>
  <c r="CP179" i="37"/>
  <c r="CQ179" i="37"/>
  <c r="CR179" i="37"/>
  <c r="CS179" i="37"/>
  <c r="CT179" i="37"/>
  <c r="CU179" i="37"/>
  <c r="CJ180" i="37"/>
  <c r="CK180" i="37"/>
  <c r="CL180" i="37"/>
  <c r="CM180" i="37"/>
  <c r="CN180" i="37"/>
  <c r="CO180" i="37"/>
  <c r="CP180" i="37"/>
  <c r="CQ180" i="37"/>
  <c r="CR180" i="37"/>
  <c r="CS180" i="37"/>
  <c r="CT180" i="37"/>
  <c r="CU180" i="37"/>
  <c r="CJ181" i="37"/>
  <c r="CK181" i="37"/>
  <c r="CL181" i="37"/>
  <c r="CM181" i="37"/>
  <c r="CN181" i="37"/>
  <c r="CO181" i="37"/>
  <c r="CP181" i="37"/>
  <c r="CQ181" i="37"/>
  <c r="CR181" i="37"/>
  <c r="CS181" i="37"/>
  <c r="CT181" i="37"/>
  <c r="CU181" i="37"/>
  <c r="CJ182" i="37"/>
  <c r="CK182" i="37"/>
  <c r="CL182" i="37"/>
  <c r="CM182" i="37"/>
  <c r="CN182" i="37"/>
  <c r="CO182" i="37"/>
  <c r="CP182" i="37"/>
  <c r="CQ182" i="37"/>
  <c r="CR182" i="37"/>
  <c r="CS182" i="37"/>
  <c r="CT182" i="37"/>
  <c r="CU182" i="37"/>
  <c r="CJ183" i="37"/>
  <c r="CK183" i="37"/>
  <c r="CL183" i="37"/>
  <c r="CM183" i="37"/>
  <c r="CN183" i="37"/>
  <c r="CO183" i="37"/>
  <c r="CP183" i="37"/>
  <c r="CQ183" i="37"/>
  <c r="CR183" i="37"/>
  <c r="CS183" i="37"/>
  <c r="CT183" i="37"/>
  <c r="CU183" i="37"/>
  <c r="CJ184" i="37"/>
  <c r="CK184" i="37"/>
  <c r="CL184" i="37"/>
  <c r="CM184" i="37"/>
  <c r="CN184" i="37"/>
  <c r="CO184" i="37"/>
  <c r="CP184" i="37"/>
  <c r="CQ184" i="37"/>
  <c r="CR184" i="37"/>
  <c r="CS184" i="37"/>
  <c r="CT184" i="37"/>
  <c r="CU184" i="37"/>
  <c r="CJ185" i="37"/>
  <c r="CK185" i="37"/>
  <c r="CL185" i="37"/>
  <c r="CM185" i="37"/>
  <c r="CN185" i="37"/>
  <c r="CO185" i="37"/>
  <c r="CP185" i="37"/>
  <c r="CQ185" i="37"/>
  <c r="CR185" i="37"/>
  <c r="CS185" i="37"/>
  <c r="CT185" i="37"/>
  <c r="CU185" i="37"/>
  <c r="CJ186" i="37"/>
  <c r="CK186" i="37"/>
  <c r="CL186" i="37"/>
  <c r="CM186" i="37"/>
  <c r="CN186" i="37"/>
  <c r="CO186" i="37"/>
  <c r="CP186" i="37"/>
  <c r="CQ186" i="37"/>
  <c r="CR186" i="37"/>
  <c r="CS186" i="37"/>
  <c r="CT186" i="37"/>
  <c r="CU186" i="37"/>
  <c r="CJ187" i="37"/>
  <c r="CK187" i="37"/>
  <c r="CL187" i="37"/>
  <c r="CM187" i="37"/>
  <c r="CN187" i="37"/>
  <c r="CO187" i="37"/>
  <c r="CP187" i="37"/>
  <c r="CQ187" i="37"/>
  <c r="CR187" i="37"/>
  <c r="CS187" i="37"/>
  <c r="CT187" i="37"/>
  <c r="CU187" i="37"/>
  <c r="CJ188" i="37"/>
  <c r="CK188" i="37"/>
  <c r="CL188" i="37"/>
  <c r="CM188" i="37"/>
  <c r="CN188" i="37"/>
  <c r="CO188" i="37"/>
  <c r="CP188" i="37"/>
  <c r="CQ188" i="37"/>
  <c r="CR188" i="37"/>
  <c r="CS188" i="37"/>
  <c r="CT188" i="37"/>
  <c r="CU188" i="37"/>
  <c r="CJ189" i="37"/>
  <c r="CK189" i="37"/>
  <c r="CL189" i="37"/>
  <c r="CM189" i="37"/>
  <c r="CN189" i="37"/>
  <c r="CO189" i="37"/>
  <c r="CP189" i="37"/>
  <c r="CQ189" i="37"/>
  <c r="CR189" i="37"/>
  <c r="CS189" i="37"/>
  <c r="CT189" i="37"/>
  <c r="CU189" i="37"/>
  <c r="CJ190" i="37"/>
  <c r="CK190" i="37"/>
  <c r="CL190" i="37"/>
  <c r="CM190" i="37"/>
  <c r="CN190" i="37"/>
  <c r="CO190" i="37"/>
  <c r="CP190" i="37"/>
  <c r="CQ190" i="37"/>
  <c r="CR190" i="37"/>
  <c r="CS190" i="37"/>
  <c r="CT190" i="37"/>
  <c r="CU190" i="37"/>
  <c r="CJ191" i="37"/>
  <c r="CK191" i="37"/>
  <c r="CL191" i="37"/>
  <c r="CM191" i="37"/>
  <c r="CN191" i="37"/>
  <c r="CO191" i="37"/>
  <c r="CP191" i="37"/>
  <c r="CQ191" i="37"/>
  <c r="CR191" i="37"/>
  <c r="CS191" i="37"/>
  <c r="CT191" i="37"/>
  <c r="CU191" i="37"/>
  <c r="CJ192" i="37"/>
  <c r="CK192" i="37"/>
  <c r="CL192" i="37"/>
  <c r="CM192" i="37"/>
  <c r="CN192" i="37"/>
  <c r="CO192" i="37"/>
  <c r="CP192" i="37"/>
  <c r="CQ192" i="37"/>
  <c r="CR192" i="37"/>
  <c r="CS192" i="37"/>
  <c r="CT192" i="37"/>
  <c r="CU192" i="37"/>
  <c r="CJ193" i="37"/>
  <c r="CK193" i="37"/>
  <c r="CL193" i="37"/>
  <c r="CM193" i="37"/>
  <c r="CN193" i="37"/>
  <c r="CO193" i="37"/>
  <c r="CP193" i="37"/>
  <c r="CQ193" i="37"/>
  <c r="CR193" i="37"/>
  <c r="CS193" i="37"/>
  <c r="CT193" i="37"/>
  <c r="CU193" i="37"/>
  <c r="CJ194" i="37"/>
  <c r="CK194" i="37"/>
  <c r="CL194" i="37"/>
  <c r="CM194" i="37"/>
  <c r="CN194" i="37"/>
  <c r="CO194" i="37"/>
  <c r="CP194" i="37"/>
  <c r="CQ194" i="37"/>
  <c r="CR194" i="37"/>
  <c r="CS194" i="37"/>
  <c r="CT194" i="37"/>
  <c r="CU194" i="37"/>
  <c r="CJ195" i="37"/>
  <c r="CK195" i="37"/>
  <c r="CL195" i="37"/>
  <c r="CM195" i="37"/>
  <c r="CN195" i="37"/>
  <c r="CO195" i="37"/>
  <c r="CP195" i="37"/>
  <c r="CQ195" i="37"/>
  <c r="CR195" i="37"/>
  <c r="CS195" i="37"/>
  <c r="CT195" i="37"/>
  <c r="CU195" i="37"/>
  <c r="CJ196" i="37"/>
  <c r="CK196" i="37"/>
  <c r="CL196" i="37"/>
  <c r="CM196" i="37"/>
  <c r="CN196" i="37"/>
  <c r="CO196" i="37"/>
  <c r="CP196" i="37"/>
  <c r="CQ196" i="37"/>
  <c r="CR196" i="37"/>
  <c r="CS196" i="37"/>
  <c r="CT196" i="37"/>
  <c r="CU196" i="37"/>
  <c r="CJ197" i="37"/>
  <c r="CK197" i="37"/>
  <c r="CL197" i="37"/>
  <c r="CM197" i="37"/>
  <c r="CN197" i="37"/>
  <c r="CO197" i="37"/>
  <c r="CP197" i="37"/>
  <c r="CQ197" i="37"/>
  <c r="CR197" i="37"/>
  <c r="CS197" i="37"/>
  <c r="CT197" i="37"/>
  <c r="CU197" i="37"/>
  <c r="CJ198" i="37"/>
  <c r="CK198" i="37"/>
  <c r="CL198" i="37"/>
  <c r="CM198" i="37"/>
  <c r="CN198" i="37"/>
  <c r="CO198" i="37"/>
  <c r="CP198" i="37"/>
  <c r="CQ198" i="37"/>
  <c r="CR198" i="37"/>
  <c r="CS198" i="37"/>
  <c r="CT198" i="37"/>
  <c r="CU198" i="37"/>
  <c r="CJ199" i="37"/>
  <c r="CK199" i="37"/>
  <c r="CL199" i="37"/>
  <c r="CM199" i="37"/>
  <c r="CN199" i="37"/>
  <c r="CO199" i="37"/>
  <c r="CP199" i="37"/>
  <c r="CQ199" i="37"/>
  <c r="CR199" i="37"/>
  <c r="CS199" i="37"/>
  <c r="CT199" i="37"/>
  <c r="CU199" i="37"/>
  <c r="CJ200" i="37"/>
  <c r="CK200" i="37"/>
  <c r="CL200" i="37"/>
  <c r="CM200" i="37"/>
  <c r="CN200" i="37"/>
  <c r="CO200" i="37"/>
  <c r="CP200" i="37"/>
  <c r="CQ200" i="37"/>
  <c r="CR200" i="37"/>
  <c r="CS200" i="37"/>
  <c r="CT200" i="37"/>
  <c r="CU200" i="37"/>
  <c r="CJ201" i="37"/>
  <c r="CK201" i="37"/>
  <c r="CL201" i="37"/>
  <c r="CM201" i="37"/>
  <c r="CN201" i="37"/>
  <c r="CO201" i="37"/>
  <c r="CP201" i="37"/>
  <c r="CQ201" i="37"/>
  <c r="CR201" i="37"/>
  <c r="CS201" i="37"/>
  <c r="CT201" i="37"/>
  <c r="CU201" i="37"/>
  <c r="CJ202" i="37"/>
  <c r="CK202" i="37"/>
  <c r="CL202" i="37"/>
  <c r="CM202" i="37"/>
  <c r="CN202" i="37"/>
  <c r="CO202" i="37"/>
  <c r="CP202" i="37"/>
  <c r="CQ202" i="37"/>
  <c r="CR202" i="37"/>
  <c r="CS202" i="37"/>
  <c r="CT202" i="37"/>
  <c r="CU202" i="37"/>
  <c r="CJ203" i="37"/>
  <c r="CK203" i="37"/>
  <c r="CL203" i="37"/>
  <c r="CM203" i="37"/>
  <c r="CN203" i="37"/>
  <c r="CO203" i="37"/>
  <c r="CP203" i="37"/>
  <c r="CQ203" i="37"/>
  <c r="CR203" i="37"/>
  <c r="CS203" i="37"/>
  <c r="CT203" i="37"/>
  <c r="CU203" i="37"/>
  <c r="CJ204" i="37"/>
  <c r="CK204" i="37"/>
  <c r="CL204" i="37"/>
  <c r="CM204" i="37"/>
  <c r="CN204" i="37"/>
  <c r="CO204" i="37"/>
  <c r="CP204" i="37"/>
  <c r="CQ204" i="37"/>
  <c r="CR204" i="37"/>
  <c r="CS204" i="37"/>
  <c r="CT204" i="37"/>
  <c r="CU204" i="37"/>
  <c r="CJ205" i="37"/>
  <c r="CK205" i="37"/>
  <c r="CL205" i="37"/>
  <c r="CM205" i="37"/>
  <c r="CN205" i="37"/>
  <c r="CO205" i="37"/>
  <c r="CP205" i="37"/>
  <c r="CQ205" i="37"/>
  <c r="CR205" i="37"/>
  <c r="CS205" i="37"/>
  <c r="CT205" i="37"/>
  <c r="CU205" i="37"/>
  <c r="CJ206" i="37"/>
  <c r="CK206" i="37"/>
  <c r="CL206" i="37"/>
  <c r="CM206" i="37"/>
  <c r="CN206" i="37"/>
  <c r="CO206" i="37"/>
  <c r="CP206" i="37"/>
  <c r="CQ206" i="37"/>
  <c r="CR206" i="37"/>
  <c r="CS206" i="37"/>
  <c r="CT206" i="37"/>
  <c r="CU206" i="37"/>
  <c r="CJ207" i="37"/>
  <c r="CK207" i="37"/>
  <c r="CL207" i="37"/>
  <c r="CM207" i="37"/>
  <c r="CN207" i="37"/>
  <c r="CO207" i="37"/>
  <c r="CP207" i="37"/>
  <c r="CQ207" i="37"/>
  <c r="CR207" i="37"/>
  <c r="CS207" i="37"/>
  <c r="CT207" i="37"/>
  <c r="CU207" i="37"/>
  <c r="CJ208" i="37"/>
  <c r="CK208" i="37"/>
  <c r="CL208" i="37"/>
  <c r="CM208" i="37"/>
  <c r="CN208" i="37"/>
  <c r="CO208" i="37"/>
  <c r="CP208" i="37"/>
  <c r="CQ208" i="37"/>
  <c r="CR208" i="37"/>
  <c r="CS208" i="37"/>
  <c r="CT208" i="37"/>
  <c r="CU208" i="37"/>
  <c r="CJ209" i="37"/>
  <c r="CK209" i="37"/>
  <c r="CL209" i="37"/>
  <c r="CM209" i="37"/>
  <c r="CN209" i="37"/>
  <c r="CO209" i="37"/>
  <c r="CP209" i="37"/>
  <c r="CQ209" i="37"/>
  <c r="CR209" i="37"/>
  <c r="CS209" i="37"/>
  <c r="CT209" i="37"/>
  <c r="CU209" i="37"/>
  <c r="CJ210" i="37"/>
  <c r="CK210" i="37"/>
  <c r="CL210" i="37"/>
  <c r="CM210" i="37"/>
  <c r="CN210" i="37"/>
  <c r="CO210" i="37"/>
  <c r="CP210" i="37"/>
  <c r="CQ210" i="37"/>
  <c r="CR210" i="37"/>
  <c r="CS210" i="37"/>
  <c r="CT210" i="37"/>
  <c r="CU210" i="37"/>
  <c r="CJ211" i="37"/>
  <c r="CK211" i="37"/>
  <c r="CL211" i="37"/>
  <c r="CM211" i="37"/>
  <c r="CN211" i="37"/>
  <c r="CO211" i="37"/>
  <c r="CP211" i="37"/>
  <c r="CQ211" i="37"/>
  <c r="CR211" i="37"/>
  <c r="CS211" i="37"/>
  <c r="CT211" i="37"/>
  <c r="CU211" i="37"/>
  <c r="CJ212" i="37"/>
  <c r="CK212" i="37"/>
  <c r="CL212" i="37"/>
  <c r="CM212" i="37"/>
  <c r="CN212" i="37"/>
  <c r="CO212" i="37"/>
  <c r="CP212" i="37"/>
  <c r="CQ212" i="37"/>
  <c r="CR212" i="37"/>
  <c r="CS212" i="37"/>
  <c r="CT212" i="37"/>
  <c r="CU212" i="37"/>
  <c r="CJ213" i="37"/>
  <c r="CK213" i="37"/>
  <c r="CL213" i="37"/>
  <c r="CM213" i="37"/>
  <c r="CN213" i="37"/>
  <c r="CO213" i="37"/>
  <c r="CP213" i="37"/>
  <c r="CQ213" i="37"/>
  <c r="CR213" i="37"/>
  <c r="CS213" i="37"/>
  <c r="CT213" i="37"/>
  <c r="CU213" i="37"/>
  <c r="CJ214" i="37"/>
  <c r="CK214" i="37"/>
  <c r="CL214" i="37"/>
  <c r="CM214" i="37"/>
  <c r="CN214" i="37"/>
  <c r="CO214" i="37"/>
  <c r="CP214" i="37"/>
  <c r="CQ214" i="37"/>
  <c r="CR214" i="37"/>
  <c r="CS214" i="37"/>
  <c r="CT214" i="37"/>
  <c r="CU214" i="37"/>
  <c r="CJ215" i="37"/>
  <c r="CK215" i="37"/>
  <c r="CL215" i="37"/>
  <c r="CM215" i="37"/>
  <c r="CN215" i="37"/>
  <c r="CO215" i="37"/>
  <c r="CP215" i="37"/>
  <c r="CQ215" i="37"/>
  <c r="CR215" i="37"/>
  <c r="CS215" i="37"/>
  <c r="CT215" i="37"/>
  <c r="CU215" i="37"/>
  <c r="CJ216" i="37"/>
  <c r="CK216" i="37"/>
  <c r="CL216" i="37"/>
  <c r="CM216" i="37"/>
  <c r="CN216" i="37"/>
  <c r="CO216" i="37"/>
  <c r="CP216" i="37"/>
  <c r="CQ216" i="37"/>
  <c r="CR216" i="37"/>
  <c r="CS216" i="37"/>
  <c r="CT216" i="37"/>
  <c r="CU216" i="37"/>
  <c r="CJ217" i="37"/>
  <c r="CK217" i="37"/>
  <c r="CL217" i="37"/>
  <c r="CM217" i="37"/>
  <c r="CN217" i="37"/>
  <c r="CO217" i="37"/>
  <c r="CP217" i="37"/>
  <c r="CQ217" i="37"/>
  <c r="CR217" i="37"/>
  <c r="CS217" i="37"/>
  <c r="CT217" i="37"/>
  <c r="CU217" i="37"/>
  <c r="CJ218" i="37"/>
  <c r="CK218" i="37"/>
  <c r="CL218" i="37"/>
  <c r="CM218" i="37"/>
  <c r="CN218" i="37"/>
  <c r="CO218" i="37"/>
  <c r="CP218" i="37"/>
  <c r="CQ218" i="37"/>
  <c r="CR218" i="37"/>
  <c r="CS218" i="37"/>
  <c r="CT218" i="37"/>
  <c r="CU218" i="37"/>
  <c r="CJ219" i="37"/>
  <c r="CK219" i="37"/>
  <c r="CL219" i="37"/>
  <c r="CM219" i="37"/>
  <c r="CN219" i="37"/>
  <c r="CO219" i="37"/>
  <c r="CP219" i="37"/>
  <c r="CQ219" i="37"/>
  <c r="CR219" i="37"/>
  <c r="CS219" i="37"/>
  <c r="CT219" i="37"/>
  <c r="CU219" i="37"/>
  <c r="CJ220" i="37"/>
  <c r="CK220" i="37"/>
  <c r="CL220" i="37"/>
  <c r="CM220" i="37"/>
  <c r="CN220" i="37"/>
  <c r="CO220" i="37"/>
  <c r="CP220" i="37"/>
  <c r="CQ220" i="37"/>
  <c r="CR220" i="37"/>
  <c r="CS220" i="37"/>
  <c r="CT220" i="37"/>
  <c r="CU220" i="37"/>
  <c r="CJ221" i="37"/>
  <c r="CK221" i="37"/>
  <c r="CL221" i="37"/>
  <c r="CM221" i="37"/>
  <c r="CN221" i="37"/>
  <c r="CO221" i="37"/>
  <c r="CP221" i="37"/>
  <c r="CQ221" i="37"/>
  <c r="CR221" i="37"/>
  <c r="CS221" i="37"/>
  <c r="CT221" i="37"/>
  <c r="CU221" i="37"/>
  <c r="CJ222" i="37"/>
  <c r="CK222" i="37"/>
  <c r="CL222" i="37"/>
  <c r="CM222" i="37"/>
  <c r="CN222" i="37"/>
  <c r="CO222" i="37"/>
  <c r="CP222" i="37"/>
  <c r="CQ222" i="37"/>
  <c r="CR222" i="37"/>
  <c r="CS222" i="37"/>
  <c r="CT222" i="37"/>
  <c r="CU222" i="37"/>
  <c r="CJ223" i="37"/>
  <c r="CK223" i="37"/>
  <c r="CL223" i="37"/>
  <c r="CM223" i="37"/>
  <c r="CN223" i="37"/>
  <c r="CO223" i="37"/>
  <c r="CP223" i="37"/>
  <c r="CQ223" i="37"/>
  <c r="CR223" i="37"/>
  <c r="CS223" i="37"/>
  <c r="CT223" i="37"/>
  <c r="CU223" i="37"/>
  <c r="CJ224" i="37"/>
  <c r="CK224" i="37"/>
  <c r="CL224" i="37"/>
  <c r="CM224" i="37"/>
  <c r="CN224" i="37"/>
  <c r="CO224" i="37"/>
  <c r="CP224" i="37"/>
  <c r="CQ224" i="37"/>
  <c r="CR224" i="37"/>
  <c r="CS224" i="37"/>
  <c r="CT224" i="37"/>
  <c r="CU224" i="37"/>
  <c r="CJ225" i="37"/>
  <c r="CK225" i="37"/>
  <c r="CL225" i="37"/>
  <c r="CM225" i="37"/>
  <c r="CN225" i="37"/>
  <c r="CO225" i="37"/>
  <c r="CP225" i="37"/>
  <c r="CQ225" i="37"/>
  <c r="CR225" i="37"/>
  <c r="CS225" i="37"/>
  <c r="CT225" i="37"/>
  <c r="CU225" i="37"/>
  <c r="CJ226" i="37"/>
  <c r="CK226" i="37"/>
  <c r="CL226" i="37"/>
  <c r="CM226" i="37"/>
  <c r="CN226" i="37"/>
  <c r="CO226" i="37"/>
  <c r="CP226" i="37"/>
  <c r="CQ226" i="37"/>
  <c r="CR226" i="37"/>
  <c r="CS226" i="37"/>
  <c r="CT226" i="37"/>
  <c r="CU226" i="37"/>
  <c r="CJ227" i="37"/>
  <c r="CK227" i="37"/>
  <c r="CL227" i="37"/>
  <c r="CM227" i="37"/>
  <c r="CN227" i="37"/>
  <c r="CO227" i="37"/>
  <c r="CP227" i="37"/>
  <c r="CQ227" i="37"/>
  <c r="CR227" i="37"/>
  <c r="CS227" i="37"/>
  <c r="CT227" i="37"/>
  <c r="CU227" i="37"/>
  <c r="CJ228" i="37"/>
  <c r="CK228" i="37"/>
  <c r="CL228" i="37"/>
  <c r="CM228" i="37"/>
  <c r="CN228" i="37"/>
  <c r="CO228" i="37"/>
  <c r="CP228" i="37"/>
  <c r="CQ228" i="37"/>
  <c r="CR228" i="37"/>
  <c r="CS228" i="37"/>
  <c r="CT228" i="37"/>
  <c r="CU228" i="37"/>
  <c r="CJ229" i="37"/>
  <c r="CK229" i="37"/>
  <c r="CL229" i="37"/>
  <c r="CM229" i="37"/>
  <c r="CN229" i="37"/>
  <c r="CO229" i="37"/>
  <c r="CP229" i="37"/>
  <c r="CQ229" i="37"/>
  <c r="CR229" i="37"/>
  <c r="CS229" i="37"/>
  <c r="CT229" i="37"/>
  <c r="CU229" i="37"/>
  <c r="CJ230" i="37"/>
  <c r="CK230" i="37"/>
  <c r="CL230" i="37"/>
  <c r="CM230" i="37"/>
  <c r="CN230" i="37"/>
  <c r="CO230" i="37"/>
  <c r="CP230" i="37"/>
  <c r="CQ230" i="37"/>
  <c r="CR230" i="37"/>
  <c r="CS230" i="37"/>
  <c r="CT230" i="37"/>
  <c r="CU230" i="37"/>
  <c r="CJ231" i="37"/>
  <c r="CK231" i="37"/>
  <c r="CL231" i="37"/>
  <c r="CM231" i="37"/>
  <c r="CN231" i="37"/>
  <c r="CO231" i="37"/>
  <c r="CP231" i="37"/>
  <c r="CQ231" i="37"/>
  <c r="CR231" i="37"/>
  <c r="CS231" i="37"/>
  <c r="CT231" i="37"/>
  <c r="CU231" i="37"/>
  <c r="CJ232" i="37"/>
  <c r="CK232" i="37"/>
  <c r="CL232" i="37"/>
  <c r="CM232" i="37"/>
  <c r="CN232" i="37"/>
  <c r="CO232" i="37"/>
  <c r="CP232" i="37"/>
  <c r="CQ232" i="37"/>
  <c r="CR232" i="37"/>
  <c r="CS232" i="37"/>
  <c r="CT232" i="37"/>
  <c r="CU232" i="37"/>
  <c r="CJ233" i="37"/>
  <c r="CK233" i="37"/>
  <c r="CL233" i="37"/>
  <c r="CM233" i="37"/>
  <c r="CN233" i="37"/>
  <c r="CO233" i="37"/>
  <c r="CP233" i="37"/>
  <c r="CQ233" i="37"/>
  <c r="CR233" i="37"/>
  <c r="CS233" i="37"/>
  <c r="CT233" i="37"/>
  <c r="CU233" i="37"/>
  <c r="CJ234" i="37"/>
  <c r="CK234" i="37"/>
  <c r="CL234" i="37"/>
  <c r="CM234" i="37"/>
  <c r="CN234" i="37"/>
  <c r="CO234" i="37"/>
  <c r="CP234" i="37"/>
  <c r="CQ234" i="37"/>
  <c r="CR234" i="37"/>
  <c r="CS234" i="37"/>
  <c r="CT234" i="37"/>
  <c r="CU234" i="37"/>
  <c r="CJ235" i="37"/>
  <c r="CK235" i="37"/>
  <c r="CL235" i="37"/>
  <c r="CM235" i="37"/>
  <c r="CN235" i="37"/>
  <c r="CO235" i="37"/>
  <c r="CP235" i="37"/>
  <c r="CQ235" i="37"/>
  <c r="CR235" i="37"/>
  <c r="CS235" i="37"/>
  <c r="CT235" i="37"/>
  <c r="CU235" i="37"/>
  <c r="CJ236" i="37"/>
  <c r="CK236" i="37"/>
  <c r="CL236" i="37"/>
  <c r="CM236" i="37"/>
  <c r="CN236" i="37"/>
  <c r="CO236" i="37"/>
  <c r="CP236" i="37"/>
  <c r="CQ236" i="37"/>
  <c r="CR236" i="37"/>
  <c r="CS236" i="37"/>
  <c r="CT236" i="37"/>
  <c r="CU236" i="37"/>
  <c r="CJ237" i="37"/>
  <c r="CK237" i="37"/>
  <c r="CL237" i="37"/>
  <c r="CM237" i="37"/>
  <c r="CN237" i="37"/>
  <c r="CO237" i="37"/>
  <c r="CP237" i="37"/>
  <c r="CQ237" i="37"/>
  <c r="CR237" i="37"/>
  <c r="CS237" i="37"/>
  <c r="CT237" i="37"/>
  <c r="CU237" i="37"/>
  <c r="CJ238" i="37"/>
  <c r="CK238" i="37"/>
  <c r="CL238" i="37"/>
  <c r="CM238" i="37"/>
  <c r="CN238" i="37"/>
  <c r="CO238" i="37"/>
  <c r="CP238" i="37"/>
  <c r="CQ238" i="37"/>
  <c r="CR238" i="37"/>
  <c r="CS238" i="37"/>
  <c r="CT238" i="37"/>
  <c r="CU238" i="37"/>
  <c r="CJ239" i="37"/>
  <c r="CK239" i="37"/>
  <c r="CL239" i="37"/>
  <c r="CM239" i="37"/>
  <c r="CN239" i="37"/>
  <c r="CO239" i="37"/>
  <c r="CP239" i="37"/>
  <c r="CQ239" i="37"/>
  <c r="CR239" i="37"/>
  <c r="CS239" i="37"/>
  <c r="CT239" i="37"/>
  <c r="CU239" i="37"/>
  <c r="CJ240" i="37"/>
  <c r="CK240" i="37"/>
  <c r="CL240" i="37"/>
  <c r="CM240" i="37"/>
  <c r="CN240" i="37"/>
  <c r="CO240" i="37"/>
  <c r="CP240" i="37"/>
  <c r="CQ240" i="37"/>
  <c r="CR240" i="37"/>
  <c r="CS240" i="37"/>
  <c r="CT240" i="37"/>
  <c r="CU240" i="37"/>
  <c r="CJ241" i="37"/>
  <c r="CK241" i="37"/>
  <c r="CL241" i="37"/>
  <c r="CM241" i="37"/>
  <c r="CN241" i="37"/>
  <c r="CO241" i="37"/>
  <c r="CP241" i="37"/>
  <c r="CQ241" i="37"/>
  <c r="CR241" i="37"/>
  <c r="CS241" i="37"/>
  <c r="CT241" i="37"/>
  <c r="CU241" i="37"/>
  <c r="CJ242" i="37"/>
  <c r="CK242" i="37"/>
  <c r="CL242" i="37"/>
  <c r="CM242" i="37"/>
  <c r="CN242" i="37"/>
  <c r="CO242" i="37"/>
  <c r="CP242" i="37"/>
  <c r="CQ242" i="37"/>
  <c r="CR242" i="37"/>
  <c r="CS242" i="37"/>
  <c r="CT242" i="37"/>
  <c r="CU242" i="37"/>
  <c r="CJ243" i="37"/>
  <c r="CK243" i="37"/>
  <c r="CL243" i="37"/>
  <c r="CM243" i="37"/>
  <c r="CN243" i="37"/>
  <c r="CO243" i="37"/>
  <c r="CP243" i="37"/>
  <c r="CQ243" i="37"/>
  <c r="CR243" i="37"/>
  <c r="CS243" i="37"/>
  <c r="CT243" i="37"/>
  <c r="CU243" i="37"/>
  <c r="CJ244" i="37"/>
  <c r="CK244" i="37"/>
  <c r="CL244" i="37"/>
  <c r="CM244" i="37"/>
  <c r="CN244" i="37"/>
  <c r="CO244" i="37"/>
  <c r="CP244" i="37"/>
  <c r="CQ244" i="37"/>
  <c r="CR244" i="37"/>
  <c r="CS244" i="37"/>
  <c r="CT244" i="37"/>
  <c r="CU244" i="37"/>
  <c r="CJ245" i="37"/>
  <c r="CK245" i="37"/>
  <c r="CL245" i="37"/>
  <c r="CM245" i="37"/>
  <c r="CN245" i="37"/>
  <c r="CO245" i="37"/>
  <c r="CP245" i="37"/>
  <c r="CQ245" i="37"/>
  <c r="CR245" i="37"/>
  <c r="CS245" i="37"/>
  <c r="CT245" i="37"/>
  <c r="CU245" i="37"/>
  <c r="CJ246" i="37"/>
  <c r="CK246" i="37"/>
  <c r="CL246" i="37"/>
  <c r="CM246" i="37"/>
  <c r="CN246" i="37"/>
  <c r="CO246" i="37"/>
  <c r="CP246" i="37"/>
  <c r="CQ246" i="37"/>
  <c r="CR246" i="37"/>
  <c r="CS246" i="37"/>
  <c r="CT246" i="37"/>
  <c r="CU246" i="37"/>
  <c r="CJ247" i="37"/>
  <c r="CK247" i="37"/>
  <c r="CL247" i="37"/>
  <c r="CM247" i="37"/>
  <c r="CN247" i="37"/>
  <c r="CO247" i="37"/>
  <c r="CP247" i="37"/>
  <c r="CQ247" i="37"/>
  <c r="CR247" i="37"/>
  <c r="CS247" i="37"/>
  <c r="CT247" i="37"/>
  <c r="CU247" i="37"/>
  <c r="CJ248" i="37"/>
  <c r="CK248" i="37"/>
  <c r="CL248" i="37"/>
  <c r="CM248" i="37"/>
  <c r="CN248" i="37"/>
  <c r="CO248" i="37"/>
  <c r="CP248" i="37"/>
  <c r="CQ248" i="37"/>
  <c r="CR248" i="37"/>
  <c r="CS248" i="37"/>
  <c r="CT248" i="37"/>
  <c r="CU248" i="37"/>
  <c r="CJ249" i="37"/>
  <c r="CK249" i="37"/>
  <c r="CL249" i="37"/>
  <c r="CM249" i="37"/>
  <c r="CN249" i="37"/>
  <c r="CO249" i="37"/>
  <c r="CP249" i="37"/>
  <c r="CQ249" i="37"/>
  <c r="CR249" i="37"/>
  <c r="CS249" i="37"/>
  <c r="CT249" i="37"/>
  <c r="CU249" i="37"/>
  <c r="CJ250" i="37"/>
  <c r="CK250" i="37"/>
  <c r="CL250" i="37"/>
  <c r="CM250" i="37"/>
  <c r="CN250" i="37"/>
  <c r="CO250" i="37"/>
  <c r="CP250" i="37"/>
  <c r="CQ250" i="37"/>
  <c r="CR250" i="37"/>
  <c r="CS250" i="37"/>
  <c r="CT250" i="37"/>
  <c r="CU250" i="37"/>
  <c r="CJ251" i="37"/>
  <c r="CK251" i="37"/>
  <c r="CL251" i="37"/>
  <c r="CM251" i="37"/>
  <c r="CN251" i="37"/>
  <c r="CO251" i="37"/>
  <c r="CP251" i="37"/>
  <c r="CQ251" i="37"/>
  <c r="CR251" i="37"/>
  <c r="CS251" i="37"/>
  <c r="CT251" i="37"/>
  <c r="CU251" i="37"/>
  <c r="CJ252" i="37"/>
  <c r="CK252" i="37"/>
  <c r="CL252" i="37"/>
  <c r="CM252" i="37"/>
  <c r="CN252" i="37"/>
  <c r="CO252" i="37"/>
  <c r="CP252" i="37"/>
  <c r="CQ252" i="37"/>
  <c r="CR252" i="37"/>
  <c r="CS252" i="37"/>
  <c r="CT252" i="37"/>
  <c r="CU252" i="37"/>
  <c r="CJ253" i="37"/>
  <c r="CK253" i="37"/>
  <c r="CL253" i="37"/>
  <c r="CM253" i="37"/>
  <c r="CN253" i="37"/>
  <c r="CO253" i="37"/>
  <c r="CP253" i="37"/>
  <c r="CQ253" i="37"/>
  <c r="CR253" i="37"/>
  <c r="CS253" i="37"/>
  <c r="CT253" i="37"/>
  <c r="CU253" i="37"/>
  <c r="CJ254" i="37"/>
  <c r="CK254" i="37"/>
  <c r="CL254" i="37"/>
  <c r="CM254" i="37"/>
  <c r="CN254" i="37"/>
  <c r="CO254" i="37"/>
  <c r="CP254" i="37"/>
  <c r="CQ254" i="37"/>
  <c r="CR254" i="37"/>
  <c r="CS254" i="37"/>
  <c r="CT254" i="37"/>
  <c r="CU254" i="37"/>
  <c r="CJ255" i="37"/>
  <c r="CK255" i="37"/>
  <c r="CL255" i="37"/>
  <c r="CM255" i="37"/>
  <c r="CN255" i="37"/>
  <c r="CO255" i="37"/>
  <c r="CP255" i="37"/>
  <c r="CQ255" i="37"/>
  <c r="CR255" i="37"/>
  <c r="CS255" i="37"/>
  <c r="CT255" i="37"/>
  <c r="CU255" i="37"/>
  <c r="CJ256" i="37"/>
  <c r="CK256" i="37"/>
  <c r="CL256" i="37"/>
  <c r="CM256" i="37"/>
  <c r="CN256" i="37"/>
  <c r="CO256" i="37"/>
  <c r="CP256" i="37"/>
  <c r="CQ256" i="37"/>
  <c r="CR256" i="37"/>
  <c r="CS256" i="37"/>
  <c r="CT256" i="37"/>
  <c r="CU256" i="37"/>
  <c r="CJ257" i="37"/>
  <c r="CK257" i="37"/>
  <c r="CL257" i="37"/>
  <c r="CM257" i="37"/>
  <c r="CN257" i="37"/>
  <c r="CO257" i="37"/>
  <c r="CP257" i="37"/>
  <c r="CQ257" i="37"/>
  <c r="CR257" i="37"/>
  <c r="CS257" i="37"/>
  <c r="CT257" i="37"/>
  <c r="CU257" i="37"/>
  <c r="CJ258" i="37"/>
  <c r="CK258" i="37"/>
  <c r="CL258" i="37"/>
  <c r="CM258" i="37"/>
  <c r="CN258" i="37"/>
  <c r="CO258" i="37"/>
  <c r="CP258" i="37"/>
  <c r="CQ258" i="37"/>
  <c r="CR258" i="37"/>
  <c r="CS258" i="37"/>
  <c r="CT258" i="37"/>
  <c r="CU258" i="37"/>
  <c r="CJ259" i="37"/>
  <c r="CK259" i="37"/>
  <c r="CL259" i="37"/>
  <c r="CM259" i="37"/>
  <c r="CN259" i="37"/>
  <c r="CO259" i="37"/>
  <c r="CP259" i="37"/>
  <c r="CQ259" i="37"/>
  <c r="CR259" i="37"/>
  <c r="CS259" i="37"/>
  <c r="CT259" i="37"/>
  <c r="CU259" i="37"/>
  <c r="CJ260" i="37"/>
  <c r="CK260" i="37"/>
  <c r="CL260" i="37"/>
  <c r="CM260" i="37"/>
  <c r="CN260" i="37"/>
  <c r="CO260" i="37"/>
  <c r="CP260" i="37"/>
  <c r="CQ260" i="37"/>
  <c r="CR260" i="37"/>
  <c r="CS260" i="37"/>
  <c r="CT260" i="37"/>
  <c r="CU260" i="37"/>
  <c r="CJ261" i="37"/>
  <c r="CK261" i="37"/>
  <c r="CL261" i="37"/>
  <c r="CM261" i="37"/>
  <c r="CN261" i="37"/>
  <c r="CO261" i="37"/>
  <c r="CP261" i="37"/>
  <c r="CQ261" i="37"/>
  <c r="CR261" i="37"/>
  <c r="CS261" i="37"/>
  <c r="CT261" i="37"/>
  <c r="CU261" i="37"/>
  <c r="CJ262" i="37"/>
  <c r="CK262" i="37"/>
  <c r="CL262" i="37"/>
  <c r="CM262" i="37"/>
  <c r="CN262" i="37"/>
  <c r="CO262" i="37"/>
  <c r="CP262" i="37"/>
  <c r="CQ262" i="37"/>
  <c r="CR262" i="37"/>
  <c r="CS262" i="37"/>
  <c r="CT262" i="37"/>
  <c r="CU262" i="37"/>
  <c r="CJ263" i="37"/>
  <c r="CK263" i="37"/>
  <c r="CL263" i="37"/>
  <c r="CM263" i="37"/>
  <c r="CN263" i="37"/>
  <c r="CO263" i="37"/>
  <c r="CP263" i="37"/>
  <c r="CQ263" i="37"/>
  <c r="CR263" i="37"/>
  <c r="CS263" i="37"/>
  <c r="CT263" i="37"/>
  <c r="CU263" i="37"/>
  <c r="CJ264" i="37"/>
  <c r="CK264" i="37"/>
  <c r="CL264" i="37"/>
  <c r="CM264" i="37"/>
  <c r="CN264" i="37"/>
  <c r="CO264" i="37"/>
  <c r="CP264" i="37"/>
  <c r="CQ264" i="37"/>
  <c r="CR264" i="37"/>
  <c r="CS264" i="37"/>
  <c r="CT264" i="37"/>
  <c r="CU264" i="37"/>
  <c r="CJ265" i="37"/>
  <c r="CK265" i="37"/>
  <c r="CL265" i="37"/>
  <c r="CM265" i="37"/>
  <c r="CN265" i="37"/>
  <c r="CO265" i="37"/>
  <c r="CP265" i="37"/>
  <c r="CQ265" i="37"/>
  <c r="CR265" i="37"/>
  <c r="CS265" i="37"/>
  <c r="CT265" i="37"/>
  <c r="CU265" i="37"/>
  <c r="CJ266" i="37"/>
  <c r="CK266" i="37"/>
  <c r="CL266" i="37"/>
  <c r="CM266" i="37"/>
  <c r="CN266" i="37"/>
  <c r="CO266" i="37"/>
  <c r="CP266" i="37"/>
  <c r="CQ266" i="37"/>
  <c r="CR266" i="37"/>
  <c r="CS266" i="37"/>
  <c r="CT266" i="37"/>
  <c r="CU266" i="37"/>
  <c r="CJ267" i="37"/>
  <c r="CK267" i="37"/>
  <c r="CL267" i="37"/>
  <c r="CM267" i="37"/>
  <c r="CN267" i="37"/>
  <c r="CO267" i="37"/>
  <c r="CP267" i="37"/>
  <c r="CQ267" i="37"/>
  <c r="CR267" i="37"/>
  <c r="CS267" i="37"/>
  <c r="CT267" i="37"/>
  <c r="CU267" i="37"/>
  <c r="CJ268" i="37"/>
  <c r="CK268" i="37"/>
  <c r="CL268" i="37"/>
  <c r="CM268" i="37"/>
  <c r="CN268" i="37"/>
  <c r="CO268" i="37"/>
  <c r="CP268" i="37"/>
  <c r="CQ268" i="37"/>
  <c r="CR268" i="37"/>
  <c r="CS268" i="37"/>
  <c r="CT268" i="37"/>
  <c r="CU268" i="37"/>
  <c r="CJ269" i="37"/>
  <c r="CK269" i="37"/>
  <c r="CL269" i="37"/>
  <c r="CM269" i="37"/>
  <c r="CN269" i="37"/>
  <c r="CO269" i="37"/>
  <c r="CP269" i="37"/>
  <c r="CQ269" i="37"/>
  <c r="CR269" i="37"/>
  <c r="CS269" i="37"/>
  <c r="CT269" i="37"/>
  <c r="CU269" i="37"/>
  <c r="CJ270" i="37"/>
  <c r="CK270" i="37"/>
  <c r="CL270" i="37"/>
  <c r="CM270" i="37"/>
  <c r="CN270" i="37"/>
  <c r="CO270" i="37"/>
  <c r="CP270" i="37"/>
  <c r="CQ270" i="37"/>
  <c r="CR270" i="37"/>
  <c r="CS270" i="37"/>
  <c r="CT270" i="37"/>
  <c r="CU270" i="37"/>
  <c r="CJ271" i="37"/>
  <c r="CK271" i="37"/>
  <c r="CL271" i="37"/>
  <c r="CM271" i="37"/>
  <c r="CN271" i="37"/>
  <c r="CO271" i="37"/>
  <c r="CP271" i="37"/>
  <c r="CQ271" i="37"/>
  <c r="CR271" i="37"/>
  <c r="CS271" i="37"/>
  <c r="CT271" i="37"/>
  <c r="CU271" i="37"/>
  <c r="CJ272" i="37"/>
  <c r="CK272" i="37"/>
  <c r="CL272" i="37"/>
  <c r="CM272" i="37"/>
  <c r="CN272" i="37"/>
  <c r="CO272" i="37"/>
  <c r="CP272" i="37"/>
  <c r="CQ272" i="37"/>
  <c r="CR272" i="37"/>
  <c r="CS272" i="37"/>
  <c r="CT272" i="37"/>
  <c r="CU272" i="37"/>
  <c r="CJ273" i="37"/>
  <c r="CK273" i="37"/>
  <c r="CL273" i="37"/>
  <c r="CM273" i="37"/>
  <c r="CN273" i="37"/>
  <c r="CO273" i="37"/>
  <c r="CP273" i="37"/>
  <c r="CQ273" i="37"/>
  <c r="CR273" i="37"/>
  <c r="CS273" i="37"/>
  <c r="CT273" i="37"/>
  <c r="CU273" i="37"/>
  <c r="CJ274" i="37"/>
  <c r="CK274" i="37"/>
  <c r="CL274" i="37"/>
  <c r="CM274" i="37"/>
  <c r="CN274" i="37"/>
  <c r="CO274" i="37"/>
  <c r="CP274" i="37"/>
  <c r="CQ274" i="37"/>
  <c r="CR274" i="37"/>
  <c r="CS274" i="37"/>
  <c r="CT274" i="37"/>
  <c r="CU274" i="37"/>
  <c r="CJ275" i="37"/>
  <c r="CK275" i="37"/>
  <c r="CL275" i="37"/>
  <c r="CM275" i="37"/>
  <c r="CN275" i="37"/>
  <c r="CO275" i="37"/>
  <c r="CP275" i="37"/>
  <c r="CQ275" i="37"/>
  <c r="CR275" i="37"/>
  <c r="CS275" i="37"/>
  <c r="CT275" i="37"/>
  <c r="CU275" i="37"/>
  <c r="CJ276" i="37"/>
  <c r="CK276" i="37"/>
  <c r="CL276" i="37"/>
  <c r="CM276" i="37"/>
  <c r="CN276" i="37"/>
  <c r="CO276" i="37"/>
  <c r="CP276" i="37"/>
  <c r="CQ276" i="37"/>
  <c r="CR276" i="37"/>
  <c r="CS276" i="37"/>
  <c r="CT276" i="37"/>
  <c r="CU276" i="37"/>
  <c r="CJ277" i="37"/>
  <c r="CK277" i="37"/>
  <c r="CL277" i="37"/>
  <c r="CM277" i="37"/>
  <c r="CN277" i="37"/>
  <c r="CO277" i="37"/>
  <c r="CP277" i="37"/>
  <c r="CQ277" i="37"/>
  <c r="CR277" i="37"/>
  <c r="CS277" i="37"/>
  <c r="CT277" i="37"/>
  <c r="CU277" i="37"/>
  <c r="CJ278" i="37"/>
  <c r="CK278" i="37"/>
  <c r="CL278" i="37"/>
  <c r="CM278" i="37"/>
  <c r="CN278" i="37"/>
  <c r="CO278" i="37"/>
  <c r="CP278" i="37"/>
  <c r="CQ278" i="37"/>
  <c r="CR278" i="37"/>
  <c r="CS278" i="37"/>
  <c r="CT278" i="37"/>
  <c r="CU278" i="37"/>
  <c r="CJ279" i="37"/>
  <c r="CK279" i="37"/>
  <c r="CL279" i="37"/>
  <c r="CM279" i="37"/>
  <c r="CN279" i="37"/>
  <c r="CO279" i="37"/>
  <c r="CP279" i="37"/>
  <c r="CQ279" i="37"/>
  <c r="CR279" i="37"/>
  <c r="CS279" i="37"/>
  <c r="CT279" i="37"/>
  <c r="CU279" i="37"/>
  <c r="CJ280" i="37"/>
  <c r="CK280" i="37"/>
  <c r="CL280" i="37"/>
  <c r="CM280" i="37"/>
  <c r="CN280" i="37"/>
  <c r="CO280" i="37"/>
  <c r="CP280" i="37"/>
  <c r="CQ280" i="37"/>
  <c r="CR280" i="37"/>
  <c r="CS280" i="37"/>
  <c r="CT280" i="37"/>
  <c r="CU280" i="37"/>
  <c r="CJ281" i="37"/>
  <c r="CK281" i="37"/>
  <c r="CL281" i="37"/>
  <c r="CM281" i="37"/>
  <c r="CN281" i="37"/>
  <c r="CO281" i="37"/>
  <c r="CP281" i="37"/>
  <c r="CQ281" i="37"/>
  <c r="CR281" i="37"/>
  <c r="CS281" i="37"/>
  <c r="CT281" i="37"/>
  <c r="CU281" i="37"/>
  <c r="CJ282" i="37"/>
  <c r="CK282" i="37"/>
  <c r="CL282" i="37"/>
  <c r="CM282" i="37"/>
  <c r="CN282" i="37"/>
  <c r="CO282" i="37"/>
  <c r="CP282" i="37"/>
  <c r="CQ282" i="37"/>
  <c r="CR282" i="37"/>
  <c r="CS282" i="37"/>
  <c r="CT282" i="37"/>
  <c r="CU282" i="37"/>
  <c r="CJ283" i="37"/>
  <c r="CK283" i="37"/>
  <c r="CL283" i="37"/>
  <c r="CM283" i="37"/>
  <c r="CN283" i="37"/>
  <c r="CO283" i="37"/>
  <c r="CP283" i="37"/>
  <c r="CQ283" i="37"/>
  <c r="CR283" i="37"/>
  <c r="CS283" i="37"/>
  <c r="CT283" i="37"/>
  <c r="CU283" i="37"/>
  <c r="CJ284" i="37"/>
  <c r="CK284" i="37"/>
  <c r="CL284" i="37"/>
  <c r="CM284" i="37"/>
  <c r="CN284" i="37"/>
  <c r="CO284" i="37"/>
  <c r="CP284" i="37"/>
  <c r="CQ284" i="37"/>
  <c r="CR284" i="37"/>
  <c r="CS284" i="37"/>
  <c r="CT284" i="37"/>
  <c r="CU284" i="37"/>
  <c r="CJ285" i="37"/>
  <c r="CK285" i="37"/>
  <c r="CL285" i="37"/>
  <c r="CM285" i="37"/>
  <c r="CN285" i="37"/>
  <c r="CO285" i="37"/>
  <c r="CP285" i="37"/>
  <c r="CQ285" i="37"/>
  <c r="CR285" i="37"/>
  <c r="CS285" i="37"/>
  <c r="CT285" i="37"/>
  <c r="CU285" i="37"/>
  <c r="CJ286" i="37"/>
  <c r="CK286" i="37"/>
  <c r="CL286" i="37"/>
  <c r="CM286" i="37"/>
  <c r="CN286" i="37"/>
  <c r="CO286" i="37"/>
  <c r="CP286" i="37"/>
  <c r="CQ286" i="37"/>
  <c r="CR286" i="37"/>
  <c r="CS286" i="37"/>
  <c r="CT286" i="37"/>
  <c r="CU286" i="37"/>
  <c r="CJ287" i="37"/>
  <c r="CK287" i="37"/>
  <c r="CL287" i="37"/>
  <c r="CM287" i="37"/>
  <c r="CN287" i="37"/>
  <c r="CO287" i="37"/>
  <c r="CP287" i="37"/>
  <c r="CQ287" i="37"/>
  <c r="CR287" i="37"/>
  <c r="CS287" i="37"/>
  <c r="CT287" i="37"/>
  <c r="CU287" i="37"/>
  <c r="CJ288" i="37"/>
  <c r="CK288" i="37"/>
  <c r="CL288" i="37"/>
  <c r="CM288" i="37"/>
  <c r="CN288" i="37"/>
  <c r="CO288" i="37"/>
  <c r="CP288" i="37"/>
  <c r="CQ288" i="37"/>
  <c r="CR288" i="37"/>
  <c r="CS288" i="37"/>
  <c r="CT288" i="37"/>
  <c r="CU288" i="37"/>
  <c r="CJ289" i="37"/>
  <c r="CK289" i="37"/>
  <c r="CL289" i="37"/>
  <c r="CM289" i="37"/>
  <c r="CN289" i="37"/>
  <c r="CO289" i="37"/>
  <c r="CP289" i="37"/>
  <c r="CQ289" i="37"/>
  <c r="CR289" i="37"/>
  <c r="CS289" i="37"/>
  <c r="CT289" i="37"/>
  <c r="CU289" i="37"/>
  <c r="CJ290" i="37"/>
  <c r="CK290" i="37"/>
  <c r="CL290" i="37"/>
  <c r="CM290" i="37"/>
  <c r="CN290" i="37"/>
  <c r="CO290" i="37"/>
  <c r="CP290" i="37"/>
  <c r="CQ290" i="37"/>
  <c r="CR290" i="37"/>
  <c r="CS290" i="37"/>
  <c r="CT290" i="37"/>
  <c r="CU290" i="37"/>
  <c r="CJ291" i="37"/>
  <c r="CK291" i="37"/>
  <c r="CL291" i="37"/>
  <c r="CM291" i="37"/>
  <c r="CN291" i="37"/>
  <c r="CO291" i="37"/>
  <c r="CP291" i="37"/>
  <c r="CQ291" i="37"/>
  <c r="CR291" i="37"/>
  <c r="CS291" i="37"/>
  <c r="CT291" i="37"/>
  <c r="CU291" i="37"/>
  <c r="CJ292" i="37"/>
  <c r="CK292" i="37"/>
  <c r="CL292" i="37"/>
  <c r="CM292" i="37"/>
  <c r="CN292" i="37"/>
  <c r="CO292" i="37"/>
  <c r="CP292" i="37"/>
  <c r="CQ292" i="37"/>
  <c r="CR292" i="37"/>
  <c r="CS292" i="37"/>
  <c r="CT292" i="37"/>
  <c r="CU292" i="37"/>
  <c r="CJ293" i="37"/>
  <c r="CK293" i="37"/>
  <c r="CL293" i="37"/>
  <c r="CM293" i="37"/>
  <c r="CN293" i="37"/>
  <c r="CO293" i="37"/>
  <c r="CP293" i="37"/>
  <c r="CQ293" i="37"/>
  <c r="CR293" i="37"/>
  <c r="CS293" i="37"/>
  <c r="CT293" i="37"/>
  <c r="CU293" i="37"/>
  <c r="CJ294" i="37"/>
  <c r="CK294" i="37"/>
  <c r="CL294" i="37"/>
  <c r="CM294" i="37"/>
  <c r="CN294" i="37"/>
  <c r="CO294" i="37"/>
  <c r="CP294" i="37"/>
  <c r="CQ294" i="37"/>
  <c r="CR294" i="37"/>
  <c r="CS294" i="37"/>
  <c r="CT294" i="37"/>
  <c r="CU294" i="37"/>
  <c r="CJ295" i="37"/>
  <c r="CK295" i="37"/>
  <c r="CL295" i="37"/>
  <c r="CM295" i="37"/>
  <c r="CN295" i="37"/>
  <c r="CO295" i="37"/>
  <c r="CP295" i="37"/>
  <c r="CQ295" i="37"/>
  <c r="CR295" i="37"/>
  <c r="CS295" i="37"/>
  <c r="CT295" i="37"/>
  <c r="CU295" i="37"/>
  <c r="CJ296" i="37"/>
  <c r="CK296" i="37"/>
  <c r="CL296" i="37"/>
  <c r="CM296" i="37"/>
  <c r="CN296" i="37"/>
  <c r="CO296" i="37"/>
  <c r="CP296" i="37"/>
  <c r="CQ296" i="37"/>
  <c r="CR296" i="37"/>
  <c r="CS296" i="37"/>
  <c r="CT296" i="37"/>
  <c r="CU296" i="37"/>
  <c r="CJ297" i="37"/>
  <c r="CK297" i="37"/>
  <c r="CL297" i="37"/>
  <c r="CM297" i="37"/>
  <c r="CN297" i="37"/>
  <c r="CO297" i="37"/>
  <c r="CP297" i="37"/>
  <c r="CQ297" i="37"/>
  <c r="CR297" i="37"/>
  <c r="CS297" i="37"/>
  <c r="CT297" i="37"/>
  <c r="CU297" i="37"/>
  <c r="CJ298" i="37"/>
  <c r="CK298" i="37"/>
  <c r="CL298" i="37"/>
  <c r="CM298" i="37"/>
  <c r="CN298" i="37"/>
  <c r="CO298" i="37"/>
  <c r="CP298" i="37"/>
  <c r="CQ298" i="37"/>
  <c r="CR298" i="37"/>
  <c r="CS298" i="37"/>
  <c r="CT298" i="37"/>
  <c r="CU298" i="37"/>
  <c r="CJ299" i="37"/>
  <c r="CK299" i="37"/>
  <c r="CL299" i="37"/>
  <c r="CM299" i="37"/>
  <c r="CN299" i="37"/>
  <c r="CO299" i="37"/>
  <c r="CP299" i="37"/>
  <c r="CQ299" i="37"/>
  <c r="CR299" i="37"/>
  <c r="CS299" i="37"/>
  <c r="CT299" i="37"/>
  <c r="CU299" i="37"/>
  <c r="CJ300" i="37"/>
  <c r="CK300" i="37"/>
  <c r="CL300" i="37"/>
  <c r="CM300" i="37"/>
  <c r="CN300" i="37"/>
  <c r="CO300" i="37"/>
  <c r="CP300" i="37"/>
  <c r="CQ300" i="37"/>
  <c r="CR300" i="37"/>
  <c r="CS300" i="37"/>
  <c r="CT300" i="37"/>
  <c r="CU300" i="37"/>
  <c r="CJ301" i="37"/>
  <c r="CK301" i="37"/>
  <c r="CL301" i="37"/>
  <c r="CM301" i="37"/>
  <c r="CN301" i="37"/>
  <c r="CO301" i="37"/>
  <c r="CP301" i="37"/>
  <c r="CQ301" i="37"/>
  <c r="CR301" i="37"/>
  <c r="CS301" i="37"/>
  <c r="CT301" i="37"/>
  <c r="CU301" i="37"/>
  <c r="CJ302" i="37"/>
  <c r="CK302" i="37"/>
  <c r="CL302" i="37"/>
  <c r="CM302" i="37"/>
  <c r="CN302" i="37"/>
  <c r="CO302" i="37"/>
  <c r="CP302" i="37"/>
  <c r="CQ302" i="37"/>
  <c r="CR302" i="37"/>
  <c r="CS302" i="37"/>
  <c r="CT302" i="37"/>
  <c r="CU302" i="37"/>
  <c r="CJ303" i="37"/>
  <c r="CK303" i="37"/>
  <c r="CL303" i="37"/>
  <c r="CM303" i="37"/>
  <c r="CN303" i="37"/>
  <c r="CO303" i="37"/>
  <c r="CP303" i="37"/>
  <c r="CQ303" i="37"/>
  <c r="CR303" i="37"/>
  <c r="CS303" i="37"/>
  <c r="CT303" i="37"/>
  <c r="CU303" i="37"/>
  <c r="CJ304" i="37"/>
  <c r="CK304" i="37"/>
  <c r="CL304" i="37"/>
  <c r="CM304" i="37"/>
  <c r="CN304" i="37"/>
  <c r="CO304" i="37"/>
  <c r="CP304" i="37"/>
  <c r="CQ304" i="37"/>
  <c r="CR304" i="37"/>
  <c r="CS304" i="37"/>
  <c r="CT304" i="37"/>
  <c r="CU304" i="37"/>
  <c r="CJ305" i="37"/>
  <c r="CK305" i="37"/>
  <c r="CL305" i="37"/>
  <c r="CM305" i="37"/>
  <c r="CN305" i="37"/>
  <c r="CO305" i="37"/>
  <c r="CP305" i="37"/>
  <c r="CQ305" i="37"/>
  <c r="CR305" i="37"/>
  <c r="CS305" i="37"/>
  <c r="CT305" i="37"/>
  <c r="CU305" i="37"/>
  <c r="CJ306" i="37"/>
  <c r="CK306" i="37"/>
  <c r="CL306" i="37"/>
  <c r="CM306" i="37"/>
  <c r="CN306" i="37"/>
  <c r="CO306" i="37"/>
  <c r="CP306" i="37"/>
  <c r="CQ306" i="37"/>
  <c r="CR306" i="37"/>
  <c r="CS306" i="37"/>
  <c r="CT306" i="37"/>
  <c r="CU306" i="37"/>
  <c r="CJ307" i="37"/>
  <c r="CK307" i="37"/>
  <c r="CL307" i="37"/>
  <c r="CM307" i="37"/>
  <c r="CN307" i="37"/>
  <c r="CO307" i="37"/>
  <c r="CP307" i="37"/>
  <c r="CQ307" i="37"/>
  <c r="CR307" i="37"/>
  <c r="CS307" i="37"/>
  <c r="CT307" i="37"/>
  <c r="CU307" i="37"/>
  <c r="CJ308" i="37"/>
  <c r="CK308" i="37"/>
  <c r="CL308" i="37"/>
  <c r="CM308" i="37"/>
  <c r="CN308" i="37"/>
  <c r="CO308" i="37"/>
  <c r="CP308" i="37"/>
  <c r="CQ308" i="37"/>
  <c r="CR308" i="37"/>
  <c r="CS308" i="37"/>
  <c r="CT308" i="37"/>
  <c r="CU308" i="37"/>
  <c r="CJ309" i="37"/>
  <c r="CK309" i="37"/>
  <c r="CL309" i="37"/>
  <c r="CM309" i="37"/>
  <c r="CN309" i="37"/>
  <c r="CO309" i="37"/>
  <c r="CP309" i="37"/>
  <c r="CQ309" i="37"/>
  <c r="CR309" i="37"/>
  <c r="CS309" i="37"/>
  <c r="CT309" i="37"/>
  <c r="CU309" i="37"/>
  <c r="CJ310" i="37"/>
  <c r="CK310" i="37"/>
  <c r="CL310" i="37"/>
  <c r="CM310" i="37"/>
  <c r="CN310" i="37"/>
  <c r="CO310" i="37"/>
  <c r="CP310" i="37"/>
  <c r="CQ310" i="37"/>
  <c r="CR310" i="37"/>
  <c r="CS310" i="37"/>
  <c r="CT310" i="37"/>
  <c r="CU310" i="37"/>
  <c r="CJ311" i="37"/>
  <c r="CK311" i="37"/>
  <c r="CL311" i="37"/>
  <c r="CM311" i="37"/>
  <c r="CN311" i="37"/>
  <c r="CO311" i="37"/>
  <c r="CP311" i="37"/>
  <c r="CQ311" i="37"/>
  <c r="CR311" i="37"/>
  <c r="CS311" i="37"/>
  <c r="CT311" i="37"/>
  <c r="CU311" i="37"/>
  <c r="CJ312" i="37"/>
  <c r="CK312" i="37"/>
  <c r="CL312" i="37"/>
  <c r="CM312" i="37"/>
  <c r="CN312" i="37"/>
  <c r="CO312" i="37"/>
  <c r="CP312" i="37"/>
  <c r="CQ312" i="37"/>
  <c r="CR312" i="37"/>
  <c r="CS312" i="37"/>
  <c r="CT312" i="37"/>
  <c r="CU312" i="37"/>
  <c r="CJ313" i="37"/>
  <c r="CK313" i="37"/>
  <c r="CL313" i="37"/>
  <c r="CM313" i="37"/>
  <c r="CN313" i="37"/>
  <c r="CO313" i="37"/>
  <c r="CP313" i="37"/>
  <c r="CQ313" i="37"/>
  <c r="CR313" i="37"/>
  <c r="CS313" i="37"/>
  <c r="CT313" i="37"/>
  <c r="CU313" i="37"/>
  <c r="CJ314" i="37"/>
  <c r="CK314" i="37"/>
  <c r="CL314" i="37"/>
  <c r="CM314" i="37"/>
  <c r="CN314" i="37"/>
  <c r="CO314" i="37"/>
  <c r="CP314" i="37"/>
  <c r="CQ314" i="37"/>
  <c r="CR314" i="37"/>
  <c r="CS314" i="37"/>
  <c r="CT314" i="37"/>
  <c r="CU314" i="37"/>
  <c r="CJ315" i="37"/>
  <c r="CK315" i="37"/>
  <c r="CL315" i="37"/>
  <c r="CM315" i="37"/>
  <c r="CN315" i="37"/>
  <c r="CO315" i="37"/>
  <c r="CP315" i="37"/>
  <c r="CQ315" i="37"/>
  <c r="CR315" i="37"/>
  <c r="CS315" i="37"/>
  <c r="CT315" i="37"/>
  <c r="CU315" i="37"/>
  <c r="CJ316" i="37"/>
  <c r="CK316" i="37"/>
  <c r="CL316" i="37"/>
  <c r="CM316" i="37"/>
  <c r="CN316" i="37"/>
  <c r="CO316" i="37"/>
  <c r="CP316" i="37"/>
  <c r="CQ316" i="37"/>
  <c r="CR316" i="37"/>
  <c r="CS316" i="37"/>
  <c r="CT316" i="37"/>
  <c r="CU316" i="37"/>
  <c r="CJ317" i="37"/>
  <c r="CK317" i="37"/>
  <c r="CL317" i="37"/>
  <c r="CM317" i="37"/>
  <c r="CN317" i="37"/>
  <c r="CO317" i="37"/>
  <c r="CP317" i="37"/>
  <c r="CQ317" i="37"/>
  <c r="CR317" i="37"/>
  <c r="CS317" i="37"/>
  <c r="CT317" i="37"/>
  <c r="CU317" i="37"/>
  <c r="CJ318" i="37"/>
  <c r="CK318" i="37"/>
  <c r="CL318" i="37"/>
  <c r="CM318" i="37"/>
  <c r="CN318" i="37"/>
  <c r="CO318" i="37"/>
  <c r="CP318" i="37"/>
  <c r="CQ318" i="37"/>
  <c r="CR318" i="37"/>
  <c r="CS318" i="37"/>
  <c r="CT318" i="37"/>
  <c r="CU318" i="37"/>
  <c r="CJ319" i="37"/>
  <c r="CK319" i="37"/>
  <c r="CL319" i="37"/>
  <c r="CM319" i="37"/>
  <c r="CN319" i="37"/>
  <c r="CO319" i="37"/>
  <c r="CP319" i="37"/>
  <c r="CQ319" i="37"/>
  <c r="CR319" i="37"/>
  <c r="CS319" i="37"/>
  <c r="CT319" i="37"/>
  <c r="CU319" i="37"/>
  <c r="CJ320" i="37"/>
  <c r="CK320" i="37"/>
  <c r="CL320" i="37"/>
  <c r="CM320" i="37"/>
  <c r="CN320" i="37"/>
  <c r="CO320" i="37"/>
  <c r="CP320" i="37"/>
  <c r="CQ320" i="37"/>
  <c r="CR320" i="37"/>
  <c r="CS320" i="37"/>
  <c r="CT320" i="37"/>
  <c r="CU320" i="37"/>
  <c r="CJ321" i="37"/>
  <c r="CK321" i="37"/>
  <c r="CL321" i="37"/>
  <c r="CM321" i="37"/>
  <c r="CN321" i="37"/>
  <c r="CO321" i="37"/>
  <c r="CP321" i="37"/>
  <c r="CQ321" i="37"/>
  <c r="CR321" i="37"/>
  <c r="CS321" i="37"/>
  <c r="CT321" i="37"/>
  <c r="CU321" i="37"/>
  <c r="CJ322" i="37"/>
  <c r="CK322" i="37"/>
  <c r="CL322" i="37"/>
  <c r="CM322" i="37"/>
  <c r="CN322" i="37"/>
  <c r="CO322" i="37"/>
  <c r="CP322" i="37"/>
  <c r="CQ322" i="37"/>
  <c r="CR322" i="37"/>
  <c r="CS322" i="37"/>
  <c r="CT322" i="37"/>
  <c r="CU322" i="37"/>
  <c r="CJ323" i="37"/>
  <c r="CK323" i="37"/>
  <c r="CL323" i="37"/>
  <c r="CM323" i="37"/>
  <c r="CN323" i="37"/>
  <c r="CO323" i="37"/>
  <c r="CP323" i="37"/>
  <c r="CQ323" i="37"/>
  <c r="CR323" i="37"/>
  <c r="CS323" i="37"/>
  <c r="CT323" i="37"/>
  <c r="CU323" i="37"/>
  <c r="CJ324" i="37"/>
  <c r="CK324" i="37"/>
  <c r="CL324" i="37"/>
  <c r="CM324" i="37"/>
  <c r="CN324" i="37"/>
  <c r="CO324" i="37"/>
  <c r="CP324" i="37"/>
  <c r="CQ324" i="37"/>
  <c r="CR324" i="37"/>
  <c r="CS324" i="37"/>
  <c r="CT324" i="37"/>
  <c r="CU324" i="37"/>
  <c r="CJ325" i="37"/>
  <c r="CK325" i="37"/>
  <c r="CL325" i="37"/>
  <c r="CM325" i="37"/>
  <c r="CN325" i="37"/>
  <c r="CO325" i="37"/>
  <c r="CP325" i="37"/>
  <c r="CQ325" i="37"/>
  <c r="CR325" i="37"/>
  <c r="CS325" i="37"/>
  <c r="CT325" i="37"/>
  <c r="CU325" i="37"/>
  <c r="CJ326" i="37"/>
  <c r="CK326" i="37"/>
  <c r="CL326" i="37"/>
  <c r="CM326" i="37"/>
  <c r="CN326" i="37"/>
  <c r="CO326" i="37"/>
  <c r="CP326" i="37"/>
  <c r="CQ326" i="37"/>
  <c r="CR326" i="37"/>
  <c r="CS326" i="37"/>
  <c r="CT326" i="37"/>
  <c r="CU326" i="37"/>
  <c r="CJ327" i="37"/>
  <c r="CK327" i="37"/>
  <c r="CL327" i="37"/>
  <c r="CM327" i="37"/>
  <c r="CN327" i="37"/>
  <c r="CO327" i="37"/>
  <c r="CP327" i="37"/>
  <c r="CQ327" i="37"/>
  <c r="CR327" i="37"/>
  <c r="CS327" i="37"/>
  <c r="CT327" i="37"/>
  <c r="CU327" i="37"/>
  <c r="CJ328" i="37"/>
  <c r="CK328" i="37"/>
  <c r="CL328" i="37"/>
  <c r="CM328" i="37"/>
  <c r="CN328" i="37"/>
  <c r="CO328" i="37"/>
  <c r="CP328" i="37"/>
  <c r="CQ328" i="37"/>
  <c r="CR328" i="37"/>
  <c r="CS328" i="37"/>
  <c r="CT328" i="37"/>
  <c r="CU328" i="37"/>
  <c r="CJ329" i="37"/>
  <c r="CK329" i="37"/>
  <c r="CL329" i="37"/>
  <c r="CM329" i="37"/>
  <c r="CN329" i="37"/>
  <c r="CO329" i="37"/>
  <c r="CP329" i="37"/>
  <c r="CQ329" i="37"/>
  <c r="CR329" i="37"/>
  <c r="CS329" i="37"/>
  <c r="CT329" i="37"/>
  <c r="CU329" i="37"/>
  <c r="CJ330" i="37"/>
  <c r="CK330" i="37"/>
  <c r="CL330" i="37"/>
  <c r="CM330" i="37"/>
  <c r="CN330" i="37"/>
  <c r="CO330" i="37"/>
  <c r="CP330" i="37"/>
  <c r="CQ330" i="37"/>
  <c r="CR330" i="37"/>
  <c r="CS330" i="37"/>
  <c r="CT330" i="37"/>
  <c r="CU330" i="37"/>
  <c r="CJ331" i="37"/>
  <c r="CK331" i="37"/>
  <c r="CL331" i="37"/>
  <c r="CM331" i="37"/>
  <c r="CN331" i="37"/>
  <c r="CO331" i="37"/>
  <c r="CP331" i="37"/>
  <c r="CQ331" i="37"/>
  <c r="CR331" i="37"/>
  <c r="CS331" i="37"/>
  <c r="CT331" i="37"/>
  <c r="CU331" i="37"/>
  <c r="CJ332" i="37"/>
  <c r="CK332" i="37"/>
  <c r="CL332" i="37"/>
  <c r="CM332" i="37"/>
  <c r="CN332" i="37"/>
  <c r="CO332" i="37"/>
  <c r="CP332" i="37"/>
  <c r="CQ332" i="37"/>
  <c r="CR332" i="37"/>
  <c r="CS332" i="37"/>
  <c r="CT332" i="37"/>
  <c r="CU332" i="37"/>
  <c r="CJ333" i="37"/>
  <c r="CK333" i="37"/>
  <c r="CL333" i="37"/>
  <c r="CM333" i="37"/>
  <c r="CN333" i="37"/>
  <c r="CO333" i="37"/>
  <c r="CP333" i="37"/>
  <c r="CQ333" i="37"/>
  <c r="CR333" i="37"/>
  <c r="CS333" i="37"/>
  <c r="CT333" i="37"/>
  <c r="CU333" i="37"/>
  <c r="CJ334" i="37"/>
  <c r="CK334" i="37"/>
  <c r="CL334" i="37"/>
  <c r="CM334" i="37"/>
  <c r="CN334" i="37"/>
  <c r="CO334" i="37"/>
  <c r="CP334" i="37"/>
  <c r="CQ334" i="37"/>
  <c r="CR334" i="37"/>
  <c r="CS334" i="37"/>
  <c r="CT334" i="37"/>
  <c r="CU334" i="37"/>
  <c r="CJ335" i="37"/>
  <c r="CK335" i="37"/>
  <c r="CL335" i="37"/>
  <c r="CM335" i="37"/>
  <c r="CN335" i="37"/>
  <c r="CO335" i="37"/>
  <c r="CP335" i="37"/>
  <c r="CQ335" i="37"/>
  <c r="CR335" i="37"/>
  <c r="CS335" i="37"/>
  <c r="CT335" i="37"/>
  <c r="CU335" i="37"/>
  <c r="CJ336" i="37"/>
  <c r="CK336" i="37"/>
  <c r="CL336" i="37"/>
  <c r="CM336" i="37"/>
  <c r="CN336" i="37"/>
  <c r="CO336" i="37"/>
  <c r="CP336" i="37"/>
  <c r="CQ336" i="37"/>
  <c r="CR336" i="37"/>
  <c r="CS336" i="37"/>
  <c r="CT336" i="37"/>
  <c r="CU336" i="37"/>
  <c r="CJ337" i="37"/>
  <c r="CK337" i="37"/>
  <c r="CL337" i="37"/>
  <c r="CM337" i="37"/>
  <c r="CN337" i="37"/>
  <c r="CO337" i="37"/>
  <c r="CP337" i="37"/>
  <c r="CQ337" i="37"/>
  <c r="CR337" i="37"/>
  <c r="CS337" i="37"/>
  <c r="CT337" i="37"/>
  <c r="CU337" i="37"/>
  <c r="CJ338" i="37"/>
  <c r="CK338" i="37"/>
  <c r="CL338" i="37"/>
  <c r="CM338" i="37"/>
  <c r="CN338" i="37"/>
  <c r="CO338" i="37"/>
  <c r="CP338" i="37"/>
  <c r="CQ338" i="37"/>
  <c r="CR338" i="37"/>
  <c r="CS338" i="37"/>
  <c r="CT338" i="37"/>
  <c r="CU338" i="37"/>
  <c r="CJ339" i="37"/>
  <c r="CK339" i="37"/>
  <c r="CL339" i="37"/>
  <c r="CM339" i="37"/>
  <c r="CN339" i="37"/>
  <c r="CO339" i="37"/>
  <c r="CP339" i="37"/>
  <c r="CQ339" i="37"/>
  <c r="CR339" i="37"/>
  <c r="CS339" i="37"/>
  <c r="CT339" i="37"/>
  <c r="CU339" i="37"/>
  <c r="CJ340" i="37"/>
  <c r="CK340" i="37"/>
  <c r="CL340" i="37"/>
  <c r="CM340" i="37"/>
  <c r="CN340" i="37"/>
  <c r="CO340" i="37"/>
  <c r="CP340" i="37"/>
  <c r="CQ340" i="37"/>
  <c r="CR340" i="37"/>
  <c r="CS340" i="37"/>
  <c r="CT340" i="37"/>
  <c r="CU340" i="37"/>
  <c r="CJ341" i="37"/>
  <c r="CK341" i="37"/>
  <c r="CL341" i="37"/>
  <c r="CM341" i="37"/>
  <c r="CN341" i="37"/>
  <c r="CO341" i="37"/>
  <c r="CP341" i="37"/>
  <c r="CQ341" i="37"/>
  <c r="CR341" i="37"/>
  <c r="CS341" i="37"/>
  <c r="CT341" i="37"/>
  <c r="CU341" i="37"/>
  <c r="CJ342" i="37"/>
  <c r="CK342" i="37"/>
  <c r="CL342" i="37"/>
  <c r="CM342" i="37"/>
  <c r="CN342" i="37"/>
  <c r="CO342" i="37"/>
  <c r="CP342" i="37"/>
  <c r="CQ342" i="37"/>
  <c r="CR342" i="37"/>
  <c r="CS342" i="37"/>
  <c r="CT342" i="37"/>
  <c r="CU342" i="37"/>
  <c r="CJ343" i="37"/>
  <c r="CK343" i="37"/>
  <c r="CL343" i="37"/>
  <c r="CM343" i="37"/>
  <c r="CN343" i="37"/>
  <c r="CO343" i="37"/>
  <c r="CP343" i="37"/>
  <c r="CQ343" i="37"/>
  <c r="CR343" i="37"/>
  <c r="CS343" i="37"/>
  <c r="CT343" i="37"/>
  <c r="CU343" i="37"/>
  <c r="CJ344" i="37"/>
  <c r="CK344" i="37"/>
  <c r="CL344" i="37"/>
  <c r="CM344" i="37"/>
  <c r="CN344" i="37"/>
  <c r="CO344" i="37"/>
  <c r="CP344" i="37"/>
  <c r="CQ344" i="37"/>
  <c r="CR344" i="37"/>
  <c r="CS344" i="37"/>
  <c r="CT344" i="37"/>
  <c r="CU344" i="37"/>
  <c r="CJ345" i="37"/>
  <c r="CK345" i="37"/>
  <c r="CL345" i="37"/>
  <c r="CM345" i="37"/>
  <c r="CN345" i="37"/>
  <c r="CO345" i="37"/>
  <c r="CP345" i="37"/>
  <c r="CQ345" i="37"/>
  <c r="CR345" i="37"/>
  <c r="CS345" i="37"/>
  <c r="CT345" i="37"/>
  <c r="CU345" i="37"/>
  <c r="CJ346" i="37"/>
  <c r="CK346" i="37"/>
  <c r="CL346" i="37"/>
  <c r="CM346" i="37"/>
  <c r="CN346" i="37"/>
  <c r="CO346" i="37"/>
  <c r="CP346" i="37"/>
  <c r="CQ346" i="37"/>
  <c r="CR346" i="37"/>
  <c r="CS346" i="37"/>
  <c r="CT346" i="37"/>
  <c r="CU346" i="37"/>
  <c r="CJ347" i="37"/>
  <c r="CK347" i="37"/>
  <c r="CL347" i="37"/>
  <c r="CM347" i="37"/>
  <c r="CN347" i="37"/>
  <c r="CO347" i="37"/>
  <c r="CP347" i="37"/>
  <c r="CQ347" i="37"/>
  <c r="CR347" i="37"/>
  <c r="CS347" i="37"/>
  <c r="CT347" i="37"/>
  <c r="CU347" i="37"/>
  <c r="CJ348" i="37"/>
  <c r="CK348" i="37"/>
  <c r="CL348" i="37"/>
  <c r="CM348" i="37"/>
  <c r="CN348" i="37"/>
  <c r="CO348" i="37"/>
  <c r="CP348" i="37"/>
  <c r="CQ348" i="37"/>
  <c r="CR348" i="37"/>
  <c r="CS348" i="37"/>
  <c r="CT348" i="37"/>
  <c r="CU348" i="37"/>
  <c r="CJ349" i="37"/>
  <c r="CK349" i="37"/>
  <c r="CL349" i="37"/>
  <c r="CM349" i="37"/>
  <c r="CN349" i="37"/>
  <c r="CO349" i="37"/>
  <c r="CP349" i="37"/>
  <c r="CQ349" i="37"/>
  <c r="CR349" i="37"/>
  <c r="CS349" i="37"/>
  <c r="CT349" i="37"/>
  <c r="CU349" i="37"/>
  <c r="CJ350" i="37"/>
  <c r="CK350" i="37"/>
  <c r="CL350" i="37"/>
  <c r="CM350" i="37"/>
  <c r="CN350" i="37"/>
  <c r="CO350" i="37"/>
  <c r="CP350" i="37"/>
  <c r="CQ350" i="37"/>
  <c r="CR350" i="37"/>
  <c r="CS350" i="37"/>
  <c r="CT350" i="37"/>
  <c r="CU350" i="37"/>
  <c r="CJ351" i="37"/>
  <c r="CK351" i="37"/>
  <c r="CL351" i="37"/>
  <c r="CM351" i="37"/>
  <c r="CN351" i="37"/>
  <c r="CO351" i="37"/>
  <c r="CP351" i="37"/>
  <c r="CQ351" i="37"/>
  <c r="CR351" i="37"/>
  <c r="CS351" i="37"/>
  <c r="CT351" i="37"/>
  <c r="CU351" i="37"/>
  <c r="CJ352" i="37"/>
  <c r="CK352" i="37"/>
  <c r="CL352" i="37"/>
  <c r="CM352" i="37"/>
  <c r="CN352" i="37"/>
  <c r="CO352" i="37"/>
  <c r="CP352" i="37"/>
  <c r="CQ352" i="37"/>
  <c r="CR352" i="37"/>
  <c r="CS352" i="37"/>
  <c r="CT352" i="37"/>
  <c r="CU352" i="37"/>
  <c r="CJ353" i="37"/>
  <c r="CK353" i="37"/>
  <c r="CL353" i="37"/>
  <c r="CM353" i="37"/>
  <c r="CN353" i="37"/>
  <c r="CO353" i="37"/>
  <c r="CP353" i="37"/>
  <c r="CQ353" i="37"/>
  <c r="CR353" i="37"/>
  <c r="CS353" i="37"/>
  <c r="CT353" i="37"/>
  <c r="CU353" i="37"/>
  <c r="CJ354" i="37"/>
  <c r="CK354" i="37"/>
  <c r="CL354" i="37"/>
  <c r="CM354" i="37"/>
  <c r="CN354" i="37"/>
  <c r="CO354" i="37"/>
  <c r="CP354" i="37"/>
  <c r="CQ354" i="37"/>
  <c r="CR354" i="37"/>
  <c r="CS354" i="37"/>
  <c r="CT354" i="37"/>
  <c r="CU354" i="37"/>
  <c r="CJ355" i="37"/>
  <c r="CK355" i="37"/>
  <c r="CL355" i="37"/>
  <c r="CM355" i="37"/>
  <c r="CN355" i="37"/>
  <c r="CO355" i="37"/>
  <c r="CP355" i="37"/>
  <c r="CQ355" i="37"/>
  <c r="CR355" i="37"/>
  <c r="CS355" i="37"/>
  <c r="CT355" i="37"/>
  <c r="CU355" i="37"/>
  <c r="CJ356" i="37"/>
  <c r="CK356" i="37"/>
  <c r="CL356" i="37"/>
  <c r="CM356" i="37"/>
  <c r="CN356" i="37"/>
  <c r="CO356" i="37"/>
  <c r="CP356" i="37"/>
  <c r="CQ356" i="37"/>
  <c r="CR356" i="37"/>
  <c r="CS356" i="37"/>
  <c r="CT356" i="37"/>
  <c r="CU356" i="37"/>
  <c r="CJ357" i="37"/>
  <c r="CK357" i="37"/>
  <c r="CL357" i="37"/>
  <c r="CM357" i="37"/>
  <c r="CN357" i="37"/>
  <c r="CO357" i="37"/>
  <c r="CP357" i="37"/>
  <c r="CQ357" i="37"/>
  <c r="CR357" i="37"/>
  <c r="CS357" i="37"/>
  <c r="CT357" i="37"/>
  <c r="CU357" i="37"/>
  <c r="CJ358" i="37"/>
  <c r="CK358" i="37"/>
  <c r="CL358" i="37"/>
  <c r="CM358" i="37"/>
  <c r="CN358" i="37"/>
  <c r="CO358" i="37"/>
  <c r="CP358" i="37"/>
  <c r="CQ358" i="37"/>
  <c r="CR358" i="37"/>
  <c r="CS358" i="37"/>
  <c r="CT358" i="37"/>
  <c r="CU358" i="37"/>
  <c r="CJ359" i="37"/>
  <c r="CK359" i="37"/>
  <c r="CL359" i="37"/>
  <c r="CM359" i="37"/>
  <c r="CN359" i="37"/>
  <c r="CO359" i="37"/>
  <c r="CP359" i="37"/>
  <c r="CQ359" i="37"/>
  <c r="CR359" i="37"/>
  <c r="CS359" i="37"/>
  <c r="CT359" i="37"/>
  <c r="CU359" i="37"/>
  <c r="CJ360" i="37"/>
  <c r="CK360" i="37"/>
  <c r="CL360" i="37"/>
  <c r="CM360" i="37"/>
  <c r="CN360" i="37"/>
  <c r="CO360" i="37"/>
  <c r="CP360" i="37"/>
  <c r="CQ360" i="37"/>
  <c r="CR360" i="37"/>
  <c r="CS360" i="37"/>
  <c r="CT360" i="37"/>
  <c r="CU360" i="37"/>
  <c r="CJ361" i="37"/>
  <c r="CK361" i="37"/>
  <c r="CL361" i="37"/>
  <c r="CM361" i="37"/>
  <c r="CN361" i="37"/>
  <c r="CO361" i="37"/>
  <c r="CP361" i="37"/>
  <c r="CQ361" i="37"/>
  <c r="CR361" i="37"/>
  <c r="CS361" i="37"/>
  <c r="CT361" i="37"/>
  <c r="CU361" i="37"/>
  <c r="CJ362" i="37"/>
  <c r="CK362" i="37"/>
  <c r="CL362" i="37"/>
  <c r="CM362" i="37"/>
  <c r="CN362" i="37"/>
  <c r="CO362" i="37"/>
  <c r="CP362" i="37"/>
  <c r="CQ362" i="37"/>
  <c r="CR362" i="37"/>
  <c r="CS362" i="37"/>
  <c r="CT362" i="37"/>
  <c r="CU362" i="37"/>
  <c r="CJ363" i="37"/>
  <c r="CK363" i="37"/>
  <c r="CL363" i="37"/>
  <c r="CM363" i="37"/>
  <c r="CN363" i="37"/>
  <c r="CO363" i="37"/>
  <c r="CP363" i="37"/>
  <c r="CQ363" i="37"/>
  <c r="CR363" i="37"/>
  <c r="CS363" i="37"/>
  <c r="CT363" i="37"/>
  <c r="CU363" i="37"/>
  <c r="CJ364" i="37"/>
  <c r="CK364" i="37"/>
  <c r="CL364" i="37"/>
  <c r="CM364" i="37"/>
  <c r="CN364" i="37"/>
  <c r="CO364" i="37"/>
  <c r="CP364" i="37"/>
  <c r="CQ364" i="37"/>
  <c r="CR364" i="37"/>
  <c r="CS364" i="37"/>
  <c r="CT364" i="37"/>
  <c r="CU364" i="37"/>
  <c r="CJ365" i="37"/>
  <c r="CK365" i="37"/>
  <c r="CL365" i="37"/>
  <c r="CM365" i="37"/>
  <c r="CN365" i="37"/>
  <c r="CO365" i="37"/>
  <c r="CP365" i="37"/>
  <c r="CQ365" i="37"/>
  <c r="CR365" i="37"/>
  <c r="CS365" i="37"/>
  <c r="CT365" i="37"/>
  <c r="CU365" i="37"/>
  <c r="CJ366" i="37"/>
  <c r="CK366" i="37"/>
  <c r="CL366" i="37"/>
  <c r="CM366" i="37"/>
  <c r="CN366" i="37"/>
  <c r="CO366" i="37"/>
  <c r="CP366" i="37"/>
  <c r="CQ366" i="37"/>
  <c r="CR366" i="37"/>
  <c r="CS366" i="37"/>
  <c r="CT366" i="37"/>
  <c r="CU366" i="37"/>
  <c r="CK17" i="37"/>
  <c r="CL17" i="37"/>
  <c r="CM17" i="37"/>
  <c r="CN17" i="37"/>
  <c r="CO17" i="37"/>
  <c r="CP17" i="37"/>
  <c r="CQ17" i="37"/>
  <c r="CR17" i="37"/>
  <c r="CS17" i="37"/>
  <c r="CT17" i="37"/>
  <c r="CU17" i="37"/>
  <c r="CJ17" i="37"/>
  <c r="BU18" i="37"/>
  <c r="BV18" i="37"/>
  <c r="BW18" i="37"/>
  <c r="BX18" i="37"/>
  <c r="BY18" i="37"/>
  <c r="BZ18" i="37"/>
  <c r="CA18" i="37"/>
  <c r="CB18" i="37"/>
  <c r="CC18" i="37"/>
  <c r="CD18" i="37"/>
  <c r="CE18" i="37"/>
  <c r="CF18" i="37"/>
  <c r="BU19" i="37"/>
  <c r="BV19" i="37"/>
  <c r="BW19" i="37"/>
  <c r="BX19" i="37"/>
  <c r="BY19" i="37"/>
  <c r="BZ19" i="37"/>
  <c r="CA19" i="37"/>
  <c r="CB19" i="37"/>
  <c r="CC19" i="37"/>
  <c r="CD19" i="37"/>
  <c r="CE19" i="37"/>
  <c r="CF19" i="37"/>
  <c r="BU20" i="37"/>
  <c r="BV20" i="37"/>
  <c r="BW20" i="37"/>
  <c r="BX20" i="37"/>
  <c r="BY20" i="37"/>
  <c r="BZ20" i="37"/>
  <c r="CA20" i="37"/>
  <c r="CB20" i="37"/>
  <c r="CC20" i="37"/>
  <c r="CD20" i="37"/>
  <c r="CE20" i="37"/>
  <c r="CF20" i="37"/>
  <c r="BU21" i="37"/>
  <c r="BV21" i="37"/>
  <c r="BW21" i="37"/>
  <c r="BX21" i="37"/>
  <c r="BY21" i="37"/>
  <c r="BZ21" i="37"/>
  <c r="CA21" i="37"/>
  <c r="CB21" i="37"/>
  <c r="CC21" i="37"/>
  <c r="CD21" i="37"/>
  <c r="CE21" i="37"/>
  <c r="CF21" i="37"/>
  <c r="BU22" i="37"/>
  <c r="BV22" i="37"/>
  <c r="BW22" i="37"/>
  <c r="BX22" i="37"/>
  <c r="BY22" i="37"/>
  <c r="BZ22" i="37"/>
  <c r="CA22" i="37"/>
  <c r="CB22" i="37"/>
  <c r="CC22" i="37"/>
  <c r="CD22" i="37"/>
  <c r="CE22" i="37"/>
  <c r="CF22" i="37"/>
  <c r="BU23" i="37"/>
  <c r="BV23" i="37"/>
  <c r="BW23" i="37"/>
  <c r="BX23" i="37"/>
  <c r="BY23" i="37"/>
  <c r="BZ23" i="37"/>
  <c r="CA23" i="37"/>
  <c r="CB23" i="37"/>
  <c r="CC23" i="37"/>
  <c r="CD23" i="37"/>
  <c r="CE23" i="37"/>
  <c r="CF23" i="37"/>
  <c r="BU24" i="37"/>
  <c r="BV24" i="37"/>
  <c r="BW24" i="37"/>
  <c r="BX24" i="37"/>
  <c r="BY24" i="37"/>
  <c r="BZ24" i="37"/>
  <c r="CA24" i="37"/>
  <c r="CB24" i="37"/>
  <c r="CC24" i="37"/>
  <c r="CD24" i="37"/>
  <c r="CE24" i="37"/>
  <c r="CF24" i="37"/>
  <c r="BU25" i="37"/>
  <c r="BV25" i="37"/>
  <c r="BW25" i="37"/>
  <c r="BX25" i="37"/>
  <c r="BY25" i="37"/>
  <c r="BZ25" i="37"/>
  <c r="CA25" i="37"/>
  <c r="CB25" i="37"/>
  <c r="CC25" i="37"/>
  <c r="CD25" i="37"/>
  <c r="CE25" i="37"/>
  <c r="CF25" i="37"/>
  <c r="BU26" i="37"/>
  <c r="BV26" i="37"/>
  <c r="BW26" i="37"/>
  <c r="BX26" i="37"/>
  <c r="BY26" i="37"/>
  <c r="BZ26" i="37"/>
  <c r="CA26" i="37"/>
  <c r="CB26" i="37"/>
  <c r="CC26" i="37"/>
  <c r="CD26" i="37"/>
  <c r="CE26" i="37"/>
  <c r="CF26" i="37"/>
  <c r="BU27" i="37"/>
  <c r="BV27" i="37"/>
  <c r="BW27" i="37"/>
  <c r="BX27" i="37"/>
  <c r="BY27" i="37"/>
  <c r="BZ27" i="37"/>
  <c r="CA27" i="37"/>
  <c r="CB27" i="37"/>
  <c r="CC27" i="37"/>
  <c r="CD27" i="37"/>
  <c r="CE27" i="37"/>
  <c r="CF27" i="37"/>
  <c r="BU28" i="37"/>
  <c r="BV28" i="37"/>
  <c r="BW28" i="37"/>
  <c r="BX28" i="37"/>
  <c r="BY28" i="37"/>
  <c r="BZ28" i="37"/>
  <c r="CA28" i="37"/>
  <c r="CB28" i="37"/>
  <c r="CC28" i="37"/>
  <c r="CD28" i="37"/>
  <c r="CE28" i="37"/>
  <c r="CF28" i="37"/>
  <c r="BU29" i="37"/>
  <c r="BV29" i="37"/>
  <c r="BW29" i="37"/>
  <c r="BX29" i="37"/>
  <c r="BY29" i="37"/>
  <c r="BZ29" i="37"/>
  <c r="CA29" i="37"/>
  <c r="CB29" i="37"/>
  <c r="CC29" i="37"/>
  <c r="CD29" i="37"/>
  <c r="CE29" i="37"/>
  <c r="CF29" i="37"/>
  <c r="BU30" i="37"/>
  <c r="BV30" i="37"/>
  <c r="BW30" i="37"/>
  <c r="BX30" i="37"/>
  <c r="BY30" i="37"/>
  <c r="BZ30" i="37"/>
  <c r="CA30" i="37"/>
  <c r="CB30" i="37"/>
  <c r="CC30" i="37"/>
  <c r="CD30" i="37"/>
  <c r="CE30" i="37"/>
  <c r="CF30" i="37"/>
  <c r="BU31" i="37"/>
  <c r="BV31" i="37"/>
  <c r="BW31" i="37"/>
  <c r="BX31" i="37"/>
  <c r="BY31" i="37"/>
  <c r="BZ31" i="37"/>
  <c r="CA31" i="37"/>
  <c r="CB31" i="37"/>
  <c r="CC31" i="37"/>
  <c r="CD31" i="37"/>
  <c r="CE31" i="37"/>
  <c r="CF31" i="37"/>
  <c r="BU32" i="37"/>
  <c r="BV32" i="37"/>
  <c r="BW32" i="37"/>
  <c r="BX32" i="37"/>
  <c r="BY32" i="37"/>
  <c r="BZ32" i="37"/>
  <c r="CA32" i="37"/>
  <c r="CB32" i="37"/>
  <c r="CC32" i="37"/>
  <c r="CD32" i="37"/>
  <c r="CE32" i="37"/>
  <c r="CF32" i="37"/>
  <c r="BU33" i="37"/>
  <c r="BV33" i="37"/>
  <c r="BW33" i="37"/>
  <c r="BX33" i="37"/>
  <c r="BY33" i="37"/>
  <c r="BZ33" i="37"/>
  <c r="CA33" i="37"/>
  <c r="CB33" i="37"/>
  <c r="CC33" i="37"/>
  <c r="CD33" i="37"/>
  <c r="CE33" i="37"/>
  <c r="CF33" i="37"/>
  <c r="BU34" i="37"/>
  <c r="BV34" i="37"/>
  <c r="BW34" i="37"/>
  <c r="BX34" i="37"/>
  <c r="BY34" i="37"/>
  <c r="BZ34" i="37"/>
  <c r="CA34" i="37"/>
  <c r="CB34" i="37"/>
  <c r="CC34" i="37"/>
  <c r="CD34" i="37"/>
  <c r="CE34" i="37"/>
  <c r="CF34" i="37"/>
  <c r="BU35" i="37"/>
  <c r="BV35" i="37"/>
  <c r="BW35" i="37"/>
  <c r="BX35" i="37"/>
  <c r="BY35" i="37"/>
  <c r="BZ35" i="37"/>
  <c r="CA35" i="37"/>
  <c r="CB35" i="37"/>
  <c r="CC35" i="37"/>
  <c r="CD35" i="37"/>
  <c r="CE35" i="37"/>
  <c r="CF35" i="37"/>
  <c r="BU36" i="37"/>
  <c r="BV36" i="37"/>
  <c r="BW36" i="37"/>
  <c r="BX36" i="37"/>
  <c r="BY36" i="37"/>
  <c r="BZ36" i="37"/>
  <c r="CA36" i="37"/>
  <c r="CB36" i="37"/>
  <c r="CC36" i="37"/>
  <c r="CD36" i="37"/>
  <c r="CE36" i="37"/>
  <c r="CF36" i="37"/>
  <c r="BU37" i="37"/>
  <c r="BV37" i="37"/>
  <c r="BW37" i="37"/>
  <c r="BX37" i="37"/>
  <c r="BY37" i="37"/>
  <c r="BZ37" i="37"/>
  <c r="CA37" i="37"/>
  <c r="CB37" i="37"/>
  <c r="CC37" i="37"/>
  <c r="CD37" i="37"/>
  <c r="CE37" i="37"/>
  <c r="CF37" i="37"/>
  <c r="BU38" i="37"/>
  <c r="BV38" i="37"/>
  <c r="BW38" i="37"/>
  <c r="BX38" i="37"/>
  <c r="BY38" i="37"/>
  <c r="BZ38" i="37"/>
  <c r="CA38" i="37"/>
  <c r="CB38" i="37"/>
  <c r="CC38" i="37"/>
  <c r="CD38" i="37"/>
  <c r="CE38" i="37"/>
  <c r="CF38" i="37"/>
  <c r="BU39" i="37"/>
  <c r="BV39" i="37"/>
  <c r="BW39" i="37"/>
  <c r="BX39" i="37"/>
  <c r="BY39" i="37"/>
  <c r="BZ39" i="37"/>
  <c r="CA39" i="37"/>
  <c r="CB39" i="37"/>
  <c r="CC39" i="37"/>
  <c r="CD39" i="37"/>
  <c r="CE39" i="37"/>
  <c r="CF39" i="37"/>
  <c r="BU40" i="37"/>
  <c r="BV40" i="37"/>
  <c r="BW40" i="37"/>
  <c r="BX40" i="37"/>
  <c r="BY40" i="37"/>
  <c r="BZ40" i="37"/>
  <c r="CA40" i="37"/>
  <c r="CB40" i="37"/>
  <c r="CC40" i="37"/>
  <c r="CD40" i="37"/>
  <c r="CE40" i="37"/>
  <c r="CF40" i="37"/>
  <c r="BU41" i="37"/>
  <c r="BV41" i="37"/>
  <c r="BW41" i="37"/>
  <c r="BX41" i="37"/>
  <c r="BY41" i="37"/>
  <c r="BZ41" i="37"/>
  <c r="CA41" i="37"/>
  <c r="CB41" i="37"/>
  <c r="CC41" i="37"/>
  <c r="CD41" i="37"/>
  <c r="CE41" i="37"/>
  <c r="CF41" i="37"/>
  <c r="BU42" i="37"/>
  <c r="BV42" i="37"/>
  <c r="BW42" i="37"/>
  <c r="BX42" i="37"/>
  <c r="BY42" i="37"/>
  <c r="BZ42" i="37"/>
  <c r="CA42" i="37"/>
  <c r="CB42" i="37"/>
  <c r="CC42" i="37"/>
  <c r="CD42" i="37"/>
  <c r="CE42" i="37"/>
  <c r="CF42" i="37"/>
  <c r="BU43" i="37"/>
  <c r="BV43" i="37"/>
  <c r="BW43" i="37"/>
  <c r="BX43" i="37"/>
  <c r="BY43" i="37"/>
  <c r="BZ43" i="37"/>
  <c r="CA43" i="37"/>
  <c r="CB43" i="37"/>
  <c r="CC43" i="37"/>
  <c r="CD43" i="37"/>
  <c r="CE43" i="37"/>
  <c r="CF43" i="37"/>
  <c r="BU44" i="37"/>
  <c r="BV44" i="37"/>
  <c r="BW44" i="37"/>
  <c r="BX44" i="37"/>
  <c r="BY44" i="37"/>
  <c r="BZ44" i="37"/>
  <c r="CA44" i="37"/>
  <c r="CB44" i="37"/>
  <c r="CC44" i="37"/>
  <c r="CD44" i="37"/>
  <c r="CE44" i="37"/>
  <c r="CF44" i="37"/>
  <c r="BU45" i="37"/>
  <c r="BV45" i="37"/>
  <c r="BW45" i="37"/>
  <c r="BX45" i="37"/>
  <c r="BY45" i="37"/>
  <c r="BZ45" i="37"/>
  <c r="CA45" i="37"/>
  <c r="CB45" i="37"/>
  <c r="CC45" i="37"/>
  <c r="CD45" i="37"/>
  <c r="CE45" i="37"/>
  <c r="CF45" i="37"/>
  <c r="BU46" i="37"/>
  <c r="BV46" i="37"/>
  <c r="BW46" i="37"/>
  <c r="BX46" i="37"/>
  <c r="BY46" i="37"/>
  <c r="BZ46" i="37"/>
  <c r="CA46" i="37"/>
  <c r="CB46" i="37"/>
  <c r="CC46" i="37"/>
  <c r="CD46" i="37"/>
  <c r="CE46" i="37"/>
  <c r="CF46" i="37"/>
  <c r="BU47" i="37"/>
  <c r="BV47" i="37"/>
  <c r="BW47" i="37"/>
  <c r="BX47" i="37"/>
  <c r="BY47" i="37"/>
  <c r="BZ47" i="37"/>
  <c r="CA47" i="37"/>
  <c r="CB47" i="37"/>
  <c r="CC47" i="37"/>
  <c r="CD47" i="37"/>
  <c r="CE47" i="37"/>
  <c r="CF47" i="37"/>
  <c r="BU48" i="37"/>
  <c r="BV48" i="37"/>
  <c r="BW48" i="37"/>
  <c r="BX48" i="37"/>
  <c r="BY48" i="37"/>
  <c r="BZ48" i="37"/>
  <c r="CA48" i="37"/>
  <c r="CB48" i="37"/>
  <c r="CC48" i="37"/>
  <c r="CD48" i="37"/>
  <c r="CE48" i="37"/>
  <c r="CF48" i="37"/>
  <c r="BU49" i="37"/>
  <c r="BV49" i="37"/>
  <c r="BW49" i="37"/>
  <c r="BX49" i="37"/>
  <c r="BY49" i="37"/>
  <c r="BZ49" i="37"/>
  <c r="CA49" i="37"/>
  <c r="CB49" i="37"/>
  <c r="CC49" i="37"/>
  <c r="CD49" i="37"/>
  <c r="CE49" i="37"/>
  <c r="CF49" i="37"/>
  <c r="BU50" i="37"/>
  <c r="BV50" i="37"/>
  <c r="BW50" i="37"/>
  <c r="BX50" i="37"/>
  <c r="BY50" i="37"/>
  <c r="BZ50" i="37"/>
  <c r="CA50" i="37"/>
  <c r="CB50" i="37"/>
  <c r="CC50" i="37"/>
  <c r="CD50" i="37"/>
  <c r="CE50" i="37"/>
  <c r="CF50" i="37"/>
  <c r="BU51" i="37"/>
  <c r="BV51" i="37"/>
  <c r="BW51" i="37"/>
  <c r="BX51" i="37"/>
  <c r="BY51" i="37"/>
  <c r="BZ51" i="37"/>
  <c r="CA51" i="37"/>
  <c r="CB51" i="37"/>
  <c r="CC51" i="37"/>
  <c r="CD51" i="37"/>
  <c r="CE51" i="37"/>
  <c r="CF51" i="37"/>
  <c r="BU52" i="37"/>
  <c r="BV52" i="37"/>
  <c r="BW52" i="37"/>
  <c r="BX52" i="37"/>
  <c r="BY52" i="37"/>
  <c r="BZ52" i="37"/>
  <c r="CA52" i="37"/>
  <c r="CB52" i="37"/>
  <c r="CC52" i="37"/>
  <c r="CD52" i="37"/>
  <c r="CE52" i="37"/>
  <c r="CF52" i="37"/>
  <c r="BU53" i="37"/>
  <c r="BV53" i="37"/>
  <c r="BW53" i="37"/>
  <c r="BX53" i="37"/>
  <c r="BY53" i="37"/>
  <c r="BZ53" i="37"/>
  <c r="CA53" i="37"/>
  <c r="CB53" i="37"/>
  <c r="CC53" i="37"/>
  <c r="CD53" i="37"/>
  <c r="CE53" i="37"/>
  <c r="CF53" i="37"/>
  <c r="BU54" i="37"/>
  <c r="BV54" i="37"/>
  <c r="BW54" i="37"/>
  <c r="BX54" i="37"/>
  <c r="BY54" i="37"/>
  <c r="BZ54" i="37"/>
  <c r="CA54" i="37"/>
  <c r="CB54" i="37"/>
  <c r="CC54" i="37"/>
  <c r="CD54" i="37"/>
  <c r="CE54" i="37"/>
  <c r="CF54" i="37"/>
  <c r="BU55" i="37"/>
  <c r="BV55" i="37"/>
  <c r="BW55" i="37"/>
  <c r="BX55" i="37"/>
  <c r="BY55" i="37"/>
  <c r="BZ55" i="37"/>
  <c r="CA55" i="37"/>
  <c r="CB55" i="37"/>
  <c r="CC55" i="37"/>
  <c r="CD55" i="37"/>
  <c r="CE55" i="37"/>
  <c r="CF55" i="37"/>
  <c r="BU56" i="37"/>
  <c r="BV56" i="37"/>
  <c r="BW56" i="37"/>
  <c r="BX56" i="37"/>
  <c r="BY56" i="37"/>
  <c r="BZ56" i="37"/>
  <c r="CA56" i="37"/>
  <c r="CB56" i="37"/>
  <c r="CC56" i="37"/>
  <c r="CD56" i="37"/>
  <c r="CE56" i="37"/>
  <c r="CF56" i="37"/>
  <c r="BU57" i="37"/>
  <c r="BV57" i="37"/>
  <c r="BW57" i="37"/>
  <c r="BX57" i="37"/>
  <c r="BY57" i="37"/>
  <c r="BZ57" i="37"/>
  <c r="CA57" i="37"/>
  <c r="CB57" i="37"/>
  <c r="CC57" i="37"/>
  <c r="CD57" i="37"/>
  <c r="CE57" i="37"/>
  <c r="CF57" i="37"/>
  <c r="BU58" i="37"/>
  <c r="BV58" i="37"/>
  <c r="BW58" i="37"/>
  <c r="BX58" i="37"/>
  <c r="BY58" i="37"/>
  <c r="BZ58" i="37"/>
  <c r="CA58" i="37"/>
  <c r="CB58" i="37"/>
  <c r="CC58" i="37"/>
  <c r="CD58" i="37"/>
  <c r="CE58" i="37"/>
  <c r="CF58" i="37"/>
  <c r="BU59" i="37"/>
  <c r="BV59" i="37"/>
  <c r="BW59" i="37"/>
  <c r="BX59" i="37"/>
  <c r="BY59" i="37"/>
  <c r="BZ59" i="37"/>
  <c r="CA59" i="37"/>
  <c r="CB59" i="37"/>
  <c r="CC59" i="37"/>
  <c r="CD59" i="37"/>
  <c r="CE59" i="37"/>
  <c r="CF59" i="37"/>
  <c r="BU60" i="37"/>
  <c r="BV60" i="37"/>
  <c r="BW60" i="37"/>
  <c r="BX60" i="37"/>
  <c r="BY60" i="37"/>
  <c r="BZ60" i="37"/>
  <c r="CA60" i="37"/>
  <c r="CB60" i="37"/>
  <c r="CC60" i="37"/>
  <c r="CD60" i="37"/>
  <c r="CE60" i="37"/>
  <c r="CF60" i="37"/>
  <c r="BU61" i="37"/>
  <c r="BV61" i="37"/>
  <c r="BW61" i="37"/>
  <c r="BX61" i="37"/>
  <c r="BY61" i="37"/>
  <c r="BZ61" i="37"/>
  <c r="CA61" i="37"/>
  <c r="CB61" i="37"/>
  <c r="CC61" i="37"/>
  <c r="CD61" i="37"/>
  <c r="CE61" i="37"/>
  <c r="CF61" i="37"/>
  <c r="BU62" i="37"/>
  <c r="BV62" i="37"/>
  <c r="BW62" i="37"/>
  <c r="BX62" i="37"/>
  <c r="BY62" i="37"/>
  <c r="BZ62" i="37"/>
  <c r="CA62" i="37"/>
  <c r="CB62" i="37"/>
  <c r="CC62" i="37"/>
  <c r="CD62" i="37"/>
  <c r="CE62" i="37"/>
  <c r="CF62" i="37"/>
  <c r="BU63" i="37"/>
  <c r="BV63" i="37"/>
  <c r="BW63" i="37"/>
  <c r="BX63" i="37"/>
  <c r="BY63" i="37"/>
  <c r="BZ63" i="37"/>
  <c r="CA63" i="37"/>
  <c r="CB63" i="37"/>
  <c r="CC63" i="37"/>
  <c r="CD63" i="37"/>
  <c r="CE63" i="37"/>
  <c r="CF63" i="37"/>
  <c r="BU64" i="37"/>
  <c r="BV64" i="37"/>
  <c r="BW64" i="37"/>
  <c r="BX64" i="37"/>
  <c r="BY64" i="37"/>
  <c r="BZ64" i="37"/>
  <c r="CA64" i="37"/>
  <c r="CB64" i="37"/>
  <c r="CC64" i="37"/>
  <c r="CD64" i="37"/>
  <c r="CE64" i="37"/>
  <c r="CF64" i="37"/>
  <c r="BU65" i="37"/>
  <c r="BV65" i="37"/>
  <c r="BW65" i="37"/>
  <c r="BX65" i="37"/>
  <c r="BY65" i="37"/>
  <c r="BZ65" i="37"/>
  <c r="CA65" i="37"/>
  <c r="CB65" i="37"/>
  <c r="CC65" i="37"/>
  <c r="CD65" i="37"/>
  <c r="CE65" i="37"/>
  <c r="CF65" i="37"/>
  <c r="BU66" i="37"/>
  <c r="BV66" i="37"/>
  <c r="BW66" i="37"/>
  <c r="BX66" i="37"/>
  <c r="BY66" i="37"/>
  <c r="BZ66" i="37"/>
  <c r="CA66" i="37"/>
  <c r="CB66" i="37"/>
  <c r="CC66" i="37"/>
  <c r="CD66" i="37"/>
  <c r="CE66" i="37"/>
  <c r="CF66" i="37"/>
  <c r="BU67" i="37"/>
  <c r="BV67" i="37"/>
  <c r="BW67" i="37"/>
  <c r="BX67" i="37"/>
  <c r="BY67" i="37"/>
  <c r="BZ67" i="37"/>
  <c r="CA67" i="37"/>
  <c r="CB67" i="37"/>
  <c r="CC67" i="37"/>
  <c r="CD67" i="37"/>
  <c r="CE67" i="37"/>
  <c r="CF67" i="37"/>
  <c r="BU68" i="37"/>
  <c r="BV68" i="37"/>
  <c r="BW68" i="37"/>
  <c r="BX68" i="37"/>
  <c r="BY68" i="37"/>
  <c r="BZ68" i="37"/>
  <c r="CA68" i="37"/>
  <c r="CB68" i="37"/>
  <c r="CC68" i="37"/>
  <c r="CD68" i="37"/>
  <c r="CE68" i="37"/>
  <c r="CF68" i="37"/>
  <c r="BU69" i="37"/>
  <c r="BV69" i="37"/>
  <c r="BW69" i="37"/>
  <c r="BX69" i="37"/>
  <c r="BY69" i="37"/>
  <c r="BZ69" i="37"/>
  <c r="CA69" i="37"/>
  <c r="CB69" i="37"/>
  <c r="CC69" i="37"/>
  <c r="CD69" i="37"/>
  <c r="CE69" i="37"/>
  <c r="CF69" i="37"/>
  <c r="BU70" i="37"/>
  <c r="BV70" i="37"/>
  <c r="BW70" i="37"/>
  <c r="BX70" i="37"/>
  <c r="BY70" i="37"/>
  <c r="BZ70" i="37"/>
  <c r="CA70" i="37"/>
  <c r="CB70" i="37"/>
  <c r="CC70" i="37"/>
  <c r="CD70" i="37"/>
  <c r="CE70" i="37"/>
  <c r="CF70" i="37"/>
  <c r="BU71" i="37"/>
  <c r="BV71" i="37"/>
  <c r="BW71" i="37"/>
  <c r="BX71" i="37"/>
  <c r="BY71" i="37"/>
  <c r="BZ71" i="37"/>
  <c r="CA71" i="37"/>
  <c r="CB71" i="37"/>
  <c r="CC71" i="37"/>
  <c r="CD71" i="37"/>
  <c r="CE71" i="37"/>
  <c r="CF71" i="37"/>
  <c r="BU72" i="37"/>
  <c r="BV72" i="37"/>
  <c r="BW72" i="37"/>
  <c r="BX72" i="37"/>
  <c r="BY72" i="37"/>
  <c r="BZ72" i="37"/>
  <c r="CA72" i="37"/>
  <c r="CB72" i="37"/>
  <c r="CC72" i="37"/>
  <c r="CD72" i="37"/>
  <c r="CE72" i="37"/>
  <c r="CF72" i="37"/>
  <c r="BU73" i="37"/>
  <c r="BV73" i="37"/>
  <c r="BW73" i="37"/>
  <c r="BX73" i="37"/>
  <c r="BY73" i="37"/>
  <c r="BZ73" i="37"/>
  <c r="CA73" i="37"/>
  <c r="CB73" i="37"/>
  <c r="CC73" i="37"/>
  <c r="CD73" i="37"/>
  <c r="CE73" i="37"/>
  <c r="CF73" i="37"/>
  <c r="BU74" i="37"/>
  <c r="BV74" i="37"/>
  <c r="BW74" i="37"/>
  <c r="BX74" i="37"/>
  <c r="BY74" i="37"/>
  <c r="BZ74" i="37"/>
  <c r="CA74" i="37"/>
  <c r="CB74" i="37"/>
  <c r="CC74" i="37"/>
  <c r="CD74" i="37"/>
  <c r="CE74" i="37"/>
  <c r="CF74" i="37"/>
  <c r="BU75" i="37"/>
  <c r="BV75" i="37"/>
  <c r="BW75" i="37"/>
  <c r="BX75" i="37"/>
  <c r="BY75" i="37"/>
  <c r="BZ75" i="37"/>
  <c r="CA75" i="37"/>
  <c r="CB75" i="37"/>
  <c r="CC75" i="37"/>
  <c r="CD75" i="37"/>
  <c r="CE75" i="37"/>
  <c r="CF75" i="37"/>
  <c r="BU76" i="37"/>
  <c r="BV76" i="37"/>
  <c r="BW76" i="37"/>
  <c r="BX76" i="37"/>
  <c r="BY76" i="37"/>
  <c r="BZ76" i="37"/>
  <c r="CA76" i="37"/>
  <c r="CB76" i="37"/>
  <c r="CC76" i="37"/>
  <c r="CD76" i="37"/>
  <c r="CE76" i="37"/>
  <c r="CF76" i="37"/>
  <c r="BU77" i="37"/>
  <c r="BV77" i="37"/>
  <c r="BW77" i="37"/>
  <c r="BX77" i="37"/>
  <c r="BY77" i="37"/>
  <c r="BZ77" i="37"/>
  <c r="CA77" i="37"/>
  <c r="CB77" i="37"/>
  <c r="CC77" i="37"/>
  <c r="CD77" i="37"/>
  <c r="CE77" i="37"/>
  <c r="CF77" i="37"/>
  <c r="BU78" i="37"/>
  <c r="BV78" i="37"/>
  <c r="BW78" i="37"/>
  <c r="BX78" i="37"/>
  <c r="BY78" i="37"/>
  <c r="BZ78" i="37"/>
  <c r="CA78" i="37"/>
  <c r="CB78" i="37"/>
  <c r="CC78" i="37"/>
  <c r="CD78" i="37"/>
  <c r="CE78" i="37"/>
  <c r="CF78" i="37"/>
  <c r="BU79" i="37"/>
  <c r="BV79" i="37"/>
  <c r="BW79" i="37"/>
  <c r="BX79" i="37"/>
  <c r="BY79" i="37"/>
  <c r="BZ79" i="37"/>
  <c r="CA79" i="37"/>
  <c r="CB79" i="37"/>
  <c r="CC79" i="37"/>
  <c r="CD79" i="37"/>
  <c r="CE79" i="37"/>
  <c r="CF79" i="37"/>
  <c r="BU80" i="37"/>
  <c r="BV80" i="37"/>
  <c r="BW80" i="37"/>
  <c r="BX80" i="37"/>
  <c r="BY80" i="37"/>
  <c r="BZ80" i="37"/>
  <c r="CA80" i="37"/>
  <c r="CB80" i="37"/>
  <c r="CC80" i="37"/>
  <c r="CD80" i="37"/>
  <c r="CE80" i="37"/>
  <c r="CF80" i="37"/>
  <c r="BU81" i="37"/>
  <c r="BV81" i="37"/>
  <c r="BW81" i="37"/>
  <c r="BX81" i="37"/>
  <c r="BY81" i="37"/>
  <c r="BZ81" i="37"/>
  <c r="CA81" i="37"/>
  <c r="CB81" i="37"/>
  <c r="CC81" i="37"/>
  <c r="CD81" i="37"/>
  <c r="CE81" i="37"/>
  <c r="CF81" i="37"/>
  <c r="BU82" i="37"/>
  <c r="BV82" i="37"/>
  <c r="BW82" i="37"/>
  <c r="BX82" i="37"/>
  <c r="BY82" i="37"/>
  <c r="BZ82" i="37"/>
  <c r="CA82" i="37"/>
  <c r="CB82" i="37"/>
  <c r="CC82" i="37"/>
  <c r="CD82" i="37"/>
  <c r="CE82" i="37"/>
  <c r="CF82" i="37"/>
  <c r="BU83" i="37"/>
  <c r="BV83" i="37"/>
  <c r="BW83" i="37"/>
  <c r="BX83" i="37"/>
  <c r="BY83" i="37"/>
  <c r="BZ83" i="37"/>
  <c r="CA83" i="37"/>
  <c r="CB83" i="37"/>
  <c r="CC83" i="37"/>
  <c r="CD83" i="37"/>
  <c r="CE83" i="37"/>
  <c r="CF83" i="37"/>
  <c r="BU84" i="37"/>
  <c r="BV84" i="37"/>
  <c r="BW84" i="37"/>
  <c r="BX84" i="37"/>
  <c r="BY84" i="37"/>
  <c r="BZ84" i="37"/>
  <c r="CA84" i="37"/>
  <c r="CB84" i="37"/>
  <c r="CC84" i="37"/>
  <c r="CD84" i="37"/>
  <c r="CE84" i="37"/>
  <c r="CF84" i="37"/>
  <c r="BU85" i="37"/>
  <c r="BV85" i="37"/>
  <c r="BW85" i="37"/>
  <c r="BX85" i="37"/>
  <c r="BY85" i="37"/>
  <c r="BZ85" i="37"/>
  <c r="CA85" i="37"/>
  <c r="CB85" i="37"/>
  <c r="CC85" i="37"/>
  <c r="CD85" i="37"/>
  <c r="CE85" i="37"/>
  <c r="CF85" i="37"/>
  <c r="BU86" i="37"/>
  <c r="BV86" i="37"/>
  <c r="BW86" i="37"/>
  <c r="BX86" i="37"/>
  <c r="BY86" i="37"/>
  <c r="BZ86" i="37"/>
  <c r="CA86" i="37"/>
  <c r="CB86" i="37"/>
  <c r="CC86" i="37"/>
  <c r="CD86" i="37"/>
  <c r="CE86" i="37"/>
  <c r="CF86" i="37"/>
  <c r="BU87" i="37"/>
  <c r="BV87" i="37"/>
  <c r="BW87" i="37"/>
  <c r="BX87" i="37"/>
  <c r="BY87" i="37"/>
  <c r="BZ87" i="37"/>
  <c r="CA87" i="37"/>
  <c r="CB87" i="37"/>
  <c r="CC87" i="37"/>
  <c r="CD87" i="37"/>
  <c r="CE87" i="37"/>
  <c r="CF87" i="37"/>
  <c r="BU88" i="37"/>
  <c r="BV88" i="37"/>
  <c r="BW88" i="37"/>
  <c r="BX88" i="37"/>
  <c r="BY88" i="37"/>
  <c r="BZ88" i="37"/>
  <c r="CA88" i="37"/>
  <c r="CB88" i="37"/>
  <c r="CC88" i="37"/>
  <c r="CD88" i="37"/>
  <c r="CE88" i="37"/>
  <c r="CF88" i="37"/>
  <c r="BU89" i="37"/>
  <c r="BV89" i="37"/>
  <c r="BW89" i="37"/>
  <c r="BX89" i="37"/>
  <c r="BY89" i="37"/>
  <c r="BZ89" i="37"/>
  <c r="CA89" i="37"/>
  <c r="CB89" i="37"/>
  <c r="CC89" i="37"/>
  <c r="CD89" i="37"/>
  <c r="CE89" i="37"/>
  <c r="CF89" i="37"/>
  <c r="BU90" i="37"/>
  <c r="BV90" i="37"/>
  <c r="BW90" i="37"/>
  <c r="BX90" i="37"/>
  <c r="BY90" i="37"/>
  <c r="BZ90" i="37"/>
  <c r="CA90" i="37"/>
  <c r="CB90" i="37"/>
  <c r="CC90" i="37"/>
  <c r="CD90" i="37"/>
  <c r="CE90" i="37"/>
  <c r="CF90" i="37"/>
  <c r="BU91" i="37"/>
  <c r="BV91" i="37"/>
  <c r="BW91" i="37"/>
  <c r="BX91" i="37"/>
  <c r="BY91" i="37"/>
  <c r="BZ91" i="37"/>
  <c r="CA91" i="37"/>
  <c r="CB91" i="37"/>
  <c r="CC91" i="37"/>
  <c r="CD91" i="37"/>
  <c r="CE91" i="37"/>
  <c r="CF91" i="37"/>
  <c r="BU92" i="37"/>
  <c r="BV92" i="37"/>
  <c r="BW92" i="37"/>
  <c r="BX92" i="37"/>
  <c r="BY92" i="37"/>
  <c r="BZ92" i="37"/>
  <c r="CA92" i="37"/>
  <c r="CB92" i="37"/>
  <c r="CC92" i="37"/>
  <c r="CD92" i="37"/>
  <c r="CE92" i="37"/>
  <c r="CF92" i="37"/>
  <c r="BU93" i="37"/>
  <c r="BV93" i="37"/>
  <c r="BW93" i="37"/>
  <c r="BX93" i="37"/>
  <c r="BY93" i="37"/>
  <c r="BZ93" i="37"/>
  <c r="CA93" i="37"/>
  <c r="CB93" i="37"/>
  <c r="CC93" i="37"/>
  <c r="CD93" i="37"/>
  <c r="CE93" i="37"/>
  <c r="CF93" i="37"/>
  <c r="BU94" i="37"/>
  <c r="BV94" i="37"/>
  <c r="BW94" i="37"/>
  <c r="BX94" i="37"/>
  <c r="BY94" i="37"/>
  <c r="BZ94" i="37"/>
  <c r="CA94" i="37"/>
  <c r="CB94" i="37"/>
  <c r="CC94" i="37"/>
  <c r="CD94" i="37"/>
  <c r="CE94" i="37"/>
  <c r="CF94" i="37"/>
  <c r="BU95" i="37"/>
  <c r="BV95" i="37"/>
  <c r="BW95" i="37"/>
  <c r="BX95" i="37"/>
  <c r="BY95" i="37"/>
  <c r="BZ95" i="37"/>
  <c r="CA95" i="37"/>
  <c r="CB95" i="37"/>
  <c r="CC95" i="37"/>
  <c r="CD95" i="37"/>
  <c r="CE95" i="37"/>
  <c r="CF95" i="37"/>
  <c r="BU96" i="37"/>
  <c r="BV96" i="37"/>
  <c r="BW96" i="37"/>
  <c r="BX96" i="37"/>
  <c r="BY96" i="37"/>
  <c r="BZ96" i="37"/>
  <c r="CA96" i="37"/>
  <c r="CB96" i="37"/>
  <c r="CC96" i="37"/>
  <c r="CD96" i="37"/>
  <c r="CE96" i="37"/>
  <c r="CF96" i="37"/>
  <c r="BU97" i="37"/>
  <c r="BV97" i="37"/>
  <c r="BW97" i="37"/>
  <c r="BX97" i="37"/>
  <c r="BY97" i="37"/>
  <c r="BZ97" i="37"/>
  <c r="CA97" i="37"/>
  <c r="CB97" i="37"/>
  <c r="CC97" i="37"/>
  <c r="CD97" i="37"/>
  <c r="CE97" i="37"/>
  <c r="CF97" i="37"/>
  <c r="BU98" i="37"/>
  <c r="BV98" i="37"/>
  <c r="BW98" i="37"/>
  <c r="BX98" i="37"/>
  <c r="BY98" i="37"/>
  <c r="BZ98" i="37"/>
  <c r="CA98" i="37"/>
  <c r="CB98" i="37"/>
  <c r="CC98" i="37"/>
  <c r="CD98" i="37"/>
  <c r="CE98" i="37"/>
  <c r="CF98" i="37"/>
  <c r="BU99" i="37"/>
  <c r="BV99" i="37"/>
  <c r="BW99" i="37"/>
  <c r="BX99" i="37"/>
  <c r="BY99" i="37"/>
  <c r="BZ99" i="37"/>
  <c r="CA99" i="37"/>
  <c r="CB99" i="37"/>
  <c r="CC99" i="37"/>
  <c r="CD99" i="37"/>
  <c r="CE99" i="37"/>
  <c r="CF99" i="37"/>
  <c r="BU100" i="37"/>
  <c r="BV100" i="37"/>
  <c r="BW100" i="37"/>
  <c r="BX100" i="37"/>
  <c r="BY100" i="37"/>
  <c r="BZ100" i="37"/>
  <c r="CA100" i="37"/>
  <c r="CB100" i="37"/>
  <c r="CC100" i="37"/>
  <c r="CD100" i="37"/>
  <c r="CE100" i="37"/>
  <c r="CF100" i="37"/>
  <c r="BU101" i="37"/>
  <c r="BV101" i="37"/>
  <c r="BW101" i="37"/>
  <c r="BX101" i="37"/>
  <c r="BY101" i="37"/>
  <c r="BZ101" i="37"/>
  <c r="CA101" i="37"/>
  <c r="CB101" i="37"/>
  <c r="CC101" i="37"/>
  <c r="CD101" i="37"/>
  <c r="CE101" i="37"/>
  <c r="CF101" i="37"/>
  <c r="BU102" i="37"/>
  <c r="BV102" i="37"/>
  <c r="BW102" i="37"/>
  <c r="BX102" i="37"/>
  <c r="BY102" i="37"/>
  <c r="BZ102" i="37"/>
  <c r="CA102" i="37"/>
  <c r="CB102" i="37"/>
  <c r="CC102" i="37"/>
  <c r="CD102" i="37"/>
  <c r="CE102" i="37"/>
  <c r="CF102" i="37"/>
  <c r="BU103" i="37"/>
  <c r="BV103" i="37"/>
  <c r="BW103" i="37"/>
  <c r="BX103" i="37"/>
  <c r="BY103" i="37"/>
  <c r="BZ103" i="37"/>
  <c r="CA103" i="37"/>
  <c r="CB103" i="37"/>
  <c r="CC103" i="37"/>
  <c r="CD103" i="37"/>
  <c r="CE103" i="37"/>
  <c r="CF103" i="37"/>
  <c r="BU104" i="37"/>
  <c r="BV104" i="37"/>
  <c r="BW104" i="37"/>
  <c r="BX104" i="37"/>
  <c r="BY104" i="37"/>
  <c r="BZ104" i="37"/>
  <c r="CA104" i="37"/>
  <c r="CB104" i="37"/>
  <c r="CC104" i="37"/>
  <c r="CD104" i="37"/>
  <c r="CE104" i="37"/>
  <c r="CF104" i="37"/>
  <c r="BU105" i="37"/>
  <c r="BV105" i="37"/>
  <c r="BW105" i="37"/>
  <c r="BX105" i="37"/>
  <c r="BY105" i="37"/>
  <c r="BZ105" i="37"/>
  <c r="CA105" i="37"/>
  <c r="CB105" i="37"/>
  <c r="CC105" i="37"/>
  <c r="CD105" i="37"/>
  <c r="CE105" i="37"/>
  <c r="CF105" i="37"/>
  <c r="BU106" i="37"/>
  <c r="BV106" i="37"/>
  <c r="BW106" i="37"/>
  <c r="BX106" i="37"/>
  <c r="BY106" i="37"/>
  <c r="BZ106" i="37"/>
  <c r="CA106" i="37"/>
  <c r="CB106" i="37"/>
  <c r="CC106" i="37"/>
  <c r="CD106" i="37"/>
  <c r="CE106" i="37"/>
  <c r="CF106" i="37"/>
  <c r="BU107" i="37"/>
  <c r="BV107" i="37"/>
  <c r="BW107" i="37"/>
  <c r="BX107" i="37"/>
  <c r="BY107" i="37"/>
  <c r="BZ107" i="37"/>
  <c r="CA107" i="37"/>
  <c r="CB107" i="37"/>
  <c r="CC107" i="37"/>
  <c r="CD107" i="37"/>
  <c r="CE107" i="37"/>
  <c r="CF107" i="37"/>
  <c r="BU108" i="37"/>
  <c r="BV108" i="37"/>
  <c r="BW108" i="37"/>
  <c r="BX108" i="37"/>
  <c r="BY108" i="37"/>
  <c r="BZ108" i="37"/>
  <c r="CA108" i="37"/>
  <c r="CB108" i="37"/>
  <c r="CC108" i="37"/>
  <c r="CD108" i="37"/>
  <c r="CE108" i="37"/>
  <c r="CF108" i="37"/>
  <c r="BU109" i="37"/>
  <c r="BV109" i="37"/>
  <c r="BW109" i="37"/>
  <c r="BX109" i="37"/>
  <c r="BY109" i="37"/>
  <c r="BZ109" i="37"/>
  <c r="CA109" i="37"/>
  <c r="CB109" i="37"/>
  <c r="CC109" i="37"/>
  <c r="CD109" i="37"/>
  <c r="CE109" i="37"/>
  <c r="CF109" i="37"/>
  <c r="BU110" i="37"/>
  <c r="BV110" i="37"/>
  <c r="BW110" i="37"/>
  <c r="BX110" i="37"/>
  <c r="BY110" i="37"/>
  <c r="BZ110" i="37"/>
  <c r="CA110" i="37"/>
  <c r="CB110" i="37"/>
  <c r="CC110" i="37"/>
  <c r="CD110" i="37"/>
  <c r="CE110" i="37"/>
  <c r="CF110" i="37"/>
  <c r="BU111" i="37"/>
  <c r="BV111" i="37"/>
  <c r="BW111" i="37"/>
  <c r="BX111" i="37"/>
  <c r="BY111" i="37"/>
  <c r="BZ111" i="37"/>
  <c r="CA111" i="37"/>
  <c r="CB111" i="37"/>
  <c r="CC111" i="37"/>
  <c r="CD111" i="37"/>
  <c r="CE111" i="37"/>
  <c r="CF111" i="37"/>
  <c r="BU112" i="37"/>
  <c r="BV112" i="37"/>
  <c r="BW112" i="37"/>
  <c r="BX112" i="37"/>
  <c r="BY112" i="37"/>
  <c r="BZ112" i="37"/>
  <c r="CA112" i="37"/>
  <c r="CB112" i="37"/>
  <c r="CC112" i="37"/>
  <c r="CD112" i="37"/>
  <c r="CE112" i="37"/>
  <c r="CF112" i="37"/>
  <c r="BU113" i="37"/>
  <c r="BV113" i="37"/>
  <c r="BW113" i="37"/>
  <c r="BX113" i="37"/>
  <c r="BY113" i="37"/>
  <c r="BZ113" i="37"/>
  <c r="CA113" i="37"/>
  <c r="CB113" i="37"/>
  <c r="CC113" i="37"/>
  <c r="CD113" i="37"/>
  <c r="CE113" i="37"/>
  <c r="CF113" i="37"/>
  <c r="BU114" i="37"/>
  <c r="BV114" i="37"/>
  <c r="BW114" i="37"/>
  <c r="BX114" i="37"/>
  <c r="BY114" i="37"/>
  <c r="BZ114" i="37"/>
  <c r="CA114" i="37"/>
  <c r="CB114" i="37"/>
  <c r="CC114" i="37"/>
  <c r="CD114" i="37"/>
  <c r="CE114" i="37"/>
  <c r="CF114" i="37"/>
  <c r="BU115" i="37"/>
  <c r="BV115" i="37"/>
  <c r="BW115" i="37"/>
  <c r="BX115" i="37"/>
  <c r="BY115" i="37"/>
  <c r="BZ115" i="37"/>
  <c r="CA115" i="37"/>
  <c r="CB115" i="37"/>
  <c r="CC115" i="37"/>
  <c r="CD115" i="37"/>
  <c r="CE115" i="37"/>
  <c r="CF115" i="37"/>
  <c r="BU116" i="37"/>
  <c r="BV116" i="37"/>
  <c r="BW116" i="37"/>
  <c r="BX116" i="37"/>
  <c r="BY116" i="37"/>
  <c r="BZ116" i="37"/>
  <c r="CA116" i="37"/>
  <c r="CB116" i="37"/>
  <c r="CC116" i="37"/>
  <c r="CD116" i="37"/>
  <c r="CE116" i="37"/>
  <c r="CF116" i="37"/>
  <c r="BU117" i="37"/>
  <c r="BV117" i="37"/>
  <c r="BW117" i="37"/>
  <c r="BX117" i="37"/>
  <c r="BY117" i="37"/>
  <c r="BZ117" i="37"/>
  <c r="CA117" i="37"/>
  <c r="CB117" i="37"/>
  <c r="CC117" i="37"/>
  <c r="CD117" i="37"/>
  <c r="CE117" i="37"/>
  <c r="CF117" i="37"/>
  <c r="BU118" i="37"/>
  <c r="BV118" i="37"/>
  <c r="BW118" i="37"/>
  <c r="BX118" i="37"/>
  <c r="BY118" i="37"/>
  <c r="BZ118" i="37"/>
  <c r="CA118" i="37"/>
  <c r="CB118" i="37"/>
  <c r="CC118" i="37"/>
  <c r="CD118" i="37"/>
  <c r="CE118" i="37"/>
  <c r="CF118" i="37"/>
  <c r="BU119" i="37"/>
  <c r="BV119" i="37"/>
  <c r="BW119" i="37"/>
  <c r="BX119" i="37"/>
  <c r="BY119" i="37"/>
  <c r="BZ119" i="37"/>
  <c r="CA119" i="37"/>
  <c r="CB119" i="37"/>
  <c r="CC119" i="37"/>
  <c r="CD119" i="37"/>
  <c r="CE119" i="37"/>
  <c r="CF119" i="37"/>
  <c r="BU120" i="37"/>
  <c r="BV120" i="37"/>
  <c r="BW120" i="37"/>
  <c r="BX120" i="37"/>
  <c r="BY120" i="37"/>
  <c r="BZ120" i="37"/>
  <c r="CA120" i="37"/>
  <c r="CB120" i="37"/>
  <c r="CC120" i="37"/>
  <c r="CD120" i="37"/>
  <c r="CE120" i="37"/>
  <c r="CF120" i="37"/>
  <c r="BU121" i="37"/>
  <c r="BV121" i="37"/>
  <c r="BW121" i="37"/>
  <c r="BX121" i="37"/>
  <c r="BY121" i="37"/>
  <c r="BZ121" i="37"/>
  <c r="CA121" i="37"/>
  <c r="CB121" i="37"/>
  <c r="CC121" i="37"/>
  <c r="CD121" i="37"/>
  <c r="CE121" i="37"/>
  <c r="CF121" i="37"/>
  <c r="BU122" i="37"/>
  <c r="BV122" i="37"/>
  <c r="BW122" i="37"/>
  <c r="BX122" i="37"/>
  <c r="BY122" i="37"/>
  <c r="BZ122" i="37"/>
  <c r="CA122" i="37"/>
  <c r="CB122" i="37"/>
  <c r="CC122" i="37"/>
  <c r="CD122" i="37"/>
  <c r="CE122" i="37"/>
  <c r="CF122" i="37"/>
  <c r="BU123" i="37"/>
  <c r="BV123" i="37"/>
  <c r="BW123" i="37"/>
  <c r="BX123" i="37"/>
  <c r="BY123" i="37"/>
  <c r="BZ123" i="37"/>
  <c r="CA123" i="37"/>
  <c r="CB123" i="37"/>
  <c r="CC123" i="37"/>
  <c r="CD123" i="37"/>
  <c r="CE123" i="37"/>
  <c r="CF123" i="37"/>
  <c r="BU124" i="37"/>
  <c r="BV124" i="37"/>
  <c r="BW124" i="37"/>
  <c r="BX124" i="37"/>
  <c r="BY124" i="37"/>
  <c r="BZ124" i="37"/>
  <c r="CA124" i="37"/>
  <c r="CB124" i="37"/>
  <c r="CC124" i="37"/>
  <c r="CD124" i="37"/>
  <c r="CE124" i="37"/>
  <c r="CF124" i="37"/>
  <c r="BU125" i="37"/>
  <c r="BV125" i="37"/>
  <c r="BW125" i="37"/>
  <c r="BX125" i="37"/>
  <c r="BY125" i="37"/>
  <c r="BZ125" i="37"/>
  <c r="CA125" i="37"/>
  <c r="CB125" i="37"/>
  <c r="CC125" i="37"/>
  <c r="CD125" i="37"/>
  <c r="CE125" i="37"/>
  <c r="CF125" i="37"/>
  <c r="BU126" i="37"/>
  <c r="BV126" i="37"/>
  <c r="BW126" i="37"/>
  <c r="BX126" i="37"/>
  <c r="BY126" i="37"/>
  <c r="BZ126" i="37"/>
  <c r="CA126" i="37"/>
  <c r="CB126" i="37"/>
  <c r="CC126" i="37"/>
  <c r="CD126" i="37"/>
  <c r="CE126" i="37"/>
  <c r="CF126" i="37"/>
  <c r="BU127" i="37"/>
  <c r="BV127" i="37"/>
  <c r="BW127" i="37"/>
  <c r="BX127" i="37"/>
  <c r="BY127" i="37"/>
  <c r="BZ127" i="37"/>
  <c r="CA127" i="37"/>
  <c r="CB127" i="37"/>
  <c r="CC127" i="37"/>
  <c r="CD127" i="37"/>
  <c r="CE127" i="37"/>
  <c r="CF127" i="37"/>
  <c r="BU128" i="37"/>
  <c r="BV128" i="37"/>
  <c r="BW128" i="37"/>
  <c r="BX128" i="37"/>
  <c r="BY128" i="37"/>
  <c r="BZ128" i="37"/>
  <c r="CA128" i="37"/>
  <c r="CB128" i="37"/>
  <c r="CC128" i="37"/>
  <c r="CD128" i="37"/>
  <c r="CE128" i="37"/>
  <c r="CF128" i="37"/>
  <c r="BU129" i="37"/>
  <c r="BV129" i="37"/>
  <c r="BW129" i="37"/>
  <c r="BX129" i="37"/>
  <c r="BY129" i="37"/>
  <c r="BZ129" i="37"/>
  <c r="CA129" i="37"/>
  <c r="CB129" i="37"/>
  <c r="CC129" i="37"/>
  <c r="CD129" i="37"/>
  <c r="CE129" i="37"/>
  <c r="CF129" i="37"/>
  <c r="BU130" i="37"/>
  <c r="BV130" i="37"/>
  <c r="BW130" i="37"/>
  <c r="BX130" i="37"/>
  <c r="BY130" i="37"/>
  <c r="BZ130" i="37"/>
  <c r="CA130" i="37"/>
  <c r="CB130" i="37"/>
  <c r="CC130" i="37"/>
  <c r="CD130" i="37"/>
  <c r="CE130" i="37"/>
  <c r="CF130" i="37"/>
  <c r="BU131" i="37"/>
  <c r="BV131" i="37"/>
  <c r="BW131" i="37"/>
  <c r="BX131" i="37"/>
  <c r="BY131" i="37"/>
  <c r="BZ131" i="37"/>
  <c r="CA131" i="37"/>
  <c r="CB131" i="37"/>
  <c r="CC131" i="37"/>
  <c r="CD131" i="37"/>
  <c r="CE131" i="37"/>
  <c r="CF131" i="37"/>
  <c r="BU132" i="37"/>
  <c r="BV132" i="37"/>
  <c r="BW132" i="37"/>
  <c r="BX132" i="37"/>
  <c r="BY132" i="37"/>
  <c r="BZ132" i="37"/>
  <c r="CA132" i="37"/>
  <c r="CB132" i="37"/>
  <c r="CC132" i="37"/>
  <c r="CD132" i="37"/>
  <c r="CE132" i="37"/>
  <c r="CF132" i="37"/>
  <c r="BU133" i="37"/>
  <c r="BV133" i="37"/>
  <c r="BW133" i="37"/>
  <c r="BX133" i="37"/>
  <c r="BY133" i="37"/>
  <c r="BZ133" i="37"/>
  <c r="CA133" i="37"/>
  <c r="CB133" i="37"/>
  <c r="CC133" i="37"/>
  <c r="CD133" i="37"/>
  <c r="CE133" i="37"/>
  <c r="CF133" i="37"/>
  <c r="BU134" i="37"/>
  <c r="BV134" i="37"/>
  <c r="BW134" i="37"/>
  <c r="BX134" i="37"/>
  <c r="BY134" i="37"/>
  <c r="BZ134" i="37"/>
  <c r="CA134" i="37"/>
  <c r="CB134" i="37"/>
  <c r="CC134" i="37"/>
  <c r="CD134" i="37"/>
  <c r="CE134" i="37"/>
  <c r="CF134" i="37"/>
  <c r="BU135" i="37"/>
  <c r="BV135" i="37"/>
  <c r="BW135" i="37"/>
  <c r="BX135" i="37"/>
  <c r="BY135" i="37"/>
  <c r="BZ135" i="37"/>
  <c r="CA135" i="37"/>
  <c r="CB135" i="37"/>
  <c r="CC135" i="37"/>
  <c r="CD135" i="37"/>
  <c r="CE135" i="37"/>
  <c r="CF135" i="37"/>
  <c r="BU136" i="37"/>
  <c r="BV136" i="37"/>
  <c r="BW136" i="37"/>
  <c r="BX136" i="37"/>
  <c r="BY136" i="37"/>
  <c r="BZ136" i="37"/>
  <c r="CA136" i="37"/>
  <c r="CB136" i="37"/>
  <c r="CC136" i="37"/>
  <c r="CD136" i="37"/>
  <c r="CE136" i="37"/>
  <c r="CF136" i="37"/>
  <c r="BU137" i="37"/>
  <c r="BV137" i="37"/>
  <c r="BW137" i="37"/>
  <c r="BX137" i="37"/>
  <c r="BY137" i="37"/>
  <c r="BZ137" i="37"/>
  <c r="CA137" i="37"/>
  <c r="CB137" i="37"/>
  <c r="CC137" i="37"/>
  <c r="CD137" i="37"/>
  <c r="CE137" i="37"/>
  <c r="CF137" i="37"/>
  <c r="BU138" i="37"/>
  <c r="BV138" i="37"/>
  <c r="BW138" i="37"/>
  <c r="BX138" i="37"/>
  <c r="BY138" i="37"/>
  <c r="BZ138" i="37"/>
  <c r="CA138" i="37"/>
  <c r="CB138" i="37"/>
  <c r="CC138" i="37"/>
  <c r="CD138" i="37"/>
  <c r="CE138" i="37"/>
  <c r="CF138" i="37"/>
  <c r="BU139" i="37"/>
  <c r="BV139" i="37"/>
  <c r="BW139" i="37"/>
  <c r="BX139" i="37"/>
  <c r="BY139" i="37"/>
  <c r="BZ139" i="37"/>
  <c r="CA139" i="37"/>
  <c r="CB139" i="37"/>
  <c r="CC139" i="37"/>
  <c r="CD139" i="37"/>
  <c r="CE139" i="37"/>
  <c r="CF139" i="37"/>
  <c r="BU140" i="37"/>
  <c r="BV140" i="37"/>
  <c r="BW140" i="37"/>
  <c r="BX140" i="37"/>
  <c r="BY140" i="37"/>
  <c r="BZ140" i="37"/>
  <c r="CA140" i="37"/>
  <c r="CB140" i="37"/>
  <c r="CC140" i="37"/>
  <c r="CD140" i="37"/>
  <c r="CE140" i="37"/>
  <c r="CF140" i="37"/>
  <c r="BU141" i="37"/>
  <c r="BV141" i="37"/>
  <c r="BW141" i="37"/>
  <c r="BX141" i="37"/>
  <c r="BY141" i="37"/>
  <c r="BZ141" i="37"/>
  <c r="CA141" i="37"/>
  <c r="CB141" i="37"/>
  <c r="CC141" i="37"/>
  <c r="CD141" i="37"/>
  <c r="CE141" i="37"/>
  <c r="CF141" i="37"/>
  <c r="BU142" i="37"/>
  <c r="BV142" i="37"/>
  <c r="BW142" i="37"/>
  <c r="BX142" i="37"/>
  <c r="BY142" i="37"/>
  <c r="BZ142" i="37"/>
  <c r="CA142" i="37"/>
  <c r="CB142" i="37"/>
  <c r="CC142" i="37"/>
  <c r="CD142" i="37"/>
  <c r="CE142" i="37"/>
  <c r="CF142" i="37"/>
  <c r="BU143" i="37"/>
  <c r="BV143" i="37"/>
  <c r="BW143" i="37"/>
  <c r="BX143" i="37"/>
  <c r="BY143" i="37"/>
  <c r="BZ143" i="37"/>
  <c r="CA143" i="37"/>
  <c r="CB143" i="37"/>
  <c r="CC143" i="37"/>
  <c r="CD143" i="37"/>
  <c r="CE143" i="37"/>
  <c r="CF143" i="37"/>
  <c r="BU144" i="37"/>
  <c r="BV144" i="37"/>
  <c r="BW144" i="37"/>
  <c r="BX144" i="37"/>
  <c r="BY144" i="37"/>
  <c r="BZ144" i="37"/>
  <c r="CA144" i="37"/>
  <c r="CB144" i="37"/>
  <c r="CC144" i="37"/>
  <c r="CD144" i="37"/>
  <c r="CE144" i="37"/>
  <c r="CF144" i="37"/>
  <c r="BU145" i="37"/>
  <c r="BV145" i="37"/>
  <c r="BW145" i="37"/>
  <c r="BX145" i="37"/>
  <c r="BY145" i="37"/>
  <c r="BZ145" i="37"/>
  <c r="CA145" i="37"/>
  <c r="CB145" i="37"/>
  <c r="CC145" i="37"/>
  <c r="CD145" i="37"/>
  <c r="CE145" i="37"/>
  <c r="CF145" i="37"/>
  <c r="BU146" i="37"/>
  <c r="BV146" i="37"/>
  <c r="BW146" i="37"/>
  <c r="BX146" i="37"/>
  <c r="BY146" i="37"/>
  <c r="BZ146" i="37"/>
  <c r="CA146" i="37"/>
  <c r="CB146" i="37"/>
  <c r="CC146" i="37"/>
  <c r="CD146" i="37"/>
  <c r="CE146" i="37"/>
  <c r="CF146" i="37"/>
  <c r="BU147" i="37"/>
  <c r="BV147" i="37"/>
  <c r="BW147" i="37"/>
  <c r="BX147" i="37"/>
  <c r="BY147" i="37"/>
  <c r="BZ147" i="37"/>
  <c r="CA147" i="37"/>
  <c r="CB147" i="37"/>
  <c r="CC147" i="37"/>
  <c r="CD147" i="37"/>
  <c r="CE147" i="37"/>
  <c r="CF147" i="37"/>
  <c r="BU148" i="37"/>
  <c r="BV148" i="37"/>
  <c r="BW148" i="37"/>
  <c r="BX148" i="37"/>
  <c r="BY148" i="37"/>
  <c r="BZ148" i="37"/>
  <c r="CA148" i="37"/>
  <c r="CB148" i="37"/>
  <c r="CC148" i="37"/>
  <c r="CD148" i="37"/>
  <c r="CE148" i="37"/>
  <c r="CF148" i="37"/>
  <c r="BU149" i="37"/>
  <c r="BV149" i="37"/>
  <c r="BW149" i="37"/>
  <c r="BX149" i="37"/>
  <c r="BY149" i="37"/>
  <c r="BZ149" i="37"/>
  <c r="CA149" i="37"/>
  <c r="CB149" i="37"/>
  <c r="CC149" i="37"/>
  <c r="CD149" i="37"/>
  <c r="CE149" i="37"/>
  <c r="CF149" i="37"/>
  <c r="BU150" i="37"/>
  <c r="BV150" i="37"/>
  <c r="BW150" i="37"/>
  <c r="BX150" i="37"/>
  <c r="BY150" i="37"/>
  <c r="BZ150" i="37"/>
  <c r="CA150" i="37"/>
  <c r="CB150" i="37"/>
  <c r="CC150" i="37"/>
  <c r="CD150" i="37"/>
  <c r="CE150" i="37"/>
  <c r="CF150" i="37"/>
  <c r="BU151" i="37"/>
  <c r="BV151" i="37"/>
  <c r="BW151" i="37"/>
  <c r="BX151" i="37"/>
  <c r="BY151" i="37"/>
  <c r="BZ151" i="37"/>
  <c r="CA151" i="37"/>
  <c r="CB151" i="37"/>
  <c r="CC151" i="37"/>
  <c r="CD151" i="37"/>
  <c r="CE151" i="37"/>
  <c r="CF151" i="37"/>
  <c r="BU152" i="37"/>
  <c r="BV152" i="37"/>
  <c r="BW152" i="37"/>
  <c r="BX152" i="37"/>
  <c r="BY152" i="37"/>
  <c r="BZ152" i="37"/>
  <c r="CA152" i="37"/>
  <c r="CB152" i="37"/>
  <c r="CC152" i="37"/>
  <c r="CD152" i="37"/>
  <c r="CE152" i="37"/>
  <c r="CF152" i="37"/>
  <c r="BU153" i="37"/>
  <c r="BV153" i="37"/>
  <c r="BW153" i="37"/>
  <c r="BX153" i="37"/>
  <c r="BY153" i="37"/>
  <c r="BZ153" i="37"/>
  <c r="CA153" i="37"/>
  <c r="CB153" i="37"/>
  <c r="CC153" i="37"/>
  <c r="CD153" i="37"/>
  <c r="CE153" i="37"/>
  <c r="CF153" i="37"/>
  <c r="BU154" i="37"/>
  <c r="BV154" i="37"/>
  <c r="BW154" i="37"/>
  <c r="BX154" i="37"/>
  <c r="BY154" i="37"/>
  <c r="BZ154" i="37"/>
  <c r="CA154" i="37"/>
  <c r="CB154" i="37"/>
  <c r="CC154" i="37"/>
  <c r="CD154" i="37"/>
  <c r="CE154" i="37"/>
  <c r="CF154" i="37"/>
  <c r="BU155" i="37"/>
  <c r="BV155" i="37"/>
  <c r="BW155" i="37"/>
  <c r="BX155" i="37"/>
  <c r="BY155" i="37"/>
  <c r="BZ155" i="37"/>
  <c r="CA155" i="37"/>
  <c r="CB155" i="37"/>
  <c r="CC155" i="37"/>
  <c r="CD155" i="37"/>
  <c r="CE155" i="37"/>
  <c r="CF155" i="37"/>
  <c r="BU156" i="37"/>
  <c r="BV156" i="37"/>
  <c r="BW156" i="37"/>
  <c r="BX156" i="37"/>
  <c r="BY156" i="37"/>
  <c r="BZ156" i="37"/>
  <c r="CA156" i="37"/>
  <c r="CB156" i="37"/>
  <c r="CC156" i="37"/>
  <c r="CD156" i="37"/>
  <c r="CE156" i="37"/>
  <c r="CF156" i="37"/>
  <c r="BU157" i="37"/>
  <c r="BV157" i="37"/>
  <c r="BW157" i="37"/>
  <c r="BX157" i="37"/>
  <c r="BY157" i="37"/>
  <c r="BZ157" i="37"/>
  <c r="CA157" i="37"/>
  <c r="CB157" i="37"/>
  <c r="CC157" i="37"/>
  <c r="CD157" i="37"/>
  <c r="CE157" i="37"/>
  <c r="CF157" i="37"/>
  <c r="BU158" i="37"/>
  <c r="BV158" i="37"/>
  <c r="BW158" i="37"/>
  <c r="BX158" i="37"/>
  <c r="BY158" i="37"/>
  <c r="BZ158" i="37"/>
  <c r="CA158" i="37"/>
  <c r="CB158" i="37"/>
  <c r="CC158" i="37"/>
  <c r="CD158" i="37"/>
  <c r="CE158" i="37"/>
  <c r="CF158" i="37"/>
  <c r="BU159" i="37"/>
  <c r="BV159" i="37"/>
  <c r="BW159" i="37"/>
  <c r="BX159" i="37"/>
  <c r="BY159" i="37"/>
  <c r="BZ159" i="37"/>
  <c r="CA159" i="37"/>
  <c r="CB159" i="37"/>
  <c r="CC159" i="37"/>
  <c r="CD159" i="37"/>
  <c r="CE159" i="37"/>
  <c r="CF159" i="37"/>
  <c r="BU160" i="37"/>
  <c r="BV160" i="37"/>
  <c r="BW160" i="37"/>
  <c r="BX160" i="37"/>
  <c r="BY160" i="37"/>
  <c r="BZ160" i="37"/>
  <c r="CA160" i="37"/>
  <c r="CB160" i="37"/>
  <c r="CC160" i="37"/>
  <c r="CD160" i="37"/>
  <c r="CE160" i="37"/>
  <c r="CF160" i="37"/>
  <c r="BU161" i="37"/>
  <c r="BV161" i="37"/>
  <c r="BW161" i="37"/>
  <c r="BX161" i="37"/>
  <c r="BY161" i="37"/>
  <c r="BZ161" i="37"/>
  <c r="CA161" i="37"/>
  <c r="CB161" i="37"/>
  <c r="CC161" i="37"/>
  <c r="CD161" i="37"/>
  <c r="CE161" i="37"/>
  <c r="CF161" i="37"/>
  <c r="BU162" i="37"/>
  <c r="BV162" i="37"/>
  <c r="BW162" i="37"/>
  <c r="BX162" i="37"/>
  <c r="BY162" i="37"/>
  <c r="BZ162" i="37"/>
  <c r="CA162" i="37"/>
  <c r="CB162" i="37"/>
  <c r="CC162" i="37"/>
  <c r="CD162" i="37"/>
  <c r="CE162" i="37"/>
  <c r="CF162" i="37"/>
  <c r="BU163" i="37"/>
  <c r="BV163" i="37"/>
  <c r="BW163" i="37"/>
  <c r="BX163" i="37"/>
  <c r="BY163" i="37"/>
  <c r="BZ163" i="37"/>
  <c r="CA163" i="37"/>
  <c r="CB163" i="37"/>
  <c r="CC163" i="37"/>
  <c r="CD163" i="37"/>
  <c r="CE163" i="37"/>
  <c r="CF163" i="37"/>
  <c r="BU164" i="37"/>
  <c r="BV164" i="37"/>
  <c r="BW164" i="37"/>
  <c r="BX164" i="37"/>
  <c r="BY164" i="37"/>
  <c r="BZ164" i="37"/>
  <c r="CA164" i="37"/>
  <c r="CB164" i="37"/>
  <c r="CC164" i="37"/>
  <c r="CD164" i="37"/>
  <c r="CE164" i="37"/>
  <c r="CF164" i="37"/>
  <c r="BU165" i="37"/>
  <c r="BV165" i="37"/>
  <c r="BW165" i="37"/>
  <c r="BX165" i="37"/>
  <c r="BY165" i="37"/>
  <c r="BZ165" i="37"/>
  <c r="CA165" i="37"/>
  <c r="CB165" i="37"/>
  <c r="CC165" i="37"/>
  <c r="CD165" i="37"/>
  <c r="CE165" i="37"/>
  <c r="CF165" i="37"/>
  <c r="BU166" i="37"/>
  <c r="BV166" i="37"/>
  <c r="BW166" i="37"/>
  <c r="BX166" i="37"/>
  <c r="BY166" i="37"/>
  <c r="BZ166" i="37"/>
  <c r="CA166" i="37"/>
  <c r="CB166" i="37"/>
  <c r="CC166" i="37"/>
  <c r="CD166" i="37"/>
  <c r="CE166" i="37"/>
  <c r="CF166" i="37"/>
  <c r="BU167" i="37"/>
  <c r="BV167" i="37"/>
  <c r="BW167" i="37"/>
  <c r="BX167" i="37"/>
  <c r="BY167" i="37"/>
  <c r="BZ167" i="37"/>
  <c r="CA167" i="37"/>
  <c r="CB167" i="37"/>
  <c r="CC167" i="37"/>
  <c r="CD167" i="37"/>
  <c r="CE167" i="37"/>
  <c r="CF167" i="37"/>
  <c r="BU168" i="37"/>
  <c r="BV168" i="37"/>
  <c r="BW168" i="37"/>
  <c r="BX168" i="37"/>
  <c r="BY168" i="37"/>
  <c r="BZ168" i="37"/>
  <c r="CA168" i="37"/>
  <c r="CB168" i="37"/>
  <c r="CC168" i="37"/>
  <c r="CD168" i="37"/>
  <c r="CE168" i="37"/>
  <c r="CF168" i="37"/>
  <c r="BU169" i="37"/>
  <c r="BV169" i="37"/>
  <c r="BW169" i="37"/>
  <c r="BX169" i="37"/>
  <c r="BY169" i="37"/>
  <c r="BZ169" i="37"/>
  <c r="CA169" i="37"/>
  <c r="CB169" i="37"/>
  <c r="CC169" i="37"/>
  <c r="CD169" i="37"/>
  <c r="CE169" i="37"/>
  <c r="CF169" i="37"/>
  <c r="BU170" i="37"/>
  <c r="BV170" i="37"/>
  <c r="BW170" i="37"/>
  <c r="BX170" i="37"/>
  <c r="BY170" i="37"/>
  <c r="BZ170" i="37"/>
  <c r="CA170" i="37"/>
  <c r="CB170" i="37"/>
  <c r="CC170" i="37"/>
  <c r="CD170" i="37"/>
  <c r="CE170" i="37"/>
  <c r="CF170" i="37"/>
  <c r="BU171" i="37"/>
  <c r="BV171" i="37"/>
  <c r="BW171" i="37"/>
  <c r="BX171" i="37"/>
  <c r="BY171" i="37"/>
  <c r="BZ171" i="37"/>
  <c r="CA171" i="37"/>
  <c r="CB171" i="37"/>
  <c r="CC171" i="37"/>
  <c r="CD171" i="37"/>
  <c r="CE171" i="37"/>
  <c r="CF171" i="37"/>
  <c r="BU172" i="37"/>
  <c r="BV172" i="37"/>
  <c r="BW172" i="37"/>
  <c r="BX172" i="37"/>
  <c r="BY172" i="37"/>
  <c r="BZ172" i="37"/>
  <c r="CA172" i="37"/>
  <c r="CB172" i="37"/>
  <c r="CC172" i="37"/>
  <c r="CD172" i="37"/>
  <c r="CE172" i="37"/>
  <c r="CF172" i="37"/>
  <c r="BU173" i="37"/>
  <c r="BV173" i="37"/>
  <c r="BW173" i="37"/>
  <c r="BX173" i="37"/>
  <c r="BY173" i="37"/>
  <c r="BZ173" i="37"/>
  <c r="CA173" i="37"/>
  <c r="CB173" i="37"/>
  <c r="CC173" i="37"/>
  <c r="CD173" i="37"/>
  <c r="CE173" i="37"/>
  <c r="CF173" i="37"/>
  <c r="BU174" i="37"/>
  <c r="BV174" i="37"/>
  <c r="BW174" i="37"/>
  <c r="BX174" i="37"/>
  <c r="BY174" i="37"/>
  <c r="BZ174" i="37"/>
  <c r="CA174" i="37"/>
  <c r="CB174" i="37"/>
  <c r="CC174" i="37"/>
  <c r="CD174" i="37"/>
  <c r="CE174" i="37"/>
  <c r="CF174" i="37"/>
  <c r="BU175" i="37"/>
  <c r="BV175" i="37"/>
  <c r="BW175" i="37"/>
  <c r="BX175" i="37"/>
  <c r="BY175" i="37"/>
  <c r="BZ175" i="37"/>
  <c r="CA175" i="37"/>
  <c r="CB175" i="37"/>
  <c r="CC175" i="37"/>
  <c r="CD175" i="37"/>
  <c r="CE175" i="37"/>
  <c r="CF175" i="37"/>
  <c r="BU176" i="37"/>
  <c r="BV176" i="37"/>
  <c r="BW176" i="37"/>
  <c r="BX176" i="37"/>
  <c r="BY176" i="37"/>
  <c r="BZ176" i="37"/>
  <c r="CA176" i="37"/>
  <c r="CB176" i="37"/>
  <c r="CC176" i="37"/>
  <c r="CD176" i="37"/>
  <c r="CE176" i="37"/>
  <c r="CF176" i="37"/>
  <c r="BU177" i="37"/>
  <c r="BV177" i="37"/>
  <c r="BW177" i="37"/>
  <c r="BX177" i="37"/>
  <c r="BY177" i="37"/>
  <c r="BZ177" i="37"/>
  <c r="CA177" i="37"/>
  <c r="CB177" i="37"/>
  <c r="CC177" i="37"/>
  <c r="CD177" i="37"/>
  <c r="CE177" i="37"/>
  <c r="CF177" i="37"/>
  <c r="BU178" i="37"/>
  <c r="BV178" i="37"/>
  <c r="BW178" i="37"/>
  <c r="BX178" i="37"/>
  <c r="BY178" i="37"/>
  <c r="BZ178" i="37"/>
  <c r="CA178" i="37"/>
  <c r="CB178" i="37"/>
  <c r="CC178" i="37"/>
  <c r="CD178" i="37"/>
  <c r="CE178" i="37"/>
  <c r="CF178" i="37"/>
  <c r="BU179" i="37"/>
  <c r="BV179" i="37"/>
  <c r="BW179" i="37"/>
  <c r="BX179" i="37"/>
  <c r="BY179" i="37"/>
  <c r="BZ179" i="37"/>
  <c r="CA179" i="37"/>
  <c r="CB179" i="37"/>
  <c r="CC179" i="37"/>
  <c r="CD179" i="37"/>
  <c r="CE179" i="37"/>
  <c r="CF179" i="37"/>
  <c r="BU180" i="37"/>
  <c r="BV180" i="37"/>
  <c r="BW180" i="37"/>
  <c r="BX180" i="37"/>
  <c r="BY180" i="37"/>
  <c r="BZ180" i="37"/>
  <c r="CA180" i="37"/>
  <c r="CB180" i="37"/>
  <c r="CC180" i="37"/>
  <c r="CD180" i="37"/>
  <c r="CE180" i="37"/>
  <c r="CF180" i="37"/>
  <c r="BU181" i="37"/>
  <c r="BV181" i="37"/>
  <c r="BW181" i="37"/>
  <c r="BX181" i="37"/>
  <c r="BY181" i="37"/>
  <c r="BZ181" i="37"/>
  <c r="CA181" i="37"/>
  <c r="CB181" i="37"/>
  <c r="CC181" i="37"/>
  <c r="CD181" i="37"/>
  <c r="CE181" i="37"/>
  <c r="CF181" i="37"/>
  <c r="BU182" i="37"/>
  <c r="BV182" i="37"/>
  <c r="BW182" i="37"/>
  <c r="BX182" i="37"/>
  <c r="BY182" i="37"/>
  <c r="BZ182" i="37"/>
  <c r="CA182" i="37"/>
  <c r="CB182" i="37"/>
  <c r="CC182" i="37"/>
  <c r="CD182" i="37"/>
  <c r="CE182" i="37"/>
  <c r="CF182" i="37"/>
  <c r="BU183" i="37"/>
  <c r="BV183" i="37"/>
  <c r="BW183" i="37"/>
  <c r="BX183" i="37"/>
  <c r="BY183" i="37"/>
  <c r="BZ183" i="37"/>
  <c r="CA183" i="37"/>
  <c r="CB183" i="37"/>
  <c r="CC183" i="37"/>
  <c r="CD183" i="37"/>
  <c r="CE183" i="37"/>
  <c r="CF183" i="37"/>
  <c r="BU184" i="37"/>
  <c r="BV184" i="37"/>
  <c r="BW184" i="37"/>
  <c r="BX184" i="37"/>
  <c r="BY184" i="37"/>
  <c r="BZ184" i="37"/>
  <c r="CA184" i="37"/>
  <c r="CB184" i="37"/>
  <c r="CC184" i="37"/>
  <c r="CD184" i="37"/>
  <c r="CE184" i="37"/>
  <c r="CF184" i="37"/>
  <c r="BU185" i="37"/>
  <c r="BV185" i="37"/>
  <c r="BW185" i="37"/>
  <c r="BX185" i="37"/>
  <c r="BY185" i="37"/>
  <c r="BZ185" i="37"/>
  <c r="CA185" i="37"/>
  <c r="CB185" i="37"/>
  <c r="CC185" i="37"/>
  <c r="CD185" i="37"/>
  <c r="CE185" i="37"/>
  <c r="CF185" i="37"/>
  <c r="BU186" i="37"/>
  <c r="BV186" i="37"/>
  <c r="BW186" i="37"/>
  <c r="BX186" i="37"/>
  <c r="BY186" i="37"/>
  <c r="BZ186" i="37"/>
  <c r="CA186" i="37"/>
  <c r="CB186" i="37"/>
  <c r="CC186" i="37"/>
  <c r="CD186" i="37"/>
  <c r="CE186" i="37"/>
  <c r="CF186" i="37"/>
  <c r="BU187" i="37"/>
  <c r="BV187" i="37"/>
  <c r="BW187" i="37"/>
  <c r="BX187" i="37"/>
  <c r="BY187" i="37"/>
  <c r="BZ187" i="37"/>
  <c r="CA187" i="37"/>
  <c r="CB187" i="37"/>
  <c r="CC187" i="37"/>
  <c r="CD187" i="37"/>
  <c r="CE187" i="37"/>
  <c r="CF187" i="37"/>
  <c r="BU188" i="37"/>
  <c r="BV188" i="37"/>
  <c r="BW188" i="37"/>
  <c r="BX188" i="37"/>
  <c r="BY188" i="37"/>
  <c r="BZ188" i="37"/>
  <c r="CA188" i="37"/>
  <c r="CB188" i="37"/>
  <c r="CC188" i="37"/>
  <c r="CD188" i="37"/>
  <c r="CE188" i="37"/>
  <c r="CF188" i="37"/>
  <c r="BU189" i="37"/>
  <c r="BV189" i="37"/>
  <c r="BW189" i="37"/>
  <c r="BX189" i="37"/>
  <c r="BY189" i="37"/>
  <c r="BZ189" i="37"/>
  <c r="CA189" i="37"/>
  <c r="CB189" i="37"/>
  <c r="CC189" i="37"/>
  <c r="CD189" i="37"/>
  <c r="CE189" i="37"/>
  <c r="CF189" i="37"/>
  <c r="BU190" i="37"/>
  <c r="BV190" i="37"/>
  <c r="BW190" i="37"/>
  <c r="BX190" i="37"/>
  <c r="BY190" i="37"/>
  <c r="BZ190" i="37"/>
  <c r="CA190" i="37"/>
  <c r="CB190" i="37"/>
  <c r="CC190" i="37"/>
  <c r="CD190" i="37"/>
  <c r="CE190" i="37"/>
  <c r="CF190" i="37"/>
  <c r="BU191" i="37"/>
  <c r="BV191" i="37"/>
  <c r="BW191" i="37"/>
  <c r="BX191" i="37"/>
  <c r="BY191" i="37"/>
  <c r="BZ191" i="37"/>
  <c r="CA191" i="37"/>
  <c r="CB191" i="37"/>
  <c r="CC191" i="37"/>
  <c r="CD191" i="37"/>
  <c r="CE191" i="37"/>
  <c r="CF191" i="37"/>
  <c r="BU192" i="37"/>
  <c r="BV192" i="37"/>
  <c r="BW192" i="37"/>
  <c r="BX192" i="37"/>
  <c r="BY192" i="37"/>
  <c r="BZ192" i="37"/>
  <c r="CA192" i="37"/>
  <c r="CB192" i="37"/>
  <c r="CC192" i="37"/>
  <c r="CD192" i="37"/>
  <c r="CE192" i="37"/>
  <c r="CF192" i="37"/>
  <c r="BU193" i="37"/>
  <c r="BV193" i="37"/>
  <c r="BW193" i="37"/>
  <c r="BX193" i="37"/>
  <c r="BY193" i="37"/>
  <c r="BZ193" i="37"/>
  <c r="CA193" i="37"/>
  <c r="CB193" i="37"/>
  <c r="CC193" i="37"/>
  <c r="CD193" i="37"/>
  <c r="CE193" i="37"/>
  <c r="CF193" i="37"/>
  <c r="BU194" i="37"/>
  <c r="BV194" i="37"/>
  <c r="BW194" i="37"/>
  <c r="BX194" i="37"/>
  <c r="BY194" i="37"/>
  <c r="BZ194" i="37"/>
  <c r="CA194" i="37"/>
  <c r="CB194" i="37"/>
  <c r="CC194" i="37"/>
  <c r="CD194" i="37"/>
  <c r="CE194" i="37"/>
  <c r="CF194" i="37"/>
  <c r="BU195" i="37"/>
  <c r="BV195" i="37"/>
  <c r="BW195" i="37"/>
  <c r="BX195" i="37"/>
  <c r="BY195" i="37"/>
  <c r="BZ195" i="37"/>
  <c r="CA195" i="37"/>
  <c r="CB195" i="37"/>
  <c r="CC195" i="37"/>
  <c r="CD195" i="37"/>
  <c r="CE195" i="37"/>
  <c r="CF195" i="37"/>
  <c r="BU196" i="37"/>
  <c r="BV196" i="37"/>
  <c r="BW196" i="37"/>
  <c r="BX196" i="37"/>
  <c r="BY196" i="37"/>
  <c r="BZ196" i="37"/>
  <c r="CA196" i="37"/>
  <c r="CB196" i="37"/>
  <c r="CC196" i="37"/>
  <c r="CD196" i="37"/>
  <c r="CE196" i="37"/>
  <c r="CF196" i="37"/>
  <c r="BU197" i="37"/>
  <c r="BV197" i="37"/>
  <c r="BW197" i="37"/>
  <c r="BX197" i="37"/>
  <c r="BY197" i="37"/>
  <c r="BZ197" i="37"/>
  <c r="CA197" i="37"/>
  <c r="CB197" i="37"/>
  <c r="CC197" i="37"/>
  <c r="CD197" i="37"/>
  <c r="CE197" i="37"/>
  <c r="CF197" i="37"/>
  <c r="BU198" i="37"/>
  <c r="BV198" i="37"/>
  <c r="BW198" i="37"/>
  <c r="BX198" i="37"/>
  <c r="BY198" i="37"/>
  <c r="BZ198" i="37"/>
  <c r="CA198" i="37"/>
  <c r="CB198" i="37"/>
  <c r="CC198" i="37"/>
  <c r="CD198" i="37"/>
  <c r="CE198" i="37"/>
  <c r="CF198" i="37"/>
  <c r="BU199" i="37"/>
  <c r="BV199" i="37"/>
  <c r="BW199" i="37"/>
  <c r="BX199" i="37"/>
  <c r="BY199" i="37"/>
  <c r="BZ199" i="37"/>
  <c r="CA199" i="37"/>
  <c r="CB199" i="37"/>
  <c r="CC199" i="37"/>
  <c r="CD199" i="37"/>
  <c r="CE199" i="37"/>
  <c r="CF199" i="37"/>
  <c r="BU200" i="37"/>
  <c r="BV200" i="37"/>
  <c r="BW200" i="37"/>
  <c r="BX200" i="37"/>
  <c r="BY200" i="37"/>
  <c r="BZ200" i="37"/>
  <c r="CA200" i="37"/>
  <c r="CB200" i="37"/>
  <c r="CC200" i="37"/>
  <c r="CD200" i="37"/>
  <c r="CE200" i="37"/>
  <c r="CF200" i="37"/>
  <c r="BU201" i="37"/>
  <c r="BV201" i="37"/>
  <c r="BW201" i="37"/>
  <c r="BX201" i="37"/>
  <c r="BY201" i="37"/>
  <c r="BZ201" i="37"/>
  <c r="CA201" i="37"/>
  <c r="CB201" i="37"/>
  <c r="CC201" i="37"/>
  <c r="CD201" i="37"/>
  <c r="CE201" i="37"/>
  <c r="CF201" i="37"/>
  <c r="BU202" i="37"/>
  <c r="BV202" i="37"/>
  <c r="BW202" i="37"/>
  <c r="BX202" i="37"/>
  <c r="BY202" i="37"/>
  <c r="BZ202" i="37"/>
  <c r="CA202" i="37"/>
  <c r="CB202" i="37"/>
  <c r="CC202" i="37"/>
  <c r="CD202" i="37"/>
  <c r="CE202" i="37"/>
  <c r="CF202" i="37"/>
  <c r="BU203" i="37"/>
  <c r="BV203" i="37"/>
  <c r="BW203" i="37"/>
  <c r="BX203" i="37"/>
  <c r="BY203" i="37"/>
  <c r="BZ203" i="37"/>
  <c r="CA203" i="37"/>
  <c r="CB203" i="37"/>
  <c r="CC203" i="37"/>
  <c r="CD203" i="37"/>
  <c r="CE203" i="37"/>
  <c r="CF203" i="37"/>
  <c r="BU204" i="37"/>
  <c r="BV204" i="37"/>
  <c r="BW204" i="37"/>
  <c r="BX204" i="37"/>
  <c r="BY204" i="37"/>
  <c r="BZ204" i="37"/>
  <c r="CA204" i="37"/>
  <c r="CB204" i="37"/>
  <c r="CC204" i="37"/>
  <c r="CD204" i="37"/>
  <c r="CE204" i="37"/>
  <c r="CF204" i="37"/>
  <c r="BU205" i="37"/>
  <c r="BV205" i="37"/>
  <c r="BW205" i="37"/>
  <c r="BX205" i="37"/>
  <c r="BY205" i="37"/>
  <c r="BZ205" i="37"/>
  <c r="CA205" i="37"/>
  <c r="CB205" i="37"/>
  <c r="CC205" i="37"/>
  <c r="CD205" i="37"/>
  <c r="CE205" i="37"/>
  <c r="CF205" i="37"/>
  <c r="BU206" i="37"/>
  <c r="BV206" i="37"/>
  <c r="BW206" i="37"/>
  <c r="BX206" i="37"/>
  <c r="BY206" i="37"/>
  <c r="BZ206" i="37"/>
  <c r="CA206" i="37"/>
  <c r="CB206" i="37"/>
  <c r="CC206" i="37"/>
  <c r="CD206" i="37"/>
  <c r="CE206" i="37"/>
  <c r="CF206" i="37"/>
  <c r="BU207" i="37"/>
  <c r="BV207" i="37"/>
  <c r="BW207" i="37"/>
  <c r="BX207" i="37"/>
  <c r="BY207" i="37"/>
  <c r="BZ207" i="37"/>
  <c r="CA207" i="37"/>
  <c r="CB207" i="37"/>
  <c r="CC207" i="37"/>
  <c r="CD207" i="37"/>
  <c r="CE207" i="37"/>
  <c r="CF207" i="37"/>
  <c r="BU208" i="37"/>
  <c r="BV208" i="37"/>
  <c r="BW208" i="37"/>
  <c r="BX208" i="37"/>
  <c r="BY208" i="37"/>
  <c r="BZ208" i="37"/>
  <c r="CA208" i="37"/>
  <c r="CB208" i="37"/>
  <c r="CC208" i="37"/>
  <c r="CD208" i="37"/>
  <c r="CE208" i="37"/>
  <c r="CF208" i="37"/>
  <c r="BU209" i="37"/>
  <c r="BV209" i="37"/>
  <c r="BW209" i="37"/>
  <c r="BX209" i="37"/>
  <c r="BY209" i="37"/>
  <c r="BZ209" i="37"/>
  <c r="CA209" i="37"/>
  <c r="CB209" i="37"/>
  <c r="CC209" i="37"/>
  <c r="CD209" i="37"/>
  <c r="CE209" i="37"/>
  <c r="CF209" i="37"/>
  <c r="BU210" i="37"/>
  <c r="BV210" i="37"/>
  <c r="BW210" i="37"/>
  <c r="BX210" i="37"/>
  <c r="BY210" i="37"/>
  <c r="BZ210" i="37"/>
  <c r="CA210" i="37"/>
  <c r="CB210" i="37"/>
  <c r="CC210" i="37"/>
  <c r="CD210" i="37"/>
  <c r="CE210" i="37"/>
  <c r="CF210" i="37"/>
  <c r="BU211" i="37"/>
  <c r="BV211" i="37"/>
  <c r="BW211" i="37"/>
  <c r="BX211" i="37"/>
  <c r="BY211" i="37"/>
  <c r="BZ211" i="37"/>
  <c r="CA211" i="37"/>
  <c r="CB211" i="37"/>
  <c r="CC211" i="37"/>
  <c r="CD211" i="37"/>
  <c r="CE211" i="37"/>
  <c r="CF211" i="37"/>
  <c r="BU212" i="37"/>
  <c r="BV212" i="37"/>
  <c r="BW212" i="37"/>
  <c r="BX212" i="37"/>
  <c r="BY212" i="37"/>
  <c r="BZ212" i="37"/>
  <c r="CA212" i="37"/>
  <c r="CB212" i="37"/>
  <c r="CC212" i="37"/>
  <c r="CD212" i="37"/>
  <c r="CE212" i="37"/>
  <c r="CF212" i="37"/>
  <c r="BU213" i="37"/>
  <c r="BV213" i="37"/>
  <c r="BW213" i="37"/>
  <c r="BX213" i="37"/>
  <c r="BY213" i="37"/>
  <c r="BZ213" i="37"/>
  <c r="CA213" i="37"/>
  <c r="CB213" i="37"/>
  <c r="CC213" i="37"/>
  <c r="CD213" i="37"/>
  <c r="CE213" i="37"/>
  <c r="CF213" i="37"/>
  <c r="BU214" i="37"/>
  <c r="BV214" i="37"/>
  <c r="BW214" i="37"/>
  <c r="BX214" i="37"/>
  <c r="BY214" i="37"/>
  <c r="BZ214" i="37"/>
  <c r="CA214" i="37"/>
  <c r="CB214" i="37"/>
  <c r="CC214" i="37"/>
  <c r="CD214" i="37"/>
  <c r="CE214" i="37"/>
  <c r="CF214" i="37"/>
  <c r="BU215" i="37"/>
  <c r="BV215" i="37"/>
  <c r="BW215" i="37"/>
  <c r="BX215" i="37"/>
  <c r="BY215" i="37"/>
  <c r="BZ215" i="37"/>
  <c r="CA215" i="37"/>
  <c r="CB215" i="37"/>
  <c r="CC215" i="37"/>
  <c r="CD215" i="37"/>
  <c r="CE215" i="37"/>
  <c r="CF215" i="37"/>
  <c r="BU216" i="37"/>
  <c r="BV216" i="37"/>
  <c r="BW216" i="37"/>
  <c r="BX216" i="37"/>
  <c r="BY216" i="37"/>
  <c r="BZ216" i="37"/>
  <c r="CA216" i="37"/>
  <c r="CB216" i="37"/>
  <c r="CC216" i="37"/>
  <c r="CD216" i="37"/>
  <c r="CE216" i="37"/>
  <c r="CF216" i="37"/>
  <c r="BU217" i="37"/>
  <c r="BV217" i="37"/>
  <c r="BW217" i="37"/>
  <c r="BX217" i="37"/>
  <c r="BY217" i="37"/>
  <c r="BZ217" i="37"/>
  <c r="CA217" i="37"/>
  <c r="CB217" i="37"/>
  <c r="CC217" i="37"/>
  <c r="CD217" i="37"/>
  <c r="CE217" i="37"/>
  <c r="CF217" i="37"/>
  <c r="BU218" i="37"/>
  <c r="BV218" i="37"/>
  <c r="BW218" i="37"/>
  <c r="BX218" i="37"/>
  <c r="BY218" i="37"/>
  <c r="BZ218" i="37"/>
  <c r="CA218" i="37"/>
  <c r="CB218" i="37"/>
  <c r="CC218" i="37"/>
  <c r="CD218" i="37"/>
  <c r="CE218" i="37"/>
  <c r="CF218" i="37"/>
  <c r="BU219" i="37"/>
  <c r="BV219" i="37"/>
  <c r="BW219" i="37"/>
  <c r="BX219" i="37"/>
  <c r="BY219" i="37"/>
  <c r="BZ219" i="37"/>
  <c r="CA219" i="37"/>
  <c r="CB219" i="37"/>
  <c r="CC219" i="37"/>
  <c r="CD219" i="37"/>
  <c r="CE219" i="37"/>
  <c r="CF219" i="37"/>
  <c r="BU220" i="37"/>
  <c r="BV220" i="37"/>
  <c r="BW220" i="37"/>
  <c r="BX220" i="37"/>
  <c r="BY220" i="37"/>
  <c r="BZ220" i="37"/>
  <c r="CA220" i="37"/>
  <c r="CB220" i="37"/>
  <c r="CC220" i="37"/>
  <c r="CD220" i="37"/>
  <c r="CE220" i="37"/>
  <c r="CF220" i="37"/>
  <c r="BU221" i="37"/>
  <c r="BV221" i="37"/>
  <c r="BW221" i="37"/>
  <c r="BX221" i="37"/>
  <c r="BY221" i="37"/>
  <c r="BZ221" i="37"/>
  <c r="CA221" i="37"/>
  <c r="CB221" i="37"/>
  <c r="CC221" i="37"/>
  <c r="CD221" i="37"/>
  <c r="CE221" i="37"/>
  <c r="CF221" i="37"/>
  <c r="BU222" i="37"/>
  <c r="BV222" i="37"/>
  <c r="BW222" i="37"/>
  <c r="BX222" i="37"/>
  <c r="BY222" i="37"/>
  <c r="BZ222" i="37"/>
  <c r="CA222" i="37"/>
  <c r="CB222" i="37"/>
  <c r="CC222" i="37"/>
  <c r="CD222" i="37"/>
  <c r="CE222" i="37"/>
  <c r="CF222" i="37"/>
  <c r="BU223" i="37"/>
  <c r="BV223" i="37"/>
  <c r="BW223" i="37"/>
  <c r="BX223" i="37"/>
  <c r="BY223" i="37"/>
  <c r="BZ223" i="37"/>
  <c r="CA223" i="37"/>
  <c r="CB223" i="37"/>
  <c r="CC223" i="37"/>
  <c r="CD223" i="37"/>
  <c r="CE223" i="37"/>
  <c r="CF223" i="37"/>
  <c r="BU224" i="37"/>
  <c r="BV224" i="37"/>
  <c r="BW224" i="37"/>
  <c r="BX224" i="37"/>
  <c r="BY224" i="37"/>
  <c r="BZ224" i="37"/>
  <c r="CA224" i="37"/>
  <c r="CB224" i="37"/>
  <c r="CC224" i="37"/>
  <c r="CD224" i="37"/>
  <c r="CE224" i="37"/>
  <c r="CF224" i="37"/>
  <c r="BU225" i="37"/>
  <c r="BV225" i="37"/>
  <c r="BW225" i="37"/>
  <c r="BX225" i="37"/>
  <c r="BY225" i="37"/>
  <c r="BZ225" i="37"/>
  <c r="CA225" i="37"/>
  <c r="CB225" i="37"/>
  <c r="CC225" i="37"/>
  <c r="CD225" i="37"/>
  <c r="CE225" i="37"/>
  <c r="CF225" i="37"/>
  <c r="BU226" i="37"/>
  <c r="BV226" i="37"/>
  <c r="BW226" i="37"/>
  <c r="BX226" i="37"/>
  <c r="BY226" i="37"/>
  <c r="BZ226" i="37"/>
  <c r="CA226" i="37"/>
  <c r="CB226" i="37"/>
  <c r="CC226" i="37"/>
  <c r="CD226" i="37"/>
  <c r="CE226" i="37"/>
  <c r="CF226" i="37"/>
  <c r="BU227" i="37"/>
  <c r="BV227" i="37"/>
  <c r="BW227" i="37"/>
  <c r="BX227" i="37"/>
  <c r="BY227" i="37"/>
  <c r="BZ227" i="37"/>
  <c r="CA227" i="37"/>
  <c r="CB227" i="37"/>
  <c r="CC227" i="37"/>
  <c r="CD227" i="37"/>
  <c r="CE227" i="37"/>
  <c r="CF227" i="37"/>
  <c r="BU228" i="37"/>
  <c r="BV228" i="37"/>
  <c r="BW228" i="37"/>
  <c r="BX228" i="37"/>
  <c r="BY228" i="37"/>
  <c r="BZ228" i="37"/>
  <c r="CA228" i="37"/>
  <c r="CB228" i="37"/>
  <c r="CC228" i="37"/>
  <c r="CD228" i="37"/>
  <c r="CE228" i="37"/>
  <c r="CF228" i="37"/>
  <c r="BU229" i="37"/>
  <c r="BV229" i="37"/>
  <c r="BW229" i="37"/>
  <c r="BX229" i="37"/>
  <c r="BY229" i="37"/>
  <c r="BZ229" i="37"/>
  <c r="CA229" i="37"/>
  <c r="CB229" i="37"/>
  <c r="CC229" i="37"/>
  <c r="CD229" i="37"/>
  <c r="CE229" i="37"/>
  <c r="CF229" i="37"/>
  <c r="BU230" i="37"/>
  <c r="BV230" i="37"/>
  <c r="BW230" i="37"/>
  <c r="BX230" i="37"/>
  <c r="BY230" i="37"/>
  <c r="BZ230" i="37"/>
  <c r="CA230" i="37"/>
  <c r="CB230" i="37"/>
  <c r="CC230" i="37"/>
  <c r="CD230" i="37"/>
  <c r="CE230" i="37"/>
  <c r="CF230" i="37"/>
  <c r="BU231" i="37"/>
  <c r="BV231" i="37"/>
  <c r="BW231" i="37"/>
  <c r="BX231" i="37"/>
  <c r="BY231" i="37"/>
  <c r="BZ231" i="37"/>
  <c r="CA231" i="37"/>
  <c r="CB231" i="37"/>
  <c r="CC231" i="37"/>
  <c r="CD231" i="37"/>
  <c r="CE231" i="37"/>
  <c r="CF231" i="37"/>
  <c r="BU232" i="37"/>
  <c r="BV232" i="37"/>
  <c r="BW232" i="37"/>
  <c r="BX232" i="37"/>
  <c r="BY232" i="37"/>
  <c r="BZ232" i="37"/>
  <c r="CA232" i="37"/>
  <c r="CB232" i="37"/>
  <c r="CC232" i="37"/>
  <c r="CD232" i="37"/>
  <c r="CE232" i="37"/>
  <c r="CF232" i="37"/>
  <c r="BU233" i="37"/>
  <c r="BV233" i="37"/>
  <c r="BW233" i="37"/>
  <c r="BX233" i="37"/>
  <c r="BY233" i="37"/>
  <c r="BZ233" i="37"/>
  <c r="CA233" i="37"/>
  <c r="CB233" i="37"/>
  <c r="CC233" i="37"/>
  <c r="CD233" i="37"/>
  <c r="CE233" i="37"/>
  <c r="CF233" i="37"/>
  <c r="BU234" i="37"/>
  <c r="BV234" i="37"/>
  <c r="BW234" i="37"/>
  <c r="BX234" i="37"/>
  <c r="BY234" i="37"/>
  <c r="BZ234" i="37"/>
  <c r="CA234" i="37"/>
  <c r="CB234" i="37"/>
  <c r="CC234" i="37"/>
  <c r="CD234" i="37"/>
  <c r="CE234" i="37"/>
  <c r="CF234" i="37"/>
  <c r="BU235" i="37"/>
  <c r="BV235" i="37"/>
  <c r="BW235" i="37"/>
  <c r="BX235" i="37"/>
  <c r="BY235" i="37"/>
  <c r="BZ235" i="37"/>
  <c r="CA235" i="37"/>
  <c r="CB235" i="37"/>
  <c r="CC235" i="37"/>
  <c r="CD235" i="37"/>
  <c r="CE235" i="37"/>
  <c r="CF235" i="37"/>
  <c r="BU236" i="37"/>
  <c r="BV236" i="37"/>
  <c r="BW236" i="37"/>
  <c r="BX236" i="37"/>
  <c r="BY236" i="37"/>
  <c r="BZ236" i="37"/>
  <c r="CA236" i="37"/>
  <c r="CB236" i="37"/>
  <c r="CC236" i="37"/>
  <c r="CD236" i="37"/>
  <c r="CE236" i="37"/>
  <c r="CF236" i="37"/>
  <c r="BU237" i="37"/>
  <c r="BV237" i="37"/>
  <c r="BW237" i="37"/>
  <c r="BX237" i="37"/>
  <c r="BY237" i="37"/>
  <c r="BZ237" i="37"/>
  <c r="CA237" i="37"/>
  <c r="CB237" i="37"/>
  <c r="CC237" i="37"/>
  <c r="CD237" i="37"/>
  <c r="CE237" i="37"/>
  <c r="CF237" i="37"/>
  <c r="BU238" i="37"/>
  <c r="BV238" i="37"/>
  <c r="BW238" i="37"/>
  <c r="BX238" i="37"/>
  <c r="BY238" i="37"/>
  <c r="BZ238" i="37"/>
  <c r="CA238" i="37"/>
  <c r="CB238" i="37"/>
  <c r="CC238" i="37"/>
  <c r="CD238" i="37"/>
  <c r="CE238" i="37"/>
  <c r="CF238" i="37"/>
  <c r="BU239" i="37"/>
  <c r="BV239" i="37"/>
  <c r="BW239" i="37"/>
  <c r="BX239" i="37"/>
  <c r="BY239" i="37"/>
  <c r="BZ239" i="37"/>
  <c r="CA239" i="37"/>
  <c r="CB239" i="37"/>
  <c r="CC239" i="37"/>
  <c r="CD239" i="37"/>
  <c r="CE239" i="37"/>
  <c r="CF239" i="37"/>
  <c r="BU240" i="37"/>
  <c r="BV240" i="37"/>
  <c r="BW240" i="37"/>
  <c r="BX240" i="37"/>
  <c r="BY240" i="37"/>
  <c r="BZ240" i="37"/>
  <c r="CA240" i="37"/>
  <c r="CB240" i="37"/>
  <c r="CC240" i="37"/>
  <c r="CD240" i="37"/>
  <c r="CE240" i="37"/>
  <c r="CF240" i="37"/>
  <c r="BU241" i="37"/>
  <c r="BV241" i="37"/>
  <c r="BW241" i="37"/>
  <c r="BX241" i="37"/>
  <c r="BY241" i="37"/>
  <c r="BZ241" i="37"/>
  <c r="CA241" i="37"/>
  <c r="CB241" i="37"/>
  <c r="CC241" i="37"/>
  <c r="CD241" i="37"/>
  <c r="CE241" i="37"/>
  <c r="CF241" i="37"/>
  <c r="BU242" i="37"/>
  <c r="BV242" i="37"/>
  <c r="BW242" i="37"/>
  <c r="BX242" i="37"/>
  <c r="BY242" i="37"/>
  <c r="BZ242" i="37"/>
  <c r="CA242" i="37"/>
  <c r="CB242" i="37"/>
  <c r="CC242" i="37"/>
  <c r="CD242" i="37"/>
  <c r="CE242" i="37"/>
  <c r="CF242" i="37"/>
  <c r="BU243" i="37"/>
  <c r="BV243" i="37"/>
  <c r="BW243" i="37"/>
  <c r="BX243" i="37"/>
  <c r="BY243" i="37"/>
  <c r="BZ243" i="37"/>
  <c r="CA243" i="37"/>
  <c r="CB243" i="37"/>
  <c r="CC243" i="37"/>
  <c r="CD243" i="37"/>
  <c r="CE243" i="37"/>
  <c r="CF243" i="37"/>
  <c r="BU244" i="37"/>
  <c r="BV244" i="37"/>
  <c r="BW244" i="37"/>
  <c r="BX244" i="37"/>
  <c r="BY244" i="37"/>
  <c r="BZ244" i="37"/>
  <c r="CA244" i="37"/>
  <c r="CB244" i="37"/>
  <c r="CC244" i="37"/>
  <c r="CD244" i="37"/>
  <c r="CE244" i="37"/>
  <c r="CF244" i="37"/>
  <c r="BU245" i="37"/>
  <c r="BV245" i="37"/>
  <c r="BW245" i="37"/>
  <c r="BX245" i="37"/>
  <c r="BY245" i="37"/>
  <c r="BZ245" i="37"/>
  <c r="CA245" i="37"/>
  <c r="CB245" i="37"/>
  <c r="CC245" i="37"/>
  <c r="CD245" i="37"/>
  <c r="CE245" i="37"/>
  <c r="CF245" i="37"/>
  <c r="BU246" i="37"/>
  <c r="BV246" i="37"/>
  <c r="BW246" i="37"/>
  <c r="BX246" i="37"/>
  <c r="BY246" i="37"/>
  <c r="BZ246" i="37"/>
  <c r="CA246" i="37"/>
  <c r="CB246" i="37"/>
  <c r="CC246" i="37"/>
  <c r="CD246" i="37"/>
  <c r="CE246" i="37"/>
  <c r="CF246" i="37"/>
  <c r="BU247" i="37"/>
  <c r="BV247" i="37"/>
  <c r="BW247" i="37"/>
  <c r="BX247" i="37"/>
  <c r="BY247" i="37"/>
  <c r="BZ247" i="37"/>
  <c r="CA247" i="37"/>
  <c r="CB247" i="37"/>
  <c r="CC247" i="37"/>
  <c r="CD247" i="37"/>
  <c r="CE247" i="37"/>
  <c r="CF247" i="37"/>
  <c r="BU248" i="37"/>
  <c r="BV248" i="37"/>
  <c r="BW248" i="37"/>
  <c r="BX248" i="37"/>
  <c r="BY248" i="37"/>
  <c r="BZ248" i="37"/>
  <c r="CA248" i="37"/>
  <c r="CB248" i="37"/>
  <c r="CC248" i="37"/>
  <c r="CD248" i="37"/>
  <c r="CE248" i="37"/>
  <c r="CF248" i="37"/>
  <c r="BU249" i="37"/>
  <c r="BV249" i="37"/>
  <c r="BW249" i="37"/>
  <c r="BX249" i="37"/>
  <c r="BY249" i="37"/>
  <c r="BZ249" i="37"/>
  <c r="CA249" i="37"/>
  <c r="CB249" i="37"/>
  <c r="CC249" i="37"/>
  <c r="CD249" i="37"/>
  <c r="CE249" i="37"/>
  <c r="CF249" i="37"/>
  <c r="BU250" i="37"/>
  <c r="BV250" i="37"/>
  <c r="BW250" i="37"/>
  <c r="BX250" i="37"/>
  <c r="BY250" i="37"/>
  <c r="BZ250" i="37"/>
  <c r="CA250" i="37"/>
  <c r="CB250" i="37"/>
  <c r="CC250" i="37"/>
  <c r="CD250" i="37"/>
  <c r="CE250" i="37"/>
  <c r="CF250" i="37"/>
  <c r="BU251" i="37"/>
  <c r="BV251" i="37"/>
  <c r="BW251" i="37"/>
  <c r="BX251" i="37"/>
  <c r="BY251" i="37"/>
  <c r="BZ251" i="37"/>
  <c r="CA251" i="37"/>
  <c r="CB251" i="37"/>
  <c r="CC251" i="37"/>
  <c r="CD251" i="37"/>
  <c r="CE251" i="37"/>
  <c r="CF251" i="37"/>
  <c r="BU252" i="37"/>
  <c r="BV252" i="37"/>
  <c r="BW252" i="37"/>
  <c r="BX252" i="37"/>
  <c r="BY252" i="37"/>
  <c r="BZ252" i="37"/>
  <c r="CA252" i="37"/>
  <c r="CB252" i="37"/>
  <c r="CC252" i="37"/>
  <c r="CD252" i="37"/>
  <c r="CE252" i="37"/>
  <c r="CF252" i="37"/>
  <c r="BU253" i="37"/>
  <c r="BV253" i="37"/>
  <c r="BW253" i="37"/>
  <c r="BX253" i="37"/>
  <c r="BY253" i="37"/>
  <c r="BZ253" i="37"/>
  <c r="CA253" i="37"/>
  <c r="CB253" i="37"/>
  <c r="CC253" i="37"/>
  <c r="CD253" i="37"/>
  <c r="CE253" i="37"/>
  <c r="CF253" i="37"/>
  <c r="BU254" i="37"/>
  <c r="BV254" i="37"/>
  <c r="BW254" i="37"/>
  <c r="BX254" i="37"/>
  <c r="BY254" i="37"/>
  <c r="BZ254" i="37"/>
  <c r="CA254" i="37"/>
  <c r="CB254" i="37"/>
  <c r="CC254" i="37"/>
  <c r="CD254" i="37"/>
  <c r="CE254" i="37"/>
  <c r="CF254" i="37"/>
  <c r="BU255" i="37"/>
  <c r="BV255" i="37"/>
  <c r="BW255" i="37"/>
  <c r="BX255" i="37"/>
  <c r="BY255" i="37"/>
  <c r="BZ255" i="37"/>
  <c r="CA255" i="37"/>
  <c r="CB255" i="37"/>
  <c r="CC255" i="37"/>
  <c r="CD255" i="37"/>
  <c r="CE255" i="37"/>
  <c r="CF255" i="37"/>
  <c r="BU256" i="37"/>
  <c r="BV256" i="37"/>
  <c r="BW256" i="37"/>
  <c r="BX256" i="37"/>
  <c r="BY256" i="37"/>
  <c r="BZ256" i="37"/>
  <c r="CA256" i="37"/>
  <c r="CB256" i="37"/>
  <c r="CC256" i="37"/>
  <c r="CD256" i="37"/>
  <c r="CE256" i="37"/>
  <c r="CF256" i="37"/>
  <c r="BU257" i="37"/>
  <c r="BV257" i="37"/>
  <c r="BW257" i="37"/>
  <c r="BX257" i="37"/>
  <c r="BY257" i="37"/>
  <c r="BZ257" i="37"/>
  <c r="CA257" i="37"/>
  <c r="CB257" i="37"/>
  <c r="CC257" i="37"/>
  <c r="CD257" i="37"/>
  <c r="CE257" i="37"/>
  <c r="CF257" i="37"/>
  <c r="BU258" i="37"/>
  <c r="BV258" i="37"/>
  <c r="BW258" i="37"/>
  <c r="BX258" i="37"/>
  <c r="BY258" i="37"/>
  <c r="BZ258" i="37"/>
  <c r="CA258" i="37"/>
  <c r="CB258" i="37"/>
  <c r="CC258" i="37"/>
  <c r="CD258" i="37"/>
  <c r="CE258" i="37"/>
  <c r="CF258" i="37"/>
  <c r="BU259" i="37"/>
  <c r="BV259" i="37"/>
  <c r="BW259" i="37"/>
  <c r="BX259" i="37"/>
  <c r="BY259" i="37"/>
  <c r="BZ259" i="37"/>
  <c r="CA259" i="37"/>
  <c r="CB259" i="37"/>
  <c r="CC259" i="37"/>
  <c r="CD259" i="37"/>
  <c r="CE259" i="37"/>
  <c r="CF259" i="37"/>
  <c r="BU260" i="37"/>
  <c r="BV260" i="37"/>
  <c r="BW260" i="37"/>
  <c r="BX260" i="37"/>
  <c r="BY260" i="37"/>
  <c r="BZ260" i="37"/>
  <c r="CA260" i="37"/>
  <c r="CB260" i="37"/>
  <c r="CC260" i="37"/>
  <c r="CD260" i="37"/>
  <c r="CE260" i="37"/>
  <c r="CF260" i="37"/>
  <c r="BU261" i="37"/>
  <c r="BV261" i="37"/>
  <c r="BW261" i="37"/>
  <c r="BX261" i="37"/>
  <c r="BY261" i="37"/>
  <c r="BZ261" i="37"/>
  <c r="CA261" i="37"/>
  <c r="CB261" i="37"/>
  <c r="CC261" i="37"/>
  <c r="CD261" i="37"/>
  <c r="CE261" i="37"/>
  <c r="CF261" i="37"/>
  <c r="BU262" i="37"/>
  <c r="BV262" i="37"/>
  <c r="BW262" i="37"/>
  <c r="BX262" i="37"/>
  <c r="BY262" i="37"/>
  <c r="BZ262" i="37"/>
  <c r="CA262" i="37"/>
  <c r="CB262" i="37"/>
  <c r="CC262" i="37"/>
  <c r="CD262" i="37"/>
  <c r="CE262" i="37"/>
  <c r="CF262" i="37"/>
  <c r="BU263" i="37"/>
  <c r="BV263" i="37"/>
  <c r="BW263" i="37"/>
  <c r="BX263" i="37"/>
  <c r="BY263" i="37"/>
  <c r="BZ263" i="37"/>
  <c r="CA263" i="37"/>
  <c r="CB263" i="37"/>
  <c r="CC263" i="37"/>
  <c r="CD263" i="37"/>
  <c r="CE263" i="37"/>
  <c r="CF263" i="37"/>
  <c r="BU264" i="37"/>
  <c r="BV264" i="37"/>
  <c r="BW264" i="37"/>
  <c r="BX264" i="37"/>
  <c r="BY264" i="37"/>
  <c r="BZ264" i="37"/>
  <c r="CA264" i="37"/>
  <c r="CB264" i="37"/>
  <c r="CC264" i="37"/>
  <c r="CD264" i="37"/>
  <c r="CE264" i="37"/>
  <c r="CF264" i="37"/>
  <c r="BU265" i="37"/>
  <c r="BV265" i="37"/>
  <c r="BW265" i="37"/>
  <c r="BX265" i="37"/>
  <c r="BY265" i="37"/>
  <c r="BZ265" i="37"/>
  <c r="CA265" i="37"/>
  <c r="CB265" i="37"/>
  <c r="CC265" i="37"/>
  <c r="CD265" i="37"/>
  <c r="CE265" i="37"/>
  <c r="CF265" i="37"/>
  <c r="BU266" i="37"/>
  <c r="BV266" i="37"/>
  <c r="BW266" i="37"/>
  <c r="BX266" i="37"/>
  <c r="BY266" i="37"/>
  <c r="BZ266" i="37"/>
  <c r="CA266" i="37"/>
  <c r="CB266" i="37"/>
  <c r="CC266" i="37"/>
  <c r="CD266" i="37"/>
  <c r="CE266" i="37"/>
  <c r="CF266" i="37"/>
  <c r="BU267" i="37"/>
  <c r="BV267" i="37"/>
  <c r="BW267" i="37"/>
  <c r="BX267" i="37"/>
  <c r="BY267" i="37"/>
  <c r="BZ267" i="37"/>
  <c r="CA267" i="37"/>
  <c r="CB267" i="37"/>
  <c r="CC267" i="37"/>
  <c r="CD267" i="37"/>
  <c r="CE267" i="37"/>
  <c r="CF267" i="37"/>
  <c r="BU268" i="37"/>
  <c r="BV268" i="37"/>
  <c r="BW268" i="37"/>
  <c r="BX268" i="37"/>
  <c r="BY268" i="37"/>
  <c r="BZ268" i="37"/>
  <c r="CA268" i="37"/>
  <c r="CB268" i="37"/>
  <c r="CC268" i="37"/>
  <c r="CD268" i="37"/>
  <c r="CE268" i="37"/>
  <c r="CF268" i="37"/>
  <c r="BU269" i="37"/>
  <c r="BV269" i="37"/>
  <c r="BW269" i="37"/>
  <c r="BX269" i="37"/>
  <c r="BY269" i="37"/>
  <c r="BZ269" i="37"/>
  <c r="CA269" i="37"/>
  <c r="CB269" i="37"/>
  <c r="CC269" i="37"/>
  <c r="CD269" i="37"/>
  <c r="CE269" i="37"/>
  <c r="CF269" i="37"/>
  <c r="BU270" i="37"/>
  <c r="BV270" i="37"/>
  <c r="BW270" i="37"/>
  <c r="BX270" i="37"/>
  <c r="BY270" i="37"/>
  <c r="BZ270" i="37"/>
  <c r="CA270" i="37"/>
  <c r="CB270" i="37"/>
  <c r="CC270" i="37"/>
  <c r="CD270" i="37"/>
  <c r="CE270" i="37"/>
  <c r="CF270" i="37"/>
  <c r="BU271" i="37"/>
  <c r="BV271" i="37"/>
  <c r="BW271" i="37"/>
  <c r="BX271" i="37"/>
  <c r="BY271" i="37"/>
  <c r="BZ271" i="37"/>
  <c r="CA271" i="37"/>
  <c r="CB271" i="37"/>
  <c r="CC271" i="37"/>
  <c r="CD271" i="37"/>
  <c r="CE271" i="37"/>
  <c r="CF271" i="37"/>
  <c r="BU272" i="37"/>
  <c r="BV272" i="37"/>
  <c r="BW272" i="37"/>
  <c r="BX272" i="37"/>
  <c r="BY272" i="37"/>
  <c r="BZ272" i="37"/>
  <c r="CA272" i="37"/>
  <c r="CB272" i="37"/>
  <c r="CC272" i="37"/>
  <c r="CD272" i="37"/>
  <c r="CE272" i="37"/>
  <c r="CF272" i="37"/>
  <c r="BU273" i="37"/>
  <c r="BV273" i="37"/>
  <c r="BW273" i="37"/>
  <c r="BX273" i="37"/>
  <c r="BY273" i="37"/>
  <c r="BZ273" i="37"/>
  <c r="CA273" i="37"/>
  <c r="CB273" i="37"/>
  <c r="CC273" i="37"/>
  <c r="CD273" i="37"/>
  <c r="CE273" i="37"/>
  <c r="CF273" i="37"/>
  <c r="BU274" i="37"/>
  <c r="BV274" i="37"/>
  <c r="BW274" i="37"/>
  <c r="BX274" i="37"/>
  <c r="BY274" i="37"/>
  <c r="BZ274" i="37"/>
  <c r="CA274" i="37"/>
  <c r="CB274" i="37"/>
  <c r="CC274" i="37"/>
  <c r="CD274" i="37"/>
  <c r="CE274" i="37"/>
  <c r="CF274" i="37"/>
  <c r="BU275" i="37"/>
  <c r="BV275" i="37"/>
  <c r="BW275" i="37"/>
  <c r="BX275" i="37"/>
  <c r="BY275" i="37"/>
  <c r="BZ275" i="37"/>
  <c r="CA275" i="37"/>
  <c r="CB275" i="37"/>
  <c r="CC275" i="37"/>
  <c r="CD275" i="37"/>
  <c r="CE275" i="37"/>
  <c r="CF275" i="37"/>
  <c r="BU276" i="37"/>
  <c r="BV276" i="37"/>
  <c r="BW276" i="37"/>
  <c r="BX276" i="37"/>
  <c r="BY276" i="37"/>
  <c r="BZ276" i="37"/>
  <c r="CA276" i="37"/>
  <c r="CB276" i="37"/>
  <c r="CC276" i="37"/>
  <c r="CD276" i="37"/>
  <c r="CE276" i="37"/>
  <c r="CF276" i="37"/>
  <c r="BU277" i="37"/>
  <c r="BV277" i="37"/>
  <c r="BW277" i="37"/>
  <c r="BX277" i="37"/>
  <c r="BY277" i="37"/>
  <c r="BZ277" i="37"/>
  <c r="CA277" i="37"/>
  <c r="CB277" i="37"/>
  <c r="CC277" i="37"/>
  <c r="CD277" i="37"/>
  <c r="CE277" i="37"/>
  <c r="CF277" i="37"/>
  <c r="BU278" i="37"/>
  <c r="BV278" i="37"/>
  <c r="BW278" i="37"/>
  <c r="BX278" i="37"/>
  <c r="BY278" i="37"/>
  <c r="BZ278" i="37"/>
  <c r="CA278" i="37"/>
  <c r="CB278" i="37"/>
  <c r="CC278" i="37"/>
  <c r="CD278" i="37"/>
  <c r="CE278" i="37"/>
  <c r="CF278" i="37"/>
  <c r="BU279" i="37"/>
  <c r="BV279" i="37"/>
  <c r="BW279" i="37"/>
  <c r="BX279" i="37"/>
  <c r="BY279" i="37"/>
  <c r="BZ279" i="37"/>
  <c r="CA279" i="37"/>
  <c r="CB279" i="37"/>
  <c r="CC279" i="37"/>
  <c r="CD279" i="37"/>
  <c r="CE279" i="37"/>
  <c r="CF279" i="37"/>
  <c r="BU280" i="37"/>
  <c r="BV280" i="37"/>
  <c r="BW280" i="37"/>
  <c r="BX280" i="37"/>
  <c r="BY280" i="37"/>
  <c r="BZ280" i="37"/>
  <c r="CA280" i="37"/>
  <c r="CB280" i="37"/>
  <c r="CC280" i="37"/>
  <c r="CD280" i="37"/>
  <c r="CE280" i="37"/>
  <c r="CF280" i="37"/>
  <c r="BU281" i="37"/>
  <c r="BV281" i="37"/>
  <c r="BW281" i="37"/>
  <c r="BX281" i="37"/>
  <c r="BY281" i="37"/>
  <c r="BZ281" i="37"/>
  <c r="CA281" i="37"/>
  <c r="CB281" i="37"/>
  <c r="CC281" i="37"/>
  <c r="CD281" i="37"/>
  <c r="CE281" i="37"/>
  <c r="CF281" i="37"/>
  <c r="BU282" i="37"/>
  <c r="BV282" i="37"/>
  <c r="BW282" i="37"/>
  <c r="BX282" i="37"/>
  <c r="BY282" i="37"/>
  <c r="BZ282" i="37"/>
  <c r="CA282" i="37"/>
  <c r="CB282" i="37"/>
  <c r="CC282" i="37"/>
  <c r="CD282" i="37"/>
  <c r="CE282" i="37"/>
  <c r="CF282" i="37"/>
  <c r="BU283" i="37"/>
  <c r="BV283" i="37"/>
  <c r="BW283" i="37"/>
  <c r="BX283" i="37"/>
  <c r="BY283" i="37"/>
  <c r="BZ283" i="37"/>
  <c r="CA283" i="37"/>
  <c r="CB283" i="37"/>
  <c r="CC283" i="37"/>
  <c r="CD283" i="37"/>
  <c r="CE283" i="37"/>
  <c r="CF283" i="37"/>
  <c r="BU284" i="37"/>
  <c r="BV284" i="37"/>
  <c r="BW284" i="37"/>
  <c r="BX284" i="37"/>
  <c r="BY284" i="37"/>
  <c r="BZ284" i="37"/>
  <c r="CA284" i="37"/>
  <c r="CB284" i="37"/>
  <c r="CC284" i="37"/>
  <c r="CD284" i="37"/>
  <c r="CE284" i="37"/>
  <c r="CF284" i="37"/>
  <c r="BU285" i="37"/>
  <c r="BV285" i="37"/>
  <c r="BW285" i="37"/>
  <c r="BX285" i="37"/>
  <c r="BY285" i="37"/>
  <c r="BZ285" i="37"/>
  <c r="CA285" i="37"/>
  <c r="CB285" i="37"/>
  <c r="CC285" i="37"/>
  <c r="CD285" i="37"/>
  <c r="CE285" i="37"/>
  <c r="CF285" i="37"/>
  <c r="BU286" i="37"/>
  <c r="BV286" i="37"/>
  <c r="BW286" i="37"/>
  <c r="BX286" i="37"/>
  <c r="BY286" i="37"/>
  <c r="BZ286" i="37"/>
  <c r="CA286" i="37"/>
  <c r="CB286" i="37"/>
  <c r="CC286" i="37"/>
  <c r="CD286" i="37"/>
  <c r="CE286" i="37"/>
  <c r="CF286" i="37"/>
  <c r="BU287" i="37"/>
  <c r="BV287" i="37"/>
  <c r="BW287" i="37"/>
  <c r="BX287" i="37"/>
  <c r="BY287" i="37"/>
  <c r="BZ287" i="37"/>
  <c r="CA287" i="37"/>
  <c r="CB287" i="37"/>
  <c r="CC287" i="37"/>
  <c r="CD287" i="37"/>
  <c r="CE287" i="37"/>
  <c r="CF287" i="37"/>
  <c r="BU288" i="37"/>
  <c r="BV288" i="37"/>
  <c r="BW288" i="37"/>
  <c r="BX288" i="37"/>
  <c r="BY288" i="37"/>
  <c r="BZ288" i="37"/>
  <c r="CA288" i="37"/>
  <c r="CB288" i="37"/>
  <c r="CC288" i="37"/>
  <c r="CD288" i="37"/>
  <c r="CE288" i="37"/>
  <c r="CF288" i="37"/>
  <c r="BU289" i="37"/>
  <c r="BV289" i="37"/>
  <c r="BW289" i="37"/>
  <c r="BX289" i="37"/>
  <c r="BY289" i="37"/>
  <c r="BZ289" i="37"/>
  <c r="CA289" i="37"/>
  <c r="CB289" i="37"/>
  <c r="CC289" i="37"/>
  <c r="CD289" i="37"/>
  <c r="CE289" i="37"/>
  <c r="CF289" i="37"/>
  <c r="BU290" i="37"/>
  <c r="BV290" i="37"/>
  <c r="BW290" i="37"/>
  <c r="BX290" i="37"/>
  <c r="BY290" i="37"/>
  <c r="BZ290" i="37"/>
  <c r="CA290" i="37"/>
  <c r="CB290" i="37"/>
  <c r="CC290" i="37"/>
  <c r="CD290" i="37"/>
  <c r="CE290" i="37"/>
  <c r="CF290" i="37"/>
  <c r="BU291" i="37"/>
  <c r="BV291" i="37"/>
  <c r="BW291" i="37"/>
  <c r="BX291" i="37"/>
  <c r="BY291" i="37"/>
  <c r="BZ291" i="37"/>
  <c r="CA291" i="37"/>
  <c r="CB291" i="37"/>
  <c r="CC291" i="37"/>
  <c r="CD291" i="37"/>
  <c r="CE291" i="37"/>
  <c r="CF291" i="37"/>
  <c r="BU292" i="37"/>
  <c r="BV292" i="37"/>
  <c r="BW292" i="37"/>
  <c r="BX292" i="37"/>
  <c r="BY292" i="37"/>
  <c r="BZ292" i="37"/>
  <c r="CA292" i="37"/>
  <c r="CB292" i="37"/>
  <c r="CC292" i="37"/>
  <c r="CD292" i="37"/>
  <c r="CE292" i="37"/>
  <c r="CF292" i="37"/>
  <c r="BU293" i="37"/>
  <c r="BV293" i="37"/>
  <c r="BW293" i="37"/>
  <c r="BX293" i="37"/>
  <c r="BY293" i="37"/>
  <c r="BZ293" i="37"/>
  <c r="CA293" i="37"/>
  <c r="CB293" i="37"/>
  <c r="CC293" i="37"/>
  <c r="CD293" i="37"/>
  <c r="CE293" i="37"/>
  <c r="CF293" i="37"/>
  <c r="BU294" i="37"/>
  <c r="BV294" i="37"/>
  <c r="BW294" i="37"/>
  <c r="BX294" i="37"/>
  <c r="BY294" i="37"/>
  <c r="BZ294" i="37"/>
  <c r="CA294" i="37"/>
  <c r="CB294" i="37"/>
  <c r="CC294" i="37"/>
  <c r="CD294" i="37"/>
  <c r="CE294" i="37"/>
  <c r="CF294" i="37"/>
  <c r="BU295" i="37"/>
  <c r="BV295" i="37"/>
  <c r="BW295" i="37"/>
  <c r="BX295" i="37"/>
  <c r="BY295" i="37"/>
  <c r="BZ295" i="37"/>
  <c r="CA295" i="37"/>
  <c r="CB295" i="37"/>
  <c r="CC295" i="37"/>
  <c r="CD295" i="37"/>
  <c r="CE295" i="37"/>
  <c r="CF295" i="37"/>
  <c r="BU296" i="37"/>
  <c r="BV296" i="37"/>
  <c r="BW296" i="37"/>
  <c r="BX296" i="37"/>
  <c r="BY296" i="37"/>
  <c r="BZ296" i="37"/>
  <c r="CA296" i="37"/>
  <c r="CB296" i="37"/>
  <c r="CC296" i="37"/>
  <c r="CD296" i="37"/>
  <c r="CE296" i="37"/>
  <c r="CF296" i="37"/>
  <c r="BU297" i="37"/>
  <c r="BV297" i="37"/>
  <c r="BW297" i="37"/>
  <c r="BX297" i="37"/>
  <c r="BY297" i="37"/>
  <c r="BZ297" i="37"/>
  <c r="CA297" i="37"/>
  <c r="CB297" i="37"/>
  <c r="CC297" i="37"/>
  <c r="CD297" i="37"/>
  <c r="CE297" i="37"/>
  <c r="CF297" i="37"/>
  <c r="BU298" i="37"/>
  <c r="BV298" i="37"/>
  <c r="BW298" i="37"/>
  <c r="BX298" i="37"/>
  <c r="BY298" i="37"/>
  <c r="BZ298" i="37"/>
  <c r="CA298" i="37"/>
  <c r="CB298" i="37"/>
  <c r="CC298" i="37"/>
  <c r="CD298" i="37"/>
  <c r="CE298" i="37"/>
  <c r="CF298" i="37"/>
  <c r="BU299" i="37"/>
  <c r="BV299" i="37"/>
  <c r="BW299" i="37"/>
  <c r="BX299" i="37"/>
  <c r="BY299" i="37"/>
  <c r="BZ299" i="37"/>
  <c r="CA299" i="37"/>
  <c r="CB299" i="37"/>
  <c r="CC299" i="37"/>
  <c r="CD299" i="37"/>
  <c r="CE299" i="37"/>
  <c r="CF299" i="37"/>
  <c r="BU300" i="37"/>
  <c r="BV300" i="37"/>
  <c r="BW300" i="37"/>
  <c r="BX300" i="37"/>
  <c r="BY300" i="37"/>
  <c r="BZ300" i="37"/>
  <c r="CA300" i="37"/>
  <c r="CB300" i="37"/>
  <c r="CC300" i="37"/>
  <c r="CD300" i="37"/>
  <c r="CE300" i="37"/>
  <c r="CF300" i="37"/>
  <c r="BU301" i="37"/>
  <c r="BV301" i="37"/>
  <c r="BW301" i="37"/>
  <c r="BX301" i="37"/>
  <c r="BY301" i="37"/>
  <c r="BZ301" i="37"/>
  <c r="CA301" i="37"/>
  <c r="CB301" i="37"/>
  <c r="CC301" i="37"/>
  <c r="CD301" i="37"/>
  <c r="CE301" i="37"/>
  <c r="CF301" i="37"/>
  <c r="BU302" i="37"/>
  <c r="BV302" i="37"/>
  <c r="BW302" i="37"/>
  <c r="BX302" i="37"/>
  <c r="BY302" i="37"/>
  <c r="BZ302" i="37"/>
  <c r="CA302" i="37"/>
  <c r="CB302" i="37"/>
  <c r="CC302" i="37"/>
  <c r="CD302" i="37"/>
  <c r="CE302" i="37"/>
  <c r="CF302" i="37"/>
  <c r="BU303" i="37"/>
  <c r="BV303" i="37"/>
  <c r="BW303" i="37"/>
  <c r="BX303" i="37"/>
  <c r="BY303" i="37"/>
  <c r="BZ303" i="37"/>
  <c r="CA303" i="37"/>
  <c r="CB303" i="37"/>
  <c r="CC303" i="37"/>
  <c r="CD303" i="37"/>
  <c r="CE303" i="37"/>
  <c r="CF303" i="37"/>
  <c r="BU304" i="37"/>
  <c r="BV304" i="37"/>
  <c r="BW304" i="37"/>
  <c r="BX304" i="37"/>
  <c r="BY304" i="37"/>
  <c r="BZ304" i="37"/>
  <c r="CA304" i="37"/>
  <c r="CB304" i="37"/>
  <c r="CC304" i="37"/>
  <c r="CD304" i="37"/>
  <c r="CE304" i="37"/>
  <c r="CF304" i="37"/>
  <c r="BU305" i="37"/>
  <c r="BV305" i="37"/>
  <c r="BW305" i="37"/>
  <c r="BX305" i="37"/>
  <c r="BY305" i="37"/>
  <c r="BZ305" i="37"/>
  <c r="CA305" i="37"/>
  <c r="CB305" i="37"/>
  <c r="CC305" i="37"/>
  <c r="CD305" i="37"/>
  <c r="CE305" i="37"/>
  <c r="CF305" i="37"/>
  <c r="BU306" i="37"/>
  <c r="BV306" i="37"/>
  <c r="BW306" i="37"/>
  <c r="BX306" i="37"/>
  <c r="BY306" i="37"/>
  <c r="BZ306" i="37"/>
  <c r="CA306" i="37"/>
  <c r="CB306" i="37"/>
  <c r="CC306" i="37"/>
  <c r="CD306" i="37"/>
  <c r="CE306" i="37"/>
  <c r="CF306" i="37"/>
  <c r="BU307" i="37"/>
  <c r="BV307" i="37"/>
  <c r="BW307" i="37"/>
  <c r="BX307" i="37"/>
  <c r="BY307" i="37"/>
  <c r="BZ307" i="37"/>
  <c r="CA307" i="37"/>
  <c r="CB307" i="37"/>
  <c r="CC307" i="37"/>
  <c r="CD307" i="37"/>
  <c r="CE307" i="37"/>
  <c r="CF307" i="37"/>
  <c r="BU308" i="37"/>
  <c r="BV308" i="37"/>
  <c r="BW308" i="37"/>
  <c r="BX308" i="37"/>
  <c r="BY308" i="37"/>
  <c r="BZ308" i="37"/>
  <c r="CA308" i="37"/>
  <c r="CB308" i="37"/>
  <c r="CC308" i="37"/>
  <c r="CD308" i="37"/>
  <c r="CE308" i="37"/>
  <c r="CF308" i="37"/>
  <c r="BU309" i="37"/>
  <c r="BV309" i="37"/>
  <c r="BW309" i="37"/>
  <c r="BX309" i="37"/>
  <c r="BY309" i="37"/>
  <c r="BZ309" i="37"/>
  <c r="CA309" i="37"/>
  <c r="CB309" i="37"/>
  <c r="CC309" i="37"/>
  <c r="CD309" i="37"/>
  <c r="CE309" i="37"/>
  <c r="CF309" i="37"/>
  <c r="BU310" i="37"/>
  <c r="BV310" i="37"/>
  <c r="BW310" i="37"/>
  <c r="BX310" i="37"/>
  <c r="BY310" i="37"/>
  <c r="BZ310" i="37"/>
  <c r="CA310" i="37"/>
  <c r="CB310" i="37"/>
  <c r="CC310" i="37"/>
  <c r="CD310" i="37"/>
  <c r="CE310" i="37"/>
  <c r="CF310" i="37"/>
  <c r="BU311" i="37"/>
  <c r="BV311" i="37"/>
  <c r="BW311" i="37"/>
  <c r="BX311" i="37"/>
  <c r="BY311" i="37"/>
  <c r="BZ311" i="37"/>
  <c r="CA311" i="37"/>
  <c r="CB311" i="37"/>
  <c r="CC311" i="37"/>
  <c r="CD311" i="37"/>
  <c r="CE311" i="37"/>
  <c r="CF311" i="37"/>
  <c r="BU312" i="37"/>
  <c r="BV312" i="37"/>
  <c r="BW312" i="37"/>
  <c r="BX312" i="37"/>
  <c r="BY312" i="37"/>
  <c r="BZ312" i="37"/>
  <c r="CA312" i="37"/>
  <c r="CB312" i="37"/>
  <c r="CC312" i="37"/>
  <c r="CD312" i="37"/>
  <c r="CE312" i="37"/>
  <c r="CF312" i="37"/>
  <c r="BU313" i="37"/>
  <c r="BV313" i="37"/>
  <c r="BW313" i="37"/>
  <c r="BX313" i="37"/>
  <c r="BY313" i="37"/>
  <c r="BZ313" i="37"/>
  <c r="CA313" i="37"/>
  <c r="CB313" i="37"/>
  <c r="CC313" i="37"/>
  <c r="CD313" i="37"/>
  <c r="CE313" i="37"/>
  <c r="CF313" i="37"/>
  <c r="BU314" i="37"/>
  <c r="BV314" i="37"/>
  <c r="BW314" i="37"/>
  <c r="BX314" i="37"/>
  <c r="BY314" i="37"/>
  <c r="BZ314" i="37"/>
  <c r="CA314" i="37"/>
  <c r="CB314" i="37"/>
  <c r="CC314" i="37"/>
  <c r="CD314" i="37"/>
  <c r="CE314" i="37"/>
  <c r="CF314" i="37"/>
  <c r="BU315" i="37"/>
  <c r="BV315" i="37"/>
  <c r="BW315" i="37"/>
  <c r="BX315" i="37"/>
  <c r="BY315" i="37"/>
  <c r="BZ315" i="37"/>
  <c r="CA315" i="37"/>
  <c r="CB315" i="37"/>
  <c r="CC315" i="37"/>
  <c r="CD315" i="37"/>
  <c r="CE315" i="37"/>
  <c r="CF315" i="37"/>
  <c r="BU316" i="37"/>
  <c r="BV316" i="37"/>
  <c r="BW316" i="37"/>
  <c r="BX316" i="37"/>
  <c r="BY316" i="37"/>
  <c r="BZ316" i="37"/>
  <c r="CA316" i="37"/>
  <c r="CB316" i="37"/>
  <c r="CC316" i="37"/>
  <c r="CD316" i="37"/>
  <c r="CE316" i="37"/>
  <c r="CF316" i="37"/>
  <c r="BU317" i="37"/>
  <c r="BV317" i="37"/>
  <c r="BW317" i="37"/>
  <c r="BX317" i="37"/>
  <c r="BY317" i="37"/>
  <c r="BZ317" i="37"/>
  <c r="CA317" i="37"/>
  <c r="CB317" i="37"/>
  <c r="CC317" i="37"/>
  <c r="CD317" i="37"/>
  <c r="CE317" i="37"/>
  <c r="CF317" i="37"/>
  <c r="BU318" i="37"/>
  <c r="BV318" i="37"/>
  <c r="BW318" i="37"/>
  <c r="BX318" i="37"/>
  <c r="BY318" i="37"/>
  <c r="BZ318" i="37"/>
  <c r="CA318" i="37"/>
  <c r="CB318" i="37"/>
  <c r="CC318" i="37"/>
  <c r="CD318" i="37"/>
  <c r="CE318" i="37"/>
  <c r="CF318" i="37"/>
  <c r="BU319" i="37"/>
  <c r="BV319" i="37"/>
  <c r="BW319" i="37"/>
  <c r="BX319" i="37"/>
  <c r="BY319" i="37"/>
  <c r="BZ319" i="37"/>
  <c r="CA319" i="37"/>
  <c r="CB319" i="37"/>
  <c r="CC319" i="37"/>
  <c r="CD319" i="37"/>
  <c r="CE319" i="37"/>
  <c r="CF319" i="37"/>
  <c r="BU320" i="37"/>
  <c r="BV320" i="37"/>
  <c r="BW320" i="37"/>
  <c r="BX320" i="37"/>
  <c r="BY320" i="37"/>
  <c r="BZ320" i="37"/>
  <c r="CA320" i="37"/>
  <c r="CB320" i="37"/>
  <c r="CC320" i="37"/>
  <c r="CD320" i="37"/>
  <c r="CE320" i="37"/>
  <c r="CF320" i="37"/>
  <c r="BU321" i="37"/>
  <c r="BV321" i="37"/>
  <c r="BW321" i="37"/>
  <c r="BX321" i="37"/>
  <c r="BY321" i="37"/>
  <c r="BZ321" i="37"/>
  <c r="CA321" i="37"/>
  <c r="CB321" i="37"/>
  <c r="CC321" i="37"/>
  <c r="CD321" i="37"/>
  <c r="CE321" i="37"/>
  <c r="CF321" i="37"/>
  <c r="BU322" i="37"/>
  <c r="BV322" i="37"/>
  <c r="BW322" i="37"/>
  <c r="BX322" i="37"/>
  <c r="BY322" i="37"/>
  <c r="BZ322" i="37"/>
  <c r="CA322" i="37"/>
  <c r="CB322" i="37"/>
  <c r="CC322" i="37"/>
  <c r="CD322" i="37"/>
  <c r="CE322" i="37"/>
  <c r="CF322" i="37"/>
  <c r="BU323" i="37"/>
  <c r="BV323" i="37"/>
  <c r="BW323" i="37"/>
  <c r="BX323" i="37"/>
  <c r="BY323" i="37"/>
  <c r="BZ323" i="37"/>
  <c r="CA323" i="37"/>
  <c r="CB323" i="37"/>
  <c r="CC323" i="37"/>
  <c r="CD323" i="37"/>
  <c r="CE323" i="37"/>
  <c r="CF323" i="37"/>
  <c r="BU324" i="37"/>
  <c r="BV324" i="37"/>
  <c r="BW324" i="37"/>
  <c r="BX324" i="37"/>
  <c r="BY324" i="37"/>
  <c r="BZ324" i="37"/>
  <c r="CA324" i="37"/>
  <c r="CB324" i="37"/>
  <c r="CC324" i="37"/>
  <c r="CD324" i="37"/>
  <c r="CE324" i="37"/>
  <c r="CF324" i="37"/>
  <c r="BU325" i="37"/>
  <c r="BV325" i="37"/>
  <c r="BW325" i="37"/>
  <c r="BX325" i="37"/>
  <c r="BY325" i="37"/>
  <c r="BZ325" i="37"/>
  <c r="CA325" i="37"/>
  <c r="CB325" i="37"/>
  <c r="CC325" i="37"/>
  <c r="CD325" i="37"/>
  <c r="CE325" i="37"/>
  <c r="CF325" i="37"/>
  <c r="BU326" i="37"/>
  <c r="BV326" i="37"/>
  <c r="BW326" i="37"/>
  <c r="BX326" i="37"/>
  <c r="BY326" i="37"/>
  <c r="BZ326" i="37"/>
  <c r="CA326" i="37"/>
  <c r="CB326" i="37"/>
  <c r="CC326" i="37"/>
  <c r="CD326" i="37"/>
  <c r="CE326" i="37"/>
  <c r="CF326" i="37"/>
  <c r="BU327" i="37"/>
  <c r="BV327" i="37"/>
  <c r="BW327" i="37"/>
  <c r="BX327" i="37"/>
  <c r="BY327" i="37"/>
  <c r="BZ327" i="37"/>
  <c r="CA327" i="37"/>
  <c r="CB327" i="37"/>
  <c r="CC327" i="37"/>
  <c r="CD327" i="37"/>
  <c r="CE327" i="37"/>
  <c r="CF327" i="37"/>
  <c r="BU328" i="37"/>
  <c r="BV328" i="37"/>
  <c r="BW328" i="37"/>
  <c r="BX328" i="37"/>
  <c r="BY328" i="37"/>
  <c r="BZ328" i="37"/>
  <c r="CA328" i="37"/>
  <c r="CB328" i="37"/>
  <c r="CC328" i="37"/>
  <c r="CD328" i="37"/>
  <c r="CE328" i="37"/>
  <c r="CF328" i="37"/>
  <c r="BU329" i="37"/>
  <c r="BV329" i="37"/>
  <c r="BW329" i="37"/>
  <c r="BX329" i="37"/>
  <c r="BY329" i="37"/>
  <c r="BZ329" i="37"/>
  <c r="CA329" i="37"/>
  <c r="CB329" i="37"/>
  <c r="CC329" i="37"/>
  <c r="CD329" i="37"/>
  <c r="CE329" i="37"/>
  <c r="CF329" i="37"/>
  <c r="BU330" i="37"/>
  <c r="BV330" i="37"/>
  <c r="BW330" i="37"/>
  <c r="BX330" i="37"/>
  <c r="BY330" i="37"/>
  <c r="BZ330" i="37"/>
  <c r="CA330" i="37"/>
  <c r="CB330" i="37"/>
  <c r="CC330" i="37"/>
  <c r="CD330" i="37"/>
  <c r="CE330" i="37"/>
  <c r="CF330" i="37"/>
  <c r="BU331" i="37"/>
  <c r="BV331" i="37"/>
  <c r="BW331" i="37"/>
  <c r="BX331" i="37"/>
  <c r="BY331" i="37"/>
  <c r="BZ331" i="37"/>
  <c r="CA331" i="37"/>
  <c r="CB331" i="37"/>
  <c r="CC331" i="37"/>
  <c r="CD331" i="37"/>
  <c r="CE331" i="37"/>
  <c r="CF331" i="37"/>
  <c r="BU332" i="37"/>
  <c r="BV332" i="37"/>
  <c r="BW332" i="37"/>
  <c r="BX332" i="37"/>
  <c r="BY332" i="37"/>
  <c r="BZ332" i="37"/>
  <c r="CA332" i="37"/>
  <c r="CB332" i="37"/>
  <c r="CC332" i="37"/>
  <c r="CD332" i="37"/>
  <c r="CE332" i="37"/>
  <c r="CF332" i="37"/>
  <c r="BU333" i="37"/>
  <c r="BV333" i="37"/>
  <c r="BW333" i="37"/>
  <c r="BX333" i="37"/>
  <c r="BY333" i="37"/>
  <c r="BZ333" i="37"/>
  <c r="CA333" i="37"/>
  <c r="CB333" i="37"/>
  <c r="CC333" i="37"/>
  <c r="CD333" i="37"/>
  <c r="CE333" i="37"/>
  <c r="CF333" i="37"/>
  <c r="BU334" i="37"/>
  <c r="BV334" i="37"/>
  <c r="BW334" i="37"/>
  <c r="BX334" i="37"/>
  <c r="BY334" i="37"/>
  <c r="BZ334" i="37"/>
  <c r="CA334" i="37"/>
  <c r="CB334" i="37"/>
  <c r="CC334" i="37"/>
  <c r="CD334" i="37"/>
  <c r="CE334" i="37"/>
  <c r="CF334" i="37"/>
  <c r="BU335" i="37"/>
  <c r="BV335" i="37"/>
  <c r="BW335" i="37"/>
  <c r="BX335" i="37"/>
  <c r="BY335" i="37"/>
  <c r="BZ335" i="37"/>
  <c r="CA335" i="37"/>
  <c r="CB335" i="37"/>
  <c r="CC335" i="37"/>
  <c r="CD335" i="37"/>
  <c r="CE335" i="37"/>
  <c r="CF335" i="37"/>
  <c r="BU336" i="37"/>
  <c r="BV336" i="37"/>
  <c r="BW336" i="37"/>
  <c r="BX336" i="37"/>
  <c r="BY336" i="37"/>
  <c r="BZ336" i="37"/>
  <c r="CA336" i="37"/>
  <c r="CB336" i="37"/>
  <c r="CC336" i="37"/>
  <c r="CD336" i="37"/>
  <c r="CE336" i="37"/>
  <c r="CF336" i="37"/>
  <c r="BU337" i="37"/>
  <c r="BV337" i="37"/>
  <c r="BW337" i="37"/>
  <c r="BX337" i="37"/>
  <c r="BY337" i="37"/>
  <c r="BZ337" i="37"/>
  <c r="CA337" i="37"/>
  <c r="CB337" i="37"/>
  <c r="CC337" i="37"/>
  <c r="CD337" i="37"/>
  <c r="CE337" i="37"/>
  <c r="CF337" i="37"/>
  <c r="BU338" i="37"/>
  <c r="BV338" i="37"/>
  <c r="BW338" i="37"/>
  <c r="BX338" i="37"/>
  <c r="BY338" i="37"/>
  <c r="BZ338" i="37"/>
  <c r="CA338" i="37"/>
  <c r="CB338" i="37"/>
  <c r="CC338" i="37"/>
  <c r="CD338" i="37"/>
  <c r="CE338" i="37"/>
  <c r="CF338" i="37"/>
  <c r="BU339" i="37"/>
  <c r="BV339" i="37"/>
  <c r="BW339" i="37"/>
  <c r="BX339" i="37"/>
  <c r="BY339" i="37"/>
  <c r="BZ339" i="37"/>
  <c r="CA339" i="37"/>
  <c r="CB339" i="37"/>
  <c r="CC339" i="37"/>
  <c r="CD339" i="37"/>
  <c r="CE339" i="37"/>
  <c r="CF339" i="37"/>
  <c r="BU340" i="37"/>
  <c r="BV340" i="37"/>
  <c r="BW340" i="37"/>
  <c r="BX340" i="37"/>
  <c r="BY340" i="37"/>
  <c r="BZ340" i="37"/>
  <c r="CA340" i="37"/>
  <c r="CB340" i="37"/>
  <c r="CC340" i="37"/>
  <c r="CD340" i="37"/>
  <c r="CE340" i="37"/>
  <c r="CF340" i="37"/>
  <c r="BU341" i="37"/>
  <c r="BV341" i="37"/>
  <c r="BW341" i="37"/>
  <c r="BX341" i="37"/>
  <c r="BY341" i="37"/>
  <c r="BZ341" i="37"/>
  <c r="CA341" i="37"/>
  <c r="CB341" i="37"/>
  <c r="CC341" i="37"/>
  <c r="CD341" i="37"/>
  <c r="CE341" i="37"/>
  <c r="CF341" i="37"/>
  <c r="BU342" i="37"/>
  <c r="BV342" i="37"/>
  <c r="BW342" i="37"/>
  <c r="BX342" i="37"/>
  <c r="BY342" i="37"/>
  <c r="BZ342" i="37"/>
  <c r="CA342" i="37"/>
  <c r="CB342" i="37"/>
  <c r="CC342" i="37"/>
  <c r="CD342" i="37"/>
  <c r="CE342" i="37"/>
  <c r="CF342" i="37"/>
  <c r="BU343" i="37"/>
  <c r="BV343" i="37"/>
  <c r="BW343" i="37"/>
  <c r="BX343" i="37"/>
  <c r="BY343" i="37"/>
  <c r="BZ343" i="37"/>
  <c r="CA343" i="37"/>
  <c r="CB343" i="37"/>
  <c r="CC343" i="37"/>
  <c r="CD343" i="37"/>
  <c r="CE343" i="37"/>
  <c r="CF343" i="37"/>
  <c r="BU344" i="37"/>
  <c r="BV344" i="37"/>
  <c r="BW344" i="37"/>
  <c r="BX344" i="37"/>
  <c r="BY344" i="37"/>
  <c r="BZ344" i="37"/>
  <c r="CA344" i="37"/>
  <c r="CB344" i="37"/>
  <c r="CC344" i="37"/>
  <c r="CD344" i="37"/>
  <c r="CE344" i="37"/>
  <c r="CF344" i="37"/>
  <c r="BU345" i="37"/>
  <c r="BV345" i="37"/>
  <c r="BW345" i="37"/>
  <c r="BX345" i="37"/>
  <c r="BY345" i="37"/>
  <c r="BZ345" i="37"/>
  <c r="CA345" i="37"/>
  <c r="CB345" i="37"/>
  <c r="CC345" i="37"/>
  <c r="CD345" i="37"/>
  <c r="CE345" i="37"/>
  <c r="CF345" i="37"/>
  <c r="BU346" i="37"/>
  <c r="BV346" i="37"/>
  <c r="BW346" i="37"/>
  <c r="BX346" i="37"/>
  <c r="BY346" i="37"/>
  <c r="BZ346" i="37"/>
  <c r="CA346" i="37"/>
  <c r="CB346" i="37"/>
  <c r="CC346" i="37"/>
  <c r="CD346" i="37"/>
  <c r="CE346" i="37"/>
  <c r="CF346" i="37"/>
  <c r="BU347" i="37"/>
  <c r="BV347" i="37"/>
  <c r="BW347" i="37"/>
  <c r="BX347" i="37"/>
  <c r="BY347" i="37"/>
  <c r="BZ347" i="37"/>
  <c r="CA347" i="37"/>
  <c r="CB347" i="37"/>
  <c r="CC347" i="37"/>
  <c r="CD347" i="37"/>
  <c r="CE347" i="37"/>
  <c r="CF347" i="37"/>
  <c r="BU348" i="37"/>
  <c r="BV348" i="37"/>
  <c r="BW348" i="37"/>
  <c r="BX348" i="37"/>
  <c r="BY348" i="37"/>
  <c r="BZ348" i="37"/>
  <c r="CA348" i="37"/>
  <c r="CB348" i="37"/>
  <c r="CC348" i="37"/>
  <c r="CD348" i="37"/>
  <c r="CE348" i="37"/>
  <c r="CF348" i="37"/>
  <c r="BU349" i="37"/>
  <c r="BV349" i="37"/>
  <c r="BW349" i="37"/>
  <c r="BX349" i="37"/>
  <c r="BY349" i="37"/>
  <c r="BZ349" i="37"/>
  <c r="CA349" i="37"/>
  <c r="CB349" i="37"/>
  <c r="CC349" i="37"/>
  <c r="CD349" i="37"/>
  <c r="CE349" i="37"/>
  <c r="CF349" i="37"/>
  <c r="BU350" i="37"/>
  <c r="BV350" i="37"/>
  <c r="BW350" i="37"/>
  <c r="BX350" i="37"/>
  <c r="BY350" i="37"/>
  <c r="BZ350" i="37"/>
  <c r="CA350" i="37"/>
  <c r="CB350" i="37"/>
  <c r="CC350" i="37"/>
  <c r="CD350" i="37"/>
  <c r="CE350" i="37"/>
  <c r="CF350" i="37"/>
  <c r="BU351" i="37"/>
  <c r="BV351" i="37"/>
  <c r="BW351" i="37"/>
  <c r="BX351" i="37"/>
  <c r="BY351" i="37"/>
  <c r="BZ351" i="37"/>
  <c r="CA351" i="37"/>
  <c r="CB351" i="37"/>
  <c r="CC351" i="37"/>
  <c r="CD351" i="37"/>
  <c r="CE351" i="37"/>
  <c r="CF351" i="37"/>
  <c r="BU352" i="37"/>
  <c r="BV352" i="37"/>
  <c r="BW352" i="37"/>
  <c r="BX352" i="37"/>
  <c r="BY352" i="37"/>
  <c r="BZ352" i="37"/>
  <c r="CA352" i="37"/>
  <c r="CB352" i="37"/>
  <c r="CC352" i="37"/>
  <c r="CD352" i="37"/>
  <c r="CE352" i="37"/>
  <c r="CF352" i="37"/>
  <c r="BU353" i="37"/>
  <c r="BV353" i="37"/>
  <c r="BW353" i="37"/>
  <c r="BX353" i="37"/>
  <c r="BY353" i="37"/>
  <c r="BZ353" i="37"/>
  <c r="CA353" i="37"/>
  <c r="CB353" i="37"/>
  <c r="CC353" i="37"/>
  <c r="CD353" i="37"/>
  <c r="CE353" i="37"/>
  <c r="CF353" i="37"/>
  <c r="BU354" i="37"/>
  <c r="BV354" i="37"/>
  <c r="BW354" i="37"/>
  <c r="BX354" i="37"/>
  <c r="BY354" i="37"/>
  <c r="BZ354" i="37"/>
  <c r="CA354" i="37"/>
  <c r="CB354" i="37"/>
  <c r="CC354" i="37"/>
  <c r="CD354" i="37"/>
  <c r="CE354" i="37"/>
  <c r="CF354" i="37"/>
  <c r="BU355" i="37"/>
  <c r="BV355" i="37"/>
  <c r="BW355" i="37"/>
  <c r="BX355" i="37"/>
  <c r="BY355" i="37"/>
  <c r="BZ355" i="37"/>
  <c r="CA355" i="37"/>
  <c r="CB355" i="37"/>
  <c r="CC355" i="37"/>
  <c r="CD355" i="37"/>
  <c r="CE355" i="37"/>
  <c r="CF355" i="37"/>
  <c r="BU356" i="37"/>
  <c r="BV356" i="37"/>
  <c r="BW356" i="37"/>
  <c r="BX356" i="37"/>
  <c r="BY356" i="37"/>
  <c r="BZ356" i="37"/>
  <c r="CA356" i="37"/>
  <c r="CB356" i="37"/>
  <c r="CC356" i="37"/>
  <c r="CD356" i="37"/>
  <c r="CE356" i="37"/>
  <c r="CF356" i="37"/>
  <c r="BU357" i="37"/>
  <c r="BV357" i="37"/>
  <c r="BW357" i="37"/>
  <c r="BX357" i="37"/>
  <c r="BY357" i="37"/>
  <c r="BZ357" i="37"/>
  <c r="CA357" i="37"/>
  <c r="CB357" i="37"/>
  <c r="CC357" i="37"/>
  <c r="CD357" i="37"/>
  <c r="CE357" i="37"/>
  <c r="CF357" i="37"/>
  <c r="BU358" i="37"/>
  <c r="BV358" i="37"/>
  <c r="BW358" i="37"/>
  <c r="BX358" i="37"/>
  <c r="BY358" i="37"/>
  <c r="BZ358" i="37"/>
  <c r="CA358" i="37"/>
  <c r="CB358" i="37"/>
  <c r="CC358" i="37"/>
  <c r="CD358" i="37"/>
  <c r="CE358" i="37"/>
  <c r="CF358" i="37"/>
  <c r="BU359" i="37"/>
  <c r="BV359" i="37"/>
  <c r="BW359" i="37"/>
  <c r="BX359" i="37"/>
  <c r="BY359" i="37"/>
  <c r="BZ359" i="37"/>
  <c r="CA359" i="37"/>
  <c r="CB359" i="37"/>
  <c r="CC359" i="37"/>
  <c r="CD359" i="37"/>
  <c r="CE359" i="37"/>
  <c r="CF359" i="37"/>
  <c r="BU360" i="37"/>
  <c r="BV360" i="37"/>
  <c r="BW360" i="37"/>
  <c r="BX360" i="37"/>
  <c r="BY360" i="37"/>
  <c r="BZ360" i="37"/>
  <c r="CA360" i="37"/>
  <c r="CB360" i="37"/>
  <c r="CC360" i="37"/>
  <c r="CD360" i="37"/>
  <c r="CE360" i="37"/>
  <c r="CF360" i="37"/>
  <c r="BU361" i="37"/>
  <c r="BV361" i="37"/>
  <c r="BW361" i="37"/>
  <c r="BX361" i="37"/>
  <c r="BY361" i="37"/>
  <c r="BZ361" i="37"/>
  <c r="CA361" i="37"/>
  <c r="CB361" i="37"/>
  <c r="CC361" i="37"/>
  <c r="CD361" i="37"/>
  <c r="CE361" i="37"/>
  <c r="CF361" i="37"/>
  <c r="BU362" i="37"/>
  <c r="BV362" i="37"/>
  <c r="BW362" i="37"/>
  <c r="BX362" i="37"/>
  <c r="BY362" i="37"/>
  <c r="BZ362" i="37"/>
  <c r="CA362" i="37"/>
  <c r="CB362" i="37"/>
  <c r="CC362" i="37"/>
  <c r="CD362" i="37"/>
  <c r="CE362" i="37"/>
  <c r="CF362" i="37"/>
  <c r="BU363" i="37"/>
  <c r="BV363" i="37"/>
  <c r="BW363" i="37"/>
  <c r="BX363" i="37"/>
  <c r="BY363" i="37"/>
  <c r="BZ363" i="37"/>
  <c r="CA363" i="37"/>
  <c r="CB363" i="37"/>
  <c r="CC363" i="37"/>
  <c r="CD363" i="37"/>
  <c r="CE363" i="37"/>
  <c r="CF363" i="37"/>
  <c r="BU364" i="37"/>
  <c r="BV364" i="37"/>
  <c r="BW364" i="37"/>
  <c r="BX364" i="37"/>
  <c r="BY364" i="37"/>
  <c r="BZ364" i="37"/>
  <c r="CA364" i="37"/>
  <c r="CB364" i="37"/>
  <c r="CC364" i="37"/>
  <c r="CD364" i="37"/>
  <c r="CE364" i="37"/>
  <c r="CF364" i="37"/>
  <c r="BU365" i="37"/>
  <c r="BV365" i="37"/>
  <c r="BW365" i="37"/>
  <c r="BX365" i="37"/>
  <c r="BY365" i="37"/>
  <c r="BZ365" i="37"/>
  <c r="CA365" i="37"/>
  <c r="CB365" i="37"/>
  <c r="CC365" i="37"/>
  <c r="CD365" i="37"/>
  <c r="CE365" i="37"/>
  <c r="CF365" i="37"/>
  <c r="BU366" i="37"/>
  <c r="BV366" i="37"/>
  <c r="BW366" i="37"/>
  <c r="BX366" i="37"/>
  <c r="BY366" i="37"/>
  <c r="BZ366" i="37"/>
  <c r="CA366" i="37"/>
  <c r="CB366" i="37"/>
  <c r="CC366" i="37"/>
  <c r="CD366" i="37"/>
  <c r="CE366" i="37"/>
  <c r="CF366" i="37"/>
  <c r="BV17" i="37"/>
  <c r="BW17" i="37"/>
  <c r="BX17" i="37"/>
  <c r="BY17" i="37"/>
  <c r="BZ17" i="37"/>
  <c r="CA17" i="37"/>
  <c r="CB17" i="37"/>
  <c r="CC17" i="37"/>
  <c r="CD17" i="37"/>
  <c r="CE17" i="37"/>
  <c r="CF17" i="37"/>
  <c r="BU17" i="37"/>
  <c r="BH18" i="37"/>
  <c r="BI18" i="37"/>
  <c r="BJ18" i="37"/>
  <c r="BK18" i="37"/>
  <c r="BL18" i="37"/>
  <c r="BM18" i="37"/>
  <c r="BN18" i="37"/>
  <c r="BO18" i="37"/>
  <c r="BP18" i="37"/>
  <c r="BQ18" i="37"/>
  <c r="BR18" i="37"/>
  <c r="BS18" i="37"/>
  <c r="BH19" i="37"/>
  <c r="BI19" i="37"/>
  <c r="BJ19" i="37"/>
  <c r="BK19" i="37"/>
  <c r="BL19" i="37"/>
  <c r="BM19" i="37"/>
  <c r="BN19" i="37"/>
  <c r="BO19" i="37"/>
  <c r="BP19" i="37"/>
  <c r="BQ19" i="37"/>
  <c r="BR19" i="37"/>
  <c r="BS19" i="37"/>
  <c r="BH20" i="37"/>
  <c r="BI20" i="37"/>
  <c r="BJ20" i="37"/>
  <c r="BK20" i="37"/>
  <c r="BL20" i="37"/>
  <c r="BM20" i="37"/>
  <c r="BN20" i="37"/>
  <c r="BO20" i="37"/>
  <c r="BP20" i="37"/>
  <c r="BQ20" i="37"/>
  <c r="BR20" i="37"/>
  <c r="BS20" i="37"/>
  <c r="BH21" i="37"/>
  <c r="BI21" i="37"/>
  <c r="BJ21" i="37"/>
  <c r="BK21" i="37"/>
  <c r="BL21" i="37"/>
  <c r="BM21" i="37"/>
  <c r="BN21" i="37"/>
  <c r="BO21" i="37"/>
  <c r="BP21" i="37"/>
  <c r="BQ21" i="37"/>
  <c r="BR21" i="37"/>
  <c r="BS21" i="37"/>
  <c r="BH22" i="37"/>
  <c r="BI22" i="37"/>
  <c r="BJ22" i="37"/>
  <c r="BK22" i="37"/>
  <c r="BL22" i="37"/>
  <c r="BM22" i="37"/>
  <c r="BN22" i="37"/>
  <c r="BO22" i="37"/>
  <c r="BP22" i="37"/>
  <c r="BQ22" i="37"/>
  <c r="BR22" i="37"/>
  <c r="BS22" i="37"/>
  <c r="BH23" i="37"/>
  <c r="BI23" i="37"/>
  <c r="BJ23" i="37"/>
  <c r="BK23" i="37"/>
  <c r="BL23" i="37"/>
  <c r="BM23" i="37"/>
  <c r="BN23" i="37"/>
  <c r="BO23" i="37"/>
  <c r="BP23" i="37"/>
  <c r="BQ23" i="37"/>
  <c r="BR23" i="37"/>
  <c r="BS23" i="37"/>
  <c r="BH24" i="37"/>
  <c r="BI24" i="37"/>
  <c r="BJ24" i="37"/>
  <c r="BK24" i="37"/>
  <c r="BL24" i="37"/>
  <c r="BM24" i="37"/>
  <c r="BN24" i="37"/>
  <c r="BO24" i="37"/>
  <c r="BP24" i="37"/>
  <c r="BQ24" i="37"/>
  <c r="BR24" i="37"/>
  <c r="BS24" i="37"/>
  <c r="BH25" i="37"/>
  <c r="BI25" i="37"/>
  <c r="BJ25" i="37"/>
  <c r="BK25" i="37"/>
  <c r="BL25" i="37"/>
  <c r="BM25" i="37"/>
  <c r="BN25" i="37"/>
  <c r="BO25" i="37"/>
  <c r="BP25" i="37"/>
  <c r="BQ25" i="37"/>
  <c r="BR25" i="37"/>
  <c r="BS25" i="37"/>
  <c r="BH26" i="37"/>
  <c r="BI26" i="37"/>
  <c r="BJ26" i="37"/>
  <c r="BK26" i="37"/>
  <c r="BL26" i="37"/>
  <c r="BM26" i="37"/>
  <c r="BN26" i="37"/>
  <c r="BO26" i="37"/>
  <c r="BP26" i="37"/>
  <c r="BQ26" i="37"/>
  <c r="BR26" i="37"/>
  <c r="BS26" i="37"/>
  <c r="BH27" i="37"/>
  <c r="BI27" i="37"/>
  <c r="BJ27" i="37"/>
  <c r="BK27" i="37"/>
  <c r="BL27" i="37"/>
  <c r="BM27" i="37"/>
  <c r="BN27" i="37"/>
  <c r="BO27" i="37"/>
  <c r="BP27" i="37"/>
  <c r="BQ27" i="37"/>
  <c r="BR27" i="37"/>
  <c r="BS27" i="37"/>
  <c r="BH28" i="37"/>
  <c r="BI28" i="37"/>
  <c r="BJ28" i="37"/>
  <c r="BK28" i="37"/>
  <c r="BL28" i="37"/>
  <c r="BM28" i="37"/>
  <c r="BN28" i="37"/>
  <c r="BO28" i="37"/>
  <c r="BP28" i="37"/>
  <c r="BQ28" i="37"/>
  <c r="BR28" i="37"/>
  <c r="BS28" i="37"/>
  <c r="BH29" i="37"/>
  <c r="BI29" i="37"/>
  <c r="BJ29" i="37"/>
  <c r="BK29" i="37"/>
  <c r="BL29" i="37"/>
  <c r="BM29" i="37"/>
  <c r="BN29" i="37"/>
  <c r="BO29" i="37"/>
  <c r="BP29" i="37"/>
  <c r="BQ29" i="37"/>
  <c r="BR29" i="37"/>
  <c r="BS29" i="37"/>
  <c r="BH30" i="37"/>
  <c r="BI30" i="37"/>
  <c r="BJ30" i="37"/>
  <c r="BK30" i="37"/>
  <c r="BL30" i="37"/>
  <c r="BM30" i="37"/>
  <c r="BN30" i="37"/>
  <c r="BO30" i="37"/>
  <c r="BP30" i="37"/>
  <c r="BQ30" i="37"/>
  <c r="BR30" i="37"/>
  <c r="BS30" i="37"/>
  <c r="BH31" i="37"/>
  <c r="BI31" i="37"/>
  <c r="BJ31" i="37"/>
  <c r="BK31" i="37"/>
  <c r="BL31" i="37"/>
  <c r="BM31" i="37"/>
  <c r="BN31" i="37"/>
  <c r="BO31" i="37"/>
  <c r="BP31" i="37"/>
  <c r="BQ31" i="37"/>
  <c r="BR31" i="37"/>
  <c r="BS31" i="37"/>
  <c r="BH32" i="37"/>
  <c r="BI32" i="37"/>
  <c r="BJ32" i="37"/>
  <c r="BK32" i="37"/>
  <c r="BL32" i="37"/>
  <c r="BM32" i="37"/>
  <c r="BN32" i="37"/>
  <c r="BO32" i="37"/>
  <c r="BP32" i="37"/>
  <c r="BQ32" i="37"/>
  <c r="BR32" i="37"/>
  <c r="BS32" i="37"/>
  <c r="BH33" i="37"/>
  <c r="BI33" i="37"/>
  <c r="BJ33" i="37"/>
  <c r="BK33" i="37"/>
  <c r="BL33" i="37"/>
  <c r="BM33" i="37"/>
  <c r="BN33" i="37"/>
  <c r="BO33" i="37"/>
  <c r="BP33" i="37"/>
  <c r="BQ33" i="37"/>
  <c r="BR33" i="37"/>
  <c r="BS33" i="37"/>
  <c r="BH34" i="37"/>
  <c r="BI34" i="37"/>
  <c r="BJ34" i="37"/>
  <c r="BK34" i="37"/>
  <c r="BL34" i="37"/>
  <c r="BM34" i="37"/>
  <c r="BN34" i="37"/>
  <c r="BO34" i="37"/>
  <c r="BP34" i="37"/>
  <c r="BQ34" i="37"/>
  <c r="BR34" i="37"/>
  <c r="BS34" i="37"/>
  <c r="BH35" i="37"/>
  <c r="BI35" i="37"/>
  <c r="BJ35" i="37"/>
  <c r="BK35" i="37"/>
  <c r="BL35" i="37"/>
  <c r="BM35" i="37"/>
  <c r="BN35" i="37"/>
  <c r="BO35" i="37"/>
  <c r="BP35" i="37"/>
  <c r="BQ35" i="37"/>
  <c r="BR35" i="37"/>
  <c r="BS35" i="37"/>
  <c r="BH36" i="37"/>
  <c r="BI36" i="37"/>
  <c r="BJ36" i="37"/>
  <c r="BK36" i="37"/>
  <c r="BL36" i="37"/>
  <c r="BM36" i="37"/>
  <c r="BN36" i="37"/>
  <c r="BO36" i="37"/>
  <c r="BP36" i="37"/>
  <c r="BQ36" i="37"/>
  <c r="BR36" i="37"/>
  <c r="BS36" i="37"/>
  <c r="BH37" i="37"/>
  <c r="BI37" i="37"/>
  <c r="BJ37" i="37"/>
  <c r="BK37" i="37"/>
  <c r="BL37" i="37"/>
  <c r="BM37" i="37"/>
  <c r="BN37" i="37"/>
  <c r="BO37" i="37"/>
  <c r="BP37" i="37"/>
  <c r="BQ37" i="37"/>
  <c r="BR37" i="37"/>
  <c r="BS37" i="37"/>
  <c r="BH38" i="37"/>
  <c r="BI38" i="37"/>
  <c r="BJ38" i="37"/>
  <c r="BK38" i="37"/>
  <c r="BL38" i="37"/>
  <c r="BM38" i="37"/>
  <c r="BN38" i="37"/>
  <c r="BO38" i="37"/>
  <c r="BP38" i="37"/>
  <c r="BQ38" i="37"/>
  <c r="BR38" i="37"/>
  <c r="BS38" i="37"/>
  <c r="BH39" i="37"/>
  <c r="BI39" i="37"/>
  <c r="BJ39" i="37"/>
  <c r="BK39" i="37"/>
  <c r="BL39" i="37"/>
  <c r="BM39" i="37"/>
  <c r="BN39" i="37"/>
  <c r="BO39" i="37"/>
  <c r="BP39" i="37"/>
  <c r="BQ39" i="37"/>
  <c r="BR39" i="37"/>
  <c r="BS39" i="37"/>
  <c r="BH40" i="37"/>
  <c r="BI40" i="37"/>
  <c r="BJ40" i="37"/>
  <c r="BK40" i="37"/>
  <c r="BL40" i="37"/>
  <c r="BM40" i="37"/>
  <c r="BN40" i="37"/>
  <c r="BO40" i="37"/>
  <c r="BP40" i="37"/>
  <c r="BQ40" i="37"/>
  <c r="BR40" i="37"/>
  <c r="BS40" i="37"/>
  <c r="BH41" i="37"/>
  <c r="BI41" i="37"/>
  <c r="BJ41" i="37"/>
  <c r="BK41" i="37"/>
  <c r="BL41" i="37"/>
  <c r="BM41" i="37"/>
  <c r="BN41" i="37"/>
  <c r="BO41" i="37"/>
  <c r="BP41" i="37"/>
  <c r="BQ41" i="37"/>
  <c r="BR41" i="37"/>
  <c r="BS41" i="37"/>
  <c r="BH42" i="37"/>
  <c r="BI42" i="37"/>
  <c r="BJ42" i="37"/>
  <c r="BK42" i="37"/>
  <c r="BL42" i="37"/>
  <c r="BM42" i="37"/>
  <c r="BN42" i="37"/>
  <c r="BO42" i="37"/>
  <c r="BP42" i="37"/>
  <c r="BQ42" i="37"/>
  <c r="BR42" i="37"/>
  <c r="BS42" i="37"/>
  <c r="BH43" i="37"/>
  <c r="BI43" i="37"/>
  <c r="BJ43" i="37"/>
  <c r="BK43" i="37"/>
  <c r="BL43" i="37"/>
  <c r="BM43" i="37"/>
  <c r="BN43" i="37"/>
  <c r="BO43" i="37"/>
  <c r="BP43" i="37"/>
  <c r="BQ43" i="37"/>
  <c r="BR43" i="37"/>
  <c r="BS43" i="37"/>
  <c r="BH44" i="37"/>
  <c r="BI44" i="37"/>
  <c r="BJ44" i="37"/>
  <c r="BK44" i="37"/>
  <c r="BL44" i="37"/>
  <c r="BM44" i="37"/>
  <c r="BN44" i="37"/>
  <c r="BO44" i="37"/>
  <c r="BP44" i="37"/>
  <c r="BQ44" i="37"/>
  <c r="BR44" i="37"/>
  <c r="BS44" i="37"/>
  <c r="BH45" i="37"/>
  <c r="BI45" i="37"/>
  <c r="BJ45" i="37"/>
  <c r="BK45" i="37"/>
  <c r="BL45" i="37"/>
  <c r="BM45" i="37"/>
  <c r="BN45" i="37"/>
  <c r="BO45" i="37"/>
  <c r="BP45" i="37"/>
  <c r="BQ45" i="37"/>
  <c r="BR45" i="37"/>
  <c r="BS45" i="37"/>
  <c r="BH46" i="37"/>
  <c r="BI46" i="37"/>
  <c r="BJ46" i="37"/>
  <c r="BK46" i="37"/>
  <c r="BL46" i="37"/>
  <c r="BM46" i="37"/>
  <c r="BN46" i="37"/>
  <c r="BO46" i="37"/>
  <c r="BP46" i="37"/>
  <c r="BQ46" i="37"/>
  <c r="BR46" i="37"/>
  <c r="BS46" i="37"/>
  <c r="BH47" i="37"/>
  <c r="BI47" i="37"/>
  <c r="BJ47" i="37"/>
  <c r="BK47" i="37"/>
  <c r="BL47" i="37"/>
  <c r="BM47" i="37"/>
  <c r="BN47" i="37"/>
  <c r="BO47" i="37"/>
  <c r="BP47" i="37"/>
  <c r="BQ47" i="37"/>
  <c r="BR47" i="37"/>
  <c r="BS47" i="37"/>
  <c r="BH48" i="37"/>
  <c r="BI48" i="37"/>
  <c r="BJ48" i="37"/>
  <c r="BK48" i="37"/>
  <c r="BL48" i="37"/>
  <c r="BM48" i="37"/>
  <c r="BN48" i="37"/>
  <c r="BO48" i="37"/>
  <c r="BP48" i="37"/>
  <c r="BQ48" i="37"/>
  <c r="BR48" i="37"/>
  <c r="BS48" i="37"/>
  <c r="BH49" i="37"/>
  <c r="BI49" i="37"/>
  <c r="BJ49" i="37"/>
  <c r="BK49" i="37"/>
  <c r="BL49" i="37"/>
  <c r="BM49" i="37"/>
  <c r="BN49" i="37"/>
  <c r="BO49" i="37"/>
  <c r="BP49" i="37"/>
  <c r="BQ49" i="37"/>
  <c r="BR49" i="37"/>
  <c r="BS49" i="37"/>
  <c r="BH50" i="37"/>
  <c r="BI50" i="37"/>
  <c r="BJ50" i="37"/>
  <c r="BK50" i="37"/>
  <c r="BL50" i="37"/>
  <c r="BM50" i="37"/>
  <c r="BN50" i="37"/>
  <c r="BO50" i="37"/>
  <c r="BP50" i="37"/>
  <c r="BQ50" i="37"/>
  <c r="BR50" i="37"/>
  <c r="BS50" i="37"/>
  <c r="BH51" i="37"/>
  <c r="BI51" i="37"/>
  <c r="BJ51" i="37"/>
  <c r="BK51" i="37"/>
  <c r="BL51" i="37"/>
  <c r="BM51" i="37"/>
  <c r="BN51" i="37"/>
  <c r="BO51" i="37"/>
  <c r="BP51" i="37"/>
  <c r="BQ51" i="37"/>
  <c r="BR51" i="37"/>
  <c r="BS51" i="37"/>
  <c r="BH52" i="37"/>
  <c r="BI52" i="37"/>
  <c r="BJ52" i="37"/>
  <c r="BK52" i="37"/>
  <c r="BL52" i="37"/>
  <c r="BM52" i="37"/>
  <c r="BN52" i="37"/>
  <c r="BO52" i="37"/>
  <c r="BP52" i="37"/>
  <c r="BQ52" i="37"/>
  <c r="BR52" i="37"/>
  <c r="BS52" i="37"/>
  <c r="BH53" i="37"/>
  <c r="BI53" i="37"/>
  <c r="BJ53" i="37"/>
  <c r="BK53" i="37"/>
  <c r="BL53" i="37"/>
  <c r="BM53" i="37"/>
  <c r="BN53" i="37"/>
  <c r="BO53" i="37"/>
  <c r="BP53" i="37"/>
  <c r="BQ53" i="37"/>
  <c r="BR53" i="37"/>
  <c r="BS53" i="37"/>
  <c r="BH54" i="37"/>
  <c r="BI54" i="37"/>
  <c r="BJ54" i="37"/>
  <c r="BK54" i="37"/>
  <c r="BL54" i="37"/>
  <c r="BM54" i="37"/>
  <c r="BN54" i="37"/>
  <c r="BO54" i="37"/>
  <c r="BP54" i="37"/>
  <c r="BQ54" i="37"/>
  <c r="BR54" i="37"/>
  <c r="BS54" i="37"/>
  <c r="BH55" i="37"/>
  <c r="BI55" i="37"/>
  <c r="BJ55" i="37"/>
  <c r="BK55" i="37"/>
  <c r="BL55" i="37"/>
  <c r="BM55" i="37"/>
  <c r="BN55" i="37"/>
  <c r="BO55" i="37"/>
  <c r="BP55" i="37"/>
  <c r="BQ55" i="37"/>
  <c r="BR55" i="37"/>
  <c r="BS55" i="37"/>
  <c r="BH56" i="37"/>
  <c r="BI56" i="37"/>
  <c r="BJ56" i="37"/>
  <c r="BK56" i="37"/>
  <c r="BL56" i="37"/>
  <c r="BM56" i="37"/>
  <c r="BN56" i="37"/>
  <c r="BO56" i="37"/>
  <c r="BP56" i="37"/>
  <c r="BQ56" i="37"/>
  <c r="BR56" i="37"/>
  <c r="BS56" i="37"/>
  <c r="BH57" i="37"/>
  <c r="BI57" i="37"/>
  <c r="BJ57" i="37"/>
  <c r="BK57" i="37"/>
  <c r="BL57" i="37"/>
  <c r="BM57" i="37"/>
  <c r="BN57" i="37"/>
  <c r="BO57" i="37"/>
  <c r="BP57" i="37"/>
  <c r="BQ57" i="37"/>
  <c r="BR57" i="37"/>
  <c r="BS57" i="37"/>
  <c r="BH58" i="37"/>
  <c r="BI58" i="37"/>
  <c r="BJ58" i="37"/>
  <c r="BK58" i="37"/>
  <c r="BL58" i="37"/>
  <c r="BM58" i="37"/>
  <c r="BN58" i="37"/>
  <c r="BO58" i="37"/>
  <c r="BP58" i="37"/>
  <c r="BQ58" i="37"/>
  <c r="BR58" i="37"/>
  <c r="BS58" i="37"/>
  <c r="BH59" i="37"/>
  <c r="BI59" i="37"/>
  <c r="BJ59" i="37"/>
  <c r="BK59" i="37"/>
  <c r="BL59" i="37"/>
  <c r="BM59" i="37"/>
  <c r="BN59" i="37"/>
  <c r="BO59" i="37"/>
  <c r="BP59" i="37"/>
  <c r="BQ59" i="37"/>
  <c r="BR59" i="37"/>
  <c r="BS59" i="37"/>
  <c r="BH60" i="37"/>
  <c r="BI60" i="37"/>
  <c r="BJ60" i="37"/>
  <c r="BK60" i="37"/>
  <c r="BL60" i="37"/>
  <c r="BM60" i="37"/>
  <c r="BN60" i="37"/>
  <c r="BO60" i="37"/>
  <c r="BP60" i="37"/>
  <c r="BQ60" i="37"/>
  <c r="BR60" i="37"/>
  <c r="BS60" i="37"/>
  <c r="BH61" i="37"/>
  <c r="BI61" i="37"/>
  <c r="BJ61" i="37"/>
  <c r="BK61" i="37"/>
  <c r="BL61" i="37"/>
  <c r="BM61" i="37"/>
  <c r="BN61" i="37"/>
  <c r="BO61" i="37"/>
  <c r="BP61" i="37"/>
  <c r="BQ61" i="37"/>
  <c r="BR61" i="37"/>
  <c r="BS61" i="37"/>
  <c r="BH62" i="37"/>
  <c r="BI62" i="37"/>
  <c r="BJ62" i="37"/>
  <c r="BK62" i="37"/>
  <c r="BL62" i="37"/>
  <c r="BM62" i="37"/>
  <c r="BN62" i="37"/>
  <c r="BO62" i="37"/>
  <c r="BP62" i="37"/>
  <c r="BQ62" i="37"/>
  <c r="BR62" i="37"/>
  <c r="BS62" i="37"/>
  <c r="BH63" i="37"/>
  <c r="BI63" i="37"/>
  <c r="BJ63" i="37"/>
  <c r="BK63" i="37"/>
  <c r="BL63" i="37"/>
  <c r="BM63" i="37"/>
  <c r="BN63" i="37"/>
  <c r="BO63" i="37"/>
  <c r="BP63" i="37"/>
  <c r="BQ63" i="37"/>
  <c r="BR63" i="37"/>
  <c r="BS63" i="37"/>
  <c r="BH64" i="37"/>
  <c r="BI64" i="37"/>
  <c r="BJ64" i="37"/>
  <c r="BK64" i="37"/>
  <c r="BL64" i="37"/>
  <c r="BM64" i="37"/>
  <c r="BN64" i="37"/>
  <c r="BO64" i="37"/>
  <c r="BP64" i="37"/>
  <c r="BQ64" i="37"/>
  <c r="BR64" i="37"/>
  <c r="BS64" i="37"/>
  <c r="BH65" i="37"/>
  <c r="BI65" i="37"/>
  <c r="BJ65" i="37"/>
  <c r="BK65" i="37"/>
  <c r="BL65" i="37"/>
  <c r="BM65" i="37"/>
  <c r="BN65" i="37"/>
  <c r="BO65" i="37"/>
  <c r="BP65" i="37"/>
  <c r="BQ65" i="37"/>
  <c r="BR65" i="37"/>
  <c r="BS65" i="37"/>
  <c r="BH66" i="37"/>
  <c r="BI66" i="37"/>
  <c r="BJ66" i="37"/>
  <c r="BK66" i="37"/>
  <c r="BL66" i="37"/>
  <c r="BM66" i="37"/>
  <c r="BN66" i="37"/>
  <c r="BO66" i="37"/>
  <c r="BP66" i="37"/>
  <c r="BQ66" i="37"/>
  <c r="BR66" i="37"/>
  <c r="BS66" i="37"/>
  <c r="BH67" i="37"/>
  <c r="BI67" i="37"/>
  <c r="BJ67" i="37"/>
  <c r="BK67" i="37"/>
  <c r="BL67" i="37"/>
  <c r="BM67" i="37"/>
  <c r="BN67" i="37"/>
  <c r="BO67" i="37"/>
  <c r="BP67" i="37"/>
  <c r="BQ67" i="37"/>
  <c r="BR67" i="37"/>
  <c r="BS67" i="37"/>
  <c r="BH68" i="37"/>
  <c r="BI68" i="37"/>
  <c r="BJ68" i="37"/>
  <c r="BK68" i="37"/>
  <c r="BL68" i="37"/>
  <c r="BM68" i="37"/>
  <c r="BN68" i="37"/>
  <c r="BO68" i="37"/>
  <c r="BP68" i="37"/>
  <c r="BQ68" i="37"/>
  <c r="BR68" i="37"/>
  <c r="BS68" i="37"/>
  <c r="BH69" i="37"/>
  <c r="BI69" i="37"/>
  <c r="BJ69" i="37"/>
  <c r="BK69" i="37"/>
  <c r="BL69" i="37"/>
  <c r="BM69" i="37"/>
  <c r="BN69" i="37"/>
  <c r="BO69" i="37"/>
  <c r="BP69" i="37"/>
  <c r="BQ69" i="37"/>
  <c r="BR69" i="37"/>
  <c r="BS69" i="37"/>
  <c r="BH70" i="37"/>
  <c r="BI70" i="37"/>
  <c r="BJ70" i="37"/>
  <c r="BK70" i="37"/>
  <c r="BL70" i="37"/>
  <c r="BM70" i="37"/>
  <c r="BN70" i="37"/>
  <c r="BO70" i="37"/>
  <c r="BP70" i="37"/>
  <c r="BQ70" i="37"/>
  <c r="BR70" i="37"/>
  <c r="BS70" i="37"/>
  <c r="BH71" i="37"/>
  <c r="BI71" i="37"/>
  <c r="BJ71" i="37"/>
  <c r="BK71" i="37"/>
  <c r="BL71" i="37"/>
  <c r="BM71" i="37"/>
  <c r="BN71" i="37"/>
  <c r="BO71" i="37"/>
  <c r="BP71" i="37"/>
  <c r="BQ71" i="37"/>
  <c r="BR71" i="37"/>
  <c r="BS71" i="37"/>
  <c r="BH72" i="37"/>
  <c r="BI72" i="37"/>
  <c r="BJ72" i="37"/>
  <c r="BK72" i="37"/>
  <c r="BL72" i="37"/>
  <c r="BM72" i="37"/>
  <c r="BN72" i="37"/>
  <c r="BO72" i="37"/>
  <c r="BP72" i="37"/>
  <c r="BQ72" i="37"/>
  <c r="BR72" i="37"/>
  <c r="BS72" i="37"/>
  <c r="BH73" i="37"/>
  <c r="BI73" i="37"/>
  <c r="BJ73" i="37"/>
  <c r="BK73" i="37"/>
  <c r="BL73" i="37"/>
  <c r="BM73" i="37"/>
  <c r="BN73" i="37"/>
  <c r="BO73" i="37"/>
  <c r="BP73" i="37"/>
  <c r="BQ73" i="37"/>
  <c r="BR73" i="37"/>
  <c r="BS73" i="37"/>
  <c r="BH74" i="37"/>
  <c r="BI74" i="37"/>
  <c r="BJ74" i="37"/>
  <c r="BK74" i="37"/>
  <c r="BL74" i="37"/>
  <c r="BM74" i="37"/>
  <c r="BN74" i="37"/>
  <c r="BO74" i="37"/>
  <c r="BP74" i="37"/>
  <c r="BQ74" i="37"/>
  <c r="BR74" i="37"/>
  <c r="BS74" i="37"/>
  <c r="BH75" i="37"/>
  <c r="BI75" i="37"/>
  <c r="BJ75" i="37"/>
  <c r="BK75" i="37"/>
  <c r="BL75" i="37"/>
  <c r="BM75" i="37"/>
  <c r="BN75" i="37"/>
  <c r="BO75" i="37"/>
  <c r="BP75" i="37"/>
  <c r="BQ75" i="37"/>
  <c r="BR75" i="37"/>
  <c r="BS75" i="37"/>
  <c r="BH76" i="37"/>
  <c r="BI76" i="37"/>
  <c r="BJ76" i="37"/>
  <c r="BK76" i="37"/>
  <c r="BL76" i="37"/>
  <c r="BM76" i="37"/>
  <c r="BN76" i="37"/>
  <c r="BO76" i="37"/>
  <c r="BP76" i="37"/>
  <c r="BQ76" i="37"/>
  <c r="BR76" i="37"/>
  <c r="BS76" i="37"/>
  <c r="BH77" i="37"/>
  <c r="BI77" i="37"/>
  <c r="BJ77" i="37"/>
  <c r="BK77" i="37"/>
  <c r="BL77" i="37"/>
  <c r="BM77" i="37"/>
  <c r="BN77" i="37"/>
  <c r="BO77" i="37"/>
  <c r="BP77" i="37"/>
  <c r="BQ77" i="37"/>
  <c r="BR77" i="37"/>
  <c r="BS77" i="37"/>
  <c r="BH78" i="37"/>
  <c r="BI78" i="37"/>
  <c r="BJ78" i="37"/>
  <c r="BK78" i="37"/>
  <c r="BL78" i="37"/>
  <c r="BM78" i="37"/>
  <c r="BN78" i="37"/>
  <c r="BO78" i="37"/>
  <c r="BP78" i="37"/>
  <c r="BQ78" i="37"/>
  <c r="BR78" i="37"/>
  <c r="BS78" i="37"/>
  <c r="BH79" i="37"/>
  <c r="BI79" i="37"/>
  <c r="BJ79" i="37"/>
  <c r="BK79" i="37"/>
  <c r="BL79" i="37"/>
  <c r="BM79" i="37"/>
  <c r="BN79" i="37"/>
  <c r="BO79" i="37"/>
  <c r="BP79" i="37"/>
  <c r="BQ79" i="37"/>
  <c r="BR79" i="37"/>
  <c r="BS79" i="37"/>
  <c r="BH80" i="37"/>
  <c r="BI80" i="37"/>
  <c r="BJ80" i="37"/>
  <c r="BK80" i="37"/>
  <c r="BL80" i="37"/>
  <c r="BM80" i="37"/>
  <c r="BN80" i="37"/>
  <c r="BO80" i="37"/>
  <c r="BP80" i="37"/>
  <c r="BQ80" i="37"/>
  <c r="BR80" i="37"/>
  <c r="BS80" i="37"/>
  <c r="BH81" i="37"/>
  <c r="BI81" i="37"/>
  <c r="BJ81" i="37"/>
  <c r="BK81" i="37"/>
  <c r="BL81" i="37"/>
  <c r="BM81" i="37"/>
  <c r="BN81" i="37"/>
  <c r="BO81" i="37"/>
  <c r="BP81" i="37"/>
  <c r="BQ81" i="37"/>
  <c r="BR81" i="37"/>
  <c r="BS81" i="37"/>
  <c r="BH82" i="37"/>
  <c r="BI82" i="37"/>
  <c r="BJ82" i="37"/>
  <c r="BK82" i="37"/>
  <c r="BL82" i="37"/>
  <c r="BM82" i="37"/>
  <c r="BN82" i="37"/>
  <c r="BO82" i="37"/>
  <c r="BP82" i="37"/>
  <c r="BQ82" i="37"/>
  <c r="BR82" i="37"/>
  <c r="BS82" i="37"/>
  <c r="BH83" i="37"/>
  <c r="BI83" i="37"/>
  <c r="BJ83" i="37"/>
  <c r="BK83" i="37"/>
  <c r="BL83" i="37"/>
  <c r="BM83" i="37"/>
  <c r="BN83" i="37"/>
  <c r="BO83" i="37"/>
  <c r="BP83" i="37"/>
  <c r="BQ83" i="37"/>
  <c r="BR83" i="37"/>
  <c r="BS83" i="37"/>
  <c r="BH84" i="37"/>
  <c r="BI84" i="37"/>
  <c r="BJ84" i="37"/>
  <c r="BK84" i="37"/>
  <c r="BL84" i="37"/>
  <c r="BM84" i="37"/>
  <c r="BN84" i="37"/>
  <c r="BO84" i="37"/>
  <c r="BP84" i="37"/>
  <c r="BQ84" i="37"/>
  <c r="BR84" i="37"/>
  <c r="BS84" i="37"/>
  <c r="BH85" i="37"/>
  <c r="BI85" i="37"/>
  <c r="BJ85" i="37"/>
  <c r="BK85" i="37"/>
  <c r="BL85" i="37"/>
  <c r="BM85" i="37"/>
  <c r="BN85" i="37"/>
  <c r="BO85" i="37"/>
  <c r="BP85" i="37"/>
  <c r="BQ85" i="37"/>
  <c r="BR85" i="37"/>
  <c r="BS85" i="37"/>
  <c r="BH86" i="37"/>
  <c r="BI86" i="37"/>
  <c r="BJ86" i="37"/>
  <c r="BK86" i="37"/>
  <c r="BL86" i="37"/>
  <c r="BM86" i="37"/>
  <c r="BN86" i="37"/>
  <c r="BO86" i="37"/>
  <c r="BP86" i="37"/>
  <c r="BQ86" i="37"/>
  <c r="BR86" i="37"/>
  <c r="BS86" i="37"/>
  <c r="BH87" i="37"/>
  <c r="BI87" i="37"/>
  <c r="BJ87" i="37"/>
  <c r="BK87" i="37"/>
  <c r="BL87" i="37"/>
  <c r="BM87" i="37"/>
  <c r="BN87" i="37"/>
  <c r="BO87" i="37"/>
  <c r="BP87" i="37"/>
  <c r="BQ87" i="37"/>
  <c r="BR87" i="37"/>
  <c r="BS87" i="37"/>
  <c r="BH88" i="37"/>
  <c r="BI88" i="37"/>
  <c r="BJ88" i="37"/>
  <c r="BK88" i="37"/>
  <c r="BL88" i="37"/>
  <c r="BM88" i="37"/>
  <c r="BN88" i="37"/>
  <c r="BO88" i="37"/>
  <c r="BP88" i="37"/>
  <c r="BQ88" i="37"/>
  <c r="BR88" i="37"/>
  <c r="BS88" i="37"/>
  <c r="BH89" i="37"/>
  <c r="BI89" i="37"/>
  <c r="BJ89" i="37"/>
  <c r="BK89" i="37"/>
  <c r="BL89" i="37"/>
  <c r="BM89" i="37"/>
  <c r="BN89" i="37"/>
  <c r="BO89" i="37"/>
  <c r="BP89" i="37"/>
  <c r="BQ89" i="37"/>
  <c r="BR89" i="37"/>
  <c r="BS89" i="37"/>
  <c r="BH90" i="37"/>
  <c r="BI90" i="37"/>
  <c r="BJ90" i="37"/>
  <c r="BK90" i="37"/>
  <c r="BL90" i="37"/>
  <c r="BM90" i="37"/>
  <c r="BN90" i="37"/>
  <c r="BO90" i="37"/>
  <c r="BP90" i="37"/>
  <c r="BQ90" i="37"/>
  <c r="BR90" i="37"/>
  <c r="BS90" i="37"/>
  <c r="BH91" i="37"/>
  <c r="BI91" i="37"/>
  <c r="BJ91" i="37"/>
  <c r="BK91" i="37"/>
  <c r="BL91" i="37"/>
  <c r="BM91" i="37"/>
  <c r="BN91" i="37"/>
  <c r="BO91" i="37"/>
  <c r="BP91" i="37"/>
  <c r="BQ91" i="37"/>
  <c r="BR91" i="37"/>
  <c r="BS91" i="37"/>
  <c r="BH92" i="37"/>
  <c r="BI92" i="37"/>
  <c r="BJ92" i="37"/>
  <c r="BK92" i="37"/>
  <c r="BL92" i="37"/>
  <c r="BM92" i="37"/>
  <c r="BN92" i="37"/>
  <c r="BO92" i="37"/>
  <c r="BP92" i="37"/>
  <c r="BQ92" i="37"/>
  <c r="BR92" i="37"/>
  <c r="BS92" i="37"/>
  <c r="BH93" i="37"/>
  <c r="BI93" i="37"/>
  <c r="BJ93" i="37"/>
  <c r="BK93" i="37"/>
  <c r="BL93" i="37"/>
  <c r="BM93" i="37"/>
  <c r="BN93" i="37"/>
  <c r="BO93" i="37"/>
  <c r="BP93" i="37"/>
  <c r="BQ93" i="37"/>
  <c r="BR93" i="37"/>
  <c r="BS93" i="37"/>
  <c r="BH94" i="37"/>
  <c r="BI94" i="37"/>
  <c r="BJ94" i="37"/>
  <c r="BK94" i="37"/>
  <c r="BL94" i="37"/>
  <c r="BM94" i="37"/>
  <c r="BN94" i="37"/>
  <c r="BO94" i="37"/>
  <c r="BP94" i="37"/>
  <c r="BQ94" i="37"/>
  <c r="BR94" i="37"/>
  <c r="BS94" i="37"/>
  <c r="BH95" i="37"/>
  <c r="BI95" i="37"/>
  <c r="BJ95" i="37"/>
  <c r="BK95" i="37"/>
  <c r="BL95" i="37"/>
  <c r="BM95" i="37"/>
  <c r="BN95" i="37"/>
  <c r="BO95" i="37"/>
  <c r="BP95" i="37"/>
  <c r="BQ95" i="37"/>
  <c r="BR95" i="37"/>
  <c r="BS95" i="37"/>
  <c r="BH96" i="37"/>
  <c r="BI96" i="37"/>
  <c r="BJ96" i="37"/>
  <c r="BK96" i="37"/>
  <c r="BL96" i="37"/>
  <c r="BM96" i="37"/>
  <c r="BN96" i="37"/>
  <c r="BO96" i="37"/>
  <c r="BP96" i="37"/>
  <c r="BQ96" i="37"/>
  <c r="BR96" i="37"/>
  <c r="BS96" i="37"/>
  <c r="BH97" i="37"/>
  <c r="BI97" i="37"/>
  <c r="BJ97" i="37"/>
  <c r="BK97" i="37"/>
  <c r="BL97" i="37"/>
  <c r="BM97" i="37"/>
  <c r="BN97" i="37"/>
  <c r="BO97" i="37"/>
  <c r="BP97" i="37"/>
  <c r="BQ97" i="37"/>
  <c r="BR97" i="37"/>
  <c r="BS97" i="37"/>
  <c r="BH98" i="37"/>
  <c r="BI98" i="37"/>
  <c r="BJ98" i="37"/>
  <c r="BK98" i="37"/>
  <c r="BL98" i="37"/>
  <c r="BM98" i="37"/>
  <c r="BN98" i="37"/>
  <c r="BO98" i="37"/>
  <c r="BP98" i="37"/>
  <c r="BQ98" i="37"/>
  <c r="BR98" i="37"/>
  <c r="BS98" i="37"/>
  <c r="BH99" i="37"/>
  <c r="BI99" i="37"/>
  <c r="BJ99" i="37"/>
  <c r="BK99" i="37"/>
  <c r="BL99" i="37"/>
  <c r="BM99" i="37"/>
  <c r="BN99" i="37"/>
  <c r="BO99" i="37"/>
  <c r="BP99" i="37"/>
  <c r="BQ99" i="37"/>
  <c r="BR99" i="37"/>
  <c r="BS99" i="37"/>
  <c r="BH100" i="37"/>
  <c r="BI100" i="37"/>
  <c r="BJ100" i="37"/>
  <c r="BK100" i="37"/>
  <c r="BL100" i="37"/>
  <c r="BM100" i="37"/>
  <c r="BN100" i="37"/>
  <c r="BO100" i="37"/>
  <c r="BP100" i="37"/>
  <c r="BQ100" i="37"/>
  <c r="BR100" i="37"/>
  <c r="BS100" i="37"/>
  <c r="BH101" i="37"/>
  <c r="BI101" i="37"/>
  <c r="BJ101" i="37"/>
  <c r="BK101" i="37"/>
  <c r="BL101" i="37"/>
  <c r="BM101" i="37"/>
  <c r="BN101" i="37"/>
  <c r="BO101" i="37"/>
  <c r="BP101" i="37"/>
  <c r="BQ101" i="37"/>
  <c r="BR101" i="37"/>
  <c r="BS101" i="37"/>
  <c r="BH102" i="37"/>
  <c r="BI102" i="37"/>
  <c r="BJ102" i="37"/>
  <c r="BK102" i="37"/>
  <c r="BL102" i="37"/>
  <c r="BM102" i="37"/>
  <c r="BN102" i="37"/>
  <c r="BO102" i="37"/>
  <c r="BP102" i="37"/>
  <c r="BQ102" i="37"/>
  <c r="BR102" i="37"/>
  <c r="BS102" i="37"/>
  <c r="BH103" i="37"/>
  <c r="BI103" i="37"/>
  <c r="BJ103" i="37"/>
  <c r="BK103" i="37"/>
  <c r="BL103" i="37"/>
  <c r="BM103" i="37"/>
  <c r="BN103" i="37"/>
  <c r="BO103" i="37"/>
  <c r="BP103" i="37"/>
  <c r="BQ103" i="37"/>
  <c r="BR103" i="37"/>
  <c r="BS103" i="37"/>
  <c r="BH104" i="37"/>
  <c r="BI104" i="37"/>
  <c r="BJ104" i="37"/>
  <c r="BK104" i="37"/>
  <c r="BL104" i="37"/>
  <c r="BM104" i="37"/>
  <c r="BN104" i="37"/>
  <c r="BO104" i="37"/>
  <c r="BP104" i="37"/>
  <c r="BQ104" i="37"/>
  <c r="BR104" i="37"/>
  <c r="BS104" i="37"/>
  <c r="BH105" i="37"/>
  <c r="BI105" i="37"/>
  <c r="BJ105" i="37"/>
  <c r="BK105" i="37"/>
  <c r="BL105" i="37"/>
  <c r="BM105" i="37"/>
  <c r="BN105" i="37"/>
  <c r="BO105" i="37"/>
  <c r="BP105" i="37"/>
  <c r="BQ105" i="37"/>
  <c r="BR105" i="37"/>
  <c r="BS105" i="37"/>
  <c r="BH106" i="37"/>
  <c r="BI106" i="37"/>
  <c r="BJ106" i="37"/>
  <c r="BK106" i="37"/>
  <c r="BL106" i="37"/>
  <c r="BM106" i="37"/>
  <c r="BN106" i="37"/>
  <c r="BO106" i="37"/>
  <c r="BP106" i="37"/>
  <c r="BQ106" i="37"/>
  <c r="BR106" i="37"/>
  <c r="BS106" i="37"/>
  <c r="BH107" i="37"/>
  <c r="BI107" i="37"/>
  <c r="BJ107" i="37"/>
  <c r="BK107" i="37"/>
  <c r="BL107" i="37"/>
  <c r="BM107" i="37"/>
  <c r="BN107" i="37"/>
  <c r="BO107" i="37"/>
  <c r="BP107" i="37"/>
  <c r="BQ107" i="37"/>
  <c r="BR107" i="37"/>
  <c r="BS107" i="37"/>
  <c r="BH108" i="37"/>
  <c r="BI108" i="37"/>
  <c r="BJ108" i="37"/>
  <c r="BK108" i="37"/>
  <c r="BL108" i="37"/>
  <c r="BM108" i="37"/>
  <c r="BN108" i="37"/>
  <c r="BO108" i="37"/>
  <c r="BP108" i="37"/>
  <c r="BQ108" i="37"/>
  <c r="BR108" i="37"/>
  <c r="BS108" i="37"/>
  <c r="BH109" i="37"/>
  <c r="BI109" i="37"/>
  <c r="BJ109" i="37"/>
  <c r="BK109" i="37"/>
  <c r="BL109" i="37"/>
  <c r="BM109" i="37"/>
  <c r="BN109" i="37"/>
  <c r="BO109" i="37"/>
  <c r="BP109" i="37"/>
  <c r="BQ109" i="37"/>
  <c r="BR109" i="37"/>
  <c r="BS109" i="37"/>
  <c r="BH110" i="37"/>
  <c r="BI110" i="37"/>
  <c r="BJ110" i="37"/>
  <c r="BK110" i="37"/>
  <c r="BL110" i="37"/>
  <c r="BM110" i="37"/>
  <c r="BN110" i="37"/>
  <c r="BO110" i="37"/>
  <c r="BP110" i="37"/>
  <c r="BQ110" i="37"/>
  <c r="BR110" i="37"/>
  <c r="BS110" i="37"/>
  <c r="BH111" i="37"/>
  <c r="BI111" i="37"/>
  <c r="BJ111" i="37"/>
  <c r="BK111" i="37"/>
  <c r="BL111" i="37"/>
  <c r="BM111" i="37"/>
  <c r="BN111" i="37"/>
  <c r="BO111" i="37"/>
  <c r="BP111" i="37"/>
  <c r="BQ111" i="37"/>
  <c r="BR111" i="37"/>
  <c r="BS111" i="37"/>
  <c r="BH112" i="37"/>
  <c r="BI112" i="37"/>
  <c r="BJ112" i="37"/>
  <c r="BK112" i="37"/>
  <c r="BL112" i="37"/>
  <c r="BM112" i="37"/>
  <c r="BN112" i="37"/>
  <c r="BO112" i="37"/>
  <c r="BP112" i="37"/>
  <c r="BQ112" i="37"/>
  <c r="BR112" i="37"/>
  <c r="BS112" i="37"/>
  <c r="BH113" i="37"/>
  <c r="BI113" i="37"/>
  <c r="BJ113" i="37"/>
  <c r="BK113" i="37"/>
  <c r="BL113" i="37"/>
  <c r="BM113" i="37"/>
  <c r="BN113" i="37"/>
  <c r="BO113" i="37"/>
  <c r="BP113" i="37"/>
  <c r="BQ113" i="37"/>
  <c r="BR113" i="37"/>
  <c r="BS113" i="37"/>
  <c r="BH114" i="37"/>
  <c r="BI114" i="37"/>
  <c r="BJ114" i="37"/>
  <c r="BK114" i="37"/>
  <c r="BL114" i="37"/>
  <c r="BM114" i="37"/>
  <c r="BN114" i="37"/>
  <c r="BO114" i="37"/>
  <c r="BP114" i="37"/>
  <c r="BQ114" i="37"/>
  <c r="BR114" i="37"/>
  <c r="BS114" i="37"/>
  <c r="BH115" i="37"/>
  <c r="BI115" i="37"/>
  <c r="BJ115" i="37"/>
  <c r="BK115" i="37"/>
  <c r="BL115" i="37"/>
  <c r="BM115" i="37"/>
  <c r="BN115" i="37"/>
  <c r="BO115" i="37"/>
  <c r="BP115" i="37"/>
  <c r="BQ115" i="37"/>
  <c r="BR115" i="37"/>
  <c r="BS115" i="37"/>
  <c r="BH116" i="37"/>
  <c r="BI116" i="37"/>
  <c r="BJ116" i="37"/>
  <c r="BK116" i="37"/>
  <c r="BL116" i="37"/>
  <c r="BM116" i="37"/>
  <c r="BN116" i="37"/>
  <c r="BO116" i="37"/>
  <c r="BP116" i="37"/>
  <c r="BQ116" i="37"/>
  <c r="BR116" i="37"/>
  <c r="BS116" i="37"/>
  <c r="BH117" i="37"/>
  <c r="BI117" i="37"/>
  <c r="BJ117" i="37"/>
  <c r="BK117" i="37"/>
  <c r="BL117" i="37"/>
  <c r="BM117" i="37"/>
  <c r="BN117" i="37"/>
  <c r="BO117" i="37"/>
  <c r="BP117" i="37"/>
  <c r="BQ117" i="37"/>
  <c r="BR117" i="37"/>
  <c r="BS117" i="37"/>
  <c r="BH118" i="37"/>
  <c r="BI118" i="37"/>
  <c r="BJ118" i="37"/>
  <c r="BK118" i="37"/>
  <c r="BL118" i="37"/>
  <c r="BM118" i="37"/>
  <c r="BN118" i="37"/>
  <c r="BO118" i="37"/>
  <c r="BP118" i="37"/>
  <c r="BQ118" i="37"/>
  <c r="BR118" i="37"/>
  <c r="BS118" i="37"/>
  <c r="BH119" i="37"/>
  <c r="BI119" i="37"/>
  <c r="BJ119" i="37"/>
  <c r="BK119" i="37"/>
  <c r="BL119" i="37"/>
  <c r="BM119" i="37"/>
  <c r="BN119" i="37"/>
  <c r="BO119" i="37"/>
  <c r="BP119" i="37"/>
  <c r="BQ119" i="37"/>
  <c r="BR119" i="37"/>
  <c r="BS119" i="37"/>
  <c r="BH120" i="37"/>
  <c r="BI120" i="37"/>
  <c r="BJ120" i="37"/>
  <c r="BK120" i="37"/>
  <c r="BL120" i="37"/>
  <c r="BM120" i="37"/>
  <c r="BN120" i="37"/>
  <c r="BO120" i="37"/>
  <c r="BP120" i="37"/>
  <c r="BQ120" i="37"/>
  <c r="BR120" i="37"/>
  <c r="BS120" i="37"/>
  <c r="BH121" i="37"/>
  <c r="BI121" i="37"/>
  <c r="BJ121" i="37"/>
  <c r="BK121" i="37"/>
  <c r="BL121" i="37"/>
  <c r="BM121" i="37"/>
  <c r="BN121" i="37"/>
  <c r="BO121" i="37"/>
  <c r="BP121" i="37"/>
  <c r="BQ121" i="37"/>
  <c r="BR121" i="37"/>
  <c r="BS121" i="37"/>
  <c r="BH122" i="37"/>
  <c r="BI122" i="37"/>
  <c r="BJ122" i="37"/>
  <c r="BK122" i="37"/>
  <c r="BL122" i="37"/>
  <c r="BM122" i="37"/>
  <c r="BN122" i="37"/>
  <c r="BO122" i="37"/>
  <c r="BP122" i="37"/>
  <c r="BQ122" i="37"/>
  <c r="BR122" i="37"/>
  <c r="BS122" i="37"/>
  <c r="BH123" i="37"/>
  <c r="BI123" i="37"/>
  <c r="BJ123" i="37"/>
  <c r="BK123" i="37"/>
  <c r="BL123" i="37"/>
  <c r="BM123" i="37"/>
  <c r="BN123" i="37"/>
  <c r="BO123" i="37"/>
  <c r="BP123" i="37"/>
  <c r="BQ123" i="37"/>
  <c r="BR123" i="37"/>
  <c r="BS123" i="37"/>
  <c r="BH124" i="37"/>
  <c r="BI124" i="37"/>
  <c r="BJ124" i="37"/>
  <c r="BK124" i="37"/>
  <c r="BL124" i="37"/>
  <c r="BM124" i="37"/>
  <c r="BN124" i="37"/>
  <c r="BO124" i="37"/>
  <c r="BP124" i="37"/>
  <c r="BQ124" i="37"/>
  <c r="BR124" i="37"/>
  <c r="BS124" i="37"/>
  <c r="BH125" i="37"/>
  <c r="BI125" i="37"/>
  <c r="BJ125" i="37"/>
  <c r="BK125" i="37"/>
  <c r="BL125" i="37"/>
  <c r="BM125" i="37"/>
  <c r="BN125" i="37"/>
  <c r="BO125" i="37"/>
  <c r="BP125" i="37"/>
  <c r="BQ125" i="37"/>
  <c r="BR125" i="37"/>
  <c r="BS125" i="37"/>
  <c r="BH126" i="37"/>
  <c r="BI126" i="37"/>
  <c r="BJ126" i="37"/>
  <c r="BK126" i="37"/>
  <c r="BL126" i="37"/>
  <c r="BM126" i="37"/>
  <c r="BN126" i="37"/>
  <c r="BO126" i="37"/>
  <c r="BP126" i="37"/>
  <c r="BQ126" i="37"/>
  <c r="BR126" i="37"/>
  <c r="BS126" i="37"/>
  <c r="BH127" i="37"/>
  <c r="BI127" i="37"/>
  <c r="BJ127" i="37"/>
  <c r="BK127" i="37"/>
  <c r="BL127" i="37"/>
  <c r="BM127" i="37"/>
  <c r="BN127" i="37"/>
  <c r="BO127" i="37"/>
  <c r="BP127" i="37"/>
  <c r="BQ127" i="37"/>
  <c r="BR127" i="37"/>
  <c r="BS127" i="37"/>
  <c r="BH128" i="37"/>
  <c r="BI128" i="37"/>
  <c r="BJ128" i="37"/>
  <c r="BK128" i="37"/>
  <c r="BL128" i="37"/>
  <c r="BM128" i="37"/>
  <c r="BN128" i="37"/>
  <c r="BO128" i="37"/>
  <c r="BP128" i="37"/>
  <c r="BQ128" i="37"/>
  <c r="BR128" i="37"/>
  <c r="BS128" i="37"/>
  <c r="BH129" i="37"/>
  <c r="BI129" i="37"/>
  <c r="BJ129" i="37"/>
  <c r="BK129" i="37"/>
  <c r="BL129" i="37"/>
  <c r="BM129" i="37"/>
  <c r="BN129" i="37"/>
  <c r="BO129" i="37"/>
  <c r="BP129" i="37"/>
  <c r="BQ129" i="37"/>
  <c r="BR129" i="37"/>
  <c r="BS129" i="37"/>
  <c r="BH130" i="37"/>
  <c r="BI130" i="37"/>
  <c r="BJ130" i="37"/>
  <c r="BK130" i="37"/>
  <c r="BL130" i="37"/>
  <c r="BM130" i="37"/>
  <c r="BN130" i="37"/>
  <c r="BO130" i="37"/>
  <c r="BP130" i="37"/>
  <c r="BQ130" i="37"/>
  <c r="BR130" i="37"/>
  <c r="BS130" i="37"/>
  <c r="BH131" i="37"/>
  <c r="BI131" i="37"/>
  <c r="BJ131" i="37"/>
  <c r="BK131" i="37"/>
  <c r="BL131" i="37"/>
  <c r="BM131" i="37"/>
  <c r="BN131" i="37"/>
  <c r="BO131" i="37"/>
  <c r="BP131" i="37"/>
  <c r="BQ131" i="37"/>
  <c r="BR131" i="37"/>
  <c r="BS131" i="37"/>
  <c r="BH132" i="37"/>
  <c r="BI132" i="37"/>
  <c r="BJ132" i="37"/>
  <c r="BK132" i="37"/>
  <c r="BL132" i="37"/>
  <c r="BM132" i="37"/>
  <c r="BN132" i="37"/>
  <c r="BO132" i="37"/>
  <c r="BP132" i="37"/>
  <c r="BQ132" i="37"/>
  <c r="BR132" i="37"/>
  <c r="BS132" i="37"/>
  <c r="BH133" i="37"/>
  <c r="BI133" i="37"/>
  <c r="BJ133" i="37"/>
  <c r="BK133" i="37"/>
  <c r="BL133" i="37"/>
  <c r="BM133" i="37"/>
  <c r="BN133" i="37"/>
  <c r="BO133" i="37"/>
  <c r="BP133" i="37"/>
  <c r="BQ133" i="37"/>
  <c r="BR133" i="37"/>
  <c r="BS133" i="37"/>
  <c r="BH134" i="37"/>
  <c r="BI134" i="37"/>
  <c r="BJ134" i="37"/>
  <c r="BK134" i="37"/>
  <c r="BL134" i="37"/>
  <c r="BM134" i="37"/>
  <c r="BN134" i="37"/>
  <c r="BO134" i="37"/>
  <c r="BP134" i="37"/>
  <c r="BQ134" i="37"/>
  <c r="BR134" i="37"/>
  <c r="BS134" i="37"/>
  <c r="BH135" i="37"/>
  <c r="BI135" i="37"/>
  <c r="BJ135" i="37"/>
  <c r="BK135" i="37"/>
  <c r="BL135" i="37"/>
  <c r="BM135" i="37"/>
  <c r="BN135" i="37"/>
  <c r="BO135" i="37"/>
  <c r="BP135" i="37"/>
  <c r="BQ135" i="37"/>
  <c r="BR135" i="37"/>
  <c r="BS135" i="37"/>
  <c r="BH136" i="37"/>
  <c r="BI136" i="37"/>
  <c r="BJ136" i="37"/>
  <c r="BK136" i="37"/>
  <c r="BL136" i="37"/>
  <c r="BM136" i="37"/>
  <c r="BN136" i="37"/>
  <c r="BO136" i="37"/>
  <c r="BP136" i="37"/>
  <c r="BQ136" i="37"/>
  <c r="BR136" i="37"/>
  <c r="BS136" i="37"/>
  <c r="BH137" i="37"/>
  <c r="BI137" i="37"/>
  <c r="BJ137" i="37"/>
  <c r="BK137" i="37"/>
  <c r="BL137" i="37"/>
  <c r="BM137" i="37"/>
  <c r="BN137" i="37"/>
  <c r="BO137" i="37"/>
  <c r="BP137" i="37"/>
  <c r="BQ137" i="37"/>
  <c r="BR137" i="37"/>
  <c r="BS137" i="37"/>
  <c r="BH138" i="37"/>
  <c r="BI138" i="37"/>
  <c r="BJ138" i="37"/>
  <c r="BK138" i="37"/>
  <c r="BL138" i="37"/>
  <c r="BM138" i="37"/>
  <c r="BN138" i="37"/>
  <c r="BO138" i="37"/>
  <c r="BP138" i="37"/>
  <c r="BQ138" i="37"/>
  <c r="BR138" i="37"/>
  <c r="BS138" i="37"/>
  <c r="BH139" i="37"/>
  <c r="BI139" i="37"/>
  <c r="BJ139" i="37"/>
  <c r="BK139" i="37"/>
  <c r="BL139" i="37"/>
  <c r="BM139" i="37"/>
  <c r="BN139" i="37"/>
  <c r="BO139" i="37"/>
  <c r="BP139" i="37"/>
  <c r="BQ139" i="37"/>
  <c r="BR139" i="37"/>
  <c r="BS139" i="37"/>
  <c r="BH140" i="37"/>
  <c r="BI140" i="37"/>
  <c r="BJ140" i="37"/>
  <c r="BK140" i="37"/>
  <c r="BL140" i="37"/>
  <c r="BM140" i="37"/>
  <c r="BN140" i="37"/>
  <c r="BO140" i="37"/>
  <c r="BP140" i="37"/>
  <c r="BQ140" i="37"/>
  <c r="BR140" i="37"/>
  <c r="BS140" i="37"/>
  <c r="BH141" i="37"/>
  <c r="BI141" i="37"/>
  <c r="BJ141" i="37"/>
  <c r="BK141" i="37"/>
  <c r="BL141" i="37"/>
  <c r="BM141" i="37"/>
  <c r="BN141" i="37"/>
  <c r="BO141" i="37"/>
  <c r="BP141" i="37"/>
  <c r="BQ141" i="37"/>
  <c r="BR141" i="37"/>
  <c r="BS141" i="37"/>
  <c r="BH142" i="37"/>
  <c r="BI142" i="37"/>
  <c r="BJ142" i="37"/>
  <c r="BK142" i="37"/>
  <c r="BL142" i="37"/>
  <c r="BM142" i="37"/>
  <c r="BN142" i="37"/>
  <c r="BO142" i="37"/>
  <c r="BP142" i="37"/>
  <c r="BQ142" i="37"/>
  <c r="BR142" i="37"/>
  <c r="BS142" i="37"/>
  <c r="BH143" i="37"/>
  <c r="BI143" i="37"/>
  <c r="BJ143" i="37"/>
  <c r="BK143" i="37"/>
  <c r="BL143" i="37"/>
  <c r="BM143" i="37"/>
  <c r="BN143" i="37"/>
  <c r="BO143" i="37"/>
  <c r="BP143" i="37"/>
  <c r="BQ143" i="37"/>
  <c r="BR143" i="37"/>
  <c r="BS143" i="37"/>
  <c r="BH144" i="37"/>
  <c r="BI144" i="37"/>
  <c r="BJ144" i="37"/>
  <c r="BK144" i="37"/>
  <c r="BL144" i="37"/>
  <c r="BM144" i="37"/>
  <c r="BN144" i="37"/>
  <c r="BO144" i="37"/>
  <c r="BP144" i="37"/>
  <c r="BQ144" i="37"/>
  <c r="BR144" i="37"/>
  <c r="BS144" i="37"/>
  <c r="BH145" i="37"/>
  <c r="BI145" i="37"/>
  <c r="BJ145" i="37"/>
  <c r="BK145" i="37"/>
  <c r="BL145" i="37"/>
  <c r="BM145" i="37"/>
  <c r="BN145" i="37"/>
  <c r="BO145" i="37"/>
  <c r="BP145" i="37"/>
  <c r="BQ145" i="37"/>
  <c r="BR145" i="37"/>
  <c r="BS145" i="37"/>
  <c r="BH146" i="37"/>
  <c r="BI146" i="37"/>
  <c r="BJ146" i="37"/>
  <c r="BK146" i="37"/>
  <c r="BL146" i="37"/>
  <c r="BM146" i="37"/>
  <c r="BN146" i="37"/>
  <c r="BO146" i="37"/>
  <c r="BP146" i="37"/>
  <c r="BQ146" i="37"/>
  <c r="BR146" i="37"/>
  <c r="BS146" i="37"/>
  <c r="BH147" i="37"/>
  <c r="BI147" i="37"/>
  <c r="BJ147" i="37"/>
  <c r="BK147" i="37"/>
  <c r="BL147" i="37"/>
  <c r="BM147" i="37"/>
  <c r="BN147" i="37"/>
  <c r="BO147" i="37"/>
  <c r="BP147" i="37"/>
  <c r="BQ147" i="37"/>
  <c r="BR147" i="37"/>
  <c r="BS147" i="37"/>
  <c r="BH148" i="37"/>
  <c r="BI148" i="37"/>
  <c r="BJ148" i="37"/>
  <c r="BK148" i="37"/>
  <c r="BL148" i="37"/>
  <c r="BM148" i="37"/>
  <c r="BN148" i="37"/>
  <c r="BO148" i="37"/>
  <c r="BP148" i="37"/>
  <c r="BQ148" i="37"/>
  <c r="BR148" i="37"/>
  <c r="BS148" i="37"/>
  <c r="BH149" i="37"/>
  <c r="BI149" i="37"/>
  <c r="BJ149" i="37"/>
  <c r="BK149" i="37"/>
  <c r="BL149" i="37"/>
  <c r="BM149" i="37"/>
  <c r="BN149" i="37"/>
  <c r="BO149" i="37"/>
  <c r="BP149" i="37"/>
  <c r="BQ149" i="37"/>
  <c r="BR149" i="37"/>
  <c r="BS149" i="37"/>
  <c r="BH150" i="37"/>
  <c r="BI150" i="37"/>
  <c r="BJ150" i="37"/>
  <c r="BK150" i="37"/>
  <c r="BL150" i="37"/>
  <c r="BM150" i="37"/>
  <c r="BN150" i="37"/>
  <c r="BO150" i="37"/>
  <c r="BP150" i="37"/>
  <c r="BQ150" i="37"/>
  <c r="BR150" i="37"/>
  <c r="BS150" i="37"/>
  <c r="BH151" i="37"/>
  <c r="BI151" i="37"/>
  <c r="BJ151" i="37"/>
  <c r="BK151" i="37"/>
  <c r="BL151" i="37"/>
  <c r="BM151" i="37"/>
  <c r="BN151" i="37"/>
  <c r="BO151" i="37"/>
  <c r="BP151" i="37"/>
  <c r="BQ151" i="37"/>
  <c r="BR151" i="37"/>
  <c r="BS151" i="37"/>
  <c r="BH152" i="37"/>
  <c r="BI152" i="37"/>
  <c r="BJ152" i="37"/>
  <c r="BK152" i="37"/>
  <c r="BL152" i="37"/>
  <c r="BM152" i="37"/>
  <c r="BN152" i="37"/>
  <c r="BO152" i="37"/>
  <c r="BP152" i="37"/>
  <c r="BQ152" i="37"/>
  <c r="BR152" i="37"/>
  <c r="BS152" i="37"/>
  <c r="BH153" i="37"/>
  <c r="BI153" i="37"/>
  <c r="BJ153" i="37"/>
  <c r="BK153" i="37"/>
  <c r="BL153" i="37"/>
  <c r="BM153" i="37"/>
  <c r="BN153" i="37"/>
  <c r="BO153" i="37"/>
  <c r="BP153" i="37"/>
  <c r="BQ153" i="37"/>
  <c r="BR153" i="37"/>
  <c r="BS153" i="37"/>
  <c r="BH154" i="37"/>
  <c r="BI154" i="37"/>
  <c r="BJ154" i="37"/>
  <c r="BK154" i="37"/>
  <c r="BL154" i="37"/>
  <c r="BM154" i="37"/>
  <c r="BN154" i="37"/>
  <c r="BO154" i="37"/>
  <c r="BP154" i="37"/>
  <c r="BQ154" i="37"/>
  <c r="BR154" i="37"/>
  <c r="BS154" i="37"/>
  <c r="BH155" i="37"/>
  <c r="BI155" i="37"/>
  <c r="BJ155" i="37"/>
  <c r="BK155" i="37"/>
  <c r="BL155" i="37"/>
  <c r="BM155" i="37"/>
  <c r="BN155" i="37"/>
  <c r="BO155" i="37"/>
  <c r="BP155" i="37"/>
  <c r="BQ155" i="37"/>
  <c r="BR155" i="37"/>
  <c r="BS155" i="37"/>
  <c r="BH156" i="37"/>
  <c r="BI156" i="37"/>
  <c r="BJ156" i="37"/>
  <c r="BK156" i="37"/>
  <c r="BL156" i="37"/>
  <c r="BM156" i="37"/>
  <c r="BN156" i="37"/>
  <c r="BO156" i="37"/>
  <c r="BP156" i="37"/>
  <c r="BQ156" i="37"/>
  <c r="BR156" i="37"/>
  <c r="BS156" i="37"/>
  <c r="BH157" i="37"/>
  <c r="BI157" i="37"/>
  <c r="BJ157" i="37"/>
  <c r="BK157" i="37"/>
  <c r="BL157" i="37"/>
  <c r="BM157" i="37"/>
  <c r="BN157" i="37"/>
  <c r="BO157" i="37"/>
  <c r="BP157" i="37"/>
  <c r="BQ157" i="37"/>
  <c r="BR157" i="37"/>
  <c r="BS157" i="37"/>
  <c r="BH158" i="37"/>
  <c r="BI158" i="37"/>
  <c r="BJ158" i="37"/>
  <c r="BK158" i="37"/>
  <c r="BL158" i="37"/>
  <c r="BM158" i="37"/>
  <c r="BN158" i="37"/>
  <c r="BO158" i="37"/>
  <c r="BP158" i="37"/>
  <c r="BQ158" i="37"/>
  <c r="BR158" i="37"/>
  <c r="BS158" i="37"/>
  <c r="BH159" i="37"/>
  <c r="BI159" i="37"/>
  <c r="BJ159" i="37"/>
  <c r="BK159" i="37"/>
  <c r="BL159" i="37"/>
  <c r="BM159" i="37"/>
  <c r="BN159" i="37"/>
  <c r="BO159" i="37"/>
  <c r="BP159" i="37"/>
  <c r="BQ159" i="37"/>
  <c r="BR159" i="37"/>
  <c r="BS159" i="37"/>
  <c r="BH160" i="37"/>
  <c r="BI160" i="37"/>
  <c r="BJ160" i="37"/>
  <c r="BK160" i="37"/>
  <c r="BL160" i="37"/>
  <c r="BM160" i="37"/>
  <c r="BN160" i="37"/>
  <c r="BO160" i="37"/>
  <c r="BP160" i="37"/>
  <c r="BQ160" i="37"/>
  <c r="BR160" i="37"/>
  <c r="BS160" i="37"/>
  <c r="BH161" i="37"/>
  <c r="BI161" i="37"/>
  <c r="BJ161" i="37"/>
  <c r="BK161" i="37"/>
  <c r="BL161" i="37"/>
  <c r="BM161" i="37"/>
  <c r="BN161" i="37"/>
  <c r="BO161" i="37"/>
  <c r="BP161" i="37"/>
  <c r="BQ161" i="37"/>
  <c r="BR161" i="37"/>
  <c r="BS161" i="37"/>
  <c r="BH162" i="37"/>
  <c r="BI162" i="37"/>
  <c r="BJ162" i="37"/>
  <c r="BK162" i="37"/>
  <c r="BL162" i="37"/>
  <c r="BM162" i="37"/>
  <c r="BN162" i="37"/>
  <c r="BO162" i="37"/>
  <c r="BP162" i="37"/>
  <c r="BQ162" i="37"/>
  <c r="BR162" i="37"/>
  <c r="BS162" i="37"/>
  <c r="BH163" i="37"/>
  <c r="BI163" i="37"/>
  <c r="BJ163" i="37"/>
  <c r="BK163" i="37"/>
  <c r="BL163" i="37"/>
  <c r="BM163" i="37"/>
  <c r="BN163" i="37"/>
  <c r="BO163" i="37"/>
  <c r="BP163" i="37"/>
  <c r="BQ163" i="37"/>
  <c r="BR163" i="37"/>
  <c r="BS163" i="37"/>
  <c r="BH164" i="37"/>
  <c r="BI164" i="37"/>
  <c r="BJ164" i="37"/>
  <c r="BK164" i="37"/>
  <c r="BL164" i="37"/>
  <c r="BM164" i="37"/>
  <c r="BN164" i="37"/>
  <c r="BO164" i="37"/>
  <c r="BP164" i="37"/>
  <c r="BQ164" i="37"/>
  <c r="BR164" i="37"/>
  <c r="BS164" i="37"/>
  <c r="BH165" i="37"/>
  <c r="BI165" i="37"/>
  <c r="BJ165" i="37"/>
  <c r="BK165" i="37"/>
  <c r="BL165" i="37"/>
  <c r="BM165" i="37"/>
  <c r="BN165" i="37"/>
  <c r="BO165" i="37"/>
  <c r="BP165" i="37"/>
  <c r="BQ165" i="37"/>
  <c r="BR165" i="37"/>
  <c r="BS165" i="37"/>
  <c r="BH166" i="37"/>
  <c r="BI166" i="37"/>
  <c r="BJ166" i="37"/>
  <c r="BK166" i="37"/>
  <c r="BL166" i="37"/>
  <c r="BM166" i="37"/>
  <c r="BN166" i="37"/>
  <c r="BO166" i="37"/>
  <c r="BP166" i="37"/>
  <c r="BQ166" i="37"/>
  <c r="BR166" i="37"/>
  <c r="BS166" i="37"/>
  <c r="BH167" i="37"/>
  <c r="BI167" i="37"/>
  <c r="BJ167" i="37"/>
  <c r="BK167" i="37"/>
  <c r="BL167" i="37"/>
  <c r="BM167" i="37"/>
  <c r="BN167" i="37"/>
  <c r="BO167" i="37"/>
  <c r="BP167" i="37"/>
  <c r="BQ167" i="37"/>
  <c r="BR167" i="37"/>
  <c r="BS167" i="37"/>
  <c r="BH168" i="37"/>
  <c r="BI168" i="37"/>
  <c r="BJ168" i="37"/>
  <c r="BK168" i="37"/>
  <c r="BL168" i="37"/>
  <c r="BM168" i="37"/>
  <c r="BN168" i="37"/>
  <c r="BO168" i="37"/>
  <c r="BP168" i="37"/>
  <c r="BQ168" i="37"/>
  <c r="BR168" i="37"/>
  <c r="BS168" i="37"/>
  <c r="BH169" i="37"/>
  <c r="BI169" i="37"/>
  <c r="BJ169" i="37"/>
  <c r="BK169" i="37"/>
  <c r="BL169" i="37"/>
  <c r="BM169" i="37"/>
  <c r="BN169" i="37"/>
  <c r="BO169" i="37"/>
  <c r="BP169" i="37"/>
  <c r="BQ169" i="37"/>
  <c r="BR169" i="37"/>
  <c r="BS169" i="37"/>
  <c r="BH170" i="37"/>
  <c r="BI170" i="37"/>
  <c r="BJ170" i="37"/>
  <c r="BK170" i="37"/>
  <c r="BL170" i="37"/>
  <c r="BM170" i="37"/>
  <c r="BN170" i="37"/>
  <c r="BO170" i="37"/>
  <c r="BP170" i="37"/>
  <c r="BQ170" i="37"/>
  <c r="BR170" i="37"/>
  <c r="BS170" i="37"/>
  <c r="BH171" i="37"/>
  <c r="BI171" i="37"/>
  <c r="BJ171" i="37"/>
  <c r="BK171" i="37"/>
  <c r="BL171" i="37"/>
  <c r="BM171" i="37"/>
  <c r="BN171" i="37"/>
  <c r="BO171" i="37"/>
  <c r="BP171" i="37"/>
  <c r="BQ171" i="37"/>
  <c r="BR171" i="37"/>
  <c r="BS171" i="37"/>
  <c r="BH172" i="37"/>
  <c r="BI172" i="37"/>
  <c r="BJ172" i="37"/>
  <c r="BK172" i="37"/>
  <c r="BL172" i="37"/>
  <c r="BM172" i="37"/>
  <c r="BN172" i="37"/>
  <c r="BO172" i="37"/>
  <c r="BP172" i="37"/>
  <c r="BQ172" i="37"/>
  <c r="BR172" i="37"/>
  <c r="BS172" i="37"/>
  <c r="BH173" i="37"/>
  <c r="BI173" i="37"/>
  <c r="BJ173" i="37"/>
  <c r="BK173" i="37"/>
  <c r="BL173" i="37"/>
  <c r="BM173" i="37"/>
  <c r="BN173" i="37"/>
  <c r="BO173" i="37"/>
  <c r="BP173" i="37"/>
  <c r="BQ173" i="37"/>
  <c r="BR173" i="37"/>
  <c r="BS173" i="37"/>
  <c r="BH174" i="37"/>
  <c r="BI174" i="37"/>
  <c r="BJ174" i="37"/>
  <c r="BK174" i="37"/>
  <c r="BL174" i="37"/>
  <c r="BM174" i="37"/>
  <c r="BN174" i="37"/>
  <c r="BO174" i="37"/>
  <c r="BP174" i="37"/>
  <c r="BQ174" i="37"/>
  <c r="BR174" i="37"/>
  <c r="BS174" i="37"/>
  <c r="BH175" i="37"/>
  <c r="BI175" i="37"/>
  <c r="BJ175" i="37"/>
  <c r="BK175" i="37"/>
  <c r="BL175" i="37"/>
  <c r="BM175" i="37"/>
  <c r="BN175" i="37"/>
  <c r="BO175" i="37"/>
  <c r="BP175" i="37"/>
  <c r="BQ175" i="37"/>
  <c r="BR175" i="37"/>
  <c r="BS175" i="37"/>
  <c r="BH176" i="37"/>
  <c r="BI176" i="37"/>
  <c r="BJ176" i="37"/>
  <c r="BK176" i="37"/>
  <c r="BL176" i="37"/>
  <c r="BM176" i="37"/>
  <c r="BN176" i="37"/>
  <c r="BO176" i="37"/>
  <c r="BP176" i="37"/>
  <c r="BQ176" i="37"/>
  <c r="BR176" i="37"/>
  <c r="BS176" i="37"/>
  <c r="BH177" i="37"/>
  <c r="BI177" i="37"/>
  <c r="BJ177" i="37"/>
  <c r="BK177" i="37"/>
  <c r="BL177" i="37"/>
  <c r="BM177" i="37"/>
  <c r="BN177" i="37"/>
  <c r="BO177" i="37"/>
  <c r="BP177" i="37"/>
  <c r="BQ177" i="37"/>
  <c r="BR177" i="37"/>
  <c r="BS177" i="37"/>
  <c r="BH178" i="37"/>
  <c r="BI178" i="37"/>
  <c r="BJ178" i="37"/>
  <c r="BK178" i="37"/>
  <c r="BL178" i="37"/>
  <c r="BM178" i="37"/>
  <c r="BN178" i="37"/>
  <c r="BO178" i="37"/>
  <c r="BP178" i="37"/>
  <c r="BQ178" i="37"/>
  <c r="BR178" i="37"/>
  <c r="BS178" i="37"/>
  <c r="BH179" i="37"/>
  <c r="BI179" i="37"/>
  <c r="BJ179" i="37"/>
  <c r="BK179" i="37"/>
  <c r="BL179" i="37"/>
  <c r="BM179" i="37"/>
  <c r="BN179" i="37"/>
  <c r="BO179" i="37"/>
  <c r="BP179" i="37"/>
  <c r="BQ179" i="37"/>
  <c r="BR179" i="37"/>
  <c r="BS179" i="37"/>
  <c r="BH180" i="37"/>
  <c r="BI180" i="37"/>
  <c r="BJ180" i="37"/>
  <c r="BK180" i="37"/>
  <c r="BL180" i="37"/>
  <c r="BM180" i="37"/>
  <c r="BN180" i="37"/>
  <c r="BO180" i="37"/>
  <c r="BP180" i="37"/>
  <c r="BQ180" i="37"/>
  <c r="BR180" i="37"/>
  <c r="BS180" i="37"/>
  <c r="BH181" i="37"/>
  <c r="BI181" i="37"/>
  <c r="BJ181" i="37"/>
  <c r="BK181" i="37"/>
  <c r="BL181" i="37"/>
  <c r="BM181" i="37"/>
  <c r="BN181" i="37"/>
  <c r="BO181" i="37"/>
  <c r="BP181" i="37"/>
  <c r="BQ181" i="37"/>
  <c r="BR181" i="37"/>
  <c r="BS181" i="37"/>
  <c r="BH182" i="37"/>
  <c r="BI182" i="37"/>
  <c r="BJ182" i="37"/>
  <c r="BK182" i="37"/>
  <c r="BL182" i="37"/>
  <c r="BM182" i="37"/>
  <c r="BN182" i="37"/>
  <c r="BO182" i="37"/>
  <c r="BP182" i="37"/>
  <c r="BQ182" i="37"/>
  <c r="BR182" i="37"/>
  <c r="BS182" i="37"/>
  <c r="BH183" i="37"/>
  <c r="BI183" i="37"/>
  <c r="BJ183" i="37"/>
  <c r="BK183" i="37"/>
  <c r="BL183" i="37"/>
  <c r="BM183" i="37"/>
  <c r="BN183" i="37"/>
  <c r="BO183" i="37"/>
  <c r="BP183" i="37"/>
  <c r="BQ183" i="37"/>
  <c r="BR183" i="37"/>
  <c r="BS183" i="37"/>
  <c r="BH184" i="37"/>
  <c r="BI184" i="37"/>
  <c r="BJ184" i="37"/>
  <c r="BK184" i="37"/>
  <c r="BL184" i="37"/>
  <c r="BM184" i="37"/>
  <c r="BN184" i="37"/>
  <c r="BO184" i="37"/>
  <c r="BP184" i="37"/>
  <c r="BQ184" i="37"/>
  <c r="BR184" i="37"/>
  <c r="BS184" i="37"/>
  <c r="BH185" i="37"/>
  <c r="BI185" i="37"/>
  <c r="BJ185" i="37"/>
  <c r="BK185" i="37"/>
  <c r="BL185" i="37"/>
  <c r="BM185" i="37"/>
  <c r="BN185" i="37"/>
  <c r="BO185" i="37"/>
  <c r="BP185" i="37"/>
  <c r="BQ185" i="37"/>
  <c r="BR185" i="37"/>
  <c r="BS185" i="37"/>
  <c r="BH186" i="37"/>
  <c r="BI186" i="37"/>
  <c r="BJ186" i="37"/>
  <c r="BK186" i="37"/>
  <c r="BL186" i="37"/>
  <c r="BM186" i="37"/>
  <c r="BN186" i="37"/>
  <c r="BO186" i="37"/>
  <c r="BP186" i="37"/>
  <c r="BQ186" i="37"/>
  <c r="BR186" i="37"/>
  <c r="BS186" i="37"/>
  <c r="BH187" i="37"/>
  <c r="BI187" i="37"/>
  <c r="BJ187" i="37"/>
  <c r="BK187" i="37"/>
  <c r="BL187" i="37"/>
  <c r="BM187" i="37"/>
  <c r="BN187" i="37"/>
  <c r="BO187" i="37"/>
  <c r="BP187" i="37"/>
  <c r="BQ187" i="37"/>
  <c r="BR187" i="37"/>
  <c r="BS187" i="37"/>
  <c r="BH188" i="37"/>
  <c r="BI188" i="37"/>
  <c r="BJ188" i="37"/>
  <c r="BK188" i="37"/>
  <c r="BL188" i="37"/>
  <c r="BM188" i="37"/>
  <c r="BN188" i="37"/>
  <c r="BO188" i="37"/>
  <c r="BP188" i="37"/>
  <c r="BQ188" i="37"/>
  <c r="BR188" i="37"/>
  <c r="BS188" i="37"/>
  <c r="BH189" i="37"/>
  <c r="BI189" i="37"/>
  <c r="BJ189" i="37"/>
  <c r="BK189" i="37"/>
  <c r="BL189" i="37"/>
  <c r="BM189" i="37"/>
  <c r="BN189" i="37"/>
  <c r="BO189" i="37"/>
  <c r="BP189" i="37"/>
  <c r="BQ189" i="37"/>
  <c r="BR189" i="37"/>
  <c r="BS189" i="37"/>
  <c r="BH190" i="37"/>
  <c r="BI190" i="37"/>
  <c r="BJ190" i="37"/>
  <c r="BK190" i="37"/>
  <c r="BL190" i="37"/>
  <c r="BM190" i="37"/>
  <c r="BN190" i="37"/>
  <c r="BO190" i="37"/>
  <c r="BP190" i="37"/>
  <c r="BQ190" i="37"/>
  <c r="BR190" i="37"/>
  <c r="BS190" i="37"/>
  <c r="BH191" i="37"/>
  <c r="BI191" i="37"/>
  <c r="BJ191" i="37"/>
  <c r="BK191" i="37"/>
  <c r="BL191" i="37"/>
  <c r="BM191" i="37"/>
  <c r="BN191" i="37"/>
  <c r="BO191" i="37"/>
  <c r="BP191" i="37"/>
  <c r="BQ191" i="37"/>
  <c r="BR191" i="37"/>
  <c r="BS191" i="37"/>
  <c r="BH192" i="37"/>
  <c r="BI192" i="37"/>
  <c r="BJ192" i="37"/>
  <c r="BK192" i="37"/>
  <c r="BL192" i="37"/>
  <c r="BM192" i="37"/>
  <c r="BN192" i="37"/>
  <c r="BO192" i="37"/>
  <c r="BP192" i="37"/>
  <c r="BQ192" i="37"/>
  <c r="BR192" i="37"/>
  <c r="BS192" i="37"/>
  <c r="BH193" i="37"/>
  <c r="BI193" i="37"/>
  <c r="BJ193" i="37"/>
  <c r="BK193" i="37"/>
  <c r="BL193" i="37"/>
  <c r="BM193" i="37"/>
  <c r="BN193" i="37"/>
  <c r="BO193" i="37"/>
  <c r="BP193" i="37"/>
  <c r="BQ193" i="37"/>
  <c r="BR193" i="37"/>
  <c r="BS193" i="37"/>
  <c r="BH194" i="37"/>
  <c r="BI194" i="37"/>
  <c r="BJ194" i="37"/>
  <c r="BK194" i="37"/>
  <c r="BL194" i="37"/>
  <c r="BM194" i="37"/>
  <c r="BN194" i="37"/>
  <c r="BO194" i="37"/>
  <c r="BP194" i="37"/>
  <c r="BQ194" i="37"/>
  <c r="BR194" i="37"/>
  <c r="BS194" i="37"/>
  <c r="BH195" i="37"/>
  <c r="BI195" i="37"/>
  <c r="BJ195" i="37"/>
  <c r="BK195" i="37"/>
  <c r="BL195" i="37"/>
  <c r="BM195" i="37"/>
  <c r="BN195" i="37"/>
  <c r="BO195" i="37"/>
  <c r="BP195" i="37"/>
  <c r="BQ195" i="37"/>
  <c r="BR195" i="37"/>
  <c r="BS195" i="37"/>
  <c r="BH196" i="37"/>
  <c r="BI196" i="37"/>
  <c r="BJ196" i="37"/>
  <c r="BK196" i="37"/>
  <c r="BL196" i="37"/>
  <c r="BM196" i="37"/>
  <c r="BN196" i="37"/>
  <c r="BO196" i="37"/>
  <c r="BP196" i="37"/>
  <c r="BQ196" i="37"/>
  <c r="BR196" i="37"/>
  <c r="BS196" i="37"/>
  <c r="BH197" i="37"/>
  <c r="BI197" i="37"/>
  <c r="BJ197" i="37"/>
  <c r="BK197" i="37"/>
  <c r="BL197" i="37"/>
  <c r="BM197" i="37"/>
  <c r="BN197" i="37"/>
  <c r="BO197" i="37"/>
  <c r="BP197" i="37"/>
  <c r="BQ197" i="37"/>
  <c r="BR197" i="37"/>
  <c r="BS197" i="37"/>
  <c r="BH198" i="37"/>
  <c r="BI198" i="37"/>
  <c r="BJ198" i="37"/>
  <c r="BK198" i="37"/>
  <c r="BL198" i="37"/>
  <c r="BM198" i="37"/>
  <c r="BN198" i="37"/>
  <c r="BO198" i="37"/>
  <c r="BP198" i="37"/>
  <c r="BQ198" i="37"/>
  <c r="BR198" i="37"/>
  <c r="BS198" i="37"/>
  <c r="BH199" i="37"/>
  <c r="BI199" i="37"/>
  <c r="BJ199" i="37"/>
  <c r="BK199" i="37"/>
  <c r="BL199" i="37"/>
  <c r="BM199" i="37"/>
  <c r="BN199" i="37"/>
  <c r="BO199" i="37"/>
  <c r="BP199" i="37"/>
  <c r="BQ199" i="37"/>
  <c r="BR199" i="37"/>
  <c r="BS199" i="37"/>
  <c r="BH200" i="37"/>
  <c r="BI200" i="37"/>
  <c r="BJ200" i="37"/>
  <c r="BK200" i="37"/>
  <c r="BL200" i="37"/>
  <c r="BM200" i="37"/>
  <c r="BN200" i="37"/>
  <c r="BO200" i="37"/>
  <c r="BP200" i="37"/>
  <c r="BQ200" i="37"/>
  <c r="BR200" i="37"/>
  <c r="BS200" i="37"/>
  <c r="BH201" i="37"/>
  <c r="BI201" i="37"/>
  <c r="BJ201" i="37"/>
  <c r="BK201" i="37"/>
  <c r="BL201" i="37"/>
  <c r="BM201" i="37"/>
  <c r="BN201" i="37"/>
  <c r="BO201" i="37"/>
  <c r="BP201" i="37"/>
  <c r="BQ201" i="37"/>
  <c r="BR201" i="37"/>
  <c r="BS201" i="37"/>
  <c r="BH202" i="37"/>
  <c r="BI202" i="37"/>
  <c r="BJ202" i="37"/>
  <c r="BK202" i="37"/>
  <c r="BL202" i="37"/>
  <c r="BM202" i="37"/>
  <c r="BN202" i="37"/>
  <c r="BO202" i="37"/>
  <c r="BP202" i="37"/>
  <c r="BQ202" i="37"/>
  <c r="BR202" i="37"/>
  <c r="BS202" i="37"/>
  <c r="BH203" i="37"/>
  <c r="BI203" i="37"/>
  <c r="BJ203" i="37"/>
  <c r="BK203" i="37"/>
  <c r="BL203" i="37"/>
  <c r="BM203" i="37"/>
  <c r="BN203" i="37"/>
  <c r="BO203" i="37"/>
  <c r="BP203" i="37"/>
  <c r="BQ203" i="37"/>
  <c r="BR203" i="37"/>
  <c r="BS203" i="37"/>
  <c r="BH204" i="37"/>
  <c r="BI204" i="37"/>
  <c r="BJ204" i="37"/>
  <c r="BK204" i="37"/>
  <c r="BL204" i="37"/>
  <c r="BM204" i="37"/>
  <c r="BN204" i="37"/>
  <c r="BO204" i="37"/>
  <c r="BP204" i="37"/>
  <c r="BQ204" i="37"/>
  <c r="BR204" i="37"/>
  <c r="BS204" i="37"/>
  <c r="BH205" i="37"/>
  <c r="BI205" i="37"/>
  <c r="BJ205" i="37"/>
  <c r="BK205" i="37"/>
  <c r="BL205" i="37"/>
  <c r="BM205" i="37"/>
  <c r="BN205" i="37"/>
  <c r="BO205" i="37"/>
  <c r="BP205" i="37"/>
  <c r="BQ205" i="37"/>
  <c r="BR205" i="37"/>
  <c r="BS205" i="37"/>
  <c r="BH206" i="37"/>
  <c r="BI206" i="37"/>
  <c r="BJ206" i="37"/>
  <c r="BK206" i="37"/>
  <c r="BL206" i="37"/>
  <c r="BM206" i="37"/>
  <c r="BN206" i="37"/>
  <c r="BO206" i="37"/>
  <c r="BP206" i="37"/>
  <c r="BQ206" i="37"/>
  <c r="BR206" i="37"/>
  <c r="BS206" i="37"/>
  <c r="BH207" i="37"/>
  <c r="BI207" i="37"/>
  <c r="BJ207" i="37"/>
  <c r="BK207" i="37"/>
  <c r="BL207" i="37"/>
  <c r="BM207" i="37"/>
  <c r="BN207" i="37"/>
  <c r="BO207" i="37"/>
  <c r="BP207" i="37"/>
  <c r="BQ207" i="37"/>
  <c r="BR207" i="37"/>
  <c r="BS207" i="37"/>
  <c r="BH208" i="37"/>
  <c r="BI208" i="37"/>
  <c r="BJ208" i="37"/>
  <c r="BK208" i="37"/>
  <c r="BL208" i="37"/>
  <c r="BM208" i="37"/>
  <c r="BN208" i="37"/>
  <c r="BO208" i="37"/>
  <c r="BP208" i="37"/>
  <c r="BQ208" i="37"/>
  <c r="BR208" i="37"/>
  <c r="BS208" i="37"/>
  <c r="BH209" i="37"/>
  <c r="BI209" i="37"/>
  <c r="BJ209" i="37"/>
  <c r="BK209" i="37"/>
  <c r="BL209" i="37"/>
  <c r="BM209" i="37"/>
  <c r="BN209" i="37"/>
  <c r="BO209" i="37"/>
  <c r="BP209" i="37"/>
  <c r="BQ209" i="37"/>
  <c r="BR209" i="37"/>
  <c r="BS209" i="37"/>
  <c r="BH210" i="37"/>
  <c r="BI210" i="37"/>
  <c r="BJ210" i="37"/>
  <c r="BK210" i="37"/>
  <c r="BL210" i="37"/>
  <c r="BM210" i="37"/>
  <c r="BN210" i="37"/>
  <c r="BO210" i="37"/>
  <c r="BP210" i="37"/>
  <c r="BQ210" i="37"/>
  <c r="BR210" i="37"/>
  <c r="BS210" i="37"/>
  <c r="BH211" i="37"/>
  <c r="BI211" i="37"/>
  <c r="BJ211" i="37"/>
  <c r="BK211" i="37"/>
  <c r="BL211" i="37"/>
  <c r="BM211" i="37"/>
  <c r="BN211" i="37"/>
  <c r="BO211" i="37"/>
  <c r="BP211" i="37"/>
  <c r="BQ211" i="37"/>
  <c r="BR211" i="37"/>
  <c r="BS211" i="37"/>
  <c r="BH212" i="37"/>
  <c r="BI212" i="37"/>
  <c r="BJ212" i="37"/>
  <c r="BK212" i="37"/>
  <c r="BL212" i="37"/>
  <c r="BM212" i="37"/>
  <c r="BN212" i="37"/>
  <c r="BO212" i="37"/>
  <c r="BP212" i="37"/>
  <c r="BQ212" i="37"/>
  <c r="BR212" i="37"/>
  <c r="BS212" i="37"/>
  <c r="BH213" i="37"/>
  <c r="BI213" i="37"/>
  <c r="BJ213" i="37"/>
  <c r="BK213" i="37"/>
  <c r="BL213" i="37"/>
  <c r="BM213" i="37"/>
  <c r="BN213" i="37"/>
  <c r="BO213" i="37"/>
  <c r="BP213" i="37"/>
  <c r="BQ213" i="37"/>
  <c r="BR213" i="37"/>
  <c r="BS213" i="37"/>
  <c r="BH214" i="37"/>
  <c r="BI214" i="37"/>
  <c r="BJ214" i="37"/>
  <c r="BK214" i="37"/>
  <c r="BL214" i="37"/>
  <c r="BM214" i="37"/>
  <c r="BN214" i="37"/>
  <c r="BO214" i="37"/>
  <c r="BP214" i="37"/>
  <c r="BQ214" i="37"/>
  <c r="BR214" i="37"/>
  <c r="BS214" i="37"/>
  <c r="BH215" i="37"/>
  <c r="BI215" i="37"/>
  <c r="BJ215" i="37"/>
  <c r="BK215" i="37"/>
  <c r="BL215" i="37"/>
  <c r="BM215" i="37"/>
  <c r="BN215" i="37"/>
  <c r="BO215" i="37"/>
  <c r="BP215" i="37"/>
  <c r="BQ215" i="37"/>
  <c r="BR215" i="37"/>
  <c r="BS215" i="37"/>
  <c r="BH216" i="37"/>
  <c r="BI216" i="37"/>
  <c r="BJ216" i="37"/>
  <c r="BK216" i="37"/>
  <c r="BL216" i="37"/>
  <c r="BM216" i="37"/>
  <c r="BN216" i="37"/>
  <c r="BO216" i="37"/>
  <c r="BP216" i="37"/>
  <c r="BQ216" i="37"/>
  <c r="BR216" i="37"/>
  <c r="BS216" i="37"/>
  <c r="BH217" i="37"/>
  <c r="BI217" i="37"/>
  <c r="BJ217" i="37"/>
  <c r="BK217" i="37"/>
  <c r="BL217" i="37"/>
  <c r="BM217" i="37"/>
  <c r="BN217" i="37"/>
  <c r="BO217" i="37"/>
  <c r="BP217" i="37"/>
  <c r="BQ217" i="37"/>
  <c r="BR217" i="37"/>
  <c r="BS217" i="37"/>
  <c r="BH218" i="37"/>
  <c r="BI218" i="37"/>
  <c r="BJ218" i="37"/>
  <c r="BK218" i="37"/>
  <c r="BL218" i="37"/>
  <c r="BM218" i="37"/>
  <c r="BN218" i="37"/>
  <c r="BO218" i="37"/>
  <c r="BP218" i="37"/>
  <c r="BQ218" i="37"/>
  <c r="BR218" i="37"/>
  <c r="BS218" i="37"/>
  <c r="BH219" i="37"/>
  <c r="BI219" i="37"/>
  <c r="BJ219" i="37"/>
  <c r="BK219" i="37"/>
  <c r="BL219" i="37"/>
  <c r="BM219" i="37"/>
  <c r="BN219" i="37"/>
  <c r="BO219" i="37"/>
  <c r="BP219" i="37"/>
  <c r="BQ219" i="37"/>
  <c r="BR219" i="37"/>
  <c r="BS219" i="37"/>
  <c r="BH220" i="37"/>
  <c r="BI220" i="37"/>
  <c r="BJ220" i="37"/>
  <c r="BK220" i="37"/>
  <c r="BL220" i="37"/>
  <c r="BM220" i="37"/>
  <c r="BN220" i="37"/>
  <c r="BO220" i="37"/>
  <c r="BP220" i="37"/>
  <c r="BQ220" i="37"/>
  <c r="BR220" i="37"/>
  <c r="BS220" i="37"/>
  <c r="BH221" i="37"/>
  <c r="BI221" i="37"/>
  <c r="BJ221" i="37"/>
  <c r="BK221" i="37"/>
  <c r="BL221" i="37"/>
  <c r="BM221" i="37"/>
  <c r="BN221" i="37"/>
  <c r="BO221" i="37"/>
  <c r="BP221" i="37"/>
  <c r="BQ221" i="37"/>
  <c r="BR221" i="37"/>
  <c r="BS221" i="37"/>
  <c r="BH222" i="37"/>
  <c r="BI222" i="37"/>
  <c r="BJ222" i="37"/>
  <c r="BK222" i="37"/>
  <c r="BL222" i="37"/>
  <c r="BM222" i="37"/>
  <c r="BN222" i="37"/>
  <c r="BO222" i="37"/>
  <c r="BP222" i="37"/>
  <c r="BQ222" i="37"/>
  <c r="BR222" i="37"/>
  <c r="BS222" i="37"/>
  <c r="BH223" i="37"/>
  <c r="BI223" i="37"/>
  <c r="BJ223" i="37"/>
  <c r="BK223" i="37"/>
  <c r="BL223" i="37"/>
  <c r="BM223" i="37"/>
  <c r="BN223" i="37"/>
  <c r="BO223" i="37"/>
  <c r="BP223" i="37"/>
  <c r="BQ223" i="37"/>
  <c r="BR223" i="37"/>
  <c r="BS223" i="37"/>
  <c r="BH224" i="37"/>
  <c r="BI224" i="37"/>
  <c r="BJ224" i="37"/>
  <c r="BK224" i="37"/>
  <c r="BL224" i="37"/>
  <c r="BM224" i="37"/>
  <c r="BN224" i="37"/>
  <c r="BO224" i="37"/>
  <c r="BP224" i="37"/>
  <c r="BQ224" i="37"/>
  <c r="BR224" i="37"/>
  <c r="BS224" i="37"/>
  <c r="BH225" i="37"/>
  <c r="BI225" i="37"/>
  <c r="BJ225" i="37"/>
  <c r="BK225" i="37"/>
  <c r="BL225" i="37"/>
  <c r="BM225" i="37"/>
  <c r="BN225" i="37"/>
  <c r="BO225" i="37"/>
  <c r="BP225" i="37"/>
  <c r="BQ225" i="37"/>
  <c r="BR225" i="37"/>
  <c r="BS225" i="37"/>
  <c r="BH226" i="37"/>
  <c r="BI226" i="37"/>
  <c r="BJ226" i="37"/>
  <c r="BK226" i="37"/>
  <c r="BL226" i="37"/>
  <c r="BM226" i="37"/>
  <c r="BN226" i="37"/>
  <c r="BO226" i="37"/>
  <c r="BP226" i="37"/>
  <c r="BQ226" i="37"/>
  <c r="BR226" i="37"/>
  <c r="BS226" i="37"/>
  <c r="BH227" i="37"/>
  <c r="BI227" i="37"/>
  <c r="BJ227" i="37"/>
  <c r="BK227" i="37"/>
  <c r="BL227" i="37"/>
  <c r="BM227" i="37"/>
  <c r="BN227" i="37"/>
  <c r="BO227" i="37"/>
  <c r="BP227" i="37"/>
  <c r="BQ227" i="37"/>
  <c r="BR227" i="37"/>
  <c r="BS227" i="37"/>
  <c r="BH228" i="37"/>
  <c r="BI228" i="37"/>
  <c r="BJ228" i="37"/>
  <c r="BK228" i="37"/>
  <c r="BL228" i="37"/>
  <c r="BM228" i="37"/>
  <c r="BN228" i="37"/>
  <c r="BO228" i="37"/>
  <c r="BP228" i="37"/>
  <c r="BQ228" i="37"/>
  <c r="BR228" i="37"/>
  <c r="BS228" i="37"/>
  <c r="BH229" i="37"/>
  <c r="BI229" i="37"/>
  <c r="BJ229" i="37"/>
  <c r="BK229" i="37"/>
  <c r="BL229" i="37"/>
  <c r="BM229" i="37"/>
  <c r="BN229" i="37"/>
  <c r="BO229" i="37"/>
  <c r="BP229" i="37"/>
  <c r="BQ229" i="37"/>
  <c r="BR229" i="37"/>
  <c r="BS229" i="37"/>
  <c r="BH230" i="37"/>
  <c r="BI230" i="37"/>
  <c r="BJ230" i="37"/>
  <c r="BK230" i="37"/>
  <c r="BL230" i="37"/>
  <c r="BM230" i="37"/>
  <c r="BN230" i="37"/>
  <c r="BO230" i="37"/>
  <c r="BP230" i="37"/>
  <c r="BQ230" i="37"/>
  <c r="BR230" i="37"/>
  <c r="BS230" i="37"/>
  <c r="BH231" i="37"/>
  <c r="BI231" i="37"/>
  <c r="BJ231" i="37"/>
  <c r="BK231" i="37"/>
  <c r="BL231" i="37"/>
  <c r="BM231" i="37"/>
  <c r="BN231" i="37"/>
  <c r="BO231" i="37"/>
  <c r="BP231" i="37"/>
  <c r="BQ231" i="37"/>
  <c r="BR231" i="37"/>
  <c r="BS231" i="37"/>
  <c r="BH232" i="37"/>
  <c r="BI232" i="37"/>
  <c r="BJ232" i="37"/>
  <c r="BK232" i="37"/>
  <c r="BL232" i="37"/>
  <c r="BM232" i="37"/>
  <c r="BN232" i="37"/>
  <c r="BO232" i="37"/>
  <c r="BP232" i="37"/>
  <c r="BQ232" i="37"/>
  <c r="BR232" i="37"/>
  <c r="BS232" i="37"/>
  <c r="BH233" i="37"/>
  <c r="BI233" i="37"/>
  <c r="BJ233" i="37"/>
  <c r="BK233" i="37"/>
  <c r="BL233" i="37"/>
  <c r="BM233" i="37"/>
  <c r="BN233" i="37"/>
  <c r="BO233" i="37"/>
  <c r="BP233" i="37"/>
  <c r="BQ233" i="37"/>
  <c r="BR233" i="37"/>
  <c r="BS233" i="37"/>
  <c r="BH234" i="37"/>
  <c r="BI234" i="37"/>
  <c r="BJ234" i="37"/>
  <c r="BK234" i="37"/>
  <c r="BL234" i="37"/>
  <c r="BM234" i="37"/>
  <c r="BN234" i="37"/>
  <c r="BO234" i="37"/>
  <c r="BP234" i="37"/>
  <c r="BQ234" i="37"/>
  <c r="BR234" i="37"/>
  <c r="BS234" i="37"/>
  <c r="BH235" i="37"/>
  <c r="BI235" i="37"/>
  <c r="BJ235" i="37"/>
  <c r="BK235" i="37"/>
  <c r="BL235" i="37"/>
  <c r="BM235" i="37"/>
  <c r="BN235" i="37"/>
  <c r="BO235" i="37"/>
  <c r="BP235" i="37"/>
  <c r="BQ235" i="37"/>
  <c r="BR235" i="37"/>
  <c r="BS235" i="37"/>
  <c r="BH236" i="37"/>
  <c r="BI236" i="37"/>
  <c r="BJ236" i="37"/>
  <c r="BK236" i="37"/>
  <c r="BL236" i="37"/>
  <c r="BM236" i="37"/>
  <c r="BN236" i="37"/>
  <c r="BO236" i="37"/>
  <c r="BP236" i="37"/>
  <c r="BQ236" i="37"/>
  <c r="BR236" i="37"/>
  <c r="BS236" i="37"/>
  <c r="BH237" i="37"/>
  <c r="BI237" i="37"/>
  <c r="BJ237" i="37"/>
  <c r="BK237" i="37"/>
  <c r="BL237" i="37"/>
  <c r="BM237" i="37"/>
  <c r="BN237" i="37"/>
  <c r="BO237" i="37"/>
  <c r="BP237" i="37"/>
  <c r="BQ237" i="37"/>
  <c r="BR237" i="37"/>
  <c r="BS237" i="37"/>
  <c r="BH238" i="37"/>
  <c r="BI238" i="37"/>
  <c r="BJ238" i="37"/>
  <c r="BK238" i="37"/>
  <c r="BL238" i="37"/>
  <c r="BM238" i="37"/>
  <c r="BN238" i="37"/>
  <c r="BO238" i="37"/>
  <c r="BP238" i="37"/>
  <c r="BQ238" i="37"/>
  <c r="BR238" i="37"/>
  <c r="BS238" i="37"/>
  <c r="BH239" i="37"/>
  <c r="BI239" i="37"/>
  <c r="BJ239" i="37"/>
  <c r="BK239" i="37"/>
  <c r="BL239" i="37"/>
  <c r="BM239" i="37"/>
  <c r="BN239" i="37"/>
  <c r="BO239" i="37"/>
  <c r="BP239" i="37"/>
  <c r="BQ239" i="37"/>
  <c r="BR239" i="37"/>
  <c r="BS239" i="37"/>
  <c r="BH240" i="37"/>
  <c r="BI240" i="37"/>
  <c r="BJ240" i="37"/>
  <c r="BK240" i="37"/>
  <c r="BL240" i="37"/>
  <c r="BM240" i="37"/>
  <c r="BN240" i="37"/>
  <c r="BO240" i="37"/>
  <c r="BP240" i="37"/>
  <c r="BQ240" i="37"/>
  <c r="BR240" i="37"/>
  <c r="BS240" i="37"/>
  <c r="BH241" i="37"/>
  <c r="BI241" i="37"/>
  <c r="BJ241" i="37"/>
  <c r="BK241" i="37"/>
  <c r="BL241" i="37"/>
  <c r="BM241" i="37"/>
  <c r="BN241" i="37"/>
  <c r="BO241" i="37"/>
  <c r="BP241" i="37"/>
  <c r="BQ241" i="37"/>
  <c r="BR241" i="37"/>
  <c r="BS241" i="37"/>
  <c r="BH242" i="37"/>
  <c r="BI242" i="37"/>
  <c r="BJ242" i="37"/>
  <c r="BK242" i="37"/>
  <c r="BL242" i="37"/>
  <c r="BM242" i="37"/>
  <c r="BN242" i="37"/>
  <c r="BO242" i="37"/>
  <c r="BP242" i="37"/>
  <c r="BQ242" i="37"/>
  <c r="BR242" i="37"/>
  <c r="BS242" i="37"/>
  <c r="BH243" i="37"/>
  <c r="BI243" i="37"/>
  <c r="BJ243" i="37"/>
  <c r="BK243" i="37"/>
  <c r="BL243" i="37"/>
  <c r="BM243" i="37"/>
  <c r="BN243" i="37"/>
  <c r="BO243" i="37"/>
  <c r="BP243" i="37"/>
  <c r="BQ243" i="37"/>
  <c r="BR243" i="37"/>
  <c r="BS243" i="37"/>
  <c r="BH244" i="37"/>
  <c r="BI244" i="37"/>
  <c r="BJ244" i="37"/>
  <c r="BK244" i="37"/>
  <c r="BL244" i="37"/>
  <c r="BM244" i="37"/>
  <c r="BN244" i="37"/>
  <c r="BO244" i="37"/>
  <c r="BP244" i="37"/>
  <c r="BQ244" i="37"/>
  <c r="BR244" i="37"/>
  <c r="BS244" i="37"/>
  <c r="BH245" i="37"/>
  <c r="BI245" i="37"/>
  <c r="BJ245" i="37"/>
  <c r="BK245" i="37"/>
  <c r="BL245" i="37"/>
  <c r="BM245" i="37"/>
  <c r="BN245" i="37"/>
  <c r="BO245" i="37"/>
  <c r="BP245" i="37"/>
  <c r="BQ245" i="37"/>
  <c r="BR245" i="37"/>
  <c r="BS245" i="37"/>
  <c r="BH246" i="37"/>
  <c r="BI246" i="37"/>
  <c r="BJ246" i="37"/>
  <c r="BK246" i="37"/>
  <c r="BL246" i="37"/>
  <c r="BM246" i="37"/>
  <c r="BN246" i="37"/>
  <c r="BO246" i="37"/>
  <c r="BP246" i="37"/>
  <c r="BQ246" i="37"/>
  <c r="BR246" i="37"/>
  <c r="BS246" i="37"/>
  <c r="BH247" i="37"/>
  <c r="BI247" i="37"/>
  <c r="BJ247" i="37"/>
  <c r="BK247" i="37"/>
  <c r="BL247" i="37"/>
  <c r="BM247" i="37"/>
  <c r="BN247" i="37"/>
  <c r="BO247" i="37"/>
  <c r="BP247" i="37"/>
  <c r="BQ247" i="37"/>
  <c r="BR247" i="37"/>
  <c r="BS247" i="37"/>
  <c r="BH248" i="37"/>
  <c r="BI248" i="37"/>
  <c r="BJ248" i="37"/>
  <c r="BK248" i="37"/>
  <c r="BL248" i="37"/>
  <c r="BM248" i="37"/>
  <c r="BN248" i="37"/>
  <c r="BO248" i="37"/>
  <c r="BP248" i="37"/>
  <c r="BQ248" i="37"/>
  <c r="BR248" i="37"/>
  <c r="BS248" i="37"/>
  <c r="BH249" i="37"/>
  <c r="BI249" i="37"/>
  <c r="BJ249" i="37"/>
  <c r="BK249" i="37"/>
  <c r="BL249" i="37"/>
  <c r="BM249" i="37"/>
  <c r="BN249" i="37"/>
  <c r="BO249" i="37"/>
  <c r="BP249" i="37"/>
  <c r="BQ249" i="37"/>
  <c r="BR249" i="37"/>
  <c r="BS249" i="37"/>
  <c r="BH250" i="37"/>
  <c r="BI250" i="37"/>
  <c r="BJ250" i="37"/>
  <c r="BK250" i="37"/>
  <c r="BL250" i="37"/>
  <c r="BM250" i="37"/>
  <c r="BN250" i="37"/>
  <c r="BO250" i="37"/>
  <c r="BP250" i="37"/>
  <c r="BQ250" i="37"/>
  <c r="BR250" i="37"/>
  <c r="BS250" i="37"/>
  <c r="BH251" i="37"/>
  <c r="BI251" i="37"/>
  <c r="BJ251" i="37"/>
  <c r="BK251" i="37"/>
  <c r="BL251" i="37"/>
  <c r="BM251" i="37"/>
  <c r="BN251" i="37"/>
  <c r="BO251" i="37"/>
  <c r="BP251" i="37"/>
  <c r="BQ251" i="37"/>
  <c r="BR251" i="37"/>
  <c r="BS251" i="37"/>
  <c r="BH252" i="37"/>
  <c r="BI252" i="37"/>
  <c r="BJ252" i="37"/>
  <c r="BK252" i="37"/>
  <c r="BL252" i="37"/>
  <c r="BM252" i="37"/>
  <c r="BN252" i="37"/>
  <c r="BO252" i="37"/>
  <c r="BP252" i="37"/>
  <c r="BQ252" i="37"/>
  <c r="BR252" i="37"/>
  <c r="BS252" i="37"/>
  <c r="BH253" i="37"/>
  <c r="BI253" i="37"/>
  <c r="BJ253" i="37"/>
  <c r="BK253" i="37"/>
  <c r="BL253" i="37"/>
  <c r="BM253" i="37"/>
  <c r="BN253" i="37"/>
  <c r="BO253" i="37"/>
  <c r="BP253" i="37"/>
  <c r="BQ253" i="37"/>
  <c r="BR253" i="37"/>
  <c r="BS253" i="37"/>
  <c r="BH254" i="37"/>
  <c r="BI254" i="37"/>
  <c r="BJ254" i="37"/>
  <c r="BK254" i="37"/>
  <c r="BL254" i="37"/>
  <c r="BM254" i="37"/>
  <c r="BN254" i="37"/>
  <c r="BO254" i="37"/>
  <c r="BP254" i="37"/>
  <c r="BQ254" i="37"/>
  <c r="BR254" i="37"/>
  <c r="BS254" i="37"/>
  <c r="BH255" i="37"/>
  <c r="BI255" i="37"/>
  <c r="BJ255" i="37"/>
  <c r="BK255" i="37"/>
  <c r="BL255" i="37"/>
  <c r="BM255" i="37"/>
  <c r="BN255" i="37"/>
  <c r="BO255" i="37"/>
  <c r="BP255" i="37"/>
  <c r="BQ255" i="37"/>
  <c r="BR255" i="37"/>
  <c r="BS255" i="37"/>
  <c r="BH256" i="37"/>
  <c r="BI256" i="37"/>
  <c r="BJ256" i="37"/>
  <c r="BK256" i="37"/>
  <c r="BL256" i="37"/>
  <c r="BM256" i="37"/>
  <c r="BN256" i="37"/>
  <c r="BO256" i="37"/>
  <c r="BP256" i="37"/>
  <c r="BQ256" i="37"/>
  <c r="BR256" i="37"/>
  <c r="BS256" i="37"/>
  <c r="BH257" i="37"/>
  <c r="BI257" i="37"/>
  <c r="BJ257" i="37"/>
  <c r="BK257" i="37"/>
  <c r="BL257" i="37"/>
  <c r="BM257" i="37"/>
  <c r="BN257" i="37"/>
  <c r="BO257" i="37"/>
  <c r="BP257" i="37"/>
  <c r="BQ257" i="37"/>
  <c r="BR257" i="37"/>
  <c r="BS257" i="37"/>
  <c r="BH258" i="37"/>
  <c r="BI258" i="37"/>
  <c r="BJ258" i="37"/>
  <c r="BK258" i="37"/>
  <c r="BL258" i="37"/>
  <c r="BM258" i="37"/>
  <c r="BN258" i="37"/>
  <c r="BO258" i="37"/>
  <c r="BP258" i="37"/>
  <c r="BQ258" i="37"/>
  <c r="BR258" i="37"/>
  <c r="BS258" i="37"/>
  <c r="BH259" i="37"/>
  <c r="BI259" i="37"/>
  <c r="BJ259" i="37"/>
  <c r="BK259" i="37"/>
  <c r="BL259" i="37"/>
  <c r="BM259" i="37"/>
  <c r="BN259" i="37"/>
  <c r="BO259" i="37"/>
  <c r="BP259" i="37"/>
  <c r="BQ259" i="37"/>
  <c r="BR259" i="37"/>
  <c r="BS259" i="37"/>
  <c r="BH260" i="37"/>
  <c r="BI260" i="37"/>
  <c r="BJ260" i="37"/>
  <c r="BK260" i="37"/>
  <c r="BL260" i="37"/>
  <c r="BM260" i="37"/>
  <c r="BN260" i="37"/>
  <c r="BO260" i="37"/>
  <c r="BP260" i="37"/>
  <c r="BQ260" i="37"/>
  <c r="BR260" i="37"/>
  <c r="BS260" i="37"/>
  <c r="BH261" i="37"/>
  <c r="BI261" i="37"/>
  <c r="BJ261" i="37"/>
  <c r="BK261" i="37"/>
  <c r="BL261" i="37"/>
  <c r="BM261" i="37"/>
  <c r="BN261" i="37"/>
  <c r="BO261" i="37"/>
  <c r="BP261" i="37"/>
  <c r="BQ261" i="37"/>
  <c r="BR261" i="37"/>
  <c r="BS261" i="37"/>
  <c r="BH262" i="37"/>
  <c r="BI262" i="37"/>
  <c r="BJ262" i="37"/>
  <c r="BK262" i="37"/>
  <c r="BL262" i="37"/>
  <c r="BM262" i="37"/>
  <c r="BN262" i="37"/>
  <c r="BO262" i="37"/>
  <c r="BP262" i="37"/>
  <c r="BQ262" i="37"/>
  <c r="BR262" i="37"/>
  <c r="BS262" i="37"/>
  <c r="BH263" i="37"/>
  <c r="BI263" i="37"/>
  <c r="BJ263" i="37"/>
  <c r="BK263" i="37"/>
  <c r="BL263" i="37"/>
  <c r="BM263" i="37"/>
  <c r="BN263" i="37"/>
  <c r="BO263" i="37"/>
  <c r="BP263" i="37"/>
  <c r="BQ263" i="37"/>
  <c r="BR263" i="37"/>
  <c r="BS263" i="37"/>
  <c r="BH264" i="37"/>
  <c r="BI264" i="37"/>
  <c r="BJ264" i="37"/>
  <c r="BK264" i="37"/>
  <c r="BL264" i="37"/>
  <c r="BM264" i="37"/>
  <c r="BN264" i="37"/>
  <c r="BO264" i="37"/>
  <c r="BP264" i="37"/>
  <c r="BQ264" i="37"/>
  <c r="BR264" i="37"/>
  <c r="BS264" i="37"/>
  <c r="BH265" i="37"/>
  <c r="BI265" i="37"/>
  <c r="BJ265" i="37"/>
  <c r="BK265" i="37"/>
  <c r="BL265" i="37"/>
  <c r="BM265" i="37"/>
  <c r="BN265" i="37"/>
  <c r="BO265" i="37"/>
  <c r="BP265" i="37"/>
  <c r="BQ265" i="37"/>
  <c r="BR265" i="37"/>
  <c r="BS265" i="37"/>
  <c r="BH266" i="37"/>
  <c r="BI266" i="37"/>
  <c r="BJ266" i="37"/>
  <c r="BK266" i="37"/>
  <c r="BL266" i="37"/>
  <c r="BM266" i="37"/>
  <c r="BN266" i="37"/>
  <c r="BO266" i="37"/>
  <c r="BP266" i="37"/>
  <c r="BQ266" i="37"/>
  <c r="BR266" i="37"/>
  <c r="BS266" i="37"/>
  <c r="BH267" i="37"/>
  <c r="BI267" i="37"/>
  <c r="BJ267" i="37"/>
  <c r="BK267" i="37"/>
  <c r="BL267" i="37"/>
  <c r="BM267" i="37"/>
  <c r="BN267" i="37"/>
  <c r="BO267" i="37"/>
  <c r="BP267" i="37"/>
  <c r="BQ267" i="37"/>
  <c r="BR267" i="37"/>
  <c r="BS267" i="37"/>
  <c r="BH268" i="37"/>
  <c r="BI268" i="37"/>
  <c r="BJ268" i="37"/>
  <c r="BK268" i="37"/>
  <c r="BL268" i="37"/>
  <c r="BM268" i="37"/>
  <c r="BN268" i="37"/>
  <c r="BO268" i="37"/>
  <c r="BP268" i="37"/>
  <c r="BQ268" i="37"/>
  <c r="BR268" i="37"/>
  <c r="BS268" i="37"/>
  <c r="BH269" i="37"/>
  <c r="BI269" i="37"/>
  <c r="BJ269" i="37"/>
  <c r="BK269" i="37"/>
  <c r="BL269" i="37"/>
  <c r="BM269" i="37"/>
  <c r="BN269" i="37"/>
  <c r="BO269" i="37"/>
  <c r="BP269" i="37"/>
  <c r="BQ269" i="37"/>
  <c r="BR269" i="37"/>
  <c r="BS269" i="37"/>
  <c r="BH270" i="37"/>
  <c r="BI270" i="37"/>
  <c r="BJ270" i="37"/>
  <c r="BK270" i="37"/>
  <c r="BL270" i="37"/>
  <c r="BM270" i="37"/>
  <c r="BN270" i="37"/>
  <c r="BO270" i="37"/>
  <c r="BP270" i="37"/>
  <c r="BQ270" i="37"/>
  <c r="BR270" i="37"/>
  <c r="BS270" i="37"/>
  <c r="BH271" i="37"/>
  <c r="BI271" i="37"/>
  <c r="BJ271" i="37"/>
  <c r="BK271" i="37"/>
  <c r="BL271" i="37"/>
  <c r="BM271" i="37"/>
  <c r="BN271" i="37"/>
  <c r="BO271" i="37"/>
  <c r="BP271" i="37"/>
  <c r="BQ271" i="37"/>
  <c r="BR271" i="37"/>
  <c r="BS271" i="37"/>
  <c r="BH272" i="37"/>
  <c r="BI272" i="37"/>
  <c r="BJ272" i="37"/>
  <c r="BK272" i="37"/>
  <c r="BL272" i="37"/>
  <c r="BM272" i="37"/>
  <c r="BN272" i="37"/>
  <c r="BO272" i="37"/>
  <c r="BP272" i="37"/>
  <c r="BQ272" i="37"/>
  <c r="BR272" i="37"/>
  <c r="BS272" i="37"/>
  <c r="BH273" i="37"/>
  <c r="BI273" i="37"/>
  <c r="BJ273" i="37"/>
  <c r="BK273" i="37"/>
  <c r="BL273" i="37"/>
  <c r="BM273" i="37"/>
  <c r="BN273" i="37"/>
  <c r="BO273" i="37"/>
  <c r="BP273" i="37"/>
  <c r="BQ273" i="37"/>
  <c r="BR273" i="37"/>
  <c r="BS273" i="37"/>
  <c r="BH274" i="37"/>
  <c r="BI274" i="37"/>
  <c r="BJ274" i="37"/>
  <c r="BK274" i="37"/>
  <c r="BL274" i="37"/>
  <c r="BM274" i="37"/>
  <c r="BN274" i="37"/>
  <c r="BO274" i="37"/>
  <c r="BP274" i="37"/>
  <c r="BQ274" i="37"/>
  <c r="BR274" i="37"/>
  <c r="BS274" i="37"/>
  <c r="BH275" i="37"/>
  <c r="BI275" i="37"/>
  <c r="BJ275" i="37"/>
  <c r="BK275" i="37"/>
  <c r="BL275" i="37"/>
  <c r="BM275" i="37"/>
  <c r="BN275" i="37"/>
  <c r="BO275" i="37"/>
  <c r="BP275" i="37"/>
  <c r="BQ275" i="37"/>
  <c r="BR275" i="37"/>
  <c r="BS275" i="37"/>
  <c r="BH276" i="37"/>
  <c r="BI276" i="37"/>
  <c r="BJ276" i="37"/>
  <c r="BK276" i="37"/>
  <c r="BL276" i="37"/>
  <c r="BM276" i="37"/>
  <c r="BN276" i="37"/>
  <c r="BO276" i="37"/>
  <c r="BP276" i="37"/>
  <c r="BQ276" i="37"/>
  <c r="BR276" i="37"/>
  <c r="BS276" i="37"/>
  <c r="BH277" i="37"/>
  <c r="BI277" i="37"/>
  <c r="BJ277" i="37"/>
  <c r="BK277" i="37"/>
  <c r="BL277" i="37"/>
  <c r="BM277" i="37"/>
  <c r="BN277" i="37"/>
  <c r="BO277" i="37"/>
  <c r="BP277" i="37"/>
  <c r="BQ277" i="37"/>
  <c r="BR277" i="37"/>
  <c r="BS277" i="37"/>
  <c r="BH278" i="37"/>
  <c r="BI278" i="37"/>
  <c r="BJ278" i="37"/>
  <c r="BK278" i="37"/>
  <c r="BL278" i="37"/>
  <c r="BM278" i="37"/>
  <c r="BN278" i="37"/>
  <c r="BO278" i="37"/>
  <c r="BP278" i="37"/>
  <c r="BQ278" i="37"/>
  <c r="BR278" i="37"/>
  <c r="BS278" i="37"/>
  <c r="BH279" i="37"/>
  <c r="BI279" i="37"/>
  <c r="BJ279" i="37"/>
  <c r="BK279" i="37"/>
  <c r="BL279" i="37"/>
  <c r="BM279" i="37"/>
  <c r="BN279" i="37"/>
  <c r="BO279" i="37"/>
  <c r="BP279" i="37"/>
  <c r="BQ279" i="37"/>
  <c r="BR279" i="37"/>
  <c r="BS279" i="37"/>
  <c r="BH280" i="37"/>
  <c r="BI280" i="37"/>
  <c r="BJ280" i="37"/>
  <c r="BK280" i="37"/>
  <c r="BL280" i="37"/>
  <c r="BM280" i="37"/>
  <c r="BN280" i="37"/>
  <c r="BO280" i="37"/>
  <c r="BP280" i="37"/>
  <c r="BQ280" i="37"/>
  <c r="BR280" i="37"/>
  <c r="BS280" i="37"/>
  <c r="BH281" i="37"/>
  <c r="BI281" i="37"/>
  <c r="BJ281" i="37"/>
  <c r="BK281" i="37"/>
  <c r="BL281" i="37"/>
  <c r="BM281" i="37"/>
  <c r="BN281" i="37"/>
  <c r="BO281" i="37"/>
  <c r="BP281" i="37"/>
  <c r="BQ281" i="37"/>
  <c r="BR281" i="37"/>
  <c r="BS281" i="37"/>
  <c r="BH282" i="37"/>
  <c r="BI282" i="37"/>
  <c r="BJ282" i="37"/>
  <c r="BK282" i="37"/>
  <c r="BL282" i="37"/>
  <c r="BM282" i="37"/>
  <c r="BN282" i="37"/>
  <c r="BO282" i="37"/>
  <c r="BP282" i="37"/>
  <c r="BQ282" i="37"/>
  <c r="BR282" i="37"/>
  <c r="BS282" i="37"/>
  <c r="BH283" i="37"/>
  <c r="BI283" i="37"/>
  <c r="BJ283" i="37"/>
  <c r="BK283" i="37"/>
  <c r="BL283" i="37"/>
  <c r="BM283" i="37"/>
  <c r="BN283" i="37"/>
  <c r="BO283" i="37"/>
  <c r="BP283" i="37"/>
  <c r="BQ283" i="37"/>
  <c r="BR283" i="37"/>
  <c r="BS283" i="37"/>
  <c r="BH284" i="37"/>
  <c r="BI284" i="37"/>
  <c r="BJ284" i="37"/>
  <c r="BK284" i="37"/>
  <c r="BL284" i="37"/>
  <c r="BM284" i="37"/>
  <c r="BN284" i="37"/>
  <c r="BO284" i="37"/>
  <c r="BP284" i="37"/>
  <c r="BQ284" i="37"/>
  <c r="BR284" i="37"/>
  <c r="BS284" i="37"/>
  <c r="BH285" i="37"/>
  <c r="BI285" i="37"/>
  <c r="BJ285" i="37"/>
  <c r="BK285" i="37"/>
  <c r="BL285" i="37"/>
  <c r="BM285" i="37"/>
  <c r="BN285" i="37"/>
  <c r="BO285" i="37"/>
  <c r="BP285" i="37"/>
  <c r="BQ285" i="37"/>
  <c r="BR285" i="37"/>
  <c r="BS285" i="37"/>
  <c r="BH286" i="37"/>
  <c r="BI286" i="37"/>
  <c r="BJ286" i="37"/>
  <c r="BK286" i="37"/>
  <c r="BL286" i="37"/>
  <c r="BM286" i="37"/>
  <c r="BN286" i="37"/>
  <c r="BO286" i="37"/>
  <c r="BP286" i="37"/>
  <c r="BQ286" i="37"/>
  <c r="BR286" i="37"/>
  <c r="BS286" i="37"/>
  <c r="BH287" i="37"/>
  <c r="BI287" i="37"/>
  <c r="BJ287" i="37"/>
  <c r="BK287" i="37"/>
  <c r="BL287" i="37"/>
  <c r="BM287" i="37"/>
  <c r="BN287" i="37"/>
  <c r="BO287" i="37"/>
  <c r="BP287" i="37"/>
  <c r="BQ287" i="37"/>
  <c r="BR287" i="37"/>
  <c r="BS287" i="37"/>
  <c r="BH288" i="37"/>
  <c r="BI288" i="37"/>
  <c r="BJ288" i="37"/>
  <c r="BK288" i="37"/>
  <c r="BL288" i="37"/>
  <c r="BM288" i="37"/>
  <c r="BN288" i="37"/>
  <c r="BO288" i="37"/>
  <c r="BP288" i="37"/>
  <c r="BQ288" i="37"/>
  <c r="BR288" i="37"/>
  <c r="BS288" i="37"/>
  <c r="BH289" i="37"/>
  <c r="BI289" i="37"/>
  <c r="BJ289" i="37"/>
  <c r="BK289" i="37"/>
  <c r="BL289" i="37"/>
  <c r="BM289" i="37"/>
  <c r="BN289" i="37"/>
  <c r="BO289" i="37"/>
  <c r="BP289" i="37"/>
  <c r="BQ289" i="37"/>
  <c r="BR289" i="37"/>
  <c r="BS289" i="37"/>
  <c r="BH290" i="37"/>
  <c r="BI290" i="37"/>
  <c r="BJ290" i="37"/>
  <c r="BK290" i="37"/>
  <c r="BL290" i="37"/>
  <c r="BM290" i="37"/>
  <c r="BN290" i="37"/>
  <c r="BO290" i="37"/>
  <c r="BP290" i="37"/>
  <c r="BQ290" i="37"/>
  <c r="BR290" i="37"/>
  <c r="BS290" i="37"/>
  <c r="BH291" i="37"/>
  <c r="BI291" i="37"/>
  <c r="BJ291" i="37"/>
  <c r="BK291" i="37"/>
  <c r="BL291" i="37"/>
  <c r="BM291" i="37"/>
  <c r="BN291" i="37"/>
  <c r="BO291" i="37"/>
  <c r="BP291" i="37"/>
  <c r="BQ291" i="37"/>
  <c r="BR291" i="37"/>
  <c r="BS291" i="37"/>
  <c r="BH292" i="37"/>
  <c r="BI292" i="37"/>
  <c r="BJ292" i="37"/>
  <c r="BK292" i="37"/>
  <c r="BL292" i="37"/>
  <c r="BM292" i="37"/>
  <c r="BN292" i="37"/>
  <c r="BO292" i="37"/>
  <c r="BP292" i="37"/>
  <c r="BQ292" i="37"/>
  <c r="BR292" i="37"/>
  <c r="BS292" i="37"/>
  <c r="BH293" i="37"/>
  <c r="BI293" i="37"/>
  <c r="BJ293" i="37"/>
  <c r="BK293" i="37"/>
  <c r="BL293" i="37"/>
  <c r="BM293" i="37"/>
  <c r="BN293" i="37"/>
  <c r="BO293" i="37"/>
  <c r="BP293" i="37"/>
  <c r="BQ293" i="37"/>
  <c r="BR293" i="37"/>
  <c r="BS293" i="37"/>
  <c r="BH294" i="37"/>
  <c r="BI294" i="37"/>
  <c r="BJ294" i="37"/>
  <c r="BK294" i="37"/>
  <c r="BL294" i="37"/>
  <c r="BM294" i="37"/>
  <c r="BN294" i="37"/>
  <c r="BO294" i="37"/>
  <c r="BP294" i="37"/>
  <c r="BQ294" i="37"/>
  <c r="BR294" i="37"/>
  <c r="BS294" i="37"/>
  <c r="BH295" i="37"/>
  <c r="BI295" i="37"/>
  <c r="BJ295" i="37"/>
  <c r="BK295" i="37"/>
  <c r="BL295" i="37"/>
  <c r="BM295" i="37"/>
  <c r="BN295" i="37"/>
  <c r="BO295" i="37"/>
  <c r="BP295" i="37"/>
  <c r="BQ295" i="37"/>
  <c r="BR295" i="37"/>
  <c r="BS295" i="37"/>
  <c r="BH296" i="37"/>
  <c r="BI296" i="37"/>
  <c r="BJ296" i="37"/>
  <c r="BK296" i="37"/>
  <c r="BL296" i="37"/>
  <c r="BM296" i="37"/>
  <c r="BN296" i="37"/>
  <c r="BO296" i="37"/>
  <c r="BP296" i="37"/>
  <c r="BQ296" i="37"/>
  <c r="BR296" i="37"/>
  <c r="BS296" i="37"/>
  <c r="BH297" i="37"/>
  <c r="BI297" i="37"/>
  <c r="BJ297" i="37"/>
  <c r="BK297" i="37"/>
  <c r="BL297" i="37"/>
  <c r="BM297" i="37"/>
  <c r="BN297" i="37"/>
  <c r="BO297" i="37"/>
  <c r="BP297" i="37"/>
  <c r="BQ297" i="37"/>
  <c r="BR297" i="37"/>
  <c r="BS297" i="37"/>
  <c r="BH298" i="37"/>
  <c r="BI298" i="37"/>
  <c r="BJ298" i="37"/>
  <c r="BK298" i="37"/>
  <c r="BL298" i="37"/>
  <c r="BM298" i="37"/>
  <c r="BN298" i="37"/>
  <c r="BO298" i="37"/>
  <c r="BP298" i="37"/>
  <c r="BQ298" i="37"/>
  <c r="BR298" i="37"/>
  <c r="BS298" i="37"/>
  <c r="BH299" i="37"/>
  <c r="BI299" i="37"/>
  <c r="BJ299" i="37"/>
  <c r="BK299" i="37"/>
  <c r="BL299" i="37"/>
  <c r="BM299" i="37"/>
  <c r="BN299" i="37"/>
  <c r="BO299" i="37"/>
  <c r="BP299" i="37"/>
  <c r="BQ299" i="37"/>
  <c r="BR299" i="37"/>
  <c r="BS299" i="37"/>
  <c r="BH300" i="37"/>
  <c r="BI300" i="37"/>
  <c r="BJ300" i="37"/>
  <c r="BK300" i="37"/>
  <c r="BL300" i="37"/>
  <c r="BM300" i="37"/>
  <c r="BN300" i="37"/>
  <c r="BO300" i="37"/>
  <c r="BP300" i="37"/>
  <c r="BQ300" i="37"/>
  <c r="BR300" i="37"/>
  <c r="BS300" i="37"/>
  <c r="BH301" i="37"/>
  <c r="BI301" i="37"/>
  <c r="BJ301" i="37"/>
  <c r="BK301" i="37"/>
  <c r="BL301" i="37"/>
  <c r="BM301" i="37"/>
  <c r="BN301" i="37"/>
  <c r="BO301" i="37"/>
  <c r="BP301" i="37"/>
  <c r="BQ301" i="37"/>
  <c r="BR301" i="37"/>
  <c r="BS301" i="37"/>
  <c r="BH302" i="37"/>
  <c r="BI302" i="37"/>
  <c r="BJ302" i="37"/>
  <c r="BK302" i="37"/>
  <c r="BL302" i="37"/>
  <c r="BM302" i="37"/>
  <c r="BN302" i="37"/>
  <c r="BO302" i="37"/>
  <c r="BP302" i="37"/>
  <c r="BQ302" i="37"/>
  <c r="BR302" i="37"/>
  <c r="BS302" i="37"/>
  <c r="BH303" i="37"/>
  <c r="BI303" i="37"/>
  <c r="BJ303" i="37"/>
  <c r="BK303" i="37"/>
  <c r="BL303" i="37"/>
  <c r="BM303" i="37"/>
  <c r="BN303" i="37"/>
  <c r="BO303" i="37"/>
  <c r="BP303" i="37"/>
  <c r="BQ303" i="37"/>
  <c r="BR303" i="37"/>
  <c r="BS303" i="37"/>
  <c r="BH304" i="37"/>
  <c r="BI304" i="37"/>
  <c r="BJ304" i="37"/>
  <c r="BK304" i="37"/>
  <c r="BL304" i="37"/>
  <c r="BM304" i="37"/>
  <c r="BN304" i="37"/>
  <c r="BO304" i="37"/>
  <c r="BP304" i="37"/>
  <c r="BQ304" i="37"/>
  <c r="BR304" i="37"/>
  <c r="BS304" i="37"/>
  <c r="BH305" i="37"/>
  <c r="BI305" i="37"/>
  <c r="BJ305" i="37"/>
  <c r="BK305" i="37"/>
  <c r="BL305" i="37"/>
  <c r="BM305" i="37"/>
  <c r="BN305" i="37"/>
  <c r="BO305" i="37"/>
  <c r="BP305" i="37"/>
  <c r="BQ305" i="37"/>
  <c r="BR305" i="37"/>
  <c r="BS305" i="37"/>
  <c r="BH306" i="37"/>
  <c r="BI306" i="37"/>
  <c r="BJ306" i="37"/>
  <c r="BK306" i="37"/>
  <c r="BL306" i="37"/>
  <c r="BM306" i="37"/>
  <c r="BN306" i="37"/>
  <c r="BO306" i="37"/>
  <c r="BP306" i="37"/>
  <c r="BQ306" i="37"/>
  <c r="BR306" i="37"/>
  <c r="BS306" i="37"/>
  <c r="BH307" i="37"/>
  <c r="BI307" i="37"/>
  <c r="BJ307" i="37"/>
  <c r="BK307" i="37"/>
  <c r="BL307" i="37"/>
  <c r="BM307" i="37"/>
  <c r="BN307" i="37"/>
  <c r="BO307" i="37"/>
  <c r="BP307" i="37"/>
  <c r="BQ307" i="37"/>
  <c r="BR307" i="37"/>
  <c r="BS307" i="37"/>
  <c r="BH308" i="37"/>
  <c r="BI308" i="37"/>
  <c r="BJ308" i="37"/>
  <c r="BK308" i="37"/>
  <c r="BL308" i="37"/>
  <c r="BM308" i="37"/>
  <c r="BN308" i="37"/>
  <c r="BO308" i="37"/>
  <c r="BP308" i="37"/>
  <c r="BQ308" i="37"/>
  <c r="BR308" i="37"/>
  <c r="BS308" i="37"/>
  <c r="BH309" i="37"/>
  <c r="BI309" i="37"/>
  <c r="BJ309" i="37"/>
  <c r="BK309" i="37"/>
  <c r="BL309" i="37"/>
  <c r="BM309" i="37"/>
  <c r="BN309" i="37"/>
  <c r="BO309" i="37"/>
  <c r="BP309" i="37"/>
  <c r="BQ309" i="37"/>
  <c r="BR309" i="37"/>
  <c r="BS309" i="37"/>
  <c r="BH310" i="37"/>
  <c r="BI310" i="37"/>
  <c r="BJ310" i="37"/>
  <c r="BK310" i="37"/>
  <c r="BL310" i="37"/>
  <c r="BM310" i="37"/>
  <c r="BN310" i="37"/>
  <c r="BO310" i="37"/>
  <c r="BP310" i="37"/>
  <c r="BQ310" i="37"/>
  <c r="BR310" i="37"/>
  <c r="BS310" i="37"/>
  <c r="BH311" i="37"/>
  <c r="BI311" i="37"/>
  <c r="BJ311" i="37"/>
  <c r="BK311" i="37"/>
  <c r="BL311" i="37"/>
  <c r="BM311" i="37"/>
  <c r="BN311" i="37"/>
  <c r="BO311" i="37"/>
  <c r="BP311" i="37"/>
  <c r="BQ311" i="37"/>
  <c r="BR311" i="37"/>
  <c r="BS311" i="37"/>
  <c r="BH312" i="37"/>
  <c r="BI312" i="37"/>
  <c r="BJ312" i="37"/>
  <c r="BK312" i="37"/>
  <c r="BL312" i="37"/>
  <c r="BM312" i="37"/>
  <c r="BN312" i="37"/>
  <c r="BO312" i="37"/>
  <c r="BP312" i="37"/>
  <c r="BQ312" i="37"/>
  <c r="BR312" i="37"/>
  <c r="BS312" i="37"/>
  <c r="BH313" i="37"/>
  <c r="BI313" i="37"/>
  <c r="BJ313" i="37"/>
  <c r="BK313" i="37"/>
  <c r="BL313" i="37"/>
  <c r="BM313" i="37"/>
  <c r="BN313" i="37"/>
  <c r="BO313" i="37"/>
  <c r="BP313" i="37"/>
  <c r="BQ313" i="37"/>
  <c r="BR313" i="37"/>
  <c r="BS313" i="37"/>
  <c r="BH314" i="37"/>
  <c r="BI314" i="37"/>
  <c r="BJ314" i="37"/>
  <c r="BK314" i="37"/>
  <c r="BL314" i="37"/>
  <c r="BM314" i="37"/>
  <c r="BN314" i="37"/>
  <c r="BO314" i="37"/>
  <c r="BP314" i="37"/>
  <c r="BQ314" i="37"/>
  <c r="BR314" i="37"/>
  <c r="BS314" i="37"/>
  <c r="BH315" i="37"/>
  <c r="BI315" i="37"/>
  <c r="BJ315" i="37"/>
  <c r="BK315" i="37"/>
  <c r="BL315" i="37"/>
  <c r="BM315" i="37"/>
  <c r="BN315" i="37"/>
  <c r="BO315" i="37"/>
  <c r="BP315" i="37"/>
  <c r="BQ315" i="37"/>
  <c r="BR315" i="37"/>
  <c r="BS315" i="37"/>
  <c r="BH316" i="37"/>
  <c r="BI316" i="37"/>
  <c r="BJ316" i="37"/>
  <c r="BK316" i="37"/>
  <c r="BL316" i="37"/>
  <c r="BM316" i="37"/>
  <c r="BN316" i="37"/>
  <c r="BO316" i="37"/>
  <c r="BP316" i="37"/>
  <c r="BQ316" i="37"/>
  <c r="BR316" i="37"/>
  <c r="BS316" i="37"/>
  <c r="BH317" i="37"/>
  <c r="BI317" i="37"/>
  <c r="BJ317" i="37"/>
  <c r="BK317" i="37"/>
  <c r="BL317" i="37"/>
  <c r="BM317" i="37"/>
  <c r="BN317" i="37"/>
  <c r="BO317" i="37"/>
  <c r="BP317" i="37"/>
  <c r="BQ317" i="37"/>
  <c r="BR317" i="37"/>
  <c r="BS317" i="37"/>
  <c r="BH318" i="37"/>
  <c r="BI318" i="37"/>
  <c r="BJ318" i="37"/>
  <c r="BK318" i="37"/>
  <c r="BL318" i="37"/>
  <c r="BM318" i="37"/>
  <c r="BN318" i="37"/>
  <c r="BO318" i="37"/>
  <c r="BP318" i="37"/>
  <c r="BQ318" i="37"/>
  <c r="BR318" i="37"/>
  <c r="BS318" i="37"/>
  <c r="BH319" i="37"/>
  <c r="BI319" i="37"/>
  <c r="BJ319" i="37"/>
  <c r="BK319" i="37"/>
  <c r="BL319" i="37"/>
  <c r="BM319" i="37"/>
  <c r="BN319" i="37"/>
  <c r="BO319" i="37"/>
  <c r="BP319" i="37"/>
  <c r="BQ319" i="37"/>
  <c r="BR319" i="37"/>
  <c r="BS319" i="37"/>
  <c r="BH320" i="37"/>
  <c r="BI320" i="37"/>
  <c r="BJ320" i="37"/>
  <c r="BK320" i="37"/>
  <c r="BL320" i="37"/>
  <c r="BM320" i="37"/>
  <c r="BN320" i="37"/>
  <c r="BO320" i="37"/>
  <c r="BP320" i="37"/>
  <c r="BQ320" i="37"/>
  <c r="BR320" i="37"/>
  <c r="BS320" i="37"/>
  <c r="BH321" i="37"/>
  <c r="BI321" i="37"/>
  <c r="BJ321" i="37"/>
  <c r="BK321" i="37"/>
  <c r="BL321" i="37"/>
  <c r="BM321" i="37"/>
  <c r="BN321" i="37"/>
  <c r="BO321" i="37"/>
  <c r="BP321" i="37"/>
  <c r="BQ321" i="37"/>
  <c r="BR321" i="37"/>
  <c r="BS321" i="37"/>
  <c r="BH322" i="37"/>
  <c r="BI322" i="37"/>
  <c r="BJ322" i="37"/>
  <c r="BK322" i="37"/>
  <c r="BL322" i="37"/>
  <c r="BM322" i="37"/>
  <c r="BN322" i="37"/>
  <c r="BO322" i="37"/>
  <c r="BP322" i="37"/>
  <c r="BQ322" i="37"/>
  <c r="BR322" i="37"/>
  <c r="BS322" i="37"/>
  <c r="BH323" i="37"/>
  <c r="BI323" i="37"/>
  <c r="BJ323" i="37"/>
  <c r="BK323" i="37"/>
  <c r="BL323" i="37"/>
  <c r="BM323" i="37"/>
  <c r="BN323" i="37"/>
  <c r="BO323" i="37"/>
  <c r="BP323" i="37"/>
  <c r="BQ323" i="37"/>
  <c r="BR323" i="37"/>
  <c r="BS323" i="37"/>
  <c r="BH324" i="37"/>
  <c r="BI324" i="37"/>
  <c r="BJ324" i="37"/>
  <c r="BK324" i="37"/>
  <c r="BL324" i="37"/>
  <c r="BM324" i="37"/>
  <c r="BN324" i="37"/>
  <c r="BO324" i="37"/>
  <c r="BP324" i="37"/>
  <c r="BQ324" i="37"/>
  <c r="BR324" i="37"/>
  <c r="BS324" i="37"/>
  <c r="BH325" i="37"/>
  <c r="BI325" i="37"/>
  <c r="BJ325" i="37"/>
  <c r="BK325" i="37"/>
  <c r="BL325" i="37"/>
  <c r="BM325" i="37"/>
  <c r="BN325" i="37"/>
  <c r="BO325" i="37"/>
  <c r="BP325" i="37"/>
  <c r="BQ325" i="37"/>
  <c r="BR325" i="37"/>
  <c r="BS325" i="37"/>
  <c r="BH326" i="37"/>
  <c r="BI326" i="37"/>
  <c r="BJ326" i="37"/>
  <c r="BK326" i="37"/>
  <c r="BL326" i="37"/>
  <c r="BM326" i="37"/>
  <c r="BN326" i="37"/>
  <c r="BO326" i="37"/>
  <c r="BP326" i="37"/>
  <c r="BQ326" i="37"/>
  <c r="BR326" i="37"/>
  <c r="BS326" i="37"/>
  <c r="BH327" i="37"/>
  <c r="BI327" i="37"/>
  <c r="BJ327" i="37"/>
  <c r="BK327" i="37"/>
  <c r="BL327" i="37"/>
  <c r="BM327" i="37"/>
  <c r="BN327" i="37"/>
  <c r="BO327" i="37"/>
  <c r="BP327" i="37"/>
  <c r="BQ327" i="37"/>
  <c r="BR327" i="37"/>
  <c r="BS327" i="37"/>
  <c r="BH328" i="37"/>
  <c r="BI328" i="37"/>
  <c r="BJ328" i="37"/>
  <c r="BK328" i="37"/>
  <c r="BL328" i="37"/>
  <c r="BM328" i="37"/>
  <c r="BN328" i="37"/>
  <c r="BO328" i="37"/>
  <c r="BP328" i="37"/>
  <c r="BQ328" i="37"/>
  <c r="BR328" i="37"/>
  <c r="BS328" i="37"/>
  <c r="BH329" i="37"/>
  <c r="BI329" i="37"/>
  <c r="BJ329" i="37"/>
  <c r="BK329" i="37"/>
  <c r="BL329" i="37"/>
  <c r="BM329" i="37"/>
  <c r="BN329" i="37"/>
  <c r="BO329" i="37"/>
  <c r="BP329" i="37"/>
  <c r="BQ329" i="37"/>
  <c r="BR329" i="37"/>
  <c r="BS329" i="37"/>
  <c r="BH330" i="37"/>
  <c r="BI330" i="37"/>
  <c r="BJ330" i="37"/>
  <c r="BK330" i="37"/>
  <c r="BL330" i="37"/>
  <c r="BM330" i="37"/>
  <c r="BN330" i="37"/>
  <c r="BO330" i="37"/>
  <c r="BP330" i="37"/>
  <c r="BQ330" i="37"/>
  <c r="BR330" i="37"/>
  <c r="BS330" i="37"/>
  <c r="BH331" i="37"/>
  <c r="BI331" i="37"/>
  <c r="BJ331" i="37"/>
  <c r="BK331" i="37"/>
  <c r="BL331" i="37"/>
  <c r="BM331" i="37"/>
  <c r="BN331" i="37"/>
  <c r="BO331" i="37"/>
  <c r="BP331" i="37"/>
  <c r="BQ331" i="37"/>
  <c r="BR331" i="37"/>
  <c r="BS331" i="37"/>
  <c r="BH332" i="37"/>
  <c r="BI332" i="37"/>
  <c r="BJ332" i="37"/>
  <c r="BK332" i="37"/>
  <c r="BL332" i="37"/>
  <c r="BM332" i="37"/>
  <c r="BN332" i="37"/>
  <c r="BO332" i="37"/>
  <c r="BP332" i="37"/>
  <c r="BQ332" i="37"/>
  <c r="BR332" i="37"/>
  <c r="BS332" i="37"/>
  <c r="BH333" i="37"/>
  <c r="BI333" i="37"/>
  <c r="BJ333" i="37"/>
  <c r="BK333" i="37"/>
  <c r="BL333" i="37"/>
  <c r="BM333" i="37"/>
  <c r="BN333" i="37"/>
  <c r="BO333" i="37"/>
  <c r="BP333" i="37"/>
  <c r="BQ333" i="37"/>
  <c r="BR333" i="37"/>
  <c r="BS333" i="37"/>
  <c r="BH334" i="37"/>
  <c r="BI334" i="37"/>
  <c r="BJ334" i="37"/>
  <c r="BK334" i="37"/>
  <c r="BL334" i="37"/>
  <c r="BM334" i="37"/>
  <c r="BN334" i="37"/>
  <c r="BO334" i="37"/>
  <c r="BP334" i="37"/>
  <c r="BQ334" i="37"/>
  <c r="BR334" i="37"/>
  <c r="BS334" i="37"/>
  <c r="BH335" i="37"/>
  <c r="BI335" i="37"/>
  <c r="BJ335" i="37"/>
  <c r="BK335" i="37"/>
  <c r="BL335" i="37"/>
  <c r="BM335" i="37"/>
  <c r="BN335" i="37"/>
  <c r="BO335" i="37"/>
  <c r="BP335" i="37"/>
  <c r="BQ335" i="37"/>
  <c r="BR335" i="37"/>
  <c r="BS335" i="37"/>
  <c r="BH336" i="37"/>
  <c r="BI336" i="37"/>
  <c r="BJ336" i="37"/>
  <c r="BK336" i="37"/>
  <c r="BL336" i="37"/>
  <c r="BM336" i="37"/>
  <c r="BN336" i="37"/>
  <c r="BO336" i="37"/>
  <c r="BP336" i="37"/>
  <c r="BQ336" i="37"/>
  <c r="BR336" i="37"/>
  <c r="BS336" i="37"/>
  <c r="BH337" i="37"/>
  <c r="BI337" i="37"/>
  <c r="BJ337" i="37"/>
  <c r="BK337" i="37"/>
  <c r="BL337" i="37"/>
  <c r="BM337" i="37"/>
  <c r="BN337" i="37"/>
  <c r="BO337" i="37"/>
  <c r="BP337" i="37"/>
  <c r="BQ337" i="37"/>
  <c r="BR337" i="37"/>
  <c r="BS337" i="37"/>
  <c r="BH338" i="37"/>
  <c r="BI338" i="37"/>
  <c r="BJ338" i="37"/>
  <c r="BK338" i="37"/>
  <c r="BL338" i="37"/>
  <c r="BM338" i="37"/>
  <c r="BN338" i="37"/>
  <c r="BO338" i="37"/>
  <c r="BP338" i="37"/>
  <c r="BQ338" i="37"/>
  <c r="BR338" i="37"/>
  <c r="BS338" i="37"/>
  <c r="BH339" i="37"/>
  <c r="BI339" i="37"/>
  <c r="BJ339" i="37"/>
  <c r="BK339" i="37"/>
  <c r="BL339" i="37"/>
  <c r="BM339" i="37"/>
  <c r="BN339" i="37"/>
  <c r="BO339" i="37"/>
  <c r="BP339" i="37"/>
  <c r="BQ339" i="37"/>
  <c r="BR339" i="37"/>
  <c r="BS339" i="37"/>
  <c r="BH340" i="37"/>
  <c r="BI340" i="37"/>
  <c r="BJ340" i="37"/>
  <c r="BK340" i="37"/>
  <c r="BL340" i="37"/>
  <c r="BM340" i="37"/>
  <c r="BN340" i="37"/>
  <c r="BO340" i="37"/>
  <c r="BP340" i="37"/>
  <c r="BQ340" i="37"/>
  <c r="BR340" i="37"/>
  <c r="BS340" i="37"/>
  <c r="BH341" i="37"/>
  <c r="BI341" i="37"/>
  <c r="BJ341" i="37"/>
  <c r="BK341" i="37"/>
  <c r="BL341" i="37"/>
  <c r="BM341" i="37"/>
  <c r="BN341" i="37"/>
  <c r="BO341" i="37"/>
  <c r="BP341" i="37"/>
  <c r="BQ341" i="37"/>
  <c r="BR341" i="37"/>
  <c r="BS341" i="37"/>
  <c r="BH342" i="37"/>
  <c r="BI342" i="37"/>
  <c r="BJ342" i="37"/>
  <c r="BK342" i="37"/>
  <c r="BL342" i="37"/>
  <c r="BM342" i="37"/>
  <c r="BN342" i="37"/>
  <c r="BO342" i="37"/>
  <c r="BP342" i="37"/>
  <c r="BQ342" i="37"/>
  <c r="BR342" i="37"/>
  <c r="BS342" i="37"/>
  <c r="BH343" i="37"/>
  <c r="BI343" i="37"/>
  <c r="BJ343" i="37"/>
  <c r="BK343" i="37"/>
  <c r="BL343" i="37"/>
  <c r="BM343" i="37"/>
  <c r="BN343" i="37"/>
  <c r="BO343" i="37"/>
  <c r="BP343" i="37"/>
  <c r="BQ343" i="37"/>
  <c r="BR343" i="37"/>
  <c r="BS343" i="37"/>
  <c r="BH344" i="37"/>
  <c r="BI344" i="37"/>
  <c r="BJ344" i="37"/>
  <c r="BK344" i="37"/>
  <c r="BL344" i="37"/>
  <c r="BM344" i="37"/>
  <c r="BN344" i="37"/>
  <c r="BO344" i="37"/>
  <c r="BP344" i="37"/>
  <c r="BQ344" i="37"/>
  <c r="BR344" i="37"/>
  <c r="BS344" i="37"/>
  <c r="BH345" i="37"/>
  <c r="BI345" i="37"/>
  <c r="BJ345" i="37"/>
  <c r="BK345" i="37"/>
  <c r="BL345" i="37"/>
  <c r="BM345" i="37"/>
  <c r="BN345" i="37"/>
  <c r="BO345" i="37"/>
  <c r="BP345" i="37"/>
  <c r="BQ345" i="37"/>
  <c r="BR345" i="37"/>
  <c r="BS345" i="37"/>
  <c r="BH346" i="37"/>
  <c r="BI346" i="37"/>
  <c r="BJ346" i="37"/>
  <c r="BK346" i="37"/>
  <c r="BL346" i="37"/>
  <c r="BM346" i="37"/>
  <c r="BN346" i="37"/>
  <c r="BO346" i="37"/>
  <c r="BP346" i="37"/>
  <c r="BQ346" i="37"/>
  <c r="BR346" i="37"/>
  <c r="BS346" i="37"/>
  <c r="BH347" i="37"/>
  <c r="BI347" i="37"/>
  <c r="BJ347" i="37"/>
  <c r="BK347" i="37"/>
  <c r="BL347" i="37"/>
  <c r="BM347" i="37"/>
  <c r="BN347" i="37"/>
  <c r="BO347" i="37"/>
  <c r="BP347" i="37"/>
  <c r="BQ347" i="37"/>
  <c r="BR347" i="37"/>
  <c r="BS347" i="37"/>
  <c r="BH348" i="37"/>
  <c r="BI348" i="37"/>
  <c r="BJ348" i="37"/>
  <c r="BK348" i="37"/>
  <c r="BL348" i="37"/>
  <c r="BM348" i="37"/>
  <c r="BN348" i="37"/>
  <c r="BO348" i="37"/>
  <c r="BP348" i="37"/>
  <c r="BQ348" i="37"/>
  <c r="BR348" i="37"/>
  <c r="BS348" i="37"/>
  <c r="BH349" i="37"/>
  <c r="BI349" i="37"/>
  <c r="BJ349" i="37"/>
  <c r="BK349" i="37"/>
  <c r="BL349" i="37"/>
  <c r="BM349" i="37"/>
  <c r="BN349" i="37"/>
  <c r="BO349" i="37"/>
  <c r="BP349" i="37"/>
  <c r="BQ349" i="37"/>
  <c r="BR349" i="37"/>
  <c r="BS349" i="37"/>
  <c r="BH350" i="37"/>
  <c r="BI350" i="37"/>
  <c r="BJ350" i="37"/>
  <c r="BK350" i="37"/>
  <c r="BL350" i="37"/>
  <c r="BM350" i="37"/>
  <c r="BN350" i="37"/>
  <c r="BO350" i="37"/>
  <c r="BP350" i="37"/>
  <c r="BQ350" i="37"/>
  <c r="BR350" i="37"/>
  <c r="BS350" i="37"/>
  <c r="BH351" i="37"/>
  <c r="BI351" i="37"/>
  <c r="BJ351" i="37"/>
  <c r="BK351" i="37"/>
  <c r="BL351" i="37"/>
  <c r="BM351" i="37"/>
  <c r="BN351" i="37"/>
  <c r="BO351" i="37"/>
  <c r="BP351" i="37"/>
  <c r="BQ351" i="37"/>
  <c r="BR351" i="37"/>
  <c r="BS351" i="37"/>
  <c r="BH352" i="37"/>
  <c r="BI352" i="37"/>
  <c r="BJ352" i="37"/>
  <c r="BK352" i="37"/>
  <c r="BL352" i="37"/>
  <c r="BM352" i="37"/>
  <c r="BN352" i="37"/>
  <c r="BO352" i="37"/>
  <c r="BP352" i="37"/>
  <c r="BQ352" i="37"/>
  <c r="BR352" i="37"/>
  <c r="BS352" i="37"/>
  <c r="BH353" i="37"/>
  <c r="BI353" i="37"/>
  <c r="BJ353" i="37"/>
  <c r="BK353" i="37"/>
  <c r="BL353" i="37"/>
  <c r="BM353" i="37"/>
  <c r="BN353" i="37"/>
  <c r="BO353" i="37"/>
  <c r="BP353" i="37"/>
  <c r="BQ353" i="37"/>
  <c r="BR353" i="37"/>
  <c r="BS353" i="37"/>
  <c r="BH354" i="37"/>
  <c r="BI354" i="37"/>
  <c r="BJ354" i="37"/>
  <c r="BK354" i="37"/>
  <c r="BL354" i="37"/>
  <c r="BM354" i="37"/>
  <c r="BN354" i="37"/>
  <c r="BO354" i="37"/>
  <c r="BP354" i="37"/>
  <c r="BQ354" i="37"/>
  <c r="BR354" i="37"/>
  <c r="BS354" i="37"/>
  <c r="BH355" i="37"/>
  <c r="BI355" i="37"/>
  <c r="BJ355" i="37"/>
  <c r="BK355" i="37"/>
  <c r="BL355" i="37"/>
  <c r="BM355" i="37"/>
  <c r="BN355" i="37"/>
  <c r="BO355" i="37"/>
  <c r="BP355" i="37"/>
  <c r="BQ355" i="37"/>
  <c r="BR355" i="37"/>
  <c r="BS355" i="37"/>
  <c r="BH356" i="37"/>
  <c r="BI356" i="37"/>
  <c r="BJ356" i="37"/>
  <c r="BK356" i="37"/>
  <c r="BL356" i="37"/>
  <c r="BM356" i="37"/>
  <c r="BN356" i="37"/>
  <c r="BO356" i="37"/>
  <c r="BP356" i="37"/>
  <c r="BQ356" i="37"/>
  <c r="BR356" i="37"/>
  <c r="BS356" i="37"/>
  <c r="BH357" i="37"/>
  <c r="BI357" i="37"/>
  <c r="BJ357" i="37"/>
  <c r="BK357" i="37"/>
  <c r="BL357" i="37"/>
  <c r="BM357" i="37"/>
  <c r="BN357" i="37"/>
  <c r="BO357" i="37"/>
  <c r="BP357" i="37"/>
  <c r="BQ357" i="37"/>
  <c r="BR357" i="37"/>
  <c r="BS357" i="37"/>
  <c r="BH358" i="37"/>
  <c r="BI358" i="37"/>
  <c r="BJ358" i="37"/>
  <c r="BK358" i="37"/>
  <c r="BL358" i="37"/>
  <c r="BM358" i="37"/>
  <c r="BN358" i="37"/>
  <c r="BO358" i="37"/>
  <c r="BP358" i="37"/>
  <c r="BQ358" i="37"/>
  <c r="BR358" i="37"/>
  <c r="BS358" i="37"/>
  <c r="BH359" i="37"/>
  <c r="BI359" i="37"/>
  <c r="BJ359" i="37"/>
  <c r="BK359" i="37"/>
  <c r="BL359" i="37"/>
  <c r="BM359" i="37"/>
  <c r="BN359" i="37"/>
  <c r="BO359" i="37"/>
  <c r="BP359" i="37"/>
  <c r="BQ359" i="37"/>
  <c r="BR359" i="37"/>
  <c r="BS359" i="37"/>
  <c r="BH360" i="37"/>
  <c r="BI360" i="37"/>
  <c r="BJ360" i="37"/>
  <c r="BK360" i="37"/>
  <c r="BL360" i="37"/>
  <c r="BM360" i="37"/>
  <c r="BN360" i="37"/>
  <c r="BO360" i="37"/>
  <c r="BP360" i="37"/>
  <c r="BQ360" i="37"/>
  <c r="BR360" i="37"/>
  <c r="BS360" i="37"/>
  <c r="BH361" i="37"/>
  <c r="BI361" i="37"/>
  <c r="BJ361" i="37"/>
  <c r="BK361" i="37"/>
  <c r="BL361" i="37"/>
  <c r="BM361" i="37"/>
  <c r="BN361" i="37"/>
  <c r="BO361" i="37"/>
  <c r="BP361" i="37"/>
  <c r="BQ361" i="37"/>
  <c r="BR361" i="37"/>
  <c r="BS361" i="37"/>
  <c r="BH362" i="37"/>
  <c r="BI362" i="37"/>
  <c r="BJ362" i="37"/>
  <c r="BK362" i="37"/>
  <c r="BL362" i="37"/>
  <c r="BM362" i="37"/>
  <c r="BN362" i="37"/>
  <c r="BO362" i="37"/>
  <c r="BP362" i="37"/>
  <c r="BQ362" i="37"/>
  <c r="BR362" i="37"/>
  <c r="BS362" i="37"/>
  <c r="BH363" i="37"/>
  <c r="BI363" i="37"/>
  <c r="BJ363" i="37"/>
  <c r="BK363" i="37"/>
  <c r="BL363" i="37"/>
  <c r="BM363" i="37"/>
  <c r="BN363" i="37"/>
  <c r="BO363" i="37"/>
  <c r="BP363" i="37"/>
  <c r="BQ363" i="37"/>
  <c r="BR363" i="37"/>
  <c r="BS363" i="37"/>
  <c r="BH364" i="37"/>
  <c r="BI364" i="37"/>
  <c r="BJ364" i="37"/>
  <c r="BK364" i="37"/>
  <c r="BL364" i="37"/>
  <c r="BM364" i="37"/>
  <c r="BN364" i="37"/>
  <c r="BO364" i="37"/>
  <c r="BP364" i="37"/>
  <c r="BQ364" i="37"/>
  <c r="BR364" i="37"/>
  <c r="BS364" i="37"/>
  <c r="BH365" i="37"/>
  <c r="BI365" i="37"/>
  <c r="BJ365" i="37"/>
  <c r="BK365" i="37"/>
  <c r="BL365" i="37"/>
  <c r="BM365" i="37"/>
  <c r="BN365" i="37"/>
  <c r="BO365" i="37"/>
  <c r="BP365" i="37"/>
  <c r="BQ365" i="37"/>
  <c r="BR365" i="37"/>
  <c r="BS365" i="37"/>
  <c r="BH366" i="37"/>
  <c r="BI366" i="37"/>
  <c r="BJ366" i="37"/>
  <c r="BK366" i="37"/>
  <c r="BL366" i="37"/>
  <c r="BM366" i="37"/>
  <c r="BN366" i="37"/>
  <c r="BO366" i="37"/>
  <c r="BP366" i="37"/>
  <c r="BQ366" i="37"/>
  <c r="BR366" i="37"/>
  <c r="BS366" i="37"/>
  <c r="BI17" i="37"/>
  <c r="BJ17" i="37"/>
  <c r="BK17" i="37"/>
  <c r="BL17" i="37"/>
  <c r="BM17" i="37"/>
  <c r="BN17" i="37"/>
  <c r="BO17" i="37"/>
  <c r="BP17" i="37"/>
  <c r="BQ17" i="37"/>
  <c r="BR17" i="37"/>
  <c r="BS17" i="37"/>
  <c r="BH17" i="37"/>
  <c r="S366" i="37"/>
  <c r="S365" i="37"/>
  <c r="S364" i="37"/>
  <c r="S363" i="37"/>
  <c r="S362" i="37"/>
  <c r="S361" i="37"/>
  <c r="S360" i="37"/>
  <c r="S359" i="37"/>
  <c r="S358" i="37"/>
  <c r="S357" i="37"/>
  <c r="S356" i="37"/>
  <c r="S355" i="37"/>
  <c r="S354" i="37"/>
  <c r="S353" i="37"/>
  <c r="S352" i="37"/>
  <c r="S351" i="37"/>
  <c r="S350" i="37"/>
  <c r="S349" i="37"/>
  <c r="S348" i="37"/>
  <c r="S347" i="37"/>
  <c r="S346" i="37"/>
  <c r="S345" i="37"/>
  <c r="S344" i="37"/>
  <c r="S343" i="37"/>
  <c r="S342" i="37"/>
  <c r="S341" i="37"/>
  <c r="S340" i="37"/>
  <c r="S339" i="37"/>
  <c r="S338" i="37"/>
  <c r="S337" i="37"/>
  <c r="S336" i="37"/>
  <c r="S335" i="37"/>
  <c r="S334" i="37"/>
  <c r="S333" i="37"/>
  <c r="S332" i="37"/>
  <c r="S331" i="37"/>
  <c r="S330" i="37"/>
  <c r="S329" i="37"/>
  <c r="S328" i="37"/>
  <c r="S327" i="37"/>
  <c r="S326" i="37"/>
  <c r="S325" i="37"/>
  <c r="S324" i="37"/>
  <c r="S323" i="37"/>
  <c r="S322" i="37"/>
  <c r="S321" i="37"/>
  <c r="S320" i="37"/>
  <c r="S319" i="37"/>
  <c r="S318" i="37"/>
  <c r="S317" i="37"/>
  <c r="S316" i="37"/>
  <c r="S315" i="37"/>
  <c r="S314" i="37"/>
  <c r="S313" i="37"/>
  <c r="S312" i="37"/>
  <c r="S311" i="37"/>
  <c r="S310" i="37"/>
  <c r="S309" i="37"/>
  <c r="S308" i="37"/>
  <c r="S307" i="37"/>
  <c r="S306" i="37"/>
  <c r="S305" i="37"/>
  <c r="S304" i="37"/>
  <c r="S303" i="37"/>
  <c r="S302" i="37"/>
  <c r="S301" i="37"/>
  <c r="S300" i="37"/>
  <c r="S299" i="37"/>
  <c r="S298" i="37"/>
  <c r="S297" i="37"/>
  <c r="S296" i="37"/>
  <c r="S295" i="37"/>
  <c r="S294" i="37"/>
  <c r="S293" i="37"/>
  <c r="S292" i="37"/>
  <c r="S291" i="37"/>
  <c r="S290" i="37"/>
  <c r="S289" i="37"/>
  <c r="S288" i="37"/>
  <c r="S287" i="37"/>
  <c r="S286" i="37"/>
  <c r="S285" i="37"/>
  <c r="S284" i="37"/>
  <c r="S283" i="37"/>
  <c r="S282" i="37"/>
  <c r="S281" i="37"/>
  <c r="S280" i="37"/>
  <c r="S279" i="37"/>
  <c r="S278" i="37"/>
  <c r="S277" i="37"/>
  <c r="S276" i="37"/>
  <c r="S275" i="37"/>
  <c r="S274" i="37"/>
  <c r="S273" i="37"/>
  <c r="S272" i="37"/>
  <c r="S271" i="37"/>
  <c r="S270" i="37"/>
  <c r="S269" i="37"/>
  <c r="S268" i="37"/>
  <c r="S267" i="37"/>
  <c r="S266" i="37"/>
  <c r="S265" i="37"/>
  <c r="S264" i="37"/>
  <c r="S263" i="37"/>
  <c r="S262" i="37"/>
  <c r="S261" i="37"/>
  <c r="S260" i="37"/>
  <c r="S259" i="37"/>
  <c r="S258" i="37"/>
  <c r="S257" i="37"/>
  <c r="S256" i="37"/>
  <c r="S255" i="37"/>
  <c r="S254" i="37"/>
  <c r="S253" i="37"/>
  <c r="S252" i="37"/>
  <c r="S251" i="37"/>
  <c r="S250" i="37"/>
  <c r="S249" i="37"/>
  <c r="S248" i="37"/>
  <c r="S247" i="37"/>
  <c r="S246" i="37"/>
  <c r="S245" i="37"/>
  <c r="S244" i="37"/>
  <c r="S243" i="37"/>
  <c r="S242" i="37"/>
  <c r="S241" i="37"/>
  <c r="S240" i="37"/>
  <c r="S239" i="37"/>
  <c r="S238" i="37"/>
  <c r="S237" i="37"/>
  <c r="S236" i="37"/>
  <c r="S235" i="37"/>
  <c r="S234" i="37"/>
  <c r="S233" i="37"/>
  <c r="S232" i="37"/>
  <c r="S231" i="37"/>
  <c r="S230" i="37"/>
  <c r="S229" i="37"/>
  <c r="S228" i="37"/>
  <c r="S227" i="37"/>
  <c r="S226" i="37"/>
  <c r="S225" i="37"/>
  <c r="S224" i="37"/>
  <c r="S223" i="37"/>
  <c r="S222" i="37"/>
  <c r="S221" i="37"/>
  <c r="S220" i="37"/>
  <c r="S219" i="37"/>
  <c r="S218" i="37"/>
  <c r="S217" i="37"/>
  <c r="S216" i="37"/>
  <c r="S215" i="37"/>
  <c r="S214" i="37"/>
  <c r="S213" i="37"/>
  <c r="S212" i="37"/>
  <c r="S211" i="37"/>
  <c r="S210" i="37"/>
  <c r="S209" i="37"/>
  <c r="S208" i="37"/>
  <c r="S207" i="37"/>
  <c r="S206" i="37"/>
  <c r="S205" i="37"/>
  <c r="S204" i="37"/>
  <c r="S203" i="37"/>
  <c r="S202" i="37"/>
  <c r="S201" i="37"/>
  <c r="S200" i="37"/>
  <c r="S199" i="37"/>
  <c r="S198" i="37"/>
  <c r="S197" i="37"/>
  <c r="S196" i="37"/>
  <c r="S195" i="37"/>
  <c r="S194" i="37"/>
  <c r="S193" i="37"/>
  <c r="S192" i="37"/>
  <c r="S191" i="37"/>
  <c r="T291" i="37" s="1"/>
  <c r="S190" i="37"/>
  <c r="T290" i="37" s="1"/>
  <c r="S189" i="37"/>
  <c r="S188" i="37"/>
  <c r="T288" i="37" s="1"/>
  <c r="S187" i="37"/>
  <c r="T287" i="37" s="1"/>
  <c r="S186" i="37"/>
  <c r="S185" i="37"/>
  <c r="S184" i="37"/>
  <c r="S183" i="37"/>
  <c r="S182" i="37"/>
  <c r="S181" i="37"/>
  <c r="S180" i="37"/>
  <c r="S179" i="37"/>
  <c r="S178" i="37"/>
  <c r="S177" i="37"/>
  <c r="S176" i="37"/>
  <c r="S175" i="37"/>
  <c r="T275" i="37" s="1"/>
  <c r="S174" i="37"/>
  <c r="T274" i="37" s="1"/>
  <c r="S173" i="37"/>
  <c r="S172" i="37"/>
  <c r="T272" i="37" s="1"/>
  <c r="S171" i="37"/>
  <c r="S170" i="37"/>
  <c r="T270" i="37" s="1"/>
  <c r="S169" i="37"/>
  <c r="S168" i="37"/>
  <c r="T268" i="37" s="1"/>
  <c r="S167" i="37"/>
  <c r="T267" i="37" s="1"/>
  <c r="S166" i="37"/>
  <c r="S165" i="37"/>
  <c r="S164" i="37"/>
  <c r="S163" i="37"/>
  <c r="S162" i="37"/>
  <c r="S161" i="37"/>
  <c r="S160" i="37"/>
  <c r="S159" i="37"/>
  <c r="S158" i="37"/>
  <c r="S157" i="37"/>
  <c r="S156" i="37"/>
  <c r="S155" i="37"/>
  <c r="S154" i="37"/>
  <c r="S153" i="37"/>
  <c r="S152" i="37"/>
  <c r="S151" i="37"/>
  <c r="S150" i="37"/>
  <c r="S149" i="37"/>
  <c r="S148" i="37"/>
  <c r="S147" i="37"/>
  <c r="S146" i="37"/>
  <c r="S145" i="37"/>
  <c r="S144" i="37"/>
  <c r="S143" i="37"/>
  <c r="S142" i="37"/>
  <c r="S141" i="37"/>
  <c r="S140" i="37"/>
  <c r="S139" i="37"/>
  <c r="S138" i="37"/>
  <c r="S137" i="37"/>
  <c r="S136" i="37"/>
  <c r="S135" i="37"/>
  <c r="S134" i="37"/>
  <c r="S133" i="37"/>
  <c r="S132" i="37"/>
  <c r="S131" i="37"/>
  <c r="S130" i="37"/>
  <c r="S129" i="37"/>
  <c r="S128" i="37"/>
  <c r="S127" i="37"/>
  <c r="S126" i="37"/>
  <c r="S125" i="37"/>
  <c r="S124" i="37"/>
  <c r="S123" i="37"/>
  <c r="S122" i="37"/>
  <c r="S121" i="37"/>
  <c r="S120" i="37"/>
  <c r="S119" i="37"/>
  <c r="S118" i="37"/>
  <c r="S117" i="37"/>
  <c r="S116" i="37"/>
  <c r="S115" i="37"/>
  <c r="S114" i="37"/>
  <c r="S113" i="37"/>
  <c r="S112" i="37"/>
  <c r="S111" i="37"/>
  <c r="S110" i="37"/>
  <c r="S109" i="37"/>
  <c r="S108" i="37"/>
  <c r="S107" i="37"/>
  <c r="S106" i="37"/>
  <c r="S105" i="37"/>
  <c r="S104" i="37"/>
  <c r="S103" i="37"/>
  <c r="S102" i="37"/>
  <c r="S101" i="37"/>
  <c r="S100" i="37"/>
  <c r="S99" i="37"/>
  <c r="S98" i="37"/>
  <c r="S97" i="37"/>
  <c r="S96" i="37"/>
  <c r="S95" i="37"/>
  <c r="S94" i="37"/>
  <c r="S93" i="37"/>
  <c r="S92" i="37"/>
  <c r="S91" i="37"/>
  <c r="S90" i="37"/>
  <c r="S89" i="37"/>
  <c r="S88" i="37"/>
  <c r="S87" i="37"/>
  <c r="S86" i="37"/>
  <c r="S85" i="37"/>
  <c r="S84" i="37"/>
  <c r="S83" i="37"/>
  <c r="S82" i="37"/>
  <c r="S81" i="37"/>
  <c r="S80" i="37"/>
  <c r="S79" i="37"/>
  <c r="S78" i="37"/>
  <c r="S77" i="37"/>
  <c r="S76" i="37"/>
  <c r="S75" i="37"/>
  <c r="S74" i="37"/>
  <c r="S73" i="37"/>
  <c r="S72" i="37"/>
  <c r="S71" i="37"/>
  <c r="S70" i="37"/>
  <c r="S69" i="37"/>
  <c r="S68" i="37"/>
  <c r="S67" i="37"/>
  <c r="S66" i="37"/>
  <c r="S65" i="37"/>
  <c r="S64" i="37"/>
  <c r="S63" i="37"/>
  <c r="S62" i="37"/>
  <c r="S61" i="37"/>
  <c r="S60" i="37"/>
  <c r="S59" i="37"/>
  <c r="S58" i="37"/>
  <c r="S57" i="37"/>
  <c r="S56" i="37"/>
  <c r="S55" i="37"/>
  <c r="S54" i="37"/>
  <c r="S53" i="37"/>
  <c r="S52" i="37"/>
  <c r="S51" i="37"/>
  <c r="S50" i="37"/>
  <c r="S49" i="37"/>
  <c r="S48" i="37"/>
  <c r="S47" i="37"/>
  <c r="S46" i="37"/>
  <c r="S45" i="37"/>
  <c r="S44" i="37"/>
  <c r="S43" i="37"/>
  <c r="S42" i="37"/>
  <c r="S41" i="37"/>
  <c r="T141" i="37" s="1"/>
  <c r="S40" i="37"/>
  <c r="S39" i="37"/>
  <c r="S38" i="37"/>
  <c r="T37" i="37"/>
  <c r="S37" i="37"/>
  <c r="S36" i="37"/>
  <c r="S35" i="37"/>
  <c r="T35" i="37" s="1"/>
  <c r="S34" i="37"/>
  <c r="T34" i="37" s="1"/>
  <c r="S33" i="37"/>
  <c r="T33" i="37" s="1"/>
  <c r="S32" i="37"/>
  <c r="S31" i="37"/>
  <c r="S30" i="37"/>
  <c r="T80" i="37" s="1"/>
  <c r="S29" i="37"/>
  <c r="S28" i="37"/>
  <c r="S27" i="37"/>
  <c r="S26" i="37"/>
  <c r="S25" i="37"/>
  <c r="S24" i="37"/>
  <c r="S23" i="37"/>
  <c r="S22" i="37"/>
  <c r="T22" i="37" s="1"/>
  <c r="S21" i="37"/>
  <c r="S20" i="37"/>
  <c r="T20" i="37" s="1"/>
  <c r="S19" i="37"/>
  <c r="S18" i="37"/>
  <c r="T18" i="37" s="1"/>
  <c r="S17" i="37"/>
  <c r="DB14" i="37"/>
  <c r="B14" i="37"/>
  <c r="DB13" i="37"/>
  <c r="DD11" i="37"/>
  <c r="DC11" i="37"/>
  <c r="DB11" i="37"/>
  <c r="DD10" i="37"/>
  <c r="DC10" i="37"/>
  <c r="DB10" i="37"/>
  <c r="DL7" i="37"/>
  <c r="CZ7" i="37" a="1"/>
  <c r="CZ7" i="37" s="1"/>
  <c r="DL6" i="37"/>
  <c r="CZ6" i="37" a="1"/>
  <c r="CZ6" i="37" s="1"/>
  <c r="DL5" i="37"/>
  <c r="CZ5" i="37" a="1"/>
  <c r="CZ5" i="37" s="1"/>
  <c r="U5" i="37"/>
  <c r="DL4" i="37"/>
  <c r="CZ4" i="37" a="1"/>
  <c r="CZ4" i="37" s="1"/>
  <c r="U4" i="37"/>
  <c r="U3" i="37"/>
  <c r="U2" i="37"/>
  <c r="U1" i="37"/>
  <c r="T17" i="37" l="1"/>
  <c r="T41" i="37"/>
  <c r="T269" i="37"/>
  <c r="T89" i="37"/>
  <c r="T273" i="37"/>
  <c r="T289" i="37"/>
  <c r="T19" i="37"/>
  <c r="T38" i="37"/>
  <c r="T271" i="37"/>
  <c r="CV294" i="37"/>
  <c r="V294" i="37" s="1"/>
  <c r="CV277" i="37"/>
  <c r="V277" i="37" s="1"/>
  <c r="T86" i="37"/>
  <c r="T36" i="37"/>
  <c r="CV44" i="37"/>
  <c r="V44" i="37" s="1"/>
  <c r="CV27" i="37"/>
  <c r="V27" i="37" s="1"/>
  <c r="CV34" i="37"/>
  <c r="V34" i="37" s="1"/>
  <c r="CV63" i="37"/>
  <c r="V63" i="37" s="1"/>
  <c r="T140" i="37"/>
  <c r="T115" i="37"/>
  <c r="T90" i="37"/>
  <c r="T40" i="37"/>
  <c r="CV42" i="37"/>
  <c r="V42" i="37" s="1"/>
  <c r="CV18" i="37"/>
  <c r="V18" i="37" s="1"/>
  <c r="CV78" i="37"/>
  <c r="V78" i="37" s="1"/>
  <c r="T39" i="37"/>
  <c r="CV57" i="37"/>
  <c r="V57" i="37" s="1"/>
  <c r="CV129" i="37"/>
  <c r="V129" i="37" s="1"/>
  <c r="CV134" i="37"/>
  <c r="V134" i="37" s="1"/>
  <c r="CV139" i="37"/>
  <c r="V139" i="37" s="1"/>
  <c r="CV141" i="37"/>
  <c r="V141" i="37" s="1"/>
  <c r="CV55" i="37"/>
  <c r="V55" i="37" s="1"/>
  <c r="CV145" i="37"/>
  <c r="V145" i="37" s="1"/>
  <c r="CV148" i="37"/>
  <c r="V148" i="37" s="1"/>
  <c r="CV241" i="37"/>
  <c r="V241" i="37" s="1"/>
  <c r="CV164" i="37"/>
  <c r="V164" i="37" s="1"/>
  <c r="CV165" i="37"/>
  <c r="V165" i="37" s="1"/>
  <c r="CV307" i="37"/>
  <c r="V307" i="37" s="1"/>
  <c r="CV242" i="37"/>
  <c r="V242" i="37" s="1"/>
  <c r="CV245" i="37"/>
  <c r="V245" i="37" s="1"/>
  <c r="CV325" i="37"/>
  <c r="V325" i="37" s="1"/>
  <c r="CV194" i="37"/>
  <c r="V194" i="37" s="1"/>
  <c r="CV195" i="37"/>
  <c r="V195" i="37" s="1"/>
  <c r="CV198" i="37"/>
  <c r="V198" i="37" s="1"/>
  <c r="CV225" i="37"/>
  <c r="V225" i="37" s="1"/>
  <c r="CV261" i="37"/>
  <c r="V261" i="37" s="1"/>
  <c r="CV296" i="37"/>
  <c r="V296" i="37" s="1"/>
  <c r="CV312" i="37"/>
  <c r="V312" i="37" s="1"/>
  <c r="CV248" i="37"/>
  <c r="V248" i="37" s="1"/>
  <c r="CV333" i="37"/>
  <c r="V333" i="37" s="1"/>
  <c r="CV256" i="37"/>
  <c r="V256" i="37" s="1"/>
  <c r="CV308" i="37"/>
  <c r="V308" i="37" s="1"/>
  <c r="CV349" i="37"/>
  <c r="V349" i="37" s="1"/>
  <c r="CV342" i="37"/>
  <c r="V342" i="37" s="1"/>
  <c r="CV350" i="37"/>
  <c r="V350" i="37" s="1"/>
  <c r="CV291" i="37"/>
  <c r="V291" i="37" s="1"/>
  <c r="CV293" i="37"/>
  <c r="V293" i="37" s="1"/>
  <c r="CV305" i="37"/>
  <c r="V305" i="37" s="1"/>
  <c r="CV365" i="37"/>
  <c r="V365" i="37" s="1"/>
  <c r="CV23" i="37"/>
  <c r="V23" i="37" s="1"/>
  <c r="CV20" i="37"/>
  <c r="V20" i="37" s="1"/>
  <c r="CV24" i="37"/>
  <c r="V24" i="37" s="1"/>
  <c r="CV28" i="37"/>
  <c r="V28" i="37" s="1"/>
  <c r="CV19" i="37"/>
  <c r="V19" i="37" s="1"/>
  <c r="CV32" i="37"/>
  <c r="V32" i="37" s="1"/>
  <c r="CV33" i="37"/>
  <c r="V33" i="37" s="1"/>
  <c r="CV39" i="37"/>
  <c r="V39" i="37" s="1"/>
  <c r="CV40" i="37"/>
  <c r="V40" i="37" s="1"/>
  <c r="CV43" i="37"/>
  <c r="V43" i="37" s="1"/>
  <c r="CV46" i="37"/>
  <c r="V46" i="37" s="1"/>
  <c r="CV17" i="37"/>
  <c r="V17" i="37" s="1"/>
  <c r="CV21" i="37"/>
  <c r="V21" i="37" s="1"/>
  <c r="CV25" i="37"/>
  <c r="V25" i="37" s="1"/>
  <c r="CV29" i="37"/>
  <c r="V29" i="37" s="1"/>
  <c r="CV47" i="37"/>
  <c r="V47" i="37" s="1"/>
  <c r="CV51" i="37"/>
  <c r="V51" i="37" s="1"/>
  <c r="CV22" i="37"/>
  <c r="V22" i="37" s="1"/>
  <c r="CV26" i="37"/>
  <c r="V26" i="37" s="1"/>
  <c r="CV30" i="37"/>
  <c r="V30" i="37" s="1"/>
  <c r="CV31" i="37"/>
  <c r="V31" i="37" s="1"/>
  <c r="T182" i="37"/>
  <c r="T132" i="37"/>
  <c r="T107" i="37"/>
  <c r="T82" i="37"/>
  <c r="CV48" i="37"/>
  <c r="V48" i="37" s="1"/>
  <c r="CV67" i="37"/>
  <c r="V67" i="37" s="1"/>
  <c r="CV87" i="37"/>
  <c r="V87" i="37" s="1"/>
  <c r="CV38" i="37"/>
  <c r="V38" i="37" s="1"/>
  <c r="CV49" i="37"/>
  <c r="V49" i="37" s="1"/>
  <c r="CV64" i="37"/>
  <c r="V64" i="37" s="1"/>
  <c r="T32" i="37"/>
  <c r="CV65" i="37"/>
  <c r="V65" i="37" s="1"/>
  <c r="T171" i="37"/>
  <c r="T121" i="37"/>
  <c r="T71" i="37"/>
  <c r="T96" i="37"/>
  <c r="T173" i="37"/>
  <c r="T123" i="37"/>
  <c r="T73" i="37"/>
  <c r="T98" i="37"/>
  <c r="T174" i="37"/>
  <c r="T124" i="37"/>
  <c r="T99" i="37"/>
  <c r="T74" i="37"/>
  <c r="T175" i="37"/>
  <c r="T75" i="37"/>
  <c r="T100" i="37"/>
  <c r="T125" i="37"/>
  <c r="T176" i="37"/>
  <c r="T101" i="37"/>
  <c r="T126" i="37"/>
  <c r="T76" i="37"/>
  <c r="T102" i="37"/>
  <c r="T77" i="37"/>
  <c r="T127" i="37"/>
  <c r="T128" i="37"/>
  <c r="T178" i="37"/>
  <c r="T78" i="37"/>
  <c r="T103" i="37"/>
  <c r="T129" i="37"/>
  <c r="T79" i="37"/>
  <c r="T104" i="37"/>
  <c r="T130" i="37"/>
  <c r="T180" i="37"/>
  <c r="T105" i="37"/>
  <c r="T131" i="37"/>
  <c r="T81" i="37"/>
  <c r="T106" i="37"/>
  <c r="CV74" i="37"/>
  <c r="V74" i="37" s="1"/>
  <c r="T21" i="37"/>
  <c r="T23" i="37"/>
  <c r="T24" i="37"/>
  <c r="T25" i="37"/>
  <c r="T26" i="37"/>
  <c r="T27" i="37"/>
  <c r="T28" i="37"/>
  <c r="T29" i="37"/>
  <c r="T30" i="37"/>
  <c r="T31" i="37"/>
  <c r="CV54" i="37"/>
  <c r="V54" i="37" s="1"/>
  <c r="CV66" i="37"/>
  <c r="V66" i="37" s="1"/>
  <c r="T167" i="37"/>
  <c r="T117" i="37"/>
  <c r="T92" i="37"/>
  <c r="T67" i="37"/>
  <c r="T168" i="37"/>
  <c r="T118" i="37"/>
  <c r="T93" i="37"/>
  <c r="T68" i="37"/>
  <c r="T169" i="37"/>
  <c r="T94" i="37"/>
  <c r="T119" i="37"/>
  <c r="T69" i="37"/>
  <c r="T170" i="37"/>
  <c r="T120" i="37"/>
  <c r="T95" i="37"/>
  <c r="T70" i="37"/>
  <c r="T172" i="37"/>
  <c r="T122" i="37"/>
  <c r="T97" i="37"/>
  <c r="T72" i="37"/>
  <c r="CV35" i="37"/>
  <c r="V35" i="37" s="1"/>
  <c r="CV45" i="37"/>
  <c r="V45" i="37" s="1"/>
  <c r="CV86" i="37"/>
  <c r="V86" i="37" s="1"/>
  <c r="CV36" i="37"/>
  <c r="V36" i="37" s="1"/>
  <c r="CV41" i="37"/>
  <c r="V41" i="37" s="1"/>
  <c r="CV53" i="37"/>
  <c r="V53" i="37" s="1"/>
  <c r="CV61" i="37"/>
  <c r="V61" i="37" s="1"/>
  <c r="CV37" i="37"/>
  <c r="V37" i="37" s="1"/>
  <c r="CV50" i="37"/>
  <c r="V50" i="37" s="1"/>
  <c r="CV52" i="37"/>
  <c r="V52" i="37" s="1"/>
  <c r="CV59" i="37"/>
  <c r="V59" i="37" s="1"/>
  <c r="CV62" i="37"/>
  <c r="V62" i="37" s="1"/>
  <c r="CV68" i="37"/>
  <c r="V68" i="37" s="1"/>
  <c r="CV69" i="37"/>
  <c r="V69" i="37" s="1"/>
  <c r="CV80" i="37"/>
  <c r="V80" i="37" s="1"/>
  <c r="CV102" i="37"/>
  <c r="V102" i="37" s="1"/>
  <c r="CV105" i="37"/>
  <c r="V105" i="37" s="1"/>
  <c r="CV111" i="37"/>
  <c r="V111" i="37" s="1"/>
  <c r="CV117" i="37"/>
  <c r="V117" i="37" s="1"/>
  <c r="T133" i="37"/>
  <c r="T108" i="37"/>
  <c r="T83" i="37"/>
  <c r="T134" i="37"/>
  <c r="T109" i="37"/>
  <c r="T135" i="37"/>
  <c r="T110" i="37"/>
  <c r="T136" i="37"/>
  <c r="T111" i="37"/>
  <c r="T137" i="37"/>
  <c r="T112" i="37"/>
  <c r="T88" i="37"/>
  <c r="T138" i="37"/>
  <c r="T139" i="37"/>
  <c r="T114" i="37"/>
  <c r="CV70" i="37"/>
  <c r="V70" i="37" s="1"/>
  <c r="T85" i="37"/>
  <c r="CV56" i="37"/>
  <c r="V56" i="37" s="1"/>
  <c r="CV71" i="37"/>
  <c r="V71" i="37" s="1"/>
  <c r="CV88" i="37"/>
  <c r="V88" i="37" s="1"/>
  <c r="CV127" i="37"/>
  <c r="V127" i="37" s="1"/>
  <c r="CV128" i="37"/>
  <c r="V128" i="37" s="1"/>
  <c r="CV132" i="37"/>
  <c r="V132" i="37" s="1"/>
  <c r="CV60" i="37"/>
  <c r="V60" i="37" s="1"/>
  <c r="T84" i="37"/>
  <c r="CV96" i="37"/>
  <c r="V96" i="37" s="1"/>
  <c r="CV135" i="37"/>
  <c r="V135" i="37" s="1"/>
  <c r="CV58" i="37"/>
  <c r="V58" i="37" s="1"/>
  <c r="CV82" i="37"/>
  <c r="V82" i="37" s="1"/>
  <c r="T87" i="37"/>
  <c r="CV94" i="37"/>
  <c r="V94" i="37" s="1"/>
  <c r="CV90" i="37"/>
  <c r="V90" i="37" s="1"/>
  <c r="T113" i="37"/>
  <c r="CV136" i="37"/>
  <c r="V136" i="37" s="1"/>
  <c r="CV130" i="37"/>
  <c r="V130" i="37" s="1"/>
  <c r="CV138" i="37"/>
  <c r="V138" i="37" s="1"/>
  <c r="CV104" i="37"/>
  <c r="V104" i="37" s="1"/>
  <c r="CV113" i="37"/>
  <c r="V113" i="37" s="1"/>
  <c r="CV115" i="37"/>
  <c r="V115" i="37" s="1"/>
  <c r="CV147" i="37"/>
  <c r="V147" i="37" s="1"/>
  <c r="T177" i="37"/>
  <c r="CV81" i="37"/>
  <c r="V81" i="37" s="1"/>
  <c r="CV93" i="37"/>
  <c r="V93" i="37" s="1"/>
  <c r="CV101" i="37"/>
  <c r="V101" i="37" s="1"/>
  <c r="CV110" i="37"/>
  <c r="V110" i="37" s="1"/>
  <c r="T116" i="37"/>
  <c r="CV118" i="37"/>
  <c r="V118" i="37" s="1"/>
  <c r="CV140" i="37"/>
  <c r="V140" i="37" s="1"/>
  <c r="CV153" i="37"/>
  <c r="V153" i="37" s="1"/>
  <c r="CV156" i="37"/>
  <c r="V156" i="37" s="1"/>
  <c r="T181" i="37"/>
  <c r="CV98" i="37"/>
  <c r="V98" i="37" s="1"/>
  <c r="CV107" i="37"/>
  <c r="V107" i="37" s="1"/>
  <c r="CV149" i="37"/>
  <c r="V149" i="37" s="1"/>
  <c r="CV155" i="37"/>
  <c r="V155" i="37" s="1"/>
  <c r="CV83" i="37"/>
  <c r="V83" i="37" s="1"/>
  <c r="CV95" i="37"/>
  <c r="V95" i="37" s="1"/>
  <c r="CV103" i="37"/>
  <c r="V103" i="37" s="1"/>
  <c r="CV112" i="37"/>
  <c r="V112" i="37" s="1"/>
  <c r="CV116" i="37"/>
  <c r="V116" i="37" s="1"/>
  <c r="CV121" i="37"/>
  <c r="V121" i="37" s="1"/>
  <c r="CV123" i="37"/>
  <c r="V123" i="37" s="1"/>
  <c r="CV125" i="37"/>
  <c r="V125" i="37" s="1"/>
  <c r="CV151" i="37"/>
  <c r="V151" i="37" s="1"/>
  <c r="CV157" i="37"/>
  <c r="V157" i="37" s="1"/>
  <c r="CV160" i="37"/>
  <c r="V160" i="37" s="1"/>
  <c r="CV72" i="37"/>
  <c r="V72" i="37" s="1"/>
  <c r="CV76" i="37"/>
  <c r="V76" i="37" s="1"/>
  <c r="CV84" i="37"/>
  <c r="V84" i="37" s="1"/>
  <c r="CV85" i="37"/>
  <c r="V85" i="37" s="1"/>
  <c r="CV89" i="37"/>
  <c r="V89" i="37" s="1"/>
  <c r="CV92" i="37"/>
  <c r="V92" i="37" s="1"/>
  <c r="CV100" i="37"/>
  <c r="V100" i="37" s="1"/>
  <c r="CV106" i="37"/>
  <c r="V106" i="37" s="1"/>
  <c r="CV109" i="37"/>
  <c r="V109" i="37" s="1"/>
  <c r="CV119" i="37"/>
  <c r="V119" i="37" s="1"/>
  <c r="CV144" i="37"/>
  <c r="V144" i="37" s="1"/>
  <c r="CV161" i="37"/>
  <c r="V161" i="37" s="1"/>
  <c r="T179" i="37"/>
  <c r="CV75" i="37"/>
  <c r="V75" i="37" s="1"/>
  <c r="CV77" i="37"/>
  <c r="V77" i="37" s="1"/>
  <c r="T91" i="37"/>
  <c r="CV97" i="37"/>
  <c r="V97" i="37" s="1"/>
  <c r="CV114" i="37"/>
  <c r="V114" i="37" s="1"/>
  <c r="CV131" i="37"/>
  <c r="V131" i="37" s="1"/>
  <c r="CV133" i="37"/>
  <c r="V133" i="37" s="1"/>
  <c r="CV137" i="37"/>
  <c r="V137" i="37" s="1"/>
  <c r="CV143" i="37"/>
  <c r="V143" i="37" s="1"/>
  <c r="CV73" i="37"/>
  <c r="V73" i="37" s="1"/>
  <c r="CV79" i="37"/>
  <c r="V79" i="37" s="1"/>
  <c r="CV91" i="37"/>
  <c r="V91" i="37" s="1"/>
  <c r="CV99" i="37"/>
  <c r="V99" i="37" s="1"/>
  <c r="CV108" i="37"/>
  <c r="V108" i="37" s="1"/>
  <c r="CV120" i="37"/>
  <c r="V120" i="37" s="1"/>
  <c r="CV122" i="37"/>
  <c r="V122" i="37" s="1"/>
  <c r="CV124" i="37"/>
  <c r="V124" i="37" s="1"/>
  <c r="CV126" i="37"/>
  <c r="V126" i="37" s="1"/>
  <c r="CV142" i="37"/>
  <c r="V142" i="37" s="1"/>
  <c r="CV152" i="37"/>
  <c r="V152" i="37" s="1"/>
  <c r="CV166" i="37"/>
  <c r="V166" i="37" s="1"/>
  <c r="CV168" i="37"/>
  <c r="V168" i="37" s="1"/>
  <c r="CV170" i="37"/>
  <c r="V170" i="37" s="1"/>
  <c r="CV172" i="37"/>
  <c r="V172" i="37" s="1"/>
  <c r="CV174" i="37"/>
  <c r="V174" i="37" s="1"/>
  <c r="CV176" i="37"/>
  <c r="V176" i="37" s="1"/>
  <c r="CV178" i="37"/>
  <c r="V178" i="37" s="1"/>
  <c r="CV180" i="37"/>
  <c r="V180" i="37" s="1"/>
  <c r="CV182" i="37"/>
  <c r="V182" i="37" s="1"/>
  <c r="CV186" i="37"/>
  <c r="V186" i="37" s="1"/>
  <c r="CV188" i="37"/>
  <c r="V188" i="37" s="1"/>
  <c r="CV199" i="37"/>
  <c r="V199" i="37" s="1"/>
  <c r="CV213" i="37"/>
  <c r="V213" i="37" s="1"/>
  <c r="CV217" i="37"/>
  <c r="V217" i="37" s="1"/>
  <c r="CV146" i="37"/>
  <c r="V146" i="37" s="1"/>
  <c r="CV154" i="37"/>
  <c r="V154" i="37" s="1"/>
  <c r="CV183" i="37"/>
  <c r="V183" i="37" s="1"/>
  <c r="T184" i="37"/>
  <c r="CV214" i="37"/>
  <c r="V214" i="37" s="1"/>
  <c r="CV218" i="37"/>
  <c r="V218" i="37" s="1"/>
  <c r="CV187" i="37"/>
  <c r="V187" i="37" s="1"/>
  <c r="CV189" i="37"/>
  <c r="V189" i="37" s="1"/>
  <c r="CV202" i="37"/>
  <c r="V202" i="37" s="1"/>
  <c r="CV210" i="37"/>
  <c r="V210" i="37" s="1"/>
  <c r="CV224" i="37"/>
  <c r="V224" i="37" s="1"/>
  <c r="CV150" i="37"/>
  <c r="V150" i="37" s="1"/>
  <c r="CV185" i="37"/>
  <c r="V185" i="37" s="1"/>
  <c r="T186" i="37"/>
  <c r="CV201" i="37"/>
  <c r="V201" i="37" s="1"/>
  <c r="CV158" i="37"/>
  <c r="V158" i="37" s="1"/>
  <c r="CV167" i="37"/>
  <c r="V167" i="37" s="1"/>
  <c r="CV169" i="37"/>
  <c r="V169" i="37" s="1"/>
  <c r="CV171" i="37"/>
  <c r="V171" i="37" s="1"/>
  <c r="CV173" i="37"/>
  <c r="V173" i="37" s="1"/>
  <c r="CV175" i="37"/>
  <c r="V175" i="37" s="1"/>
  <c r="CV177" i="37"/>
  <c r="V177" i="37" s="1"/>
  <c r="CV179" i="37"/>
  <c r="V179" i="37" s="1"/>
  <c r="CV181" i="37"/>
  <c r="V181" i="37" s="1"/>
  <c r="T183" i="37"/>
  <c r="CV191" i="37"/>
  <c r="V191" i="37" s="1"/>
  <c r="CV206" i="37"/>
  <c r="V206" i="37" s="1"/>
  <c r="CV209" i="37"/>
  <c r="V209" i="37" s="1"/>
  <c r="CV162" i="37"/>
  <c r="V162" i="37" s="1"/>
  <c r="CV163" i="37"/>
  <c r="V163" i="37" s="1"/>
  <c r="CV192" i="37"/>
  <c r="V192" i="37" s="1"/>
  <c r="CV193" i="37"/>
  <c r="V193" i="37" s="1"/>
  <c r="CV159" i="37"/>
  <c r="V159" i="37" s="1"/>
  <c r="CV184" i="37"/>
  <c r="V184" i="37" s="1"/>
  <c r="T185" i="37"/>
  <c r="CV197" i="37"/>
  <c r="V197" i="37" s="1"/>
  <c r="CV205" i="37"/>
  <c r="V205" i="37" s="1"/>
  <c r="CV190" i="37"/>
  <c r="V190" i="37" s="1"/>
  <c r="CV200" i="37"/>
  <c r="V200" i="37" s="1"/>
  <c r="CV221" i="37"/>
  <c r="V221" i="37" s="1"/>
  <c r="CV227" i="37"/>
  <c r="V227" i="37" s="1"/>
  <c r="CV244" i="37"/>
  <c r="V244" i="37" s="1"/>
  <c r="CV249" i="37"/>
  <c r="V249" i="37" s="1"/>
  <c r="CV250" i="37"/>
  <c r="V250" i="37" s="1"/>
  <c r="CV252" i="37"/>
  <c r="V252" i="37" s="1"/>
  <c r="T188" i="37"/>
  <c r="T190" i="37"/>
  <c r="CV203" i="37"/>
  <c r="V203" i="37" s="1"/>
  <c r="CV211" i="37"/>
  <c r="V211" i="37" s="1"/>
  <c r="CV240" i="37"/>
  <c r="V240" i="37" s="1"/>
  <c r="CV219" i="37"/>
  <c r="V219" i="37" s="1"/>
  <c r="CV222" i="37"/>
  <c r="V222" i="37" s="1"/>
  <c r="CV229" i="37"/>
  <c r="V229" i="37" s="1"/>
  <c r="CV230" i="37"/>
  <c r="V230" i="37" s="1"/>
  <c r="CV231" i="37"/>
  <c r="V231" i="37" s="1"/>
  <c r="CV237" i="37"/>
  <c r="V237" i="37" s="1"/>
  <c r="T187" i="37"/>
  <c r="CV196" i="37"/>
  <c r="V196" i="37" s="1"/>
  <c r="CV208" i="37"/>
  <c r="V208" i="37" s="1"/>
  <c r="CV216" i="37"/>
  <c r="V216" i="37" s="1"/>
  <c r="CV223" i="37"/>
  <c r="V223" i="37" s="1"/>
  <c r="CV232" i="37"/>
  <c r="V232" i="37" s="1"/>
  <c r="CV235" i="37"/>
  <c r="V235" i="37" s="1"/>
  <c r="T189" i="37"/>
  <c r="T191" i="37"/>
  <c r="CV220" i="37"/>
  <c r="V220" i="37" s="1"/>
  <c r="CV238" i="37"/>
  <c r="V238" i="37" s="1"/>
  <c r="CV204" i="37"/>
  <c r="V204" i="37" s="1"/>
  <c r="CV207" i="37"/>
  <c r="V207" i="37" s="1"/>
  <c r="CV212" i="37"/>
  <c r="V212" i="37" s="1"/>
  <c r="CV215" i="37"/>
  <c r="V215" i="37" s="1"/>
  <c r="CV228" i="37"/>
  <c r="V228" i="37" s="1"/>
  <c r="CV233" i="37"/>
  <c r="V233" i="37" s="1"/>
  <c r="CV246" i="37"/>
  <c r="V246" i="37" s="1"/>
  <c r="CV226" i="37"/>
  <c r="V226" i="37" s="1"/>
  <c r="CV239" i="37"/>
  <c r="V239" i="37" s="1"/>
  <c r="CV236" i="37"/>
  <c r="V236" i="37" s="1"/>
  <c r="CV259" i="37"/>
  <c r="V259" i="37" s="1"/>
  <c r="CV251" i="37"/>
  <c r="V251" i="37" s="1"/>
  <c r="CV254" i="37"/>
  <c r="V254" i="37" s="1"/>
  <c r="CV258" i="37"/>
  <c r="V258" i="37" s="1"/>
  <c r="CV268" i="37"/>
  <c r="V268" i="37" s="1"/>
  <c r="CV285" i="37"/>
  <c r="V285" i="37" s="1"/>
  <c r="T283" i="37"/>
  <c r="CV257" i="37"/>
  <c r="V257" i="37" s="1"/>
  <c r="CV262" i="37"/>
  <c r="V262" i="37" s="1"/>
  <c r="CV260" i="37"/>
  <c r="V260" i="37" s="1"/>
  <c r="CV264" i="37"/>
  <c r="V264" i="37" s="1"/>
  <c r="CV266" i="37"/>
  <c r="V266" i="37" s="1"/>
  <c r="CV243" i="37"/>
  <c r="V243" i="37" s="1"/>
  <c r="CV247" i="37"/>
  <c r="V247" i="37" s="1"/>
  <c r="CV263" i="37"/>
  <c r="V263" i="37" s="1"/>
  <c r="CV234" i="37"/>
  <c r="V234" i="37" s="1"/>
  <c r="CV253" i="37"/>
  <c r="V253" i="37" s="1"/>
  <c r="CV265" i="37"/>
  <c r="V265" i="37" s="1"/>
  <c r="CV276" i="37"/>
  <c r="V276" i="37" s="1"/>
  <c r="T282" i="37"/>
  <c r="CV284" i="37"/>
  <c r="V284" i="37" s="1"/>
  <c r="CV290" i="37"/>
  <c r="V290" i="37" s="1"/>
  <c r="CV297" i="37"/>
  <c r="V297" i="37" s="1"/>
  <c r="CV255" i="37"/>
  <c r="V255" i="37" s="1"/>
  <c r="CV269" i="37"/>
  <c r="V269" i="37" s="1"/>
  <c r="CV270" i="37"/>
  <c r="V270" i="37" s="1"/>
  <c r="CV271" i="37"/>
  <c r="V271" i="37" s="1"/>
  <c r="CV272" i="37"/>
  <c r="V272" i="37" s="1"/>
  <c r="CV273" i="37"/>
  <c r="V273" i="37" s="1"/>
  <c r="CV274" i="37"/>
  <c r="V274" i="37" s="1"/>
  <c r="CV275" i="37"/>
  <c r="V275" i="37" s="1"/>
  <c r="T281" i="37"/>
  <c r="CV283" i="37"/>
  <c r="V283" i="37" s="1"/>
  <c r="CV292" i="37"/>
  <c r="V292" i="37" s="1"/>
  <c r="CV298" i="37"/>
  <c r="V298" i="37" s="1"/>
  <c r="T280" i="37"/>
  <c r="CV282" i="37"/>
  <c r="V282" i="37" s="1"/>
  <c r="CV267" i="37"/>
  <c r="V267" i="37" s="1"/>
  <c r="T279" i="37"/>
  <c r="CV281" i="37"/>
  <c r="V281" i="37" s="1"/>
  <c r="T286" i="37"/>
  <c r="CV309" i="37"/>
  <c r="V309" i="37" s="1"/>
  <c r="T278" i="37"/>
  <c r="CV280" i="37"/>
  <c r="V280" i="37" s="1"/>
  <c r="T277" i="37"/>
  <c r="CV279" i="37"/>
  <c r="V279" i="37" s="1"/>
  <c r="T285" i="37"/>
  <c r="CV286" i="37"/>
  <c r="V286" i="37" s="1"/>
  <c r="T276" i="37"/>
  <c r="CV278" i="37"/>
  <c r="V278" i="37" s="1"/>
  <c r="T284" i="37"/>
  <c r="CV310" i="37"/>
  <c r="V310" i="37" s="1"/>
  <c r="CV299" i="37"/>
  <c r="V299" i="37" s="1"/>
  <c r="CV306" i="37"/>
  <c r="V306" i="37" s="1"/>
  <c r="CV287" i="37"/>
  <c r="V287" i="37" s="1"/>
  <c r="CV289" i="37"/>
  <c r="V289" i="37" s="1"/>
  <c r="CV311" i="37"/>
  <c r="V311" i="37" s="1"/>
  <c r="CV295" i="37"/>
  <c r="V295" i="37" s="1"/>
  <c r="CV300" i="37"/>
  <c r="V300" i="37" s="1"/>
  <c r="CV301" i="37"/>
  <c r="V301" i="37" s="1"/>
  <c r="CV303" i="37"/>
  <c r="V303" i="37" s="1"/>
  <c r="CV304" i="37"/>
  <c r="V304" i="37" s="1"/>
  <c r="CV302" i="37"/>
  <c r="V302" i="37" s="1"/>
  <c r="CV317" i="37"/>
  <c r="V317" i="37" s="1"/>
  <c r="CV314" i="37"/>
  <c r="V314" i="37" s="1"/>
  <c r="CV288" i="37"/>
  <c r="V288" i="37" s="1"/>
  <c r="CV320" i="37"/>
  <c r="V320" i="37" s="1"/>
  <c r="CV324" i="37"/>
  <c r="V324" i="37" s="1"/>
  <c r="CV332" i="37"/>
  <c r="V332" i="37" s="1"/>
  <c r="CV313" i="37"/>
  <c r="V313" i="37" s="1"/>
  <c r="CV318" i="37"/>
  <c r="V318" i="37" s="1"/>
  <c r="CV321" i="37"/>
  <c r="V321" i="37" s="1"/>
  <c r="CV330" i="37"/>
  <c r="V330" i="37" s="1"/>
  <c r="CV316" i="37"/>
  <c r="V316" i="37" s="1"/>
  <c r="CV329" i="37"/>
  <c r="V329" i="37" s="1"/>
  <c r="CV328" i="37"/>
  <c r="V328" i="37" s="1"/>
  <c r="CV322" i="37"/>
  <c r="V322" i="37" s="1"/>
  <c r="CV334" i="37"/>
  <c r="V334" i="37" s="1"/>
  <c r="CV326" i="37"/>
  <c r="V326" i="37" s="1"/>
  <c r="CV338" i="37"/>
  <c r="V338" i="37" s="1"/>
  <c r="CV339" i="37"/>
  <c r="V339" i="37" s="1"/>
  <c r="CV319" i="37"/>
  <c r="V319" i="37" s="1"/>
  <c r="CV337" i="37"/>
  <c r="V337" i="37" s="1"/>
  <c r="CV327" i="37"/>
  <c r="V327" i="37" s="1"/>
  <c r="CV343" i="37"/>
  <c r="V343" i="37" s="1"/>
  <c r="CV346" i="37"/>
  <c r="V346" i="37" s="1"/>
  <c r="CV323" i="37"/>
  <c r="V323" i="37" s="1"/>
  <c r="CV331" i="37"/>
  <c r="V331" i="37" s="1"/>
  <c r="CV335" i="37"/>
  <c r="V335" i="37" s="1"/>
  <c r="CV340" i="37"/>
  <c r="V340" i="37" s="1"/>
  <c r="CV336" i="37"/>
  <c r="V336" i="37" s="1"/>
  <c r="CV341" i="37"/>
  <c r="V341" i="37" s="1"/>
  <c r="CV315" i="37"/>
  <c r="V315" i="37" s="1"/>
  <c r="CV355" i="37"/>
  <c r="V355" i="37" s="1"/>
  <c r="CV359" i="37"/>
  <c r="V359" i="37" s="1"/>
  <c r="CV344" i="37"/>
  <c r="V344" i="37" s="1"/>
  <c r="CV348" i="37"/>
  <c r="V348" i="37" s="1"/>
  <c r="CV366" i="37"/>
  <c r="V366" i="37" s="1"/>
  <c r="CV358" i="37"/>
  <c r="V358" i="37" s="1"/>
  <c r="CV360" i="37"/>
  <c r="V360" i="37" s="1"/>
  <c r="CV362" i="37"/>
  <c r="V362" i="37" s="1"/>
  <c r="CV351" i="37"/>
  <c r="V351" i="37" s="1"/>
  <c r="CV357" i="37"/>
  <c r="V357" i="37" s="1"/>
  <c r="CV345" i="37"/>
  <c r="V345" i="37" s="1"/>
  <c r="CV353" i="37"/>
  <c r="V353" i="37" s="1"/>
  <c r="CV354" i="37"/>
  <c r="V354" i="37" s="1"/>
  <c r="CV363" i="37"/>
  <c r="V363" i="37" s="1"/>
  <c r="CV347" i="37"/>
  <c r="V347" i="37" s="1"/>
  <c r="CV356" i="37"/>
  <c r="V356" i="37" s="1"/>
  <c r="CV364" i="37"/>
  <c r="V364" i="37" s="1"/>
  <c r="CV352" i="37"/>
  <c r="V352" i="37" s="1"/>
  <c r="CV361" i="37"/>
  <c r="V361" i="37" s="1"/>
  <c r="BH43" i="2"/>
  <c r="BU43" i="2" s="1"/>
  <c r="CJ43" i="2" s="1"/>
  <c r="BI43" i="2"/>
  <c r="BV43" i="2" s="1"/>
  <c r="CK43" i="2" s="1"/>
  <c r="BJ43" i="2"/>
  <c r="BW43" i="2" s="1"/>
  <c r="CL43" i="2" s="1"/>
  <c r="BK43" i="2"/>
  <c r="BX43" i="2" s="1"/>
  <c r="CM43" i="2" s="1"/>
  <c r="BL43" i="2"/>
  <c r="BY43" i="2" s="1"/>
  <c r="CN43" i="2" s="1"/>
  <c r="BM43" i="2"/>
  <c r="BZ43" i="2" s="1"/>
  <c r="CO43" i="2" s="1"/>
  <c r="BN43" i="2"/>
  <c r="CA43" i="2" s="1"/>
  <c r="CP43" i="2" s="1"/>
  <c r="BO43" i="2"/>
  <c r="CB43" i="2" s="1"/>
  <c r="CQ43" i="2" s="1"/>
  <c r="BP43" i="2"/>
  <c r="CC43" i="2" s="1"/>
  <c r="CR43" i="2" s="1"/>
  <c r="BQ43" i="2"/>
  <c r="CD43" i="2" s="1"/>
  <c r="CS43" i="2" s="1"/>
  <c r="BR43" i="2"/>
  <c r="CE43" i="2" s="1"/>
  <c r="CT43" i="2" s="1"/>
  <c r="BS43" i="2"/>
  <c r="CF43" i="2" s="1"/>
  <c r="CU43" i="2" s="1"/>
  <c r="BH44" i="2"/>
  <c r="BU44" i="2" s="1"/>
  <c r="CJ44" i="2" s="1"/>
  <c r="BI44" i="2"/>
  <c r="BV44" i="2" s="1"/>
  <c r="CK44" i="2" s="1"/>
  <c r="BJ44" i="2"/>
  <c r="BW44" i="2" s="1"/>
  <c r="CL44" i="2" s="1"/>
  <c r="BK44" i="2"/>
  <c r="BX44" i="2" s="1"/>
  <c r="CM44" i="2" s="1"/>
  <c r="BL44" i="2"/>
  <c r="BY44" i="2" s="1"/>
  <c r="CN44" i="2" s="1"/>
  <c r="BM44" i="2"/>
  <c r="BZ44" i="2" s="1"/>
  <c r="CO44" i="2" s="1"/>
  <c r="BN44" i="2"/>
  <c r="CA44" i="2" s="1"/>
  <c r="CP44" i="2" s="1"/>
  <c r="BO44" i="2"/>
  <c r="CB44" i="2" s="1"/>
  <c r="CQ44" i="2" s="1"/>
  <c r="BP44" i="2"/>
  <c r="CC44" i="2" s="1"/>
  <c r="CR44" i="2" s="1"/>
  <c r="BQ44" i="2"/>
  <c r="CD44" i="2" s="1"/>
  <c r="CS44" i="2" s="1"/>
  <c r="BR44" i="2"/>
  <c r="CE44" i="2" s="1"/>
  <c r="CT44" i="2" s="1"/>
  <c r="BS44" i="2"/>
  <c r="CF44" i="2" s="1"/>
  <c r="CU44" i="2" s="1"/>
  <c r="BH45" i="2"/>
  <c r="BU45" i="2" s="1"/>
  <c r="CJ45" i="2" s="1"/>
  <c r="BI45" i="2"/>
  <c r="BV45" i="2" s="1"/>
  <c r="CK45" i="2" s="1"/>
  <c r="BJ45" i="2"/>
  <c r="BW45" i="2" s="1"/>
  <c r="CL45" i="2" s="1"/>
  <c r="BK45" i="2"/>
  <c r="BX45" i="2" s="1"/>
  <c r="CM45" i="2" s="1"/>
  <c r="BL45" i="2"/>
  <c r="BY45" i="2" s="1"/>
  <c r="CN45" i="2" s="1"/>
  <c r="BM45" i="2"/>
  <c r="BZ45" i="2" s="1"/>
  <c r="CO45" i="2" s="1"/>
  <c r="BN45" i="2"/>
  <c r="CA45" i="2" s="1"/>
  <c r="CP45" i="2" s="1"/>
  <c r="BO45" i="2"/>
  <c r="CB45" i="2" s="1"/>
  <c r="CQ45" i="2" s="1"/>
  <c r="BP45" i="2"/>
  <c r="CC45" i="2" s="1"/>
  <c r="CR45" i="2" s="1"/>
  <c r="BQ45" i="2"/>
  <c r="CD45" i="2" s="1"/>
  <c r="CS45" i="2" s="1"/>
  <c r="BR45" i="2"/>
  <c r="CE45" i="2" s="1"/>
  <c r="CT45" i="2" s="1"/>
  <c r="BS45" i="2"/>
  <c r="CF45" i="2" s="1"/>
  <c r="CU45" i="2" s="1"/>
  <c r="BH46" i="2"/>
  <c r="BU46" i="2" s="1"/>
  <c r="CJ46" i="2" s="1"/>
  <c r="BI46" i="2"/>
  <c r="BV46" i="2" s="1"/>
  <c r="CK46" i="2" s="1"/>
  <c r="BJ46" i="2"/>
  <c r="BW46" i="2" s="1"/>
  <c r="CL46" i="2" s="1"/>
  <c r="BK46" i="2"/>
  <c r="BX46" i="2" s="1"/>
  <c r="CM46" i="2" s="1"/>
  <c r="BL46" i="2"/>
  <c r="BY46" i="2" s="1"/>
  <c r="CN46" i="2" s="1"/>
  <c r="BM46" i="2"/>
  <c r="BZ46" i="2" s="1"/>
  <c r="CO46" i="2" s="1"/>
  <c r="BN46" i="2"/>
  <c r="CA46" i="2" s="1"/>
  <c r="CP46" i="2" s="1"/>
  <c r="BO46" i="2"/>
  <c r="CB46" i="2" s="1"/>
  <c r="CQ46" i="2" s="1"/>
  <c r="BP46" i="2"/>
  <c r="CC46" i="2" s="1"/>
  <c r="CR46" i="2" s="1"/>
  <c r="BQ46" i="2"/>
  <c r="CD46" i="2" s="1"/>
  <c r="CS46" i="2" s="1"/>
  <c r="BR46" i="2"/>
  <c r="CE46" i="2" s="1"/>
  <c r="CT46" i="2" s="1"/>
  <c r="BS46" i="2"/>
  <c r="CF46" i="2" s="1"/>
  <c r="CU46" i="2" s="1"/>
  <c r="BH47" i="2"/>
  <c r="BU47" i="2" s="1"/>
  <c r="CJ47" i="2" s="1"/>
  <c r="BI47" i="2"/>
  <c r="BV47" i="2" s="1"/>
  <c r="CK47" i="2" s="1"/>
  <c r="BJ47" i="2"/>
  <c r="BW47" i="2" s="1"/>
  <c r="CL47" i="2" s="1"/>
  <c r="BK47" i="2"/>
  <c r="BX47" i="2" s="1"/>
  <c r="CM47" i="2" s="1"/>
  <c r="BL47" i="2"/>
  <c r="BY47" i="2" s="1"/>
  <c r="CN47" i="2" s="1"/>
  <c r="BM47" i="2"/>
  <c r="BZ47" i="2" s="1"/>
  <c r="CO47" i="2" s="1"/>
  <c r="BN47" i="2"/>
  <c r="CA47" i="2" s="1"/>
  <c r="CP47" i="2" s="1"/>
  <c r="BO47" i="2"/>
  <c r="CB47" i="2" s="1"/>
  <c r="CQ47" i="2" s="1"/>
  <c r="BP47" i="2"/>
  <c r="CC47" i="2" s="1"/>
  <c r="CR47" i="2" s="1"/>
  <c r="BQ47" i="2"/>
  <c r="CD47" i="2" s="1"/>
  <c r="CS47" i="2" s="1"/>
  <c r="BR47" i="2"/>
  <c r="CE47" i="2" s="1"/>
  <c r="CT47" i="2" s="1"/>
  <c r="BS47" i="2"/>
  <c r="CF47" i="2" s="1"/>
  <c r="CU47" i="2" s="1"/>
  <c r="BH48" i="2"/>
  <c r="BU48" i="2" s="1"/>
  <c r="CJ48" i="2" s="1"/>
  <c r="BI48" i="2"/>
  <c r="BV48" i="2" s="1"/>
  <c r="CK48" i="2" s="1"/>
  <c r="BJ48" i="2"/>
  <c r="BW48" i="2" s="1"/>
  <c r="CL48" i="2" s="1"/>
  <c r="BK48" i="2"/>
  <c r="BX48" i="2" s="1"/>
  <c r="CM48" i="2" s="1"/>
  <c r="BL48" i="2"/>
  <c r="BY48" i="2" s="1"/>
  <c r="CN48" i="2" s="1"/>
  <c r="BM48" i="2"/>
  <c r="BZ48" i="2" s="1"/>
  <c r="CO48" i="2" s="1"/>
  <c r="BN48" i="2"/>
  <c r="CA48" i="2" s="1"/>
  <c r="CP48" i="2" s="1"/>
  <c r="BO48" i="2"/>
  <c r="CB48" i="2" s="1"/>
  <c r="CQ48" i="2" s="1"/>
  <c r="BP48" i="2"/>
  <c r="CC48" i="2" s="1"/>
  <c r="CR48" i="2" s="1"/>
  <c r="BQ48" i="2"/>
  <c r="CD48" i="2" s="1"/>
  <c r="CS48" i="2" s="1"/>
  <c r="BR48" i="2"/>
  <c r="CE48" i="2" s="1"/>
  <c r="CT48" i="2" s="1"/>
  <c r="BS48" i="2"/>
  <c r="CF48" i="2" s="1"/>
  <c r="CU48" i="2" s="1"/>
  <c r="BH49" i="2"/>
  <c r="BU49" i="2" s="1"/>
  <c r="CJ49" i="2" s="1"/>
  <c r="BI49" i="2"/>
  <c r="BV49" i="2" s="1"/>
  <c r="CK49" i="2" s="1"/>
  <c r="BJ49" i="2"/>
  <c r="BW49" i="2" s="1"/>
  <c r="CL49" i="2" s="1"/>
  <c r="BK49" i="2"/>
  <c r="BX49" i="2" s="1"/>
  <c r="CM49" i="2" s="1"/>
  <c r="BL49" i="2"/>
  <c r="BY49" i="2" s="1"/>
  <c r="CN49" i="2" s="1"/>
  <c r="BM49" i="2"/>
  <c r="BZ49" i="2" s="1"/>
  <c r="CO49" i="2" s="1"/>
  <c r="BN49" i="2"/>
  <c r="CA49" i="2" s="1"/>
  <c r="CP49" i="2" s="1"/>
  <c r="BO49" i="2"/>
  <c r="CB49" i="2" s="1"/>
  <c r="CQ49" i="2" s="1"/>
  <c r="BP49" i="2"/>
  <c r="CC49" i="2" s="1"/>
  <c r="CR49" i="2" s="1"/>
  <c r="BQ49" i="2"/>
  <c r="CD49" i="2" s="1"/>
  <c r="CS49" i="2" s="1"/>
  <c r="BR49" i="2"/>
  <c r="CE49" i="2" s="1"/>
  <c r="CT49" i="2" s="1"/>
  <c r="BS49" i="2"/>
  <c r="CF49" i="2" s="1"/>
  <c r="CU49" i="2" s="1"/>
  <c r="BH50" i="2"/>
  <c r="BU50" i="2" s="1"/>
  <c r="CJ50" i="2" s="1"/>
  <c r="BI50" i="2"/>
  <c r="BV50" i="2" s="1"/>
  <c r="CK50" i="2" s="1"/>
  <c r="BJ50" i="2"/>
  <c r="BW50" i="2" s="1"/>
  <c r="CL50" i="2" s="1"/>
  <c r="BK50" i="2"/>
  <c r="BX50" i="2" s="1"/>
  <c r="CM50" i="2" s="1"/>
  <c r="BL50" i="2"/>
  <c r="BY50" i="2" s="1"/>
  <c r="CN50" i="2" s="1"/>
  <c r="BM50" i="2"/>
  <c r="BZ50" i="2" s="1"/>
  <c r="CO50" i="2" s="1"/>
  <c r="BN50" i="2"/>
  <c r="CA50" i="2" s="1"/>
  <c r="CP50" i="2" s="1"/>
  <c r="BO50" i="2"/>
  <c r="CB50" i="2" s="1"/>
  <c r="CQ50" i="2" s="1"/>
  <c r="BP50" i="2"/>
  <c r="CC50" i="2" s="1"/>
  <c r="CR50" i="2" s="1"/>
  <c r="BQ50" i="2"/>
  <c r="CD50" i="2" s="1"/>
  <c r="CS50" i="2" s="1"/>
  <c r="BR50" i="2"/>
  <c r="CE50" i="2" s="1"/>
  <c r="CT50" i="2" s="1"/>
  <c r="BS50" i="2"/>
  <c r="CF50" i="2" s="1"/>
  <c r="CU50" i="2" s="1"/>
  <c r="BH51" i="2"/>
  <c r="BU51" i="2" s="1"/>
  <c r="CJ51" i="2" s="1"/>
  <c r="BI51" i="2"/>
  <c r="BV51" i="2" s="1"/>
  <c r="CK51" i="2" s="1"/>
  <c r="BJ51" i="2"/>
  <c r="BW51" i="2" s="1"/>
  <c r="CL51" i="2" s="1"/>
  <c r="BK51" i="2"/>
  <c r="BX51" i="2" s="1"/>
  <c r="CM51" i="2" s="1"/>
  <c r="BL51" i="2"/>
  <c r="BY51" i="2" s="1"/>
  <c r="CN51" i="2" s="1"/>
  <c r="BM51" i="2"/>
  <c r="BZ51" i="2" s="1"/>
  <c r="CO51" i="2" s="1"/>
  <c r="BN51" i="2"/>
  <c r="CA51" i="2" s="1"/>
  <c r="CP51" i="2" s="1"/>
  <c r="BO51" i="2"/>
  <c r="CB51" i="2" s="1"/>
  <c r="CQ51" i="2" s="1"/>
  <c r="BP51" i="2"/>
  <c r="CC51" i="2" s="1"/>
  <c r="CR51" i="2" s="1"/>
  <c r="BQ51" i="2"/>
  <c r="CD51" i="2" s="1"/>
  <c r="CS51" i="2" s="1"/>
  <c r="BR51" i="2"/>
  <c r="CE51" i="2" s="1"/>
  <c r="CT51" i="2" s="1"/>
  <c r="BS51" i="2"/>
  <c r="CF51" i="2" s="1"/>
  <c r="CU51" i="2" s="1"/>
  <c r="BH52" i="2"/>
  <c r="BU52" i="2" s="1"/>
  <c r="CJ52" i="2" s="1"/>
  <c r="BI52" i="2"/>
  <c r="BV52" i="2" s="1"/>
  <c r="CK52" i="2" s="1"/>
  <c r="BJ52" i="2"/>
  <c r="BW52" i="2" s="1"/>
  <c r="CL52" i="2" s="1"/>
  <c r="BK52" i="2"/>
  <c r="BX52" i="2" s="1"/>
  <c r="CM52" i="2" s="1"/>
  <c r="BL52" i="2"/>
  <c r="BY52" i="2" s="1"/>
  <c r="CN52" i="2" s="1"/>
  <c r="BM52" i="2"/>
  <c r="BZ52" i="2" s="1"/>
  <c r="CO52" i="2" s="1"/>
  <c r="BN52" i="2"/>
  <c r="CA52" i="2" s="1"/>
  <c r="CP52" i="2" s="1"/>
  <c r="BO52" i="2"/>
  <c r="CB52" i="2" s="1"/>
  <c r="CQ52" i="2" s="1"/>
  <c r="BP52" i="2"/>
  <c r="CC52" i="2" s="1"/>
  <c r="CR52" i="2" s="1"/>
  <c r="BQ52" i="2"/>
  <c r="CD52" i="2" s="1"/>
  <c r="CS52" i="2" s="1"/>
  <c r="BR52" i="2"/>
  <c r="CE52" i="2" s="1"/>
  <c r="CT52" i="2" s="1"/>
  <c r="BS52" i="2"/>
  <c r="CF52" i="2" s="1"/>
  <c r="CU52" i="2" s="1"/>
  <c r="BH53" i="2"/>
  <c r="BU53" i="2" s="1"/>
  <c r="CJ53" i="2" s="1"/>
  <c r="BI53" i="2"/>
  <c r="BV53" i="2" s="1"/>
  <c r="CK53" i="2" s="1"/>
  <c r="BJ53" i="2"/>
  <c r="BW53" i="2" s="1"/>
  <c r="CL53" i="2" s="1"/>
  <c r="BK53" i="2"/>
  <c r="BX53" i="2" s="1"/>
  <c r="CM53" i="2" s="1"/>
  <c r="BL53" i="2"/>
  <c r="BY53" i="2" s="1"/>
  <c r="CN53" i="2" s="1"/>
  <c r="BM53" i="2"/>
  <c r="BZ53" i="2" s="1"/>
  <c r="CO53" i="2" s="1"/>
  <c r="BN53" i="2"/>
  <c r="CA53" i="2" s="1"/>
  <c r="CP53" i="2" s="1"/>
  <c r="BO53" i="2"/>
  <c r="CB53" i="2" s="1"/>
  <c r="CQ53" i="2" s="1"/>
  <c r="BP53" i="2"/>
  <c r="CC53" i="2" s="1"/>
  <c r="CR53" i="2" s="1"/>
  <c r="BQ53" i="2"/>
  <c r="CD53" i="2" s="1"/>
  <c r="CS53" i="2" s="1"/>
  <c r="BR53" i="2"/>
  <c r="CE53" i="2" s="1"/>
  <c r="CT53" i="2" s="1"/>
  <c r="BS53" i="2"/>
  <c r="CF53" i="2" s="1"/>
  <c r="CU53" i="2" s="1"/>
  <c r="BH54" i="2"/>
  <c r="BU54" i="2" s="1"/>
  <c r="CJ54" i="2" s="1"/>
  <c r="BI54" i="2"/>
  <c r="BV54" i="2" s="1"/>
  <c r="CK54" i="2" s="1"/>
  <c r="BJ54" i="2"/>
  <c r="BW54" i="2" s="1"/>
  <c r="CL54" i="2" s="1"/>
  <c r="BK54" i="2"/>
  <c r="BX54" i="2" s="1"/>
  <c r="CM54" i="2" s="1"/>
  <c r="BL54" i="2"/>
  <c r="BY54" i="2" s="1"/>
  <c r="CN54" i="2" s="1"/>
  <c r="BM54" i="2"/>
  <c r="BZ54" i="2" s="1"/>
  <c r="CO54" i="2" s="1"/>
  <c r="BN54" i="2"/>
  <c r="CA54" i="2" s="1"/>
  <c r="CP54" i="2" s="1"/>
  <c r="BO54" i="2"/>
  <c r="CB54" i="2" s="1"/>
  <c r="CQ54" i="2" s="1"/>
  <c r="BP54" i="2"/>
  <c r="CC54" i="2" s="1"/>
  <c r="CR54" i="2" s="1"/>
  <c r="BQ54" i="2"/>
  <c r="CD54" i="2" s="1"/>
  <c r="CS54" i="2" s="1"/>
  <c r="BR54" i="2"/>
  <c r="CE54" i="2" s="1"/>
  <c r="CT54" i="2" s="1"/>
  <c r="BS54" i="2"/>
  <c r="CF54" i="2" s="1"/>
  <c r="CU54" i="2" s="1"/>
  <c r="BH55" i="2"/>
  <c r="BU55" i="2" s="1"/>
  <c r="CJ55" i="2" s="1"/>
  <c r="BI55" i="2"/>
  <c r="BV55" i="2" s="1"/>
  <c r="CK55" i="2" s="1"/>
  <c r="BJ55" i="2"/>
  <c r="BW55" i="2" s="1"/>
  <c r="CL55" i="2" s="1"/>
  <c r="BK55" i="2"/>
  <c r="BX55" i="2" s="1"/>
  <c r="CM55" i="2" s="1"/>
  <c r="BL55" i="2"/>
  <c r="BY55" i="2" s="1"/>
  <c r="CN55" i="2" s="1"/>
  <c r="BM55" i="2"/>
  <c r="BZ55" i="2" s="1"/>
  <c r="CO55" i="2" s="1"/>
  <c r="BN55" i="2"/>
  <c r="CA55" i="2" s="1"/>
  <c r="CP55" i="2" s="1"/>
  <c r="BO55" i="2"/>
  <c r="CB55" i="2" s="1"/>
  <c r="CQ55" i="2" s="1"/>
  <c r="BP55" i="2"/>
  <c r="CC55" i="2" s="1"/>
  <c r="CR55" i="2" s="1"/>
  <c r="BQ55" i="2"/>
  <c r="CD55" i="2" s="1"/>
  <c r="CS55" i="2" s="1"/>
  <c r="BR55" i="2"/>
  <c r="CE55" i="2" s="1"/>
  <c r="CT55" i="2" s="1"/>
  <c r="BS55" i="2"/>
  <c r="CF55" i="2" s="1"/>
  <c r="CU55" i="2" s="1"/>
  <c r="BH56" i="2"/>
  <c r="BU56" i="2" s="1"/>
  <c r="CJ56" i="2" s="1"/>
  <c r="BI56" i="2"/>
  <c r="BV56" i="2" s="1"/>
  <c r="CK56" i="2" s="1"/>
  <c r="BJ56" i="2"/>
  <c r="BW56" i="2" s="1"/>
  <c r="CL56" i="2" s="1"/>
  <c r="BK56" i="2"/>
  <c r="BX56" i="2" s="1"/>
  <c r="CM56" i="2" s="1"/>
  <c r="BL56" i="2"/>
  <c r="BY56" i="2" s="1"/>
  <c r="CN56" i="2" s="1"/>
  <c r="BM56" i="2"/>
  <c r="BZ56" i="2" s="1"/>
  <c r="CO56" i="2" s="1"/>
  <c r="BN56" i="2"/>
  <c r="CA56" i="2" s="1"/>
  <c r="CP56" i="2" s="1"/>
  <c r="BO56" i="2"/>
  <c r="CB56" i="2" s="1"/>
  <c r="CQ56" i="2" s="1"/>
  <c r="BP56" i="2"/>
  <c r="CC56" i="2" s="1"/>
  <c r="CR56" i="2" s="1"/>
  <c r="BQ56" i="2"/>
  <c r="CD56" i="2" s="1"/>
  <c r="CS56" i="2" s="1"/>
  <c r="BR56" i="2"/>
  <c r="CE56" i="2" s="1"/>
  <c r="CT56" i="2" s="1"/>
  <c r="BS56" i="2"/>
  <c r="CF56" i="2" s="1"/>
  <c r="CU56" i="2" s="1"/>
  <c r="BH57" i="2"/>
  <c r="BU57" i="2" s="1"/>
  <c r="CJ57" i="2" s="1"/>
  <c r="BI57" i="2"/>
  <c r="BV57" i="2" s="1"/>
  <c r="CK57" i="2" s="1"/>
  <c r="BJ57" i="2"/>
  <c r="BW57" i="2" s="1"/>
  <c r="CL57" i="2" s="1"/>
  <c r="BK57" i="2"/>
  <c r="BX57" i="2" s="1"/>
  <c r="CM57" i="2" s="1"/>
  <c r="BL57" i="2"/>
  <c r="BY57" i="2" s="1"/>
  <c r="CN57" i="2" s="1"/>
  <c r="BM57" i="2"/>
  <c r="BZ57" i="2" s="1"/>
  <c r="CO57" i="2" s="1"/>
  <c r="BN57" i="2"/>
  <c r="CA57" i="2" s="1"/>
  <c r="CP57" i="2" s="1"/>
  <c r="BO57" i="2"/>
  <c r="CB57" i="2" s="1"/>
  <c r="CQ57" i="2" s="1"/>
  <c r="BP57" i="2"/>
  <c r="CC57" i="2" s="1"/>
  <c r="CR57" i="2" s="1"/>
  <c r="BQ57" i="2"/>
  <c r="CD57" i="2" s="1"/>
  <c r="CS57" i="2" s="1"/>
  <c r="BR57" i="2"/>
  <c r="CE57" i="2" s="1"/>
  <c r="CT57" i="2" s="1"/>
  <c r="BS57" i="2"/>
  <c r="CF57" i="2" s="1"/>
  <c r="CU57" i="2" s="1"/>
  <c r="BH58" i="2"/>
  <c r="BU58" i="2" s="1"/>
  <c r="CJ58" i="2" s="1"/>
  <c r="BI58" i="2"/>
  <c r="BV58" i="2" s="1"/>
  <c r="CK58" i="2" s="1"/>
  <c r="BJ58" i="2"/>
  <c r="BW58" i="2" s="1"/>
  <c r="CL58" i="2" s="1"/>
  <c r="BK58" i="2"/>
  <c r="BX58" i="2" s="1"/>
  <c r="CM58" i="2" s="1"/>
  <c r="BL58" i="2"/>
  <c r="BY58" i="2" s="1"/>
  <c r="CN58" i="2" s="1"/>
  <c r="BM58" i="2"/>
  <c r="BZ58" i="2" s="1"/>
  <c r="CO58" i="2" s="1"/>
  <c r="BN58" i="2"/>
  <c r="CA58" i="2" s="1"/>
  <c r="CP58" i="2" s="1"/>
  <c r="BO58" i="2"/>
  <c r="CB58" i="2" s="1"/>
  <c r="CQ58" i="2" s="1"/>
  <c r="BP58" i="2"/>
  <c r="CC58" i="2" s="1"/>
  <c r="CR58" i="2" s="1"/>
  <c r="BQ58" i="2"/>
  <c r="CD58" i="2" s="1"/>
  <c r="CS58" i="2" s="1"/>
  <c r="BR58" i="2"/>
  <c r="CE58" i="2" s="1"/>
  <c r="CT58" i="2" s="1"/>
  <c r="BS58" i="2"/>
  <c r="CF58" i="2" s="1"/>
  <c r="CU58" i="2" s="1"/>
  <c r="BH59" i="2"/>
  <c r="BU59" i="2" s="1"/>
  <c r="CJ59" i="2" s="1"/>
  <c r="BI59" i="2"/>
  <c r="BV59" i="2" s="1"/>
  <c r="CK59" i="2" s="1"/>
  <c r="BJ59" i="2"/>
  <c r="BW59" i="2" s="1"/>
  <c r="CL59" i="2" s="1"/>
  <c r="BK59" i="2"/>
  <c r="BX59" i="2" s="1"/>
  <c r="CM59" i="2" s="1"/>
  <c r="BL59" i="2"/>
  <c r="BY59" i="2" s="1"/>
  <c r="CN59" i="2" s="1"/>
  <c r="BM59" i="2"/>
  <c r="BZ59" i="2" s="1"/>
  <c r="CO59" i="2" s="1"/>
  <c r="BN59" i="2"/>
  <c r="CA59" i="2" s="1"/>
  <c r="CP59" i="2" s="1"/>
  <c r="BO59" i="2"/>
  <c r="CB59" i="2" s="1"/>
  <c r="CQ59" i="2" s="1"/>
  <c r="BP59" i="2"/>
  <c r="CC59" i="2" s="1"/>
  <c r="CR59" i="2" s="1"/>
  <c r="BQ59" i="2"/>
  <c r="CD59" i="2" s="1"/>
  <c r="CS59" i="2" s="1"/>
  <c r="BR59" i="2"/>
  <c r="CE59" i="2" s="1"/>
  <c r="CT59" i="2" s="1"/>
  <c r="BS59" i="2"/>
  <c r="CF59" i="2" s="1"/>
  <c r="CU59" i="2" s="1"/>
  <c r="BH60" i="2"/>
  <c r="BU60" i="2" s="1"/>
  <c r="CJ60" i="2" s="1"/>
  <c r="BI60" i="2"/>
  <c r="BV60" i="2" s="1"/>
  <c r="CK60" i="2" s="1"/>
  <c r="BJ60" i="2"/>
  <c r="BW60" i="2" s="1"/>
  <c r="CL60" i="2" s="1"/>
  <c r="BK60" i="2"/>
  <c r="BX60" i="2" s="1"/>
  <c r="CM60" i="2" s="1"/>
  <c r="BL60" i="2"/>
  <c r="BY60" i="2" s="1"/>
  <c r="CN60" i="2" s="1"/>
  <c r="BM60" i="2"/>
  <c r="BZ60" i="2" s="1"/>
  <c r="CO60" i="2" s="1"/>
  <c r="BN60" i="2"/>
  <c r="CA60" i="2" s="1"/>
  <c r="CP60" i="2" s="1"/>
  <c r="BO60" i="2"/>
  <c r="CB60" i="2" s="1"/>
  <c r="CQ60" i="2" s="1"/>
  <c r="BP60" i="2"/>
  <c r="CC60" i="2" s="1"/>
  <c r="CR60" i="2" s="1"/>
  <c r="BQ60" i="2"/>
  <c r="CD60" i="2" s="1"/>
  <c r="CS60" i="2" s="1"/>
  <c r="BR60" i="2"/>
  <c r="CE60" i="2" s="1"/>
  <c r="CT60" i="2" s="1"/>
  <c r="BS60" i="2"/>
  <c r="CF60" i="2" s="1"/>
  <c r="CU60" i="2" s="1"/>
  <c r="BH61" i="2"/>
  <c r="BU61" i="2" s="1"/>
  <c r="CJ61" i="2" s="1"/>
  <c r="BI61" i="2"/>
  <c r="BV61" i="2" s="1"/>
  <c r="CK61" i="2" s="1"/>
  <c r="BJ61" i="2"/>
  <c r="BW61" i="2" s="1"/>
  <c r="CL61" i="2" s="1"/>
  <c r="BK61" i="2"/>
  <c r="BX61" i="2" s="1"/>
  <c r="CM61" i="2" s="1"/>
  <c r="BL61" i="2"/>
  <c r="BY61" i="2" s="1"/>
  <c r="CN61" i="2" s="1"/>
  <c r="BM61" i="2"/>
  <c r="BZ61" i="2" s="1"/>
  <c r="CO61" i="2" s="1"/>
  <c r="BN61" i="2"/>
  <c r="CA61" i="2" s="1"/>
  <c r="CP61" i="2" s="1"/>
  <c r="BO61" i="2"/>
  <c r="CB61" i="2" s="1"/>
  <c r="CQ61" i="2" s="1"/>
  <c r="BP61" i="2"/>
  <c r="CC61" i="2" s="1"/>
  <c r="CR61" i="2" s="1"/>
  <c r="BQ61" i="2"/>
  <c r="CD61" i="2" s="1"/>
  <c r="CS61" i="2" s="1"/>
  <c r="BR61" i="2"/>
  <c r="CE61" i="2" s="1"/>
  <c r="CT61" i="2" s="1"/>
  <c r="BS61" i="2"/>
  <c r="CF61" i="2" s="1"/>
  <c r="CU61" i="2" s="1"/>
  <c r="BH62" i="2"/>
  <c r="BU62" i="2" s="1"/>
  <c r="CJ62" i="2" s="1"/>
  <c r="BI62" i="2"/>
  <c r="BV62" i="2" s="1"/>
  <c r="CK62" i="2" s="1"/>
  <c r="BJ62" i="2"/>
  <c r="BW62" i="2" s="1"/>
  <c r="CL62" i="2" s="1"/>
  <c r="BK62" i="2"/>
  <c r="BX62" i="2" s="1"/>
  <c r="CM62" i="2" s="1"/>
  <c r="BL62" i="2"/>
  <c r="BY62" i="2" s="1"/>
  <c r="CN62" i="2" s="1"/>
  <c r="BM62" i="2"/>
  <c r="BZ62" i="2" s="1"/>
  <c r="CO62" i="2" s="1"/>
  <c r="BN62" i="2"/>
  <c r="CA62" i="2" s="1"/>
  <c r="CP62" i="2" s="1"/>
  <c r="BO62" i="2"/>
  <c r="CB62" i="2" s="1"/>
  <c r="CQ62" i="2" s="1"/>
  <c r="BP62" i="2"/>
  <c r="CC62" i="2" s="1"/>
  <c r="CR62" i="2" s="1"/>
  <c r="BQ62" i="2"/>
  <c r="CD62" i="2" s="1"/>
  <c r="CS62" i="2" s="1"/>
  <c r="BR62" i="2"/>
  <c r="CE62" i="2" s="1"/>
  <c r="CT62" i="2" s="1"/>
  <c r="BS62" i="2"/>
  <c r="CF62" i="2" s="1"/>
  <c r="CU62" i="2" s="1"/>
  <c r="BH63" i="2"/>
  <c r="BU63" i="2" s="1"/>
  <c r="CJ63" i="2" s="1"/>
  <c r="BI63" i="2"/>
  <c r="BV63" i="2" s="1"/>
  <c r="CK63" i="2" s="1"/>
  <c r="BJ63" i="2"/>
  <c r="BW63" i="2" s="1"/>
  <c r="CL63" i="2" s="1"/>
  <c r="BK63" i="2"/>
  <c r="BX63" i="2" s="1"/>
  <c r="CM63" i="2" s="1"/>
  <c r="BL63" i="2"/>
  <c r="BY63" i="2" s="1"/>
  <c r="CN63" i="2" s="1"/>
  <c r="BM63" i="2"/>
  <c r="BZ63" i="2" s="1"/>
  <c r="CO63" i="2" s="1"/>
  <c r="BN63" i="2"/>
  <c r="CA63" i="2" s="1"/>
  <c r="CP63" i="2" s="1"/>
  <c r="BO63" i="2"/>
  <c r="CB63" i="2" s="1"/>
  <c r="CQ63" i="2" s="1"/>
  <c r="BP63" i="2"/>
  <c r="CC63" i="2" s="1"/>
  <c r="CR63" i="2" s="1"/>
  <c r="BQ63" i="2"/>
  <c r="CD63" i="2" s="1"/>
  <c r="CS63" i="2" s="1"/>
  <c r="BR63" i="2"/>
  <c r="CE63" i="2" s="1"/>
  <c r="CT63" i="2" s="1"/>
  <c r="BS63" i="2"/>
  <c r="CF63" i="2" s="1"/>
  <c r="CU63" i="2" s="1"/>
  <c r="BH64" i="2"/>
  <c r="BU64" i="2" s="1"/>
  <c r="CJ64" i="2" s="1"/>
  <c r="BI64" i="2"/>
  <c r="BV64" i="2" s="1"/>
  <c r="CK64" i="2" s="1"/>
  <c r="BJ64" i="2"/>
  <c r="BW64" i="2" s="1"/>
  <c r="CL64" i="2" s="1"/>
  <c r="BK64" i="2"/>
  <c r="BX64" i="2" s="1"/>
  <c r="CM64" i="2" s="1"/>
  <c r="BL64" i="2"/>
  <c r="BY64" i="2" s="1"/>
  <c r="CN64" i="2" s="1"/>
  <c r="BM64" i="2"/>
  <c r="BZ64" i="2" s="1"/>
  <c r="CO64" i="2" s="1"/>
  <c r="BN64" i="2"/>
  <c r="CA64" i="2" s="1"/>
  <c r="CP64" i="2" s="1"/>
  <c r="BO64" i="2"/>
  <c r="CB64" i="2" s="1"/>
  <c r="CQ64" i="2" s="1"/>
  <c r="BP64" i="2"/>
  <c r="CC64" i="2" s="1"/>
  <c r="CR64" i="2" s="1"/>
  <c r="BQ64" i="2"/>
  <c r="CD64" i="2" s="1"/>
  <c r="CS64" i="2" s="1"/>
  <c r="BR64" i="2"/>
  <c r="CE64" i="2" s="1"/>
  <c r="CT64" i="2" s="1"/>
  <c r="BS64" i="2"/>
  <c r="CF64" i="2" s="1"/>
  <c r="CU64" i="2" s="1"/>
  <c r="BH65" i="2"/>
  <c r="BU65" i="2" s="1"/>
  <c r="CJ65" i="2" s="1"/>
  <c r="BI65" i="2"/>
  <c r="BV65" i="2" s="1"/>
  <c r="CK65" i="2" s="1"/>
  <c r="BJ65" i="2"/>
  <c r="BW65" i="2" s="1"/>
  <c r="CL65" i="2" s="1"/>
  <c r="BK65" i="2"/>
  <c r="BX65" i="2" s="1"/>
  <c r="CM65" i="2" s="1"/>
  <c r="BL65" i="2"/>
  <c r="BY65" i="2" s="1"/>
  <c r="CN65" i="2" s="1"/>
  <c r="BM65" i="2"/>
  <c r="BZ65" i="2" s="1"/>
  <c r="CO65" i="2" s="1"/>
  <c r="BN65" i="2"/>
  <c r="CA65" i="2" s="1"/>
  <c r="CP65" i="2" s="1"/>
  <c r="BO65" i="2"/>
  <c r="CB65" i="2" s="1"/>
  <c r="CQ65" i="2" s="1"/>
  <c r="BP65" i="2"/>
  <c r="CC65" i="2" s="1"/>
  <c r="CR65" i="2" s="1"/>
  <c r="BQ65" i="2"/>
  <c r="CD65" i="2" s="1"/>
  <c r="CS65" i="2" s="1"/>
  <c r="BR65" i="2"/>
  <c r="CE65" i="2" s="1"/>
  <c r="CT65" i="2" s="1"/>
  <c r="BS65" i="2"/>
  <c r="CF65" i="2" s="1"/>
  <c r="CU65" i="2" s="1"/>
  <c r="BH66" i="2"/>
  <c r="BU66" i="2" s="1"/>
  <c r="CJ66" i="2" s="1"/>
  <c r="BI66" i="2"/>
  <c r="BV66" i="2" s="1"/>
  <c r="CK66" i="2" s="1"/>
  <c r="BJ66" i="2"/>
  <c r="BW66" i="2" s="1"/>
  <c r="CL66" i="2" s="1"/>
  <c r="BK66" i="2"/>
  <c r="BX66" i="2" s="1"/>
  <c r="CM66" i="2" s="1"/>
  <c r="BL66" i="2"/>
  <c r="BY66" i="2" s="1"/>
  <c r="CN66" i="2" s="1"/>
  <c r="BM66" i="2"/>
  <c r="BZ66" i="2" s="1"/>
  <c r="CO66" i="2" s="1"/>
  <c r="BN66" i="2"/>
  <c r="CA66" i="2" s="1"/>
  <c r="CP66" i="2" s="1"/>
  <c r="BO66" i="2"/>
  <c r="CB66" i="2" s="1"/>
  <c r="CQ66" i="2" s="1"/>
  <c r="BP66" i="2"/>
  <c r="CC66" i="2" s="1"/>
  <c r="CR66" i="2" s="1"/>
  <c r="BQ66" i="2"/>
  <c r="CD66" i="2" s="1"/>
  <c r="CS66" i="2" s="1"/>
  <c r="BR66" i="2"/>
  <c r="CE66" i="2" s="1"/>
  <c r="CT66" i="2" s="1"/>
  <c r="BS66" i="2"/>
  <c r="CF66" i="2" s="1"/>
  <c r="CU66" i="2" s="1"/>
  <c r="BI42" i="2"/>
  <c r="BV42" i="2" s="1"/>
  <c r="CK42" i="2" s="1"/>
  <c r="BJ42" i="2"/>
  <c r="BW42" i="2" s="1"/>
  <c r="CL42" i="2" s="1"/>
  <c r="BK42" i="2"/>
  <c r="BX42" i="2" s="1"/>
  <c r="CM42" i="2" s="1"/>
  <c r="BL42" i="2"/>
  <c r="BY42" i="2" s="1"/>
  <c r="CN42" i="2" s="1"/>
  <c r="BM42" i="2"/>
  <c r="BZ42" i="2" s="1"/>
  <c r="CO42" i="2" s="1"/>
  <c r="BN42" i="2"/>
  <c r="CA42" i="2" s="1"/>
  <c r="CP42" i="2" s="1"/>
  <c r="BO42" i="2"/>
  <c r="CB42" i="2" s="1"/>
  <c r="CQ42" i="2" s="1"/>
  <c r="BP42" i="2"/>
  <c r="CC42" i="2" s="1"/>
  <c r="CR42" i="2" s="1"/>
  <c r="BQ42" i="2"/>
  <c r="CD42" i="2" s="1"/>
  <c r="CS42" i="2" s="1"/>
  <c r="BR42" i="2"/>
  <c r="CE42" i="2" s="1"/>
  <c r="CT42" i="2" s="1"/>
  <c r="BS42" i="2"/>
  <c r="CF42" i="2" s="1"/>
  <c r="CU42" i="2" s="1"/>
  <c r="BH42" i="2"/>
  <c r="BU42" i="2" s="1"/>
  <c r="CJ42" i="2" s="1"/>
  <c r="S42" i="2"/>
  <c r="S43" i="2"/>
  <c r="S44" i="2"/>
  <c r="S45" i="2"/>
  <c r="S46" i="2"/>
  <c r="S47" i="2"/>
  <c r="S48" i="2"/>
  <c r="S49" i="2"/>
  <c r="S50" i="2"/>
  <c r="S51" i="2"/>
  <c r="S52" i="2"/>
  <c r="S53" i="2"/>
  <c r="S54" i="2"/>
  <c r="S55" i="2"/>
  <c r="S56" i="2"/>
  <c r="S57" i="2"/>
  <c r="S58" i="2"/>
  <c r="S59" i="2"/>
  <c r="S60" i="2"/>
  <c r="S61" i="2"/>
  <c r="S62" i="2"/>
  <c r="S63" i="2"/>
  <c r="S64" i="2"/>
  <c r="S65" i="2"/>
  <c r="S66" i="2"/>
  <c r="CV66" i="2" l="1"/>
  <c r="V66" i="2" s="1"/>
  <c r="CV50" i="2"/>
  <c r="V50" i="2" s="1"/>
  <c r="CV49" i="2"/>
  <c r="V49" i="2" s="1"/>
  <c r="CV65" i="2"/>
  <c r="V65" i="2" s="1"/>
  <c r="CV58" i="2"/>
  <c r="V58" i="2" s="1"/>
  <c r="CV56" i="2"/>
  <c r="V56" i="2" s="1"/>
  <c r="CV57" i="2"/>
  <c r="V57" i="2" s="1"/>
  <c r="CV63" i="2"/>
  <c r="V63" i="2" s="1"/>
  <c r="CV59" i="2"/>
  <c r="V59" i="2" s="1"/>
  <c r="CV55" i="2"/>
  <c r="V55" i="2" s="1"/>
  <c r="CV51" i="2"/>
  <c r="V51" i="2" s="1"/>
  <c r="CV47" i="2"/>
  <c r="V47" i="2" s="1"/>
  <c r="CV43" i="2"/>
  <c r="V43" i="2" s="1"/>
  <c r="CV64" i="2"/>
  <c r="V64" i="2" s="1"/>
  <c r="CV62" i="2"/>
  <c r="V62" i="2" s="1"/>
  <c r="CV60" i="2"/>
  <c r="V60" i="2" s="1"/>
  <c r="CV54" i="2"/>
  <c r="V54" i="2" s="1"/>
  <c r="CV52" i="2"/>
  <c r="V52" i="2" s="1"/>
  <c r="CV48" i="2"/>
  <c r="V48" i="2" s="1"/>
  <c r="CV46" i="2"/>
  <c r="V46" i="2" s="1"/>
  <c r="CV44" i="2"/>
  <c r="V44" i="2" s="1"/>
  <c r="CV61" i="2"/>
  <c r="V61" i="2" s="1"/>
  <c r="CV53" i="2"/>
  <c r="V53" i="2" s="1"/>
  <c r="CV45" i="2"/>
  <c r="V45" i="2" s="1"/>
  <c r="CV42" i="2"/>
  <c r="V42" i="2" s="1"/>
  <c r="BH18" i="2" l="1"/>
  <c r="BU18" i="2" s="1"/>
  <c r="CJ18" i="2" s="1"/>
  <c r="BI18" i="2"/>
  <c r="BV18" i="2" s="1"/>
  <c r="CK18" i="2" s="1"/>
  <c r="BJ18" i="2"/>
  <c r="BW18" i="2" s="1"/>
  <c r="CL18" i="2" s="1"/>
  <c r="BK18" i="2"/>
  <c r="BX18" i="2" s="1"/>
  <c r="CM18" i="2" s="1"/>
  <c r="BL18" i="2"/>
  <c r="BY18" i="2" s="1"/>
  <c r="CN18" i="2" s="1"/>
  <c r="BM18" i="2"/>
  <c r="BZ18" i="2" s="1"/>
  <c r="CO18" i="2" s="1"/>
  <c r="BN18" i="2"/>
  <c r="CA18" i="2" s="1"/>
  <c r="CP18" i="2" s="1"/>
  <c r="BO18" i="2"/>
  <c r="CB18" i="2" s="1"/>
  <c r="CQ18" i="2" s="1"/>
  <c r="BP18" i="2"/>
  <c r="CC18" i="2" s="1"/>
  <c r="CR18" i="2" s="1"/>
  <c r="BQ18" i="2"/>
  <c r="CD18" i="2" s="1"/>
  <c r="CS18" i="2" s="1"/>
  <c r="BR18" i="2"/>
  <c r="CE18" i="2" s="1"/>
  <c r="CT18" i="2" s="1"/>
  <c r="BS18" i="2"/>
  <c r="CF18" i="2" s="1"/>
  <c r="CU18" i="2" s="1"/>
  <c r="BH19" i="2"/>
  <c r="BU19" i="2" s="1"/>
  <c r="CJ19" i="2" s="1"/>
  <c r="BI19" i="2"/>
  <c r="BV19" i="2" s="1"/>
  <c r="CK19" i="2" s="1"/>
  <c r="BJ19" i="2"/>
  <c r="BW19" i="2" s="1"/>
  <c r="CL19" i="2" s="1"/>
  <c r="BK19" i="2"/>
  <c r="BX19" i="2" s="1"/>
  <c r="CM19" i="2" s="1"/>
  <c r="BL19" i="2"/>
  <c r="BY19" i="2" s="1"/>
  <c r="CN19" i="2" s="1"/>
  <c r="BM19" i="2"/>
  <c r="BZ19" i="2" s="1"/>
  <c r="CO19" i="2" s="1"/>
  <c r="BN19" i="2"/>
  <c r="CA19" i="2" s="1"/>
  <c r="CP19" i="2" s="1"/>
  <c r="BO19" i="2"/>
  <c r="CB19" i="2" s="1"/>
  <c r="CQ19" i="2" s="1"/>
  <c r="BP19" i="2"/>
  <c r="CC19" i="2" s="1"/>
  <c r="CR19" i="2" s="1"/>
  <c r="BQ19" i="2"/>
  <c r="CD19" i="2" s="1"/>
  <c r="CS19" i="2" s="1"/>
  <c r="BR19" i="2"/>
  <c r="CE19" i="2" s="1"/>
  <c r="CT19" i="2" s="1"/>
  <c r="BS19" i="2"/>
  <c r="CF19" i="2" s="1"/>
  <c r="CU19" i="2" s="1"/>
  <c r="BH20" i="2"/>
  <c r="BU20" i="2" s="1"/>
  <c r="CJ20" i="2" s="1"/>
  <c r="BI20" i="2"/>
  <c r="BV20" i="2" s="1"/>
  <c r="CK20" i="2" s="1"/>
  <c r="BJ20" i="2"/>
  <c r="BW20" i="2" s="1"/>
  <c r="CL20" i="2" s="1"/>
  <c r="BK20" i="2"/>
  <c r="BX20" i="2" s="1"/>
  <c r="CM20" i="2" s="1"/>
  <c r="BL20" i="2"/>
  <c r="BY20" i="2" s="1"/>
  <c r="CN20" i="2" s="1"/>
  <c r="BM20" i="2"/>
  <c r="BZ20" i="2" s="1"/>
  <c r="CO20" i="2" s="1"/>
  <c r="BN20" i="2"/>
  <c r="CA20" i="2" s="1"/>
  <c r="CP20" i="2" s="1"/>
  <c r="BO20" i="2"/>
  <c r="CB20" i="2" s="1"/>
  <c r="CQ20" i="2" s="1"/>
  <c r="BP20" i="2"/>
  <c r="CC20" i="2" s="1"/>
  <c r="CR20" i="2" s="1"/>
  <c r="BQ20" i="2"/>
  <c r="CD20" i="2" s="1"/>
  <c r="CS20" i="2" s="1"/>
  <c r="BR20" i="2"/>
  <c r="CE20" i="2" s="1"/>
  <c r="CT20" i="2" s="1"/>
  <c r="BS20" i="2"/>
  <c r="CF20" i="2" s="1"/>
  <c r="CU20" i="2" s="1"/>
  <c r="BH21" i="2"/>
  <c r="BU21" i="2" s="1"/>
  <c r="CJ21" i="2" s="1"/>
  <c r="BI21" i="2"/>
  <c r="BV21" i="2" s="1"/>
  <c r="CK21" i="2" s="1"/>
  <c r="BJ21" i="2"/>
  <c r="BW21" i="2" s="1"/>
  <c r="CL21" i="2" s="1"/>
  <c r="BK21" i="2"/>
  <c r="BX21" i="2" s="1"/>
  <c r="CM21" i="2" s="1"/>
  <c r="BL21" i="2"/>
  <c r="BY21" i="2" s="1"/>
  <c r="CN21" i="2" s="1"/>
  <c r="BM21" i="2"/>
  <c r="BZ21" i="2" s="1"/>
  <c r="CO21" i="2" s="1"/>
  <c r="BN21" i="2"/>
  <c r="CA21" i="2" s="1"/>
  <c r="CP21" i="2" s="1"/>
  <c r="BO21" i="2"/>
  <c r="CB21" i="2" s="1"/>
  <c r="CQ21" i="2" s="1"/>
  <c r="BP21" i="2"/>
  <c r="CC21" i="2" s="1"/>
  <c r="CR21" i="2" s="1"/>
  <c r="BQ21" i="2"/>
  <c r="CD21" i="2" s="1"/>
  <c r="CS21" i="2" s="1"/>
  <c r="BR21" i="2"/>
  <c r="CE21" i="2" s="1"/>
  <c r="CT21" i="2" s="1"/>
  <c r="BS21" i="2"/>
  <c r="CF21" i="2" s="1"/>
  <c r="CU21" i="2" s="1"/>
  <c r="BH22" i="2"/>
  <c r="BU22" i="2" s="1"/>
  <c r="CJ22" i="2" s="1"/>
  <c r="BI22" i="2"/>
  <c r="BV22" i="2" s="1"/>
  <c r="CK22" i="2" s="1"/>
  <c r="BJ22" i="2"/>
  <c r="BW22" i="2" s="1"/>
  <c r="CL22" i="2" s="1"/>
  <c r="BK22" i="2"/>
  <c r="BX22" i="2" s="1"/>
  <c r="CM22" i="2" s="1"/>
  <c r="BL22" i="2"/>
  <c r="BY22" i="2" s="1"/>
  <c r="CN22" i="2" s="1"/>
  <c r="BM22" i="2"/>
  <c r="BZ22" i="2" s="1"/>
  <c r="CO22" i="2" s="1"/>
  <c r="BN22" i="2"/>
  <c r="CA22" i="2" s="1"/>
  <c r="CP22" i="2" s="1"/>
  <c r="BO22" i="2"/>
  <c r="CB22" i="2" s="1"/>
  <c r="CQ22" i="2" s="1"/>
  <c r="BP22" i="2"/>
  <c r="CC22" i="2" s="1"/>
  <c r="CR22" i="2" s="1"/>
  <c r="BQ22" i="2"/>
  <c r="CD22" i="2" s="1"/>
  <c r="CS22" i="2" s="1"/>
  <c r="BR22" i="2"/>
  <c r="CE22" i="2" s="1"/>
  <c r="CT22" i="2" s="1"/>
  <c r="BS22" i="2"/>
  <c r="CF22" i="2" s="1"/>
  <c r="CU22" i="2" s="1"/>
  <c r="BH23" i="2"/>
  <c r="BU23" i="2" s="1"/>
  <c r="CJ23" i="2" s="1"/>
  <c r="BI23" i="2"/>
  <c r="BV23" i="2" s="1"/>
  <c r="CK23" i="2" s="1"/>
  <c r="BJ23" i="2"/>
  <c r="BW23" i="2" s="1"/>
  <c r="CL23" i="2" s="1"/>
  <c r="BK23" i="2"/>
  <c r="BX23" i="2" s="1"/>
  <c r="CM23" i="2" s="1"/>
  <c r="BL23" i="2"/>
  <c r="BY23" i="2" s="1"/>
  <c r="CN23" i="2" s="1"/>
  <c r="BM23" i="2"/>
  <c r="BZ23" i="2" s="1"/>
  <c r="CO23" i="2" s="1"/>
  <c r="BN23" i="2"/>
  <c r="CA23" i="2" s="1"/>
  <c r="CP23" i="2" s="1"/>
  <c r="BO23" i="2"/>
  <c r="CB23" i="2" s="1"/>
  <c r="CQ23" i="2" s="1"/>
  <c r="BP23" i="2"/>
  <c r="CC23" i="2" s="1"/>
  <c r="CR23" i="2" s="1"/>
  <c r="BQ23" i="2"/>
  <c r="CD23" i="2" s="1"/>
  <c r="CS23" i="2" s="1"/>
  <c r="BR23" i="2"/>
  <c r="CE23" i="2" s="1"/>
  <c r="CT23" i="2" s="1"/>
  <c r="BS23" i="2"/>
  <c r="CF23" i="2" s="1"/>
  <c r="CU23" i="2" s="1"/>
  <c r="BH24" i="2"/>
  <c r="BU24" i="2" s="1"/>
  <c r="CJ24" i="2" s="1"/>
  <c r="BI24" i="2"/>
  <c r="BV24" i="2" s="1"/>
  <c r="CK24" i="2" s="1"/>
  <c r="BJ24" i="2"/>
  <c r="BW24" i="2" s="1"/>
  <c r="CL24" i="2" s="1"/>
  <c r="BK24" i="2"/>
  <c r="BX24" i="2" s="1"/>
  <c r="CM24" i="2" s="1"/>
  <c r="BL24" i="2"/>
  <c r="BY24" i="2" s="1"/>
  <c r="CN24" i="2" s="1"/>
  <c r="BM24" i="2"/>
  <c r="BZ24" i="2" s="1"/>
  <c r="CO24" i="2" s="1"/>
  <c r="BN24" i="2"/>
  <c r="CA24" i="2" s="1"/>
  <c r="CP24" i="2" s="1"/>
  <c r="BO24" i="2"/>
  <c r="CB24" i="2" s="1"/>
  <c r="CQ24" i="2" s="1"/>
  <c r="BP24" i="2"/>
  <c r="CC24" i="2" s="1"/>
  <c r="CR24" i="2" s="1"/>
  <c r="BQ24" i="2"/>
  <c r="CD24" i="2" s="1"/>
  <c r="CS24" i="2" s="1"/>
  <c r="BR24" i="2"/>
  <c r="CE24" i="2" s="1"/>
  <c r="CT24" i="2" s="1"/>
  <c r="BS24" i="2"/>
  <c r="CF24" i="2" s="1"/>
  <c r="CU24" i="2" s="1"/>
  <c r="BH25" i="2"/>
  <c r="BU25" i="2" s="1"/>
  <c r="CJ25" i="2" s="1"/>
  <c r="BI25" i="2"/>
  <c r="BV25" i="2" s="1"/>
  <c r="CK25" i="2" s="1"/>
  <c r="BJ25" i="2"/>
  <c r="BW25" i="2" s="1"/>
  <c r="CL25" i="2" s="1"/>
  <c r="BK25" i="2"/>
  <c r="BX25" i="2" s="1"/>
  <c r="CM25" i="2" s="1"/>
  <c r="BL25" i="2"/>
  <c r="BY25" i="2" s="1"/>
  <c r="CN25" i="2" s="1"/>
  <c r="BM25" i="2"/>
  <c r="BZ25" i="2" s="1"/>
  <c r="CO25" i="2" s="1"/>
  <c r="BN25" i="2"/>
  <c r="CA25" i="2" s="1"/>
  <c r="CP25" i="2" s="1"/>
  <c r="BO25" i="2"/>
  <c r="CB25" i="2" s="1"/>
  <c r="CQ25" i="2" s="1"/>
  <c r="BP25" i="2"/>
  <c r="CC25" i="2" s="1"/>
  <c r="CR25" i="2" s="1"/>
  <c r="BQ25" i="2"/>
  <c r="CD25" i="2" s="1"/>
  <c r="CS25" i="2" s="1"/>
  <c r="BR25" i="2"/>
  <c r="CE25" i="2" s="1"/>
  <c r="CT25" i="2" s="1"/>
  <c r="BS25" i="2"/>
  <c r="CF25" i="2" s="1"/>
  <c r="CU25" i="2" s="1"/>
  <c r="BH26" i="2"/>
  <c r="BU26" i="2" s="1"/>
  <c r="CJ26" i="2" s="1"/>
  <c r="BI26" i="2"/>
  <c r="BV26" i="2" s="1"/>
  <c r="CK26" i="2" s="1"/>
  <c r="BJ26" i="2"/>
  <c r="BW26" i="2" s="1"/>
  <c r="CL26" i="2" s="1"/>
  <c r="BK26" i="2"/>
  <c r="BX26" i="2" s="1"/>
  <c r="CM26" i="2" s="1"/>
  <c r="BL26" i="2"/>
  <c r="BY26" i="2" s="1"/>
  <c r="CN26" i="2" s="1"/>
  <c r="BM26" i="2"/>
  <c r="BZ26" i="2" s="1"/>
  <c r="CO26" i="2" s="1"/>
  <c r="BN26" i="2"/>
  <c r="CA26" i="2" s="1"/>
  <c r="CP26" i="2" s="1"/>
  <c r="BO26" i="2"/>
  <c r="CB26" i="2" s="1"/>
  <c r="CQ26" i="2" s="1"/>
  <c r="BP26" i="2"/>
  <c r="CC26" i="2" s="1"/>
  <c r="CR26" i="2" s="1"/>
  <c r="BQ26" i="2"/>
  <c r="CD26" i="2" s="1"/>
  <c r="CS26" i="2" s="1"/>
  <c r="BR26" i="2"/>
  <c r="CE26" i="2" s="1"/>
  <c r="CT26" i="2" s="1"/>
  <c r="BS26" i="2"/>
  <c r="CF26" i="2" s="1"/>
  <c r="CU26" i="2" s="1"/>
  <c r="BH27" i="2"/>
  <c r="BU27" i="2" s="1"/>
  <c r="CJ27" i="2" s="1"/>
  <c r="BI27" i="2"/>
  <c r="BV27" i="2" s="1"/>
  <c r="CK27" i="2" s="1"/>
  <c r="BJ27" i="2"/>
  <c r="BW27" i="2" s="1"/>
  <c r="CL27" i="2" s="1"/>
  <c r="BK27" i="2"/>
  <c r="BX27" i="2" s="1"/>
  <c r="CM27" i="2" s="1"/>
  <c r="BL27" i="2"/>
  <c r="BY27" i="2" s="1"/>
  <c r="CN27" i="2" s="1"/>
  <c r="BM27" i="2"/>
  <c r="BZ27" i="2" s="1"/>
  <c r="CO27" i="2" s="1"/>
  <c r="BN27" i="2"/>
  <c r="CA27" i="2" s="1"/>
  <c r="CP27" i="2" s="1"/>
  <c r="BO27" i="2"/>
  <c r="CB27" i="2" s="1"/>
  <c r="CQ27" i="2" s="1"/>
  <c r="BP27" i="2"/>
  <c r="CC27" i="2" s="1"/>
  <c r="CR27" i="2" s="1"/>
  <c r="BQ27" i="2"/>
  <c r="CD27" i="2" s="1"/>
  <c r="CS27" i="2" s="1"/>
  <c r="BR27" i="2"/>
  <c r="CE27" i="2" s="1"/>
  <c r="CT27" i="2" s="1"/>
  <c r="BS27" i="2"/>
  <c r="CF27" i="2" s="1"/>
  <c r="CU27" i="2" s="1"/>
  <c r="BH28" i="2"/>
  <c r="BU28" i="2" s="1"/>
  <c r="CJ28" i="2" s="1"/>
  <c r="BI28" i="2"/>
  <c r="BV28" i="2" s="1"/>
  <c r="CK28" i="2" s="1"/>
  <c r="BJ28" i="2"/>
  <c r="BW28" i="2" s="1"/>
  <c r="CL28" i="2" s="1"/>
  <c r="BK28" i="2"/>
  <c r="BX28" i="2" s="1"/>
  <c r="CM28" i="2" s="1"/>
  <c r="BL28" i="2"/>
  <c r="BY28" i="2" s="1"/>
  <c r="CN28" i="2" s="1"/>
  <c r="BM28" i="2"/>
  <c r="BZ28" i="2" s="1"/>
  <c r="CO28" i="2" s="1"/>
  <c r="BN28" i="2"/>
  <c r="CA28" i="2" s="1"/>
  <c r="CP28" i="2" s="1"/>
  <c r="BO28" i="2"/>
  <c r="CB28" i="2" s="1"/>
  <c r="CQ28" i="2" s="1"/>
  <c r="BP28" i="2"/>
  <c r="CC28" i="2" s="1"/>
  <c r="CR28" i="2" s="1"/>
  <c r="BQ28" i="2"/>
  <c r="CD28" i="2" s="1"/>
  <c r="CS28" i="2" s="1"/>
  <c r="BR28" i="2"/>
  <c r="CE28" i="2" s="1"/>
  <c r="CT28" i="2" s="1"/>
  <c r="BS28" i="2"/>
  <c r="CF28" i="2" s="1"/>
  <c r="CU28" i="2" s="1"/>
  <c r="BH29" i="2"/>
  <c r="BU29" i="2" s="1"/>
  <c r="CJ29" i="2" s="1"/>
  <c r="BI29" i="2"/>
  <c r="BV29" i="2" s="1"/>
  <c r="CK29" i="2" s="1"/>
  <c r="BJ29" i="2"/>
  <c r="BW29" i="2" s="1"/>
  <c r="CL29" i="2" s="1"/>
  <c r="BK29" i="2"/>
  <c r="BX29" i="2" s="1"/>
  <c r="CM29" i="2" s="1"/>
  <c r="BL29" i="2"/>
  <c r="BY29" i="2" s="1"/>
  <c r="CN29" i="2" s="1"/>
  <c r="BM29" i="2"/>
  <c r="BZ29" i="2" s="1"/>
  <c r="CO29" i="2" s="1"/>
  <c r="BN29" i="2"/>
  <c r="CA29" i="2" s="1"/>
  <c r="CP29" i="2" s="1"/>
  <c r="BO29" i="2"/>
  <c r="CB29" i="2" s="1"/>
  <c r="CQ29" i="2" s="1"/>
  <c r="BP29" i="2"/>
  <c r="CC29" i="2" s="1"/>
  <c r="CR29" i="2" s="1"/>
  <c r="BQ29" i="2"/>
  <c r="CD29" i="2" s="1"/>
  <c r="CS29" i="2" s="1"/>
  <c r="BR29" i="2"/>
  <c r="CE29" i="2" s="1"/>
  <c r="CT29" i="2" s="1"/>
  <c r="BS29" i="2"/>
  <c r="CF29" i="2" s="1"/>
  <c r="CU29" i="2" s="1"/>
  <c r="BH30" i="2"/>
  <c r="BU30" i="2" s="1"/>
  <c r="CJ30" i="2" s="1"/>
  <c r="BI30" i="2"/>
  <c r="BV30" i="2" s="1"/>
  <c r="CK30" i="2" s="1"/>
  <c r="BJ30" i="2"/>
  <c r="BW30" i="2" s="1"/>
  <c r="CL30" i="2" s="1"/>
  <c r="BK30" i="2"/>
  <c r="BX30" i="2" s="1"/>
  <c r="CM30" i="2" s="1"/>
  <c r="BL30" i="2"/>
  <c r="BY30" i="2" s="1"/>
  <c r="CN30" i="2" s="1"/>
  <c r="BM30" i="2"/>
  <c r="BZ30" i="2" s="1"/>
  <c r="CO30" i="2" s="1"/>
  <c r="BN30" i="2"/>
  <c r="CA30" i="2" s="1"/>
  <c r="CP30" i="2" s="1"/>
  <c r="BO30" i="2"/>
  <c r="CB30" i="2" s="1"/>
  <c r="CQ30" i="2" s="1"/>
  <c r="BP30" i="2"/>
  <c r="CC30" i="2" s="1"/>
  <c r="CR30" i="2" s="1"/>
  <c r="BQ30" i="2"/>
  <c r="CD30" i="2" s="1"/>
  <c r="CS30" i="2" s="1"/>
  <c r="BR30" i="2"/>
  <c r="CE30" i="2" s="1"/>
  <c r="CT30" i="2" s="1"/>
  <c r="BS30" i="2"/>
  <c r="CF30" i="2" s="1"/>
  <c r="CU30" i="2" s="1"/>
  <c r="BH31" i="2"/>
  <c r="BU31" i="2" s="1"/>
  <c r="CJ31" i="2" s="1"/>
  <c r="BI31" i="2"/>
  <c r="BV31" i="2" s="1"/>
  <c r="CK31" i="2" s="1"/>
  <c r="BJ31" i="2"/>
  <c r="BW31" i="2" s="1"/>
  <c r="CL31" i="2" s="1"/>
  <c r="BK31" i="2"/>
  <c r="BX31" i="2" s="1"/>
  <c r="CM31" i="2" s="1"/>
  <c r="BL31" i="2"/>
  <c r="BY31" i="2" s="1"/>
  <c r="CN31" i="2" s="1"/>
  <c r="BM31" i="2"/>
  <c r="BZ31" i="2" s="1"/>
  <c r="CO31" i="2" s="1"/>
  <c r="BN31" i="2"/>
  <c r="CA31" i="2" s="1"/>
  <c r="CP31" i="2" s="1"/>
  <c r="BO31" i="2"/>
  <c r="CB31" i="2" s="1"/>
  <c r="CQ31" i="2" s="1"/>
  <c r="BP31" i="2"/>
  <c r="CC31" i="2" s="1"/>
  <c r="CR31" i="2" s="1"/>
  <c r="BQ31" i="2"/>
  <c r="CD31" i="2" s="1"/>
  <c r="CS31" i="2" s="1"/>
  <c r="BR31" i="2"/>
  <c r="CE31" i="2" s="1"/>
  <c r="CT31" i="2" s="1"/>
  <c r="BS31" i="2"/>
  <c r="CF31" i="2" s="1"/>
  <c r="CU31" i="2" s="1"/>
  <c r="BH32" i="2"/>
  <c r="BU32" i="2" s="1"/>
  <c r="CJ32" i="2" s="1"/>
  <c r="BI32" i="2"/>
  <c r="BV32" i="2" s="1"/>
  <c r="CK32" i="2" s="1"/>
  <c r="BJ32" i="2"/>
  <c r="BW32" i="2" s="1"/>
  <c r="CL32" i="2" s="1"/>
  <c r="BK32" i="2"/>
  <c r="BX32" i="2" s="1"/>
  <c r="CM32" i="2" s="1"/>
  <c r="BL32" i="2"/>
  <c r="BY32" i="2" s="1"/>
  <c r="CN32" i="2" s="1"/>
  <c r="BM32" i="2"/>
  <c r="BZ32" i="2" s="1"/>
  <c r="CO32" i="2" s="1"/>
  <c r="BN32" i="2"/>
  <c r="CA32" i="2" s="1"/>
  <c r="CP32" i="2" s="1"/>
  <c r="BO32" i="2"/>
  <c r="CB32" i="2" s="1"/>
  <c r="CQ32" i="2" s="1"/>
  <c r="BP32" i="2"/>
  <c r="CC32" i="2" s="1"/>
  <c r="CR32" i="2" s="1"/>
  <c r="BQ32" i="2"/>
  <c r="CD32" i="2" s="1"/>
  <c r="CS32" i="2" s="1"/>
  <c r="BR32" i="2"/>
  <c r="CE32" i="2" s="1"/>
  <c r="CT32" i="2" s="1"/>
  <c r="BS32" i="2"/>
  <c r="CF32" i="2" s="1"/>
  <c r="CU32" i="2" s="1"/>
  <c r="BH33" i="2"/>
  <c r="BU33" i="2" s="1"/>
  <c r="CJ33" i="2" s="1"/>
  <c r="BI33" i="2"/>
  <c r="BV33" i="2" s="1"/>
  <c r="CK33" i="2" s="1"/>
  <c r="BJ33" i="2"/>
  <c r="BW33" i="2" s="1"/>
  <c r="CL33" i="2" s="1"/>
  <c r="BK33" i="2"/>
  <c r="BX33" i="2" s="1"/>
  <c r="CM33" i="2" s="1"/>
  <c r="BL33" i="2"/>
  <c r="BY33" i="2" s="1"/>
  <c r="CN33" i="2" s="1"/>
  <c r="BM33" i="2"/>
  <c r="BZ33" i="2" s="1"/>
  <c r="CO33" i="2" s="1"/>
  <c r="BN33" i="2"/>
  <c r="CA33" i="2" s="1"/>
  <c r="CP33" i="2" s="1"/>
  <c r="BO33" i="2"/>
  <c r="CB33" i="2" s="1"/>
  <c r="CQ33" i="2" s="1"/>
  <c r="BP33" i="2"/>
  <c r="CC33" i="2" s="1"/>
  <c r="CR33" i="2" s="1"/>
  <c r="BQ33" i="2"/>
  <c r="CD33" i="2" s="1"/>
  <c r="CS33" i="2" s="1"/>
  <c r="BR33" i="2"/>
  <c r="CE33" i="2" s="1"/>
  <c r="CT33" i="2" s="1"/>
  <c r="BS33" i="2"/>
  <c r="CF33" i="2" s="1"/>
  <c r="CU33" i="2" s="1"/>
  <c r="BH34" i="2"/>
  <c r="BU34" i="2" s="1"/>
  <c r="CJ34" i="2" s="1"/>
  <c r="BI34" i="2"/>
  <c r="BV34" i="2" s="1"/>
  <c r="CK34" i="2" s="1"/>
  <c r="BJ34" i="2"/>
  <c r="BW34" i="2" s="1"/>
  <c r="CL34" i="2" s="1"/>
  <c r="BK34" i="2"/>
  <c r="BX34" i="2" s="1"/>
  <c r="CM34" i="2" s="1"/>
  <c r="BL34" i="2"/>
  <c r="BY34" i="2" s="1"/>
  <c r="CN34" i="2" s="1"/>
  <c r="BM34" i="2"/>
  <c r="BZ34" i="2" s="1"/>
  <c r="CO34" i="2" s="1"/>
  <c r="BN34" i="2"/>
  <c r="CA34" i="2" s="1"/>
  <c r="CP34" i="2" s="1"/>
  <c r="BO34" i="2"/>
  <c r="CB34" i="2" s="1"/>
  <c r="CQ34" i="2" s="1"/>
  <c r="BP34" i="2"/>
  <c r="CC34" i="2" s="1"/>
  <c r="CR34" i="2" s="1"/>
  <c r="BQ34" i="2"/>
  <c r="CD34" i="2" s="1"/>
  <c r="CS34" i="2" s="1"/>
  <c r="BR34" i="2"/>
  <c r="CE34" i="2" s="1"/>
  <c r="CT34" i="2" s="1"/>
  <c r="BS34" i="2"/>
  <c r="CF34" i="2" s="1"/>
  <c r="CU34" i="2" s="1"/>
  <c r="BH35" i="2"/>
  <c r="BU35" i="2" s="1"/>
  <c r="CJ35" i="2" s="1"/>
  <c r="BI35" i="2"/>
  <c r="BV35" i="2" s="1"/>
  <c r="CK35" i="2" s="1"/>
  <c r="BJ35" i="2"/>
  <c r="BW35" i="2" s="1"/>
  <c r="CL35" i="2" s="1"/>
  <c r="BK35" i="2"/>
  <c r="BX35" i="2" s="1"/>
  <c r="CM35" i="2" s="1"/>
  <c r="BL35" i="2"/>
  <c r="BY35" i="2" s="1"/>
  <c r="CN35" i="2" s="1"/>
  <c r="BM35" i="2"/>
  <c r="BZ35" i="2" s="1"/>
  <c r="CO35" i="2" s="1"/>
  <c r="BN35" i="2"/>
  <c r="CA35" i="2" s="1"/>
  <c r="CP35" i="2" s="1"/>
  <c r="BO35" i="2"/>
  <c r="CB35" i="2" s="1"/>
  <c r="CQ35" i="2" s="1"/>
  <c r="BP35" i="2"/>
  <c r="CC35" i="2" s="1"/>
  <c r="CR35" i="2" s="1"/>
  <c r="BQ35" i="2"/>
  <c r="CD35" i="2" s="1"/>
  <c r="CS35" i="2" s="1"/>
  <c r="BR35" i="2"/>
  <c r="CE35" i="2" s="1"/>
  <c r="CT35" i="2" s="1"/>
  <c r="BS35" i="2"/>
  <c r="CF35" i="2" s="1"/>
  <c r="CU35" i="2" s="1"/>
  <c r="BH36" i="2"/>
  <c r="BU36" i="2" s="1"/>
  <c r="CJ36" i="2" s="1"/>
  <c r="BI36" i="2"/>
  <c r="BV36" i="2" s="1"/>
  <c r="CK36" i="2" s="1"/>
  <c r="BJ36" i="2"/>
  <c r="BW36" i="2" s="1"/>
  <c r="CL36" i="2" s="1"/>
  <c r="BK36" i="2"/>
  <c r="BX36" i="2" s="1"/>
  <c r="CM36" i="2" s="1"/>
  <c r="BL36" i="2"/>
  <c r="BY36" i="2" s="1"/>
  <c r="CN36" i="2" s="1"/>
  <c r="BM36" i="2"/>
  <c r="BZ36" i="2" s="1"/>
  <c r="CO36" i="2" s="1"/>
  <c r="BN36" i="2"/>
  <c r="CA36" i="2" s="1"/>
  <c r="CP36" i="2" s="1"/>
  <c r="BO36" i="2"/>
  <c r="CB36" i="2" s="1"/>
  <c r="CQ36" i="2" s="1"/>
  <c r="BP36" i="2"/>
  <c r="CC36" i="2" s="1"/>
  <c r="CR36" i="2" s="1"/>
  <c r="BQ36" i="2"/>
  <c r="CD36" i="2" s="1"/>
  <c r="CS36" i="2" s="1"/>
  <c r="BR36" i="2"/>
  <c r="CE36" i="2" s="1"/>
  <c r="CT36" i="2" s="1"/>
  <c r="BS36" i="2"/>
  <c r="CF36" i="2" s="1"/>
  <c r="CU36" i="2" s="1"/>
  <c r="BH37" i="2"/>
  <c r="BU37" i="2" s="1"/>
  <c r="CJ37" i="2" s="1"/>
  <c r="BI37" i="2"/>
  <c r="BV37" i="2" s="1"/>
  <c r="CK37" i="2" s="1"/>
  <c r="BJ37" i="2"/>
  <c r="BW37" i="2" s="1"/>
  <c r="CL37" i="2" s="1"/>
  <c r="BK37" i="2"/>
  <c r="BX37" i="2" s="1"/>
  <c r="CM37" i="2" s="1"/>
  <c r="BL37" i="2"/>
  <c r="BY37" i="2" s="1"/>
  <c r="CN37" i="2" s="1"/>
  <c r="BM37" i="2"/>
  <c r="BZ37" i="2" s="1"/>
  <c r="CO37" i="2" s="1"/>
  <c r="BN37" i="2"/>
  <c r="CA37" i="2" s="1"/>
  <c r="CP37" i="2" s="1"/>
  <c r="BO37" i="2"/>
  <c r="CB37" i="2" s="1"/>
  <c r="CQ37" i="2" s="1"/>
  <c r="BP37" i="2"/>
  <c r="CC37" i="2" s="1"/>
  <c r="CR37" i="2" s="1"/>
  <c r="BQ37" i="2"/>
  <c r="CD37" i="2" s="1"/>
  <c r="CS37" i="2" s="1"/>
  <c r="BR37" i="2"/>
  <c r="CE37" i="2" s="1"/>
  <c r="CT37" i="2" s="1"/>
  <c r="BS37" i="2"/>
  <c r="CF37" i="2" s="1"/>
  <c r="CU37" i="2" s="1"/>
  <c r="BH38" i="2"/>
  <c r="BU38" i="2" s="1"/>
  <c r="CJ38" i="2" s="1"/>
  <c r="BI38" i="2"/>
  <c r="BV38" i="2" s="1"/>
  <c r="CK38" i="2" s="1"/>
  <c r="BJ38" i="2"/>
  <c r="BW38" i="2" s="1"/>
  <c r="CL38" i="2" s="1"/>
  <c r="BK38" i="2"/>
  <c r="BX38" i="2" s="1"/>
  <c r="CM38" i="2" s="1"/>
  <c r="BL38" i="2"/>
  <c r="BY38" i="2" s="1"/>
  <c r="CN38" i="2" s="1"/>
  <c r="BM38" i="2"/>
  <c r="BZ38" i="2" s="1"/>
  <c r="CO38" i="2" s="1"/>
  <c r="BN38" i="2"/>
  <c r="CA38" i="2" s="1"/>
  <c r="CP38" i="2" s="1"/>
  <c r="BO38" i="2"/>
  <c r="CB38" i="2" s="1"/>
  <c r="CQ38" i="2" s="1"/>
  <c r="BP38" i="2"/>
  <c r="CC38" i="2" s="1"/>
  <c r="CR38" i="2" s="1"/>
  <c r="BQ38" i="2"/>
  <c r="CD38" i="2" s="1"/>
  <c r="CS38" i="2" s="1"/>
  <c r="BR38" i="2"/>
  <c r="CE38" i="2" s="1"/>
  <c r="CT38" i="2" s="1"/>
  <c r="BS38" i="2"/>
  <c r="CF38" i="2" s="1"/>
  <c r="CU38" i="2" s="1"/>
  <c r="BH39" i="2"/>
  <c r="BU39" i="2" s="1"/>
  <c r="CJ39" i="2" s="1"/>
  <c r="BI39" i="2"/>
  <c r="BV39" i="2" s="1"/>
  <c r="CK39" i="2" s="1"/>
  <c r="BJ39" i="2"/>
  <c r="BW39" i="2" s="1"/>
  <c r="CL39" i="2" s="1"/>
  <c r="BK39" i="2"/>
  <c r="BX39" i="2" s="1"/>
  <c r="CM39" i="2" s="1"/>
  <c r="BL39" i="2"/>
  <c r="BY39" i="2" s="1"/>
  <c r="CN39" i="2" s="1"/>
  <c r="BM39" i="2"/>
  <c r="BZ39" i="2" s="1"/>
  <c r="CO39" i="2" s="1"/>
  <c r="BN39" i="2"/>
  <c r="CA39" i="2" s="1"/>
  <c r="CP39" i="2" s="1"/>
  <c r="BO39" i="2"/>
  <c r="CB39" i="2" s="1"/>
  <c r="CQ39" i="2" s="1"/>
  <c r="BP39" i="2"/>
  <c r="CC39" i="2" s="1"/>
  <c r="CR39" i="2" s="1"/>
  <c r="BQ39" i="2"/>
  <c r="CD39" i="2" s="1"/>
  <c r="CS39" i="2" s="1"/>
  <c r="BR39" i="2"/>
  <c r="CE39" i="2" s="1"/>
  <c r="CT39" i="2" s="1"/>
  <c r="BS39" i="2"/>
  <c r="CF39" i="2" s="1"/>
  <c r="CU39" i="2" s="1"/>
  <c r="BH40" i="2"/>
  <c r="BU40" i="2" s="1"/>
  <c r="CJ40" i="2" s="1"/>
  <c r="BI40" i="2"/>
  <c r="BV40" i="2" s="1"/>
  <c r="CK40" i="2" s="1"/>
  <c r="BJ40" i="2"/>
  <c r="BW40" i="2" s="1"/>
  <c r="CL40" i="2" s="1"/>
  <c r="BK40" i="2"/>
  <c r="BX40" i="2" s="1"/>
  <c r="CM40" i="2" s="1"/>
  <c r="BL40" i="2"/>
  <c r="BY40" i="2" s="1"/>
  <c r="CN40" i="2" s="1"/>
  <c r="BM40" i="2"/>
  <c r="BZ40" i="2" s="1"/>
  <c r="CO40" i="2" s="1"/>
  <c r="BN40" i="2"/>
  <c r="CA40" i="2" s="1"/>
  <c r="CP40" i="2" s="1"/>
  <c r="BO40" i="2"/>
  <c r="CB40" i="2" s="1"/>
  <c r="CQ40" i="2" s="1"/>
  <c r="BP40" i="2"/>
  <c r="CC40" i="2" s="1"/>
  <c r="CR40" i="2" s="1"/>
  <c r="BQ40" i="2"/>
  <c r="CD40" i="2" s="1"/>
  <c r="CS40" i="2" s="1"/>
  <c r="BR40" i="2"/>
  <c r="CE40" i="2" s="1"/>
  <c r="CT40" i="2" s="1"/>
  <c r="BS40" i="2"/>
  <c r="CF40" i="2" s="1"/>
  <c r="CU40" i="2" s="1"/>
  <c r="BH41" i="2"/>
  <c r="BU41" i="2" s="1"/>
  <c r="CJ41" i="2" s="1"/>
  <c r="BI41" i="2"/>
  <c r="BV41" i="2" s="1"/>
  <c r="CK41" i="2" s="1"/>
  <c r="BJ41" i="2"/>
  <c r="BW41" i="2" s="1"/>
  <c r="CL41" i="2" s="1"/>
  <c r="BK41" i="2"/>
  <c r="BX41" i="2" s="1"/>
  <c r="CM41" i="2" s="1"/>
  <c r="BL41" i="2"/>
  <c r="BY41" i="2" s="1"/>
  <c r="CN41" i="2" s="1"/>
  <c r="BM41" i="2"/>
  <c r="BZ41" i="2" s="1"/>
  <c r="CO41" i="2" s="1"/>
  <c r="BN41" i="2"/>
  <c r="CA41" i="2" s="1"/>
  <c r="CP41" i="2" s="1"/>
  <c r="BO41" i="2"/>
  <c r="CB41" i="2" s="1"/>
  <c r="CQ41" i="2" s="1"/>
  <c r="BP41" i="2"/>
  <c r="CC41" i="2" s="1"/>
  <c r="CR41" i="2" s="1"/>
  <c r="BQ41" i="2"/>
  <c r="CD41" i="2" s="1"/>
  <c r="CS41" i="2" s="1"/>
  <c r="BR41" i="2"/>
  <c r="CE41" i="2" s="1"/>
  <c r="CT41" i="2" s="1"/>
  <c r="BS41" i="2"/>
  <c r="CF41" i="2" s="1"/>
  <c r="CU41" i="2" s="1"/>
  <c r="BH67" i="2"/>
  <c r="BU67" i="2" s="1"/>
  <c r="CJ67" i="2" s="1"/>
  <c r="BI67" i="2"/>
  <c r="BV67" i="2" s="1"/>
  <c r="CK67" i="2" s="1"/>
  <c r="BJ67" i="2"/>
  <c r="BW67" i="2" s="1"/>
  <c r="CL67" i="2" s="1"/>
  <c r="BK67" i="2"/>
  <c r="BX67" i="2" s="1"/>
  <c r="CM67" i="2" s="1"/>
  <c r="BL67" i="2"/>
  <c r="BY67" i="2" s="1"/>
  <c r="CN67" i="2" s="1"/>
  <c r="BM67" i="2"/>
  <c r="BZ67" i="2" s="1"/>
  <c r="CO67" i="2" s="1"/>
  <c r="BN67" i="2"/>
  <c r="CA67" i="2" s="1"/>
  <c r="CP67" i="2" s="1"/>
  <c r="BO67" i="2"/>
  <c r="CB67" i="2" s="1"/>
  <c r="CQ67" i="2" s="1"/>
  <c r="BP67" i="2"/>
  <c r="CC67" i="2" s="1"/>
  <c r="CR67" i="2" s="1"/>
  <c r="BQ67" i="2"/>
  <c r="CD67" i="2" s="1"/>
  <c r="CS67" i="2" s="1"/>
  <c r="BR67" i="2"/>
  <c r="CE67" i="2" s="1"/>
  <c r="CT67" i="2" s="1"/>
  <c r="BS67" i="2"/>
  <c r="CF67" i="2" s="1"/>
  <c r="CU67" i="2" s="1"/>
  <c r="BH68" i="2"/>
  <c r="BU68" i="2" s="1"/>
  <c r="CJ68" i="2" s="1"/>
  <c r="BI68" i="2"/>
  <c r="BV68" i="2" s="1"/>
  <c r="CK68" i="2" s="1"/>
  <c r="BJ68" i="2"/>
  <c r="BW68" i="2" s="1"/>
  <c r="CL68" i="2" s="1"/>
  <c r="BK68" i="2"/>
  <c r="BX68" i="2" s="1"/>
  <c r="CM68" i="2" s="1"/>
  <c r="BL68" i="2"/>
  <c r="BY68" i="2" s="1"/>
  <c r="CN68" i="2" s="1"/>
  <c r="BM68" i="2"/>
  <c r="BZ68" i="2" s="1"/>
  <c r="CO68" i="2" s="1"/>
  <c r="BN68" i="2"/>
  <c r="CA68" i="2" s="1"/>
  <c r="CP68" i="2" s="1"/>
  <c r="BO68" i="2"/>
  <c r="CB68" i="2" s="1"/>
  <c r="CQ68" i="2" s="1"/>
  <c r="BP68" i="2"/>
  <c r="CC68" i="2" s="1"/>
  <c r="CR68" i="2" s="1"/>
  <c r="BQ68" i="2"/>
  <c r="CD68" i="2" s="1"/>
  <c r="CS68" i="2" s="1"/>
  <c r="BR68" i="2"/>
  <c r="CE68" i="2" s="1"/>
  <c r="CT68" i="2" s="1"/>
  <c r="BS68" i="2"/>
  <c r="CF68" i="2" s="1"/>
  <c r="CU68" i="2" s="1"/>
  <c r="BH69" i="2"/>
  <c r="BU69" i="2" s="1"/>
  <c r="CJ69" i="2" s="1"/>
  <c r="BI69" i="2"/>
  <c r="BV69" i="2" s="1"/>
  <c r="CK69" i="2" s="1"/>
  <c r="BJ69" i="2"/>
  <c r="BW69" i="2" s="1"/>
  <c r="CL69" i="2" s="1"/>
  <c r="BK69" i="2"/>
  <c r="BX69" i="2" s="1"/>
  <c r="CM69" i="2" s="1"/>
  <c r="BL69" i="2"/>
  <c r="BY69" i="2" s="1"/>
  <c r="CN69" i="2" s="1"/>
  <c r="BM69" i="2"/>
  <c r="BZ69" i="2" s="1"/>
  <c r="CO69" i="2" s="1"/>
  <c r="BN69" i="2"/>
  <c r="CA69" i="2" s="1"/>
  <c r="CP69" i="2" s="1"/>
  <c r="BO69" i="2"/>
  <c r="CB69" i="2" s="1"/>
  <c r="CQ69" i="2" s="1"/>
  <c r="BP69" i="2"/>
  <c r="CC69" i="2" s="1"/>
  <c r="CR69" i="2" s="1"/>
  <c r="BQ69" i="2"/>
  <c r="CD69" i="2" s="1"/>
  <c r="CS69" i="2" s="1"/>
  <c r="BR69" i="2"/>
  <c r="CE69" i="2" s="1"/>
  <c r="CT69" i="2" s="1"/>
  <c r="BS69" i="2"/>
  <c r="CF69" i="2" s="1"/>
  <c r="CU69" i="2" s="1"/>
  <c r="BH70" i="2"/>
  <c r="BU70" i="2" s="1"/>
  <c r="CJ70" i="2" s="1"/>
  <c r="BI70" i="2"/>
  <c r="BV70" i="2" s="1"/>
  <c r="CK70" i="2" s="1"/>
  <c r="BJ70" i="2"/>
  <c r="BW70" i="2" s="1"/>
  <c r="CL70" i="2" s="1"/>
  <c r="BK70" i="2"/>
  <c r="BX70" i="2" s="1"/>
  <c r="CM70" i="2" s="1"/>
  <c r="BL70" i="2"/>
  <c r="BY70" i="2" s="1"/>
  <c r="CN70" i="2" s="1"/>
  <c r="BM70" i="2"/>
  <c r="BZ70" i="2" s="1"/>
  <c r="CO70" i="2" s="1"/>
  <c r="BN70" i="2"/>
  <c r="CA70" i="2" s="1"/>
  <c r="CP70" i="2" s="1"/>
  <c r="BO70" i="2"/>
  <c r="CB70" i="2" s="1"/>
  <c r="CQ70" i="2" s="1"/>
  <c r="BP70" i="2"/>
  <c r="CC70" i="2" s="1"/>
  <c r="CR70" i="2" s="1"/>
  <c r="BQ70" i="2"/>
  <c r="CD70" i="2" s="1"/>
  <c r="CS70" i="2" s="1"/>
  <c r="BR70" i="2"/>
  <c r="CE70" i="2" s="1"/>
  <c r="CT70" i="2" s="1"/>
  <c r="BS70" i="2"/>
  <c r="CF70" i="2" s="1"/>
  <c r="CU70" i="2" s="1"/>
  <c r="BH71" i="2"/>
  <c r="BU71" i="2" s="1"/>
  <c r="CJ71" i="2" s="1"/>
  <c r="BI71" i="2"/>
  <c r="BV71" i="2" s="1"/>
  <c r="CK71" i="2" s="1"/>
  <c r="BJ71" i="2"/>
  <c r="BW71" i="2" s="1"/>
  <c r="CL71" i="2" s="1"/>
  <c r="BK71" i="2"/>
  <c r="BX71" i="2" s="1"/>
  <c r="CM71" i="2" s="1"/>
  <c r="BL71" i="2"/>
  <c r="BY71" i="2" s="1"/>
  <c r="CN71" i="2" s="1"/>
  <c r="BM71" i="2"/>
  <c r="BZ71" i="2" s="1"/>
  <c r="CO71" i="2" s="1"/>
  <c r="BN71" i="2"/>
  <c r="CA71" i="2" s="1"/>
  <c r="CP71" i="2" s="1"/>
  <c r="BO71" i="2"/>
  <c r="CB71" i="2" s="1"/>
  <c r="CQ71" i="2" s="1"/>
  <c r="BP71" i="2"/>
  <c r="CC71" i="2" s="1"/>
  <c r="CR71" i="2" s="1"/>
  <c r="BQ71" i="2"/>
  <c r="CD71" i="2" s="1"/>
  <c r="CS71" i="2" s="1"/>
  <c r="BR71" i="2"/>
  <c r="CE71" i="2" s="1"/>
  <c r="CT71" i="2" s="1"/>
  <c r="BS71" i="2"/>
  <c r="CF71" i="2" s="1"/>
  <c r="CU71" i="2" s="1"/>
  <c r="BH72" i="2"/>
  <c r="BU72" i="2" s="1"/>
  <c r="CJ72" i="2" s="1"/>
  <c r="BI72" i="2"/>
  <c r="BV72" i="2" s="1"/>
  <c r="CK72" i="2" s="1"/>
  <c r="BJ72" i="2"/>
  <c r="BW72" i="2" s="1"/>
  <c r="CL72" i="2" s="1"/>
  <c r="BK72" i="2"/>
  <c r="BX72" i="2" s="1"/>
  <c r="CM72" i="2" s="1"/>
  <c r="BL72" i="2"/>
  <c r="BY72" i="2" s="1"/>
  <c r="CN72" i="2" s="1"/>
  <c r="BM72" i="2"/>
  <c r="BZ72" i="2" s="1"/>
  <c r="CO72" i="2" s="1"/>
  <c r="BN72" i="2"/>
  <c r="CA72" i="2" s="1"/>
  <c r="CP72" i="2" s="1"/>
  <c r="BO72" i="2"/>
  <c r="CB72" i="2" s="1"/>
  <c r="CQ72" i="2" s="1"/>
  <c r="BP72" i="2"/>
  <c r="CC72" i="2" s="1"/>
  <c r="CR72" i="2" s="1"/>
  <c r="BQ72" i="2"/>
  <c r="CD72" i="2" s="1"/>
  <c r="CS72" i="2" s="1"/>
  <c r="BR72" i="2"/>
  <c r="CE72" i="2" s="1"/>
  <c r="CT72" i="2" s="1"/>
  <c r="BS72" i="2"/>
  <c r="CF72" i="2" s="1"/>
  <c r="CU72" i="2" s="1"/>
  <c r="BH73" i="2"/>
  <c r="BU73" i="2" s="1"/>
  <c r="CJ73" i="2" s="1"/>
  <c r="BI73" i="2"/>
  <c r="BV73" i="2" s="1"/>
  <c r="CK73" i="2" s="1"/>
  <c r="BJ73" i="2"/>
  <c r="BW73" i="2" s="1"/>
  <c r="CL73" i="2" s="1"/>
  <c r="BK73" i="2"/>
  <c r="BX73" i="2" s="1"/>
  <c r="CM73" i="2" s="1"/>
  <c r="BL73" i="2"/>
  <c r="BY73" i="2" s="1"/>
  <c r="CN73" i="2" s="1"/>
  <c r="BM73" i="2"/>
  <c r="BZ73" i="2" s="1"/>
  <c r="CO73" i="2" s="1"/>
  <c r="BN73" i="2"/>
  <c r="CA73" i="2" s="1"/>
  <c r="CP73" i="2" s="1"/>
  <c r="BO73" i="2"/>
  <c r="CB73" i="2" s="1"/>
  <c r="CQ73" i="2" s="1"/>
  <c r="BP73" i="2"/>
  <c r="CC73" i="2" s="1"/>
  <c r="CR73" i="2" s="1"/>
  <c r="BQ73" i="2"/>
  <c r="CD73" i="2" s="1"/>
  <c r="CS73" i="2" s="1"/>
  <c r="BR73" i="2"/>
  <c r="CE73" i="2" s="1"/>
  <c r="CT73" i="2" s="1"/>
  <c r="BS73" i="2"/>
  <c r="CF73" i="2" s="1"/>
  <c r="CU73" i="2" s="1"/>
  <c r="BH74" i="2"/>
  <c r="BU74" i="2" s="1"/>
  <c r="CJ74" i="2" s="1"/>
  <c r="BI74" i="2"/>
  <c r="BV74" i="2" s="1"/>
  <c r="CK74" i="2" s="1"/>
  <c r="BJ74" i="2"/>
  <c r="BW74" i="2" s="1"/>
  <c r="CL74" i="2" s="1"/>
  <c r="BK74" i="2"/>
  <c r="BX74" i="2" s="1"/>
  <c r="CM74" i="2" s="1"/>
  <c r="BL74" i="2"/>
  <c r="BY74" i="2" s="1"/>
  <c r="CN74" i="2" s="1"/>
  <c r="BM74" i="2"/>
  <c r="BZ74" i="2" s="1"/>
  <c r="CO74" i="2" s="1"/>
  <c r="BN74" i="2"/>
  <c r="CA74" i="2" s="1"/>
  <c r="CP74" i="2" s="1"/>
  <c r="BO74" i="2"/>
  <c r="CB74" i="2" s="1"/>
  <c r="CQ74" i="2" s="1"/>
  <c r="BP74" i="2"/>
  <c r="CC74" i="2" s="1"/>
  <c r="CR74" i="2" s="1"/>
  <c r="BQ74" i="2"/>
  <c r="CD74" i="2" s="1"/>
  <c r="CS74" i="2" s="1"/>
  <c r="BR74" i="2"/>
  <c r="CE74" i="2" s="1"/>
  <c r="CT74" i="2" s="1"/>
  <c r="BS74" i="2"/>
  <c r="CF74" i="2" s="1"/>
  <c r="CU74" i="2" s="1"/>
  <c r="BH75" i="2"/>
  <c r="BU75" i="2" s="1"/>
  <c r="CJ75" i="2" s="1"/>
  <c r="BI75" i="2"/>
  <c r="BV75" i="2" s="1"/>
  <c r="CK75" i="2" s="1"/>
  <c r="BJ75" i="2"/>
  <c r="BW75" i="2" s="1"/>
  <c r="CL75" i="2" s="1"/>
  <c r="BK75" i="2"/>
  <c r="BX75" i="2" s="1"/>
  <c r="CM75" i="2" s="1"/>
  <c r="BL75" i="2"/>
  <c r="BY75" i="2" s="1"/>
  <c r="CN75" i="2" s="1"/>
  <c r="BM75" i="2"/>
  <c r="BZ75" i="2" s="1"/>
  <c r="CO75" i="2" s="1"/>
  <c r="BN75" i="2"/>
  <c r="CA75" i="2" s="1"/>
  <c r="CP75" i="2" s="1"/>
  <c r="BO75" i="2"/>
  <c r="CB75" i="2" s="1"/>
  <c r="CQ75" i="2" s="1"/>
  <c r="BP75" i="2"/>
  <c r="CC75" i="2" s="1"/>
  <c r="CR75" i="2" s="1"/>
  <c r="BQ75" i="2"/>
  <c r="CD75" i="2" s="1"/>
  <c r="CS75" i="2" s="1"/>
  <c r="BR75" i="2"/>
  <c r="CE75" i="2" s="1"/>
  <c r="CT75" i="2" s="1"/>
  <c r="BS75" i="2"/>
  <c r="CF75" i="2" s="1"/>
  <c r="CU75" i="2" s="1"/>
  <c r="BH76" i="2"/>
  <c r="BU76" i="2" s="1"/>
  <c r="CJ76" i="2" s="1"/>
  <c r="BI76" i="2"/>
  <c r="BV76" i="2" s="1"/>
  <c r="CK76" i="2" s="1"/>
  <c r="BJ76" i="2"/>
  <c r="BW76" i="2" s="1"/>
  <c r="CL76" i="2" s="1"/>
  <c r="BK76" i="2"/>
  <c r="BX76" i="2" s="1"/>
  <c r="CM76" i="2" s="1"/>
  <c r="BL76" i="2"/>
  <c r="BY76" i="2" s="1"/>
  <c r="CN76" i="2" s="1"/>
  <c r="BM76" i="2"/>
  <c r="BZ76" i="2" s="1"/>
  <c r="CO76" i="2" s="1"/>
  <c r="BN76" i="2"/>
  <c r="CA76" i="2" s="1"/>
  <c r="CP76" i="2" s="1"/>
  <c r="BO76" i="2"/>
  <c r="CB76" i="2" s="1"/>
  <c r="CQ76" i="2" s="1"/>
  <c r="BP76" i="2"/>
  <c r="CC76" i="2" s="1"/>
  <c r="CR76" i="2" s="1"/>
  <c r="BQ76" i="2"/>
  <c r="CD76" i="2" s="1"/>
  <c r="CS76" i="2" s="1"/>
  <c r="BR76" i="2"/>
  <c r="CE76" i="2" s="1"/>
  <c r="CT76" i="2" s="1"/>
  <c r="BS76" i="2"/>
  <c r="CF76" i="2" s="1"/>
  <c r="CU76" i="2" s="1"/>
  <c r="BH77" i="2"/>
  <c r="BU77" i="2" s="1"/>
  <c r="CJ77" i="2" s="1"/>
  <c r="BI77" i="2"/>
  <c r="BV77" i="2" s="1"/>
  <c r="CK77" i="2" s="1"/>
  <c r="BJ77" i="2"/>
  <c r="BW77" i="2" s="1"/>
  <c r="CL77" i="2" s="1"/>
  <c r="BK77" i="2"/>
  <c r="BX77" i="2" s="1"/>
  <c r="CM77" i="2" s="1"/>
  <c r="BL77" i="2"/>
  <c r="BY77" i="2" s="1"/>
  <c r="CN77" i="2" s="1"/>
  <c r="BM77" i="2"/>
  <c r="BZ77" i="2" s="1"/>
  <c r="CO77" i="2" s="1"/>
  <c r="BN77" i="2"/>
  <c r="CA77" i="2" s="1"/>
  <c r="CP77" i="2" s="1"/>
  <c r="BO77" i="2"/>
  <c r="CB77" i="2" s="1"/>
  <c r="CQ77" i="2" s="1"/>
  <c r="BP77" i="2"/>
  <c r="CC77" i="2" s="1"/>
  <c r="CR77" i="2" s="1"/>
  <c r="BQ77" i="2"/>
  <c r="CD77" i="2" s="1"/>
  <c r="CS77" i="2" s="1"/>
  <c r="BR77" i="2"/>
  <c r="CE77" i="2" s="1"/>
  <c r="CT77" i="2" s="1"/>
  <c r="BS77" i="2"/>
  <c r="CF77" i="2" s="1"/>
  <c r="CU77" i="2" s="1"/>
  <c r="BH78" i="2"/>
  <c r="BU78" i="2" s="1"/>
  <c r="CJ78" i="2" s="1"/>
  <c r="BI78" i="2"/>
  <c r="BV78" i="2" s="1"/>
  <c r="CK78" i="2" s="1"/>
  <c r="BJ78" i="2"/>
  <c r="BW78" i="2" s="1"/>
  <c r="CL78" i="2" s="1"/>
  <c r="BK78" i="2"/>
  <c r="BX78" i="2" s="1"/>
  <c r="CM78" i="2" s="1"/>
  <c r="BL78" i="2"/>
  <c r="BY78" i="2" s="1"/>
  <c r="CN78" i="2" s="1"/>
  <c r="BM78" i="2"/>
  <c r="BZ78" i="2" s="1"/>
  <c r="CO78" i="2" s="1"/>
  <c r="BN78" i="2"/>
  <c r="CA78" i="2" s="1"/>
  <c r="CP78" i="2" s="1"/>
  <c r="BO78" i="2"/>
  <c r="CB78" i="2" s="1"/>
  <c r="CQ78" i="2" s="1"/>
  <c r="BP78" i="2"/>
  <c r="CC78" i="2" s="1"/>
  <c r="CR78" i="2" s="1"/>
  <c r="BQ78" i="2"/>
  <c r="CD78" i="2" s="1"/>
  <c r="CS78" i="2" s="1"/>
  <c r="BR78" i="2"/>
  <c r="CE78" i="2" s="1"/>
  <c r="CT78" i="2" s="1"/>
  <c r="BS78" i="2"/>
  <c r="CF78" i="2" s="1"/>
  <c r="CU78" i="2" s="1"/>
  <c r="BH79" i="2"/>
  <c r="BU79" i="2" s="1"/>
  <c r="CJ79" i="2" s="1"/>
  <c r="BI79" i="2"/>
  <c r="BV79" i="2" s="1"/>
  <c r="CK79" i="2" s="1"/>
  <c r="BJ79" i="2"/>
  <c r="BW79" i="2" s="1"/>
  <c r="CL79" i="2" s="1"/>
  <c r="BK79" i="2"/>
  <c r="BX79" i="2" s="1"/>
  <c r="CM79" i="2" s="1"/>
  <c r="BL79" i="2"/>
  <c r="BY79" i="2" s="1"/>
  <c r="CN79" i="2" s="1"/>
  <c r="BM79" i="2"/>
  <c r="BZ79" i="2" s="1"/>
  <c r="CO79" i="2" s="1"/>
  <c r="BN79" i="2"/>
  <c r="CA79" i="2" s="1"/>
  <c r="CP79" i="2" s="1"/>
  <c r="BO79" i="2"/>
  <c r="CB79" i="2" s="1"/>
  <c r="CQ79" i="2" s="1"/>
  <c r="BP79" i="2"/>
  <c r="CC79" i="2" s="1"/>
  <c r="CR79" i="2" s="1"/>
  <c r="BQ79" i="2"/>
  <c r="CD79" i="2" s="1"/>
  <c r="CS79" i="2" s="1"/>
  <c r="BR79" i="2"/>
  <c r="CE79" i="2" s="1"/>
  <c r="CT79" i="2" s="1"/>
  <c r="BS79" i="2"/>
  <c r="CF79" i="2" s="1"/>
  <c r="CU79" i="2" s="1"/>
  <c r="BH80" i="2"/>
  <c r="BU80" i="2" s="1"/>
  <c r="CJ80" i="2" s="1"/>
  <c r="BI80" i="2"/>
  <c r="BV80" i="2" s="1"/>
  <c r="CK80" i="2" s="1"/>
  <c r="BJ80" i="2"/>
  <c r="BW80" i="2" s="1"/>
  <c r="CL80" i="2" s="1"/>
  <c r="BK80" i="2"/>
  <c r="BX80" i="2" s="1"/>
  <c r="CM80" i="2" s="1"/>
  <c r="BL80" i="2"/>
  <c r="BY80" i="2" s="1"/>
  <c r="CN80" i="2" s="1"/>
  <c r="BM80" i="2"/>
  <c r="BZ80" i="2" s="1"/>
  <c r="CO80" i="2" s="1"/>
  <c r="BN80" i="2"/>
  <c r="CA80" i="2" s="1"/>
  <c r="CP80" i="2" s="1"/>
  <c r="BO80" i="2"/>
  <c r="CB80" i="2" s="1"/>
  <c r="CQ80" i="2" s="1"/>
  <c r="BP80" i="2"/>
  <c r="CC80" i="2" s="1"/>
  <c r="CR80" i="2" s="1"/>
  <c r="BQ80" i="2"/>
  <c r="CD80" i="2" s="1"/>
  <c r="CS80" i="2" s="1"/>
  <c r="BR80" i="2"/>
  <c r="CE80" i="2" s="1"/>
  <c r="CT80" i="2" s="1"/>
  <c r="BS80" i="2"/>
  <c r="CF80" i="2" s="1"/>
  <c r="CU80" i="2" s="1"/>
  <c r="BH81" i="2"/>
  <c r="BU81" i="2" s="1"/>
  <c r="CJ81" i="2" s="1"/>
  <c r="BI81" i="2"/>
  <c r="BV81" i="2" s="1"/>
  <c r="CK81" i="2" s="1"/>
  <c r="BJ81" i="2"/>
  <c r="BW81" i="2" s="1"/>
  <c r="CL81" i="2" s="1"/>
  <c r="BK81" i="2"/>
  <c r="BX81" i="2" s="1"/>
  <c r="CM81" i="2" s="1"/>
  <c r="BL81" i="2"/>
  <c r="BY81" i="2" s="1"/>
  <c r="CN81" i="2" s="1"/>
  <c r="BM81" i="2"/>
  <c r="BZ81" i="2" s="1"/>
  <c r="CO81" i="2" s="1"/>
  <c r="BN81" i="2"/>
  <c r="CA81" i="2" s="1"/>
  <c r="CP81" i="2" s="1"/>
  <c r="BO81" i="2"/>
  <c r="CB81" i="2" s="1"/>
  <c r="CQ81" i="2" s="1"/>
  <c r="BP81" i="2"/>
  <c r="CC81" i="2" s="1"/>
  <c r="CR81" i="2" s="1"/>
  <c r="BQ81" i="2"/>
  <c r="CD81" i="2" s="1"/>
  <c r="CS81" i="2" s="1"/>
  <c r="BR81" i="2"/>
  <c r="CE81" i="2" s="1"/>
  <c r="CT81" i="2" s="1"/>
  <c r="BS81" i="2"/>
  <c r="CF81" i="2" s="1"/>
  <c r="CU81" i="2" s="1"/>
  <c r="BH82" i="2"/>
  <c r="BU82" i="2" s="1"/>
  <c r="CJ82" i="2" s="1"/>
  <c r="BI82" i="2"/>
  <c r="BV82" i="2" s="1"/>
  <c r="CK82" i="2" s="1"/>
  <c r="BJ82" i="2"/>
  <c r="BW82" i="2" s="1"/>
  <c r="CL82" i="2" s="1"/>
  <c r="BK82" i="2"/>
  <c r="BX82" i="2" s="1"/>
  <c r="CM82" i="2" s="1"/>
  <c r="BL82" i="2"/>
  <c r="BY82" i="2" s="1"/>
  <c r="CN82" i="2" s="1"/>
  <c r="BM82" i="2"/>
  <c r="BZ82" i="2" s="1"/>
  <c r="CO82" i="2" s="1"/>
  <c r="BN82" i="2"/>
  <c r="CA82" i="2" s="1"/>
  <c r="CP82" i="2" s="1"/>
  <c r="BO82" i="2"/>
  <c r="CB82" i="2" s="1"/>
  <c r="CQ82" i="2" s="1"/>
  <c r="BP82" i="2"/>
  <c r="CC82" i="2" s="1"/>
  <c r="CR82" i="2" s="1"/>
  <c r="BQ82" i="2"/>
  <c r="CD82" i="2" s="1"/>
  <c r="CS82" i="2" s="1"/>
  <c r="BR82" i="2"/>
  <c r="CE82" i="2" s="1"/>
  <c r="CT82" i="2" s="1"/>
  <c r="BS82" i="2"/>
  <c r="CF82" i="2" s="1"/>
  <c r="CU82" i="2" s="1"/>
  <c r="BH83" i="2"/>
  <c r="BU83" i="2" s="1"/>
  <c r="CJ83" i="2" s="1"/>
  <c r="BI83" i="2"/>
  <c r="BV83" i="2" s="1"/>
  <c r="CK83" i="2" s="1"/>
  <c r="BJ83" i="2"/>
  <c r="BW83" i="2" s="1"/>
  <c r="CL83" i="2" s="1"/>
  <c r="BK83" i="2"/>
  <c r="BX83" i="2" s="1"/>
  <c r="CM83" i="2" s="1"/>
  <c r="BL83" i="2"/>
  <c r="BY83" i="2" s="1"/>
  <c r="CN83" i="2" s="1"/>
  <c r="BM83" i="2"/>
  <c r="BZ83" i="2" s="1"/>
  <c r="CO83" i="2" s="1"/>
  <c r="BN83" i="2"/>
  <c r="CA83" i="2" s="1"/>
  <c r="CP83" i="2" s="1"/>
  <c r="BO83" i="2"/>
  <c r="CB83" i="2" s="1"/>
  <c r="CQ83" i="2" s="1"/>
  <c r="BP83" i="2"/>
  <c r="CC83" i="2" s="1"/>
  <c r="CR83" i="2" s="1"/>
  <c r="BQ83" i="2"/>
  <c r="CD83" i="2" s="1"/>
  <c r="CS83" i="2" s="1"/>
  <c r="BR83" i="2"/>
  <c r="CE83" i="2" s="1"/>
  <c r="CT83" i="2" s="1"/>
  <c r="BS83" i="2"/>
  <c r="CF83" i="2" s="1"/>
  <c r="CU83" i="2" s="1"/>
  <c r="BH84" i="2"/>
  <c r="BU84" i="2" s="1"/>
  <c r="CJ84" i="2" s="1"/>
  <c r="BI84" i="2"/>
  <c r="BV84" i="2" s="1"/>
  <c r="CK84" i="2" s="1"/>
  <c r="BJ84" i="2"/>
  <c r="BW84" i="2" s="1"/>
  <c r="CL84" i="2" s="1"/>
  <c r="BK84" i="2"/>
  <c r="BX84" i="2" s="1"/>
  <c r="CM84" i="2" s="1"/>
  <c r="BL84" i="2"/>
  <c r="BY84" i="2" s="1"/>
  <c r="CN84" i="2" s="1"/>
  <c r="BM84" i="2"/>
  <c r="BZ84" i="2" s="1"/>
  <c r="CO84" i="2" s="1"/>
  <c r="BN84" i="2"/>
  <c r="CA84" i="2" s="1"/>
  <c r="CP84" i="2" s="1"/>
  <c r="BO84" i="2"/>
  <c r="CB84" i="2" s="1"/>
  <c r="CQ84" i="2" s="1"/>
  <c r="BP84" i="2"/>
  <c r="CC84" i="2" s="1"/>
  <c r="CR84" i="2" s="1"/>
  <c r="BQ84" i="2"/>
  <c r="CD84" i="2" s="1"/>
  <c r="CS84" i="2" s="1"/>
  <c r="BR84" i="2"/>
  <c r="CE84" i="2" s="1"/>
  <c r="CT84" i="2" s="1"/>
  <c r="BS84" i="2"/>
  <c r="CF84" i="2" s="1"/>
  <c r="CU84" i="2" s="1"/>
  <c r="BH85" i="2"/>
  <c r="BU85" i="2" s="1"/>
  <c r="CJ85" i="2" s="1"/>
  <c r="BI85" i="2"/>
  <c r="BV85" i="2" s="1"/>
  <c r="CK85" i="2" s="1"/>
  <c r="BJ85" i="2"/>
  <c r="BW85" i="2" s="1"/>
  <c r="CL85" i="2" s="1"/>
  <c r="BK85" i="2"/>
  <c r="BX85" i="2" s="1"/>
  <c r="CM85" i="2" s="1"/>
  <c r="BL85" i="2"/>
  <c r="BY85" i="2" s="1"/>
  <c r="CN85" i="2" s="1"/>
  <c r="BM85" i="2"/>
  <c r="BZ85" i="2" s="1"/>
  <c r="CO85" i="2" s="1"/>
  <c r="BN85" i="2"/>
  <c r="CA85" i="2" s="1"/>
  <c r="CP85" i="2" s="1"/>
  <c r="BO85" i="2"/>
  <c r="CB85" i="2" s="1"/>
  <c r="CQ85" i="2" s="1"/>
  <c r="BP85" i="2"/>
  <c r="CC85" i="2" s="1"/>
  <c r="CR85" i="2" s="1"/>
  <c r="BQ85" i="2"/>
  <c r="CD85" i="2" s="1"/>
  <c r="CS85" i="2" s="1"/>
  <c r="BR85" i="2"/>
  <c r="CE85" i="2" s="1"/>
  <c r="CT85" i="2" s="1"/>
  <c r="BS85" i="2"/>
  <c r="CF85" i="2" s="1"/>
  <c r="CU85" i="2" s="1"/>
  <c r="BH86" i="2"/>
  <c r="BU86" i="2" s="1"/>
  <c r="CJ86" i="2" s="1"/>
  <c r="BI86" i="2"/>
  <c r="BV86" i="2" s="1"/>
  <c r="CK86" i="2" s="1"/>
  <c r="BJ86" i="2"/>
  <c r="BW86" i="2" s="1"/>
  <c r="CL86" i="2" s="1"/>
  <c r="BK86" i="2"/>
  <c r="BX86" i="2" s="1"/>
  <c r="CM86" i="2" s="1"/>
  <c r="BL86" i="2"/>
  <c r="BY86" i="2" s="1"/>
  <c r="CN86" i="2" s="1"/>
  <c r="BM86" i="2"/>
  <c r="BZ86" i="2" s="1"/>
  <c r="CO86" i="2" s="1"/>
  <c r="BN86" i="2"/>
  <c r="CA86" i="2" s="1"/>
  <c r="CP86" i="2" s="1"/>
  <c r="BO86" i="2"/>
  <c r="CB86" i="2" s="1"/>
  <c r="CQ86" i="2" s="1"/>
  <c r="BP86" i="2"/>
  <c r="CC86" i="2" s="1"/>
  <c r="CR86" i="2" s="1"/>
  <c r="BQ86" i="2"/>
  <c r="CD86" i="2" s="1"/>
  <c r="CS86" i="2" s="1"/>
  <c r="BR86" i="2"/>
  <c r="CE86" i="2" s="1"/>
  <c r="CT86" i="2" s="1"/>
  <c r="BS86" i="2"/>
  <c r="CF86" i="2" s="1"/>
  <c r="CU86" i="2" s="1"/>
  <c r="BH87" i="2"/>
  <c r="BU87" i="2" s="1"/>
  <c r="CJ87" i="2" s="1"/>
  <c r="BI87" i="2"/>
  <c r="BV87" i="2" s="1"/>
  <c r="CK87" i="2" s="1"/>
  <c r="BJ87" i="2"/>
  <c r="BW87" i="2" s="1"/>
  <c r="CL87" i="2" s="1"/>
  <c r="BK87" i="2"/>
  <c r="BX87" i="2" s="1"/>
  <c r="CM87" i="2" s="1"/>
  <c r="BL87" i="2"/>
  <c r="BY87" i="2" s="1"/>
  <c r="CN87" i="2" s="1"/>
  <c r="BM87" i="2"/>
  <c r="BZ87" i="2" s="1"/>
  <c r="CO87" i="2" s="1"/>
  <c r="BN87" i="2"/>
  <c r="CA87" i="2" s="1"/>
  <c r="CP87" i="2" s="1"/>
  <c r="BO87" i="2"/>
  <c r="CB87" i="2" s="1"/>
  <c r="CQ87" i="2" s="1"/>
  <c r="BP87" i="2"/>
  <c r="CC87" i="2" s="1"/>
  <c r="CR87" i="2" s="1"/>
  <c r="BQ87" i="2"/>
  <c r="CD87" i="2" s="1"/>
  <c r="CS87" i="2" s="1"/>
  <c r="BR87" i="2"/>
  <c r="CE87" i="2" s="1"/>
  <c r="CT87" i="2" s="1"/>
  <c r="BS87" i="2"/>
  <c r="CF87" i="2" s="1"/>
  <c r="CU87" i="2" s="1"/>
  <c r="BH88" i="2"/>
  <c r="BU88" i="2" s="1"/>
  <c r="CJ88" i="2" s="1"/>
  <c r="BI88" i="2"/>
  <c r="BV88" i="2" s="1"/>
  <c r="CK88" i="2" s="1"/>
  <c r="BJ88" i="2"/>
  <c r="BW88" i="2" s="1"/>
  <c r="CL88" i="2" s="1"/>
  <c r="BK88" i="2"/>
  <c r="BX88" i="2" s="1"/>
  <c r="CM88" i="2" s="1"/>
  <c r="BL88" i="2"/>
  <c r="BY88" i="2" s="1"/>
  <c r="CN88" i="2" s="1"/>
  <c r="BM88" i="2"/>
  <c r="BZ88" i="2" s="1"/>
  <c r="CO88" i="2" s="1"/>
  <c r="BN88" i="2"/>
  <c r="CA88" i="2" s="1"/>
  <c r="CP88" i="2" s="1"/>
  <c r="BO88" i="2"/>
  <c r="CB88" i="2" s="1"/>
  <c r="CQ88" i="2" s="1"/>
  <c r="BP88" i="2"/>
  <c r="CC88" i="2" s="1"/>
  <c r="CR88" i="2" s="1"/>
  <c r="BQ88" i="2"/>
  <c r="CD88" i="2" s="1"/>
  <c r="CS88" i="2" s="1"/>
  <c r="BR88" i="2"/>
  <c r="CE88" i="2" s="1"/>
  <c r="CT88" i="2" s="1"/>
  <c r="BS88" i="2"/>
  <c r="CF88" i="2" s="1"/>
  <c r="CU88" i="2" s="1"/>
  <c r="BH89" i="2"/>
  <c r="BU89" i="2" s="1"/>
  <c r="CJ89" i="2" s="1"/>
  <c r="BI89" i="2"/>
  <c r="BV89" i="2" s="1"/>
  <c r="CK89" i="2" s="1"/>
  <c r="BJ89" i="2"/>
  <c r="BW89" i="2" s="1"/>
  <c r="CL89" i="2" s="1"/>
  <c r="BK89" i="2"/>
  <c r="BX89" i="2" s="1"/>
  <c r="CM89" i="2" s="1"/>
  <c r="BL89" i="2"/>
  <c r="BY89" i="2" s="1"/>
  <c r="CN89" i="2" s="1"/>
  <c r="BM89" i="2"/>
  <c r="BZ89" i="2" s="1"/>
  <c r="CO89" i="2" s="1"/>
  <c r="BN89" i="2"/>
  <c r="CA89" i="2" s="1"/>
  <c r="CP89" i="2" s="1"/>
  <c r="BO89" i="2"/>
  <c r="CB89" i="2" s="1"/>
  <c r="CQ89" i="2" s="1"/>
  <c r="BP89" i="2"/>
  <c r="CC89" i="2" s="1"/>
  <c r="CR89" i="2" s="1"/>
  <c r="BQ89" i="2"/>
  <c r="CD89" i="2" s="1"/>
  <c r="CS89" i="2" s="1"/>
  <c r="BR89" i="2"/>
  <c r="CE89" i="2" s="1"/>
  <c r="CT89" i="2" s="1"/>
  <c r="BS89" i="2"/>
  <c r="CF89" i="2" s="1"/>
  <c r="CU89" i="2" s="1"/>
  <c r="BH90" i="2"/>
  <c r="BU90" i="2" s="1"/>
  <c r="CJ90" i="2" s="1"/>
  <c r="BI90" i="2"/>
  <c r="BV90" i="2" s="1"/>
  <c r="CK90" i="2" s="1"/>
  <c r="BJ90" i="2"/>
  <c r="BW90" i="2" s="1"/>
  <c r="CL90" i="2" s="1"/>
  <c r="BK90" i="2"/>
  <c r="BX90" i="2" s="1"/>
  <c r="CM90" i="2" s="1"/>
  <c r="BL90" i="2"/>
  <c r="BY90" i="2" s="1"/>
  <c r="CN90" i="2" s="1"/>
  <c r="BM90" i="2"/>
  <c r="BZ90" i="2" s="1"/>
  <c r="CO90" i="2" s="1"/>
  <c r="BN90" i="2"/>
  <c r="CA90" i="2" s="1"/>
  <c r="CP90" i="2" s="1"/>
  <c r="BO90" i="2"/>
  <c r="CB90" i="2" s="1"/>
  <c r="CQ90" i="2" s="1"/>
  <c r="BP90" i="2"/>
  <c r="CC90" i="2" s="1"/>
  <c r="CR90" i="2" s="1"/>
  <c r="BQ90" i="2"/>
  <c r="CD90" i="2" s="1"/>
  <c r="CS90" i="2" s="1"/>
  <c r="BR90" i="2"/>
  <c r="CE90" i="2" s="1"/>
  <c r="CT90" i="2" s="1"/>
  <c r="BS90" i="2"/>
  <c r="CF90" i="2" s="1"/>
  <c r="CU90" i="2" s="1"/>
  <c r="BH91" i="2"/>
  <c r="BU91" i="2" s="1"/>
  <c r="CJ91" i="2" s="1"/>
  <c r="BI91" i="2"/>
  <c r="BV91" i="2" s="1"/>
  <c r="CK91" i="2" s="1"/>
  <c r="BJ91" i="2"/>
  <c r="BW91" i="2" s="1"/>
  <c r="CL91" i="2" s="1"/>
  <c r="BK91" i="2"/>
  <c r="BX91" i="2" s="1"/>
  <c r="CM91" i="2" s="1"/>
  <c r="BL91" i="2"/>
  <c r="BY91" i="2" s="1"/>
  <c r="CN91" i="2" s="1"/>
  <c r="BM91" i="2"/>
  <c r="BZ91" i="2" s="1"/>
  <c r="CO91" i="2" s="1"/>
  <c r="BN91" i="2"/>
  <c r="CA91" i="2" s="1"/>
  <c r="CP91" i="2" s="1"/>
  <c r="BO91" i="2"/>
  <c r="CB91" i="2" s="1"/>
  <c r="CQ91" i="2" s="1"/>
  <c r="BP91" i="2"/>
  <c r="CC91" i="2" s="1"/>
  <c r="CR91" i="2" s="1"/>
  <c r="BQ91" i="2"/>
  <c r="CD91" i="2" s="1"/>
  <c r="CS91" i="2" s="1"/>
  <c r="BR91" i="2"/>
  <c r="CE91" i="2" s="1"/>
  <c r="CT91" i="2" s="1"/>
  <c r="BS91" i="2"/>
  <c r="CF91" i="2" s="1"/>
  <c r="CU91" i="2" s="1"/>
  <c r="BH92" i="2"/>
  <c r="BU92" i="2" s="1"/>
  <c r="CJ92" i="2" s="1"/>
  <c r="BI92" i="2"/>
  <c r="BV92" i="2" s="1"/>
  <c r="CK92" i="2" s="1"/>
  <c r="BJ92" i="2"/>
  <c r="BW92" i="2" s="1"/>
  <c r="CL92" i="2" s="1"/>
  <c r="BK92" i="2"/>
  <c r="BX92" i="2" s="1"/>
  <c r="CM92" i="2" s="1"/>
  <c r="BL92" i="2"/>
  <c r="BY92" i="2" s="1"/>
  <c r="CN92" i="2" s="1"/>
  <c r="BM92" i="2"/>
  <c r="BZ92" i="2" s="1"/>
  <c r="CO92" i="2" s="1"/>
  <c r="BN92" i="2"/>
  <c r="CA92" i="2" s="1"/>
  <c r="CP92" i="2" s="1"/>
  <c r="BO92" i="2"/>
  <c r="CB92" i="2" s="1"/>
  <c r="CQ92" i="2" s="1"/>
  <c r="BP92" i="2"/>
  <c r="CC92" i="2" s="1"/>
  <c r="CR92" i="2" s="1"/>
  <c r="BQ92" i="2"/>
  <c r="CD92" i="2" s="1"/>
  <c r="CS92" i="2" s="1"/>
  <c r="BR92" i="2"/>
  <c r="CE92" i="2" s="1"/>
  <c r="CT92" i="2" s="1"/>
  <c r="BS92" i="2"/>
  <c r="CF92" i="2" s="1"/>
  <c r="CU92" i="2" s="1"/>
  <c r="BH93" i="2"/>
  <c r="BU93" i="2" s="1"/>
  <c r="CJ93" i="2" s="1"/>
  <c r="BI93" i="2"/>
  <c r="BV93" i="2" s="1"/>
  <c r="CK93" i="2" s="1"/>
  <c r="BJ93" i="2"/>
  <c r="BW93" i="2" s="1"/>
  <c r="CL93" i="2" s="1"/>
  <c r="BK93" i="2"/>
  <c r="BX93" i="2" s="1"/>
  <c r="CM93" i="2" s="1"/>
  <c r="BL93" i="2"/>
  <c r="BY93" i="2" s="1"/>
  <c r="CN93" i="2" s="1"/>
  <c r="BM93" i="2"/>
  <c r="BZ93" i="2" s="1"/>
  <c r="CO93" i="2" s="1"/>
  <c r="BN93" i="2"/>
  <c r="CA93" i="2" s="1"/>
  <c r="CP93" i="2" s="1"/>
  <c r="BO93" i="2"/>
  <c r="CB93" i="2" s="1"/>
  <c r="CQ93" i="2" s="1"/>
  <c r="BP93" i="2"/>
  <c r="CC93" i="2" s="1"/>
  <c r="CR93" i="2" s="1"/>
  <c r="BQ93" i="2"/>
  <c r="CD93" i="2" s="1"/>
  <c r="CS93" i="2" s="1"/>
  <c r="BR93" i="2"/>
  <c r="CE93" i="2" s="1"/>
  <c r="CT93" i="2" s="1"/>
  <c r="BS93" i="2"/>
  <c r="CF93" i="2" s="1"/>
  <c r="CU93" i="2" s="1"/>
  <c r="BH94" i="2"/>
  <c r="BU94" i="2" s="1"/>
  <c r="CJ94" i="2" s="1"/>
  <c r="BI94" i="2"/>
  <c r="BV94" i="2" s="1"/>
  <c r="CK94" i="2" s="1"/>
  <c r="BJ94" i="2"/>
  <c r="BW94" i="2" s="1"/>
  <c r="CL94" i="2" s="1"/>
  <c r="BK94" i="2"/>
  <c r="BX94" i="2" s="1"/>
  <c r="CM94" i="2" s="1"/>
  <c r="BL94" i="2"/>
  <c r="BY94" i="2" s="1"/>
  <c r="CN94" i="2" s="1"/>
  <c r="BM94" i="2"/>
  <c r="BZ94" i="2" s="1"/>
  <c r="CO94" i="2" s="1"/>
  <c r="BN94" i="2"/>
  <c r="CA94" i="2" s="1"/>
  <c r="CP94" i="2" s="1"/>
  <c r="BO94" i="2"/>
  <c r="CB94" i="2" s="1"/>
  <c r="CQ94" i="2" s="1"/>
  <c r="BP94" i="2"/>
  <c r="CC94" i="2" s="1"/>
  <c r="CR94" i="2" s="1"/>
  <c r="BQ94" i="2"/>
  <c r="CD94" i="2" s="1"/>
  <c r="CS94" i="2" s="1"/>
  <c r="BR94" i="2"/>
  <c r="CE94" i="2" s="1"/>
  <c r="CT94" i="2" s="1"/>
  <c r="BS94" i="2"/>
  <c r="CF94" i="2" s="1"/>
  <c r="CU94" i="2" s="1"/>
  <c r="BH95" i="2"/>
  <c r="BU95" i="2" s="1"/>
  <c r="CJ95" i="2" s="1"/>
  <c r="BI95" i="2"/>
  <c r="BV95" i="2" s="1"/>
  <c r="CK95" i="2" s="1"/>
  <c r="BJ95" i="2"/>
  <c r="BW95" i="2" s="1"/>
  <c r="CL95" i="2" s="1"/>
  <c r="BK95" i="2"/>
  <c r="BX95" i="2" s="1"/>
  <c r="CM95" i="2" s="1"/>
  <c r="BL95" i="2"/>
  <c r="BY95" i="2" s="1"/>
  <c r="CN95" i="2" s="1"/>
  <c r="BM95" i="2"/>
  <c r="BZ95" i="2" s="1"/>
  <c r="CO95" i="2" s="1"/>
  <c r="BN95" i="2"/>
  <c r="CA95" i="2" s="1"/>
  <c r="CP95" i="2" s="1"/>
  <c r="BO95" i="2"/>
  <c r="CB95" i="2" s="1"/>
  <c r="CQ95" i="2" s="1"/>
  <c r="BP95" i="2"/>
  <c r="CC95" i="2" s="1"/>
  <c r="CR95" i="2" s="1"/>
  <c r="BQ95" i="2"/>
  <c r="CD95" i="2" s="1"/>
  <c r="CS95" i="2" s="1"/>
  <c r="BR95" i="2"/>
  <c r="CE95" i="2" s="1"/>
  <c r="CT95" i="2" s="1"/>
  <c r="BS95" i="2"/>
  <c r="CF95" i="2" s="1"/>
  <c r="CU95" i="2" s="1"/>
  <c r="BH96" i="2"/>
  <c r="BU96" i="2" s="1"/>
  <c r="CJ96" i="2" s="1"/>
  <c r="BI96" i="2"/>
  <c r="BV96" i="2" s="1"/>
  <c r="CK96" i="2" s="1"/>
  <c r="BJ96" i="2"/>
  <c r="BW96" i="2" s="1"/>
  <c r="CL96" i="2" s="1"/>
  <c r="BK96" i="2"/>
  <c r="BX96" i="2" s="1"/>
  <c r="CM96" i="2" s="1"/>
  <c r="BL96" i="2"/>
  <c r="BY96" i="2" s="1"/>
  <c r="CN96" i="2" s="1"/>
  <c r="BM96" i="2"/>
  <c r="BZ96" i="2" s="1"/>
  <c r="CO96" i="2" s="1"/>
  <c r="BN96" i="2"/>
  <c r="CA96" i="2" s="1"/>
  <c r="CP96" i="2" s="1"/>
  <c r="BO96" i="2"/>
  <c r="CB96" i="2" s="1"/>
  <c r="CQ96" i="2" s="1"/>
  <c r="BP96" i="2"/>
  <c r="CC96" i="2" s="1"/>
  <c r="CR96" i="2" s="1"/>
  <c r="BQ96" i="2"/>
  <c r="CD96" i="2" s="1"/>
  <c r="CS96" i="2" s="1"/>
  <c r="BR96" i="2"/>
  <c r="CE96" i="2" s="1"/>
  <c r="CT96" i="2" s="1"/>
  <c r="BS96" i="2"/>
  <c r="CF96" i="2" s="1"/>
  <c r="CU96" i="2" s="1"/>
  <c r="BH97" i="2"/>
  <c r="BU97" i="2" s="1"/>
  <c r="CJ97" i="2" s="1"/>
  <c r="BI97" i="2"/>
  <c r="BV97" i="2" s="1"/>
  <c r="CK97" i="2" s="1"/>
  <c r="BJ97" i="2"/>
  <c r="BW97" i="2" s="1"/>
  <c r="CL97" i="2" s="1"/>
  <c r="BK97" i="2"/>
  <c r="BX97" i="2" s="1"/>
  <c r="CM97" i="2" s="1"/>
  <c r="BL97" i="2"/>
  <c r="BY97" i="2" s="1"/>
  <c r="CN97" i="2" s="1"/>
  <c r="BM97" i="2"/>
  <c r="BZ97" i="2" s="1"/>
  <c r="CO97" i="2" s="1"/>
  <c r="BN97" i="2"/>
  <c r="CA97" i="2" s="1"/>
  <c r="CP97" i="2" s="1"/>
  <c r="BO97" i="2"/>
  <c r="CB97" i="2" s="1"/>
  <c r="CQ97" i="2" s="1"/>
  <c r="BP97" i="2"/>
  <c r="CC97" i="2" s="1"/>
  <c r="CR97" i="2" s="1"/>
  <c r="BQ97" i="2"/>
  <c r="CD97" i="2" s="1"/>
  <c r="CS97" i="2" s="1"/>
  <c r="BR97" i="2"/>
  <c r="CE97" i="2" s="1"/>
  <c r="CT97" i="2" s="1"/>
  <c r="BS97" i="2"/>
  <c r="CF97" i="2" s="1"/>
  <c r="CU97" i="2" s="1"/>
  <c r="BH98" i="2"/>
  <c r="BU98" i="2" s="1"/>
  <c r="CJ98" i="2" s="1"/>
  <c r="BI98" i="2"/>
  <c r="BV98" i="2" s="1"/>
  <c r="CK98" i="2" s="1"/>
  <c r="BJ98" i="2"/>
  <c r="BW98" i="2" s="1"/>
  <c r="CL98" i="2" s="1"/>
  <c r="BK98" i="2"/>
  <c r="BX98" i="2" s="1"/>
  <c r="CM98" i="2" s="1"/>
  <c r="BL98" i="2"/>
  <c r="BY98" i="2" s="1"/>
  <c r="CN98" i="2" s="1"/>
  <c r="BM98" i="2"/>
  <c r="BZ98" i="2" s="1"/>
  <c r="CO98" i="2" s="1"/>
  <c r="BN98" i="2"/>
  <c r="CA98" i="2" s="1"/>
  <c r="CP98" i="2" s="1"/>
  <c r="BO98" i="2"/>
  <c r="CB98" i="2" s="1"/>
  <c r="CQ98" i="2" s="1"/>
  <c r="BP98" i="2"/>
  <c r="CC98" i="2" s="1"/>
  <c r="CR98" i="2" s="1"/>
  <c r="BQ98" i="2"/>
  <c r="CD98" i="2" s="1"/>
  <c r="CS98" i="2" s="1"/>
  <c r="BR98" i="2"/>
  <c r="CE98" i="2" s="1"/>
  <c r="CT98" i="2" s="1"/>
  <c r="BS98" i="2"/>
  <c r="CF98" i="2" s="1"/>
  <c r="CU98" i="2" s="1"/>
  <c r="BH99" i="2"/>
  <c r="BU99" i="2" s="1"/>
  <c r="CJ99" i="2" s="1"/>
  <c r="BI99" i="2"/>
  <c r="BV99" i="2" s="1"/>
  <c r="CK99" i="2" s="1"/>
  <c r="BJ99" i="2"/>
  <c r="BW99" i="2" s="1"/>
  <c r="CL99" i="2" s="1"/>
  <c r="BK99" i="2"/>
  <c r="BX99" i="2" s="1"/>
  <c r="CM99" i="2" s="1"/>
  <c r="BL99" i="2"/>
  <c r="BY99" i="2" s="1"/>
  <c r="CN99" i="2" s="1"/>
  <c r="BM99" i="2"/>
  <c r="BZ99" i="2" s="1"/>
  <c r="CO99" i="2" s="1"/>
  <c r="BN99" i="2"/>
  <c r="CA99" i="2" s="1"/>
  <c r="CP99" i="2" s="1"/>
  <c r="BO99" i="2"/>
  <c r="CB99" i="2" s="1"/>
  <c r="CQ99" i="2" s="1"/>
  <c r="BP99" i="2"/>
  <c r="CC99" i="2" s="1"/>
  <c r="CR99" i="2" s="1"/>
  <c r="BQ99" i="2"/>
  <c r="CD99" i="2" s="1"/>
  <c r="CS99" i="2" s="1"/>
  <c r="BR99" i="2"/>
  <c r="CE99" i="2" s="1"/>
  <c r="CT99" i="2" s="1"/>
  <c r="BS99" i="2"/>
  <c r="CF99" i="2" s="1"/>
  <c r="CU99" i="2" s="1"/>
  <c r="BH100" i="2"/>
  <c r="BU100" i="2" s="1"/>
  <c r="CJ100" i="2" s="1"/>
  <c r="BI100" i="2"/>
  <c r="BV100" i="2" s="1"/>
  <c r="CK100" i="2" s="1"/>
  <c r="BJ100" i="2"/>
  <c r="BW100" i="2" s="1"/>
  <c r="CL100" i="2" s="1"/>
  <c r="BK100" i="2"/>
  <c r="BX100" i="2" s="1"/>
  <c r="CM100" i="2" s="1"/>
  <c r="BL100" i="2"/>
  <c r="BY100" i="2" s="1"/>
  <c r="CN100" i="2" s="1"/>
  <c r="BM100" i="2"/>
  <c r="BZ100" i="2" s="1"/>
  <c r="CO100" i="2" s="1"/>
  <c r="BN100" i="2"/>
  <c r="CA100" i="2" s="1"/>
  <c r="CP100" i="2" s="1"/>
  <c r="BO100" i="2"/>
  <c r="CB100" i="2" s="1"/>
  <c r="CQ100" i="2" s="1"/>
  <c r="BP100" i="2"/>
  <c r="CC100" i="2" s="1"/>
  <c r="CR100" i="2" s="1"/>
  <c r="BQ100" i="2"/>
  <c r="CD100" i="2" s="1"/>
  <c r="CS100" i="2" s="1"/>
  <c r="BR100" i="2"/>
  <c r="CE100" i="2" s="1"/>
  <c r="CT100" i="2" s="1"/>
  <c r="BS100" i="2"/>
  <c r="CF100" i="2" s="1"/>
  <c r="CU100" i="2" s="1"/>
  <c r="BH101" i="2"/>
  <c r="BU101" i="2" s="1"/>
  <c r="CJ101" i="2" s="1"/>
  <c r="BI101" i="2"/>
  <c r="BV101" i="2" s="1"/>
  <c r="CK101" i="2" s="1"/>
  <c r="BJ101" i="2"/>
  <c r="BW101" i="2" s="1"/>
  <c r="CL101" i="2" s="1"/>
  <c r="BK101" i="2"/>
  <c r="BX101" i="2" s="1"/>
  <c r="CM101" i="2" s="1"/>
  <c r="BL101" i="2"/>
  <c r="BY101" i="2" s="1"/>
  <c r="CN101" i="2" s="1"/>
  <c r="BM101" i="2"/>
  <c r="BZ101" i="2" s="1"/>
  <c r="CO101" i="2" s="1"/>
  <c r="BN101" i="2"/>
  <c r="CA101" i="2" s="1"/>
  <c r="CP101" i="2" s="1"/>
  <c r="BO101" i="2"/>
  <c r="CB101" i="2" s="1"/>
  <c r="CQ101" i="2" s="1"/>
  <c r="BP101" i="2"/>
  <c r="CC101" i="2" s="1"/>
  <c r="CR101" i="2" s="1"/>
  <c r="BQ101" i="2"/>
  <c r="CD101" i="2" s="1"/>
  <c r="CS101" i="2" s="1"/>
  <c r="BR101" i="2"/>
  <c r="CE101" i="2" s="1"/>
  <c r="CT101" i="2" s="1"/>
  <c r="BS101" i="2"/>
  <c r="CF101" i="2" s="1"/>
  <c r="CU101" i="2" s="1"/>
  <c r="BH102" i="2"/>
  <c r="BU102" i="2" s="1"/>
  <c r="CJ102" i="2" s="1"/>
  <c r="BI102" i="2"/>
  <c r="BV102" i="2" s="1"/>
  <c r="CK102" i="2" s="1"/>
  <c r="BJ102" i="2"/>
  <c r="BW102" i="2" s="1"/>
  <c r="CL102" i="2" s="1"/>
  <c r="BK102" i="2"/>
  <c r="BX102" i="2" s="1"/>
  <c r="CM102" i="2" s="1"/>
  <c r="BL102" i="2"/>
  <c r="BY102" i="2" s="1"/>
  <c r="CN102" i="2" s="1"/>
  <c r="BM102" i="2"/>
  <c r="BZ102" i="2" s="1"/>
  <c r="CO102" i="2" s="1"/>
  <c r="BN102" i="2"/>
  <c r="CA102" i="2" s="1"/>
  <c r="CP102" i="2" s="1"/>
  <c r="BO102" i="2"/>
  <c r="CB102" i="2" s="1"/>
  <c r="CQ102" i="2" s="1"/>
  <c r="BP102" i="2"/>
  <c r="CC102" i="2" s="1"/>
  <c r="CR102" i="2" s="1"/>
  <c r="BQ102" i="2"/>
  <c r="CD102" i="2" s="1"/>
  <c r="CS102" i="2" s="1"/>
  <c r="BR102" i="2"/>
  <c r="CE102" i="2" s="1"/>
  <c r="CT102" i="2" s="1"/>
  <c r="BS102" i="2"/>
  <c r="CF102" i="2" s="1"/>
  <c r="CU102" i="2" s="1"/>
  <c r="BH103" i="2"/>
  <c r="BU103" i="2" s="1"/>
  <c r="CJ103" i="2" s="1"/>
  <c r="BI103" i="2"/>
  <c r="BV103" i="2" s="1"/>
  <c r="CK103" i="2" s="1"/>
  <c r="BJ103" i="2"/>
  <c r="BW103" i="2" s="1"/>
  <c r="CL103" i="2" s="1"/>
  <c r="BK103" i="2"/>
  <c r="BX103" i="2" s="1"/>
  <c r="CM103" i="2" s="1"/>
  <c r="BL103" i="2"/>
  <c r="BY103" i="2" s="1"/>
  <c r="CN103" i="2" s="1"/>
  <c r="BM103" i="2"/>
  <c r="BZ103" i="2" s="1"/>
  <c r="CO103" i="2" s="1"/>
  <c r="BN103" i="2"/>
  <c r="CA103" i="2" s="1"/>
  <c r="CP103" i="2" s="1"/>
  <c r="BO103" i="2"/>
  <c r="CB103" i="2" s="1"/>
  <c r="CQ103" i="2" s="1"/>
  <c r="BP103" i="2"/>
  <c r="CC103" i="2" s="1"/>
  <c r="CR103" i="2" s="1"/>
  <c r="BQ103" i="2"/>
  <c r="CD103" i="2" s="1"/>
  <c r="CS103" i="2" s="1"/>
  <c r="BR103" i="2"/>
  <c r="CE103" i="2" s="1"/>
  <c r="CT103" i="2" s="1"/>
  <c r="BS103" i="2"/>
  <c r="CF103" i="2" s="1"/>
  <c r="CU103" i="2" s="1"/>
  <c r="BH104" i="2"/>
  <c r="BU104" i="2" s="1"/>
  <c r="CJ104" i="2" s="1"/>
  <c r="BI104" i="2"/>
  <c r="BV104" i="2" s="1"/>
  <c r="CK104" i="2" s="1"/>
  <c r="BJ104" i="2"/>
  <c r="BW104" i="2" s="1"/>
  <c r="CL104" i="2" s="1"/>
  <c r="BK104" i="2"/>
  <c r="BX104" i="2" s="1"/>
  <c r="CM104" i="2" s="1"/>
  <c r="BL104" i="2"/>
  <c r="BY104" i="2" s="1"/>
  <c r="CN104" i="2" s="1"/>
  <c r="BM104" i="2"/>
  <c r="BZ104" i="2" s="1"/>
  <c r="CO104" i="2" s="1"/>
  <c r="BN104" i="2"/>
  <c r="CA104" i="2" s="1"/>
  <c r="CP104" i="2" s="1"/>
  <c r="BO104" i="2"/>
  <c r="CB104" i="2" s="1"/>
  <c r="CQ104" i="2" s="1"/>
  <c r="BP104" i="2"/>
  <c r="CC104" i="2" s="1"/>
  <c r="CR104" i="2" s="1"/>
  <c r="BQ104" i="2"/>
  <c r="CD104" i="2" s="1"/>
  <c r="CS104" i="2" s="1"/>
  <c r="BR104" i="2"/>
  <c r="CE104" i="2" s="1"/>
  <c r="CT104" i="2" s="1"/>
  <c r="BS104" i="2"/>
  <c r="CF104" i="2" s="1"/>
  <c r="CU104" i="2" s="1"/>
  <c r="BH105" i="2"/>
  <c r="BU105" i="2" s="1"/>
  <c r="CJ105" i="2" s="1"/>
  <c r="BI105" i="2"/>
  <c r="BV105" i="2" s="1"/>
  <c r="CK105" i="2" s="1"/>
  <c r="BJ105" i="2"/>
  <c r="BW105" i="2" s="1"/>
  <c r="CL105" i="2" s="1"/>
  <c r="BK105" i="2"/>
  <c r="BX105" i="2" s="1"/>
  <c r="CM105" i="2" s="1"/>
  <c r="BL105" i="2"/>
  <c r="BY105" i="2" s="1"/>
  <c r="CN105" i="2" s="1"/>
  <c r="BM105" i="2"/>
  <c r="BZ105" i="2" s="1"/>
  <c r="CO105" i="2" s="1"/>
  <c r="BN105" i="2"/>
  <c r="CA105" i="2" s="1"/>
  <c r="CP105" i="2" s="1"/>
  <c r="BO105" i="2"/>
  <c r="CB105" i="2" s="1"/>
  <c r="CQ105" i="2" s="1"/>
  <c r="BP105" i="2"/>
  <c r="CC105" i="2" s="1"/>
  <c r="CR105" i="2" s="1"/>
  <c r="BQ105" i="2"/>
  <c r="CD105" i="2" s="1"/>
  <c r="CS105" i="2" s="1"/>
  <c r="BR105" i="2"/>
  <c r="CE105" i="2" s="1"/>
  <c r="CT105" i="2" s="1"/>
  <c r="BS105" i="2"/>
  <c r="CF105" i="2" s="1"/>
  <c r="CU105" i="2" s="1"/>
  <c r="BH106" i="2"/>
  <c r="BU106" i="2" s="1"/>
  <c r="CJ106" i="2" s="1"/>
  <c r="BI106" i="2"/>
  <c r="BV106" i="2" s="1"/>
  <c r="CK106" i="2" s="1"/>
  <c r="BJ106" i="2"/>
  <c r="BW106" i="2" s="1"/>
  <c r="CL106" i="2" s="1"/>
  <c r="BK106" i="2"/>
  <c r="BX106" i="2" s="1"/>
  <c r="CM106" i="2" s="1"/>
  <c r="BL106" i="2"/>
  <c r="BY106" i="2" s="1"/>
  <c r="CN106" i="2" s="1"/>
  <c r="BM106" i="2"/>
  <c r="BZ106" i="2" s="1"/>
  <c r="CO106" i="2" s="1"/>
  <c r="BN106" i="2"/>
  <c r="CA106" i="2" s="1"/>
  <c r="CP106" i="2" s="1"/>
  <c r="BO106" i="2"/>
  <c r="CB106" i="2" s="1"/>
  <c r="CQ106" i="2" s="1"/>
  <c r="BP106" i="2"/>
  <c r="CC106" i="2" s="1"/>
  <c r="CR106" i="2" s="1"/>
  <c r="BQ106" i="2"/>
  <c r="CD106" i="2" s="1"/>
  <c r="CS106" i="2" s="1"/>
  <c r="BR106" i="2"/>
  <c r="CE106" i="2" s="1"/>
  <c r="CT106" i="2" s="1"/>
  <c r="BS106" i="2"/>
  <c r="CF106" i="2" s="1"/>
  <c r="CU106" i="2" s="1"/>
  <c r="BH107" i="2"/>
  <c r="BU107" i="2" s="1"/>
  <c r="CJ107" i="2" s="1"/>
  <c r="BI107" i="2"/>
  <c r="BV107" i="2" s="1"/>
  <c r="CK107" i="2" s="1"/>
  <c r="BJ107" i="2"/>
  <c r="BW107" i="2" s="1"/>
  <c r="CL107" i="2" s="1"/>
  <c r="BK107" i="2"/>
  <c r="BX107" i="2" s="1"/>
  <c r="CM107" i="2" s="1"/>
  <c r="BL107" i="2"/>
  <c r="BY107" i="2" s="1"/>
  <c r="CN107" i="2" s="1"/>
  <c r="BM107" i="2"/>
  <c r="BZ107" i="2" s="1"/>
  <c r="CO107" i="2" s="1"/>
  <c r="BN107" i="2"/>
  <c r="CA107" i="2" s="1"/>
  <c r="CP107" i="2" s="1"/>
  <c r="BO107" i="2"/>
  <c r="CB107" i="2" s="1"/>
  <c r="CQ107" i="2" s="1"/>
  <c r="BP107" i="2"/>
  <c r="CC107" i="2" s="1"/>
  <c r="CR107" i="2" s="1"/>
  <c r="BQ107" i="2"/>
  <c r="CD107" i="2" s="1"/>
  <c r="CS107" i="2" s="1"/>
  <c r="BR107" i="2"/>
  <c r="CE107" i="2" s="1"/>
  <c r="CT107" i="2" s="1"/>
  <c r="BS107" i="2"/>
  <c r="CF107" i="2" s="1"/>
  <c r="CU107" i="2" s="1"/>
  <c r="BH108" i="2"/>
  <c r="BU108" i="2" s="1"/>
  <c r="CJ108" i="2" s="1"/>
  <c r="BI108" i="2"/>
  <c r="BV108" i="2" s="1"/>
  <c r="CK108" i="2" s="1"/>
  <c r="BJ108" i="2"/>
  <c r="BW108" i="2" s="1"/>
  <c r="CL108" i="2" s="1"/>
  <c r="BK108" i="2"/>
  <c r="BX108" i="2" s="1"/>
  <c r="CM108" i="2" s="1"/>
  <c r="BL108" i="2"/>
  <c r="BY108" i="2" s="1"/>
  <c r="CN108" i="2" s="1"/>
  <c r="BM108" i="2"/>
  <c r="BZ108" i="2" s="1"/>
  <c r="CO108" i="2" s="1"/>
  <c r="BN108" i="2"/>
  <c r="CA108" i="2" s="1"/>
  <c r="CP108" i="2" s="1"/>
  <c r="BO108" i="2"/>
  <c r="CB108" i="2" s="1"/>
  <c r="CQ108" i="2" s="1"/>
  <c r="BP108" i="2"/>
  <c r="CC108" i="2" s="1"/>
  <c r="CR108" i="2" s="1"/>
  <c r="BQ108" i="2"/>
  <c r="CD108" i="2" s="1"/>
  <c r="CS108" i="2" s="1"/>
  <c r="BR108" i="2"/>
  <c r="CE108" i="2" s="1"/>
  <c r="CT108" i="2" s="1"/>
  <c r="BS108" i="2"/>
  <c r="CF108" i="2" s="1"/>
  <c r="CU108" i="2" s="1"/>
  <c r="BH109" i="2"/>
  <c r="BU109" i="2" s="1"/>
  <c r="CJ109" i="2" s="1"/>
  <c r="BI109" i="2"/>
  <c r="BV109" i="2" s="1"/>
  <c r="CK109" i="2" s="1"/>
  <c r="BJ109" i="2"/>
  <c r="BW109" i="2" s="1"/>
  <c r="CL109" i="2" s="1"/>
  <c r="BK109" i="2"/>
  <c r="BX109" i="2" s="1"/>
  <c r="CM109" i="2" s="1"/>
  <c r="BL109" i="2"/>
  <c r="BY109" i="2" s="1"/>
  <c r="CN109" i="2" s="1"/>
  <c r="BM109" i="2"/>
  <c r="BZ109" i="2" s="1"/>
  <c r="CO109" i="2" s="1"/>
  <c r="BN109" i="2"/>
  <c r="CA109" i="2" s="1"/>
  <c r="CP109" i="2" s="1"/>
  <c r="BO109" i="2"/>
  <c r="CB109" i="2" s="1"/>
  <c r="CQ109" i="2" s="1"/>
  <c r="BP109" i="2"/>
  <c r="CC109" i="2" s="1"/>
  <c r="CR109" i="2" s="1"/>
  <c r="BQ109" i="2"/>
  <c r="CD109" i="2" s="1"/>
  <c r="CS109" i="2" s="1"/>
  <c r="BR109" i="2"/>
  <c r="CE109" i="2" s="1"/>
  <c r="CT109" i="2" s="1"/>
  <c r="BS109" i="2"/>
  <c r="CF109" i="2" s="1"/>
  <c r="CU109" i="2" s="1"/>
  <c r="BH110" i="2"/>
  <c r="BU110" i="2" s="1"/>
  <c r="CJ110" i="2" s="1"/>
  <c r="BI110" i="2"/>
  <c r="BV110" i="2" s="1"/>
  <c r="CK110" i="2" s="1"/>
  <c r="BJ110" i="2"/>
  <c r="BW110" i="2" s="1"/>
  <c r="CL110" i="2" s="1"/>
  <c r="BK110" i="2"/>
  <c r="BX110" i="2" s="1"/>
  <c r="CM110" i="2" s="1"/>
  <c r="BL110" i="2"/>
  <c r="BY110" i="2" s="1"/>
  <c r="CN110" i="2" s="1"/>
  <c r="BM110" i="2"/>
  <c r="BZ110" i="2" s="1"/>
  <c r="CO110" i="2" s="1"/>
  <c r="BN110" i="2"/>
  <c r="CA110" i="2" s="1"/>
  <c r="CP110" i="2" s="1"/>
  <c r="BO110" i="2"/>
  <c r="CB110" i="2" s="1"/>
  <c r="CQ110" i="2" s="1"/>
  <c r="BP110" i="2"/>
  <c r="CC110" i="2" s="1"/>
  <c r="CR110" i="2" s="1"/>
  <c r="BQ110" i="2"/>
  <c r="CD110" i="2" s="1"/>
  <c r="CS110" i="2" s="1"/>
  <c r="BR110" i="2"/>
  <c r="CE110" i="2" s="1"/>
  <c r="CT110" i="2" s="1"/>
  <c r="BS110" i="2"/>
  <c r="CF110" i="2" s="1"/>
  <c r="CU110" i="2" s="1"/>
  <c r="BH111" i="2"/>
  <c r="BU111" i="2" s="1"/>
  <c r="CJ111" i="2" s="1"/>
  <c r="BI111" i="2"/>
  <c r="BV111" i="2" s="1"/>
  <c r="CK111" i="2" s="1"/>
  <c r="BJ111" i="2"/>
  <c r="BW111" i="2" s="1"/>
  <c r="CL111" i="2" s="1"/>
  <c r="BK111" i="2"/>
  <c r="BX111" i="2" s="1"/>
  <c r="CM111" i="2" s="1"/>
  <c r="BL111" i="2"/>
  <c r="BY111" i="2" s="1"/>
  <c r="CN111" i="2" s="1"/>
  <c r="BM111" i="2"/>
  <c r="BZ111" i="2" s="1"/>
  <c r="CO111" i="2" s="1"/>
  <c r="BN111" i="2"/>
  <c r="CA111" i="2" s="1"/>
  <c r="CP111" i="2" s="1"/>
  <c r="BO111" i="2"/>
  <c r="CB111" i="2" s="1"/>
  <c r="CQ111" i="2" s="1"/>
  <c r="BP111" i="2"/>
  <c r="CC111" i="2" s="1"/>
  <c r="CR111" i="2" s="1"/>
  <c r="BQ111" i="2"/>
  <c r="CD111" i="2" s="1"/>
  <c r="CS111" i="2" s="1"/>
  <c r="BR111" i="2"/>
  <c r="CE111" i="2" s="1"/>
  <c r="CT111" i="2" s="1"/>
  <c r="BS111" i="2"/>
  <c r="CF111" i="2" s="1"/>
  <c r="CU111" i="2" s="1"/>
  <c r="BH112" i="2"/>
  <c r="BU112" i="2" s="1"/>
  <c r="CJ112" i="2" s="1"/>
  <c r="BI112" i="2"/>
  <c r="BV112" i="2" s="1"/>
  <c r="CK112" i="2" s="1"/>
  <c r="BJ112" i="2"/>
  <c r="BW112" i="2" s="1"/>
  <c r="CL112" i="2" s="1"/>
  <c r="BK112" i="2"/>
  <c r="BX112" i="2" s="1"/>
  <c r="CM112" i="2" s="1"/>
  <c r="BL112" i="2"/>
  <c r="BY112" i="2" s="1"/>
  <c r="CN112" i="2" s="1"/>
  <c r="BM112" i="2"/>
  <c r="BZ112" i="2" s="1"/>
  <c r="CO112" i="2" s="1"/>
  <c r="BN112" i="2"/>
  <c r="CA112" i="2" s="1"/>
  <c r="CP112" i="2" s="1"/>
  <c r="BO112" i="2"/>
  <c r="CB112" i="2" s="1"/>
  <c r="CQ112" i="2" s="1"/>
  <c r="BP112" i="2"/>
  <c r="CC112" i="2" s="1"/>
  <c r="CR112" i="2" s="1"/>
  <c r="BQ112" i="2"/>
  <c r="CD112" i="2" s="1"/>
  <c r="CS112" i="2" s="1"/>
  <c r="BR112" i="2"/>
  <c r="CE112" i="2" s="1"/>
  <c r="CT112" i="2" s="1"/>
  <c r="BS112" i="2"/>
  <c r="CF112" i="2" s="1"/>
  <c r="CU112" i="2" s="1"/>
  <c r="BH113" i="2"/>
  <c r="BU113" i="2" s="1"/>
  <c r="CJ113" i="2" s="1"/>
  <c r="BI113" i="2"/>
  <c r="BV113" i="2" s="1"/>
  <c r="CK113" i="2" s="1"/>
  <c r="BJ113" i="2"/>
  <c r="BW113" i="2" s="1"/>
  <c r="CL113" i="2" s="1"/>
  <c r="BK113" i="2"/>
  <c r="BX113" i="2" s="1"/>
  <c r="CM113" i="2" s="1"/>
  <c r="BL113" i="2"/>
  <c r="BY113" i="2" s="1"/>
  <c r="CN113" i="2" s="1"/>
  <c r="BM113" i="2"/>
  <c r="BZ113" i="2" s="1"/>
  <c r="CO113" i="2" s="1"/>
  <c r="BN113" i="2"/>
  <c r="CA113" i="2" s="1"/>
  <c r="CP113" i="2" s="1"/>
  <c r="BO113" i="2"/>
  <c r="CB113" i="2" s="1"/>
  <c r="CQ113" i="2" s="1"/>
  <c r="BP113" i="2"/>
  <c r="CC113" i="2" s="1"/>
  <c r="CR113" i="2" s="1"/>
  <c r="BQ113" i="2"/>
  <c r="CD113" i="2" s="1"/>
  <c r="CS113" i="2" s="1"/>
  <c r="BR113" i="2"/>
  <c r="CE113" i="2" s="1"/>
  <c r="CT113" i="2" s="1"/>
  <c r="BS113" i="2"/>
  <c r="CF113" i="2" s="1"/>
  <c r="CU113" i="2" s="1"/>
  <c r="BH114" i="2"/>
  <c r="BU114" i="2" s="1"/>
  <c r="CJ114" i="2" s="1"/>
  <c r="BI114" i="2"/>
  <c r="BV114" i="2" s="1"/>
  <c r="CK114" i="2" s="1"/>
  <c r="BJ114" i="2"/>
  <c r="BW114" i="2" s="1"/>
  <c r="CL114" i="2" s="1"/>
  <c r="BK114" i="2"/>
  <c r="BX114" i="2" s="1"/>
  <c r="CM114" i="2" s="1"/>
  <c r="BL114" i="2"/>
  <c r="BY114" i="2" s="1"/>
  <c r="CN114" i="2" s="1"/>
  <c r="BM114" i="2"/>
  <c r="BZ114" i="2" s="1"/>
  <c r="CO114" i="2" s="1"/>
  <c r="BN114" i="2"/>
  <c r="CA114" i="2" s="1"/>
  <c r="CP114" i="2" s="1"/>
  <c r="BO114" i="2"/>
  <c r="CB114" i="2" s="1"/>
  <c r="CQ114" i="2" s="1"/>
  <c r="BP114" i="2"/>
  <c r="CC114" i="2" s="1"/>
  <c r="CR114" i="2" s="1"/>
  <c r="BQ114" i="2"/>
  <c r="CD114" i="2" s="1"/>
  <c r="CS114" i="2" s="1"/>
  <c r="BR114" i="2"/>
  <c r="CE114" i="2" s="1"/>
  <c r="CT114" i="2" s="1"/>
  <c r="BS114" i="2"/>
  <c r="CF114" i="2" s="1"/>
  <c r="CU114" i="2" s="1"/>
  <c r="BH115" i="2"/>
  <c r="BU115" i="2" s="1"/>
  <c r="CJ115" i="2" s="1"/>
  <c r="BI115" i="2"/>
  <c r="BV115" i="2" s="1"/>
  <c r="CK115" i="2" s="1"/>
  <c r="BJ115" i="2"/>
  <c r="BW115" i="2" s="1"/>
  <c r="CL115" i="2" s="1"/>
  <c r="BK115" i="2"/>
  <c r="BX115" i="2" s="1"/>
  <c r="CM115" i="2" s="1"/>
  <c r="BL115" i="2"/>
  <c r="BY115" i="2" s="1"/>
  <c r="CN115" i="2" s="1"/>
  <c r="BM115" i="2"/>
  <c r="BZ115" i="2" s="1"/>
  <c r="CO115" i="2" s="1"/>
  <c r="BN115" i="2"/>
  <c r="CA115" i="2" s="1"/>
  <c r="CP115" i="2" s="1"/>
  <c r="BO115" i="2"/>
  <c r="CB115" i="2" s="1"/>
  <c r="CQ115" i="2" s="1"/>
  <c r="BP115" i="2"/>
  <c r="CC115" i="2" s="1"/>
  <c r="CR115" i="2" s="1"/>
  <c r="BQ115" i="2"/>
  <c r="CD115" i="2" s="1"/>
  <c r="CS115" i="2" s="1"/>
  <c r="BR115" i="2"/>
  <c r="CE115" i="2" s="1"/>
  <c r="CT115" i="2" s="1"/>
  <c r="BS115" i="2"/>
  <c r="CF115" i="2" s="1"/>
  <c r="CU115" i="2" s="1"/>
  <c r="BH116" i="2"/>
  <c r="BU116" i="2" s="1"/>
  <c r="CJ116" i="2" s="1"/>
  <c r="BI116" i="2"/>
  <c r="BV116" i="2" s="1"/>
  <c r="CK116" i="2" s="1"/>
  <c r="BJ116" i="2"/>
  <c r="BW116" i="2" s="1"/>
  <c r="CL116" i="2" s="1"/>
  <c r="BK116" i="2"/>
  <c r="BX116" i="2" s="1"/>
  <c r="CM116" i="2" s="1"/>
  <c r="BL116" i="2"/>
  <c r="BY116" i="2" s="1"/>
  <c r="CN116" i="2" s="1"/>
  <c r="BM116" i="2"/>
  <c r="BZ116" i="2" s="1"/>
  <c r="CO116" i="2" s="1"/>
  <c r="BN116" i="2"/>
  <c r="CA116" i="2" s="1"/>
  <c r="CP116" i="2" s="1"/>
  <c r="BO116" i="2"/>
  <c r="CB116" i="2" s="1"/>
  <c r="CQ116" i="2" s="1"/>
  <c r="BP116" i="2"/>
  <c r="CC116" i="2" s="1"/>
  <c r="CR116" i="2" s="1"/>
  <c r="BQ116" i="2"/>
  <c r="CD116" i="2" s="1"/>
  <c r="CS116" i="2" s="1"/>
  <c r="BR116" i="2"/>
  <c r="CE116" i="2" s="1"/>
  <c r="CT116" i="2" s="1"/>
  <c r="BS116" i="2"/>
  <c r="CF116" i="2" s="1"/>
  <c r="CU116" i="2" s="1"/>
  <c r="BH117" i="2"/>
  <c r="BU117" i="2" s="1"/>
  <c r="CJ117" i="2" s="1"/>
  <c r="BI117" i="2"/>
  <c r="BV117" i="2" s="1"/>
  <c r="CK117" i="2" s="1"/>
  <c r="BJ117" i="2"/>
  <c r="BW117" i="2" s="1"/>
  <c r="CL117" i="2" s="1"/>
  <c r="BK117" i="2"/>
  <c r="BX117" i="2" s="1"/>
  <c r="CM117" i="2" s="1"/>
  <c r="BL117" i="2"/>
  <c r="BY117" i="2" s="1"/>
  <c r="CN117" i="2" s="1"/>
  <c r="BM117" i="2"/>
  <c r="BZ117" i="2" s="1"/>
  <c r="CO117" i="2" s="1"/>
  <c r="BN117" i="2"/>
  <c r="CA117" i="2" s="1"/>
  <c r="CP117" i="2" s="1"/>
  <c r="BO117" i="2"/>
  <c r="CB117" i="2" s="1"/>
  <c r="CQ117" i="2" s="1"/>
  <c r="BP117" i="2"/>
  <c r="CC117" i="2" s="1"/>
  <c r="CR117" i="2" s="1"/>
  <c r="BQ117" i="2"/>
  <c r="CD117" i="2" s="1"/>
  <c r="CS117" i="2" s="1"/>
  <c r="BR117" i="2"/>
  <c r="CE117" i="2" s="1"/>
  <c r="CT117" i="2" s="1"/>
  <c r="BS117" i="2"/>
  <c r="CF117" i="2" s="1"/>
  <c r="CU117" i="2" s="1"/>
  <c r="BH118" i="2"/>
  <c r="BU118" i="2" s="1"/>
  <c r="CJ118" i="2" s="1"/>
  <c r="BI118" i="2"/>
  <c r="BV118" i="2" s="1"/>
  <c r="CK118" i="2" s="1"/>
  <c r="BJ118" i="2"/>
  <c r="BW118" i="2" s="1"/>
  <c r="CL118" i="2" s="1"/>
  <c r="BK118" i="2"/>
  <c r="BX118" i="2" s="1"/>
  <c r="CM118" i="2" s="1"/>
  <c r="BL118" i="2"/>
  <c r="BY118" i="2" s="1"/>
  <c r="CN118" i="2" s="1"/>
  <c r="BM118" i="2"/>
  <c r="BZ118" i="2" s="1"/>
  <c r="CO118" i="2" s="1"/>
  <c r="BN118" i="2"/>
  <c r="CA118" i="2" s="1"/>
  <c r="CP118" i="2" s="1"/>
  <c r="BO118" i="2"/>
  <c r="CB118" i="2" s="1"/>
  <c r="CQ118" i="2" s="1"/>
  <c r="BP118" i="2"/>
  <c r="CC118" i="2" s="1"/>
  <c r="CR118" i="2" s="1"/>
  <c r="BQ118" i="2"/>
  <c r="CD118" i="2" s="1"/>
  <c r="CS118" i="2" s="1"/>
  <c r="BR118" i="2"/>
  <c r="CE118" i="2" s="1"/>
  <c r="CT118" i="2" s="1"/>
  <c r="BS118" i="2"/>
  <c r="CF118" i="2" s="1"/>
  <c r="CU118" i="2" s="1"/>
  <c r="BH119" i="2"/>
  <c r="BU119" i="2" s="1"/>
  <c r="CJ119" i="2" s="1"/>
  <c r="BI119" i="2"/>
  <c r="BV119" i="2" s="1"/>
  <c r="CK119" i="2" s="1"/>
  <c r="BJ119" i="2"/>
  <c r="BW119" i="2" s="1"/>
  <c r="CL119" i="2" s="1"/>
  <c r="BK119" i="2"/>
  <c r="BX119" i="2" s="1"/>
  <c r="CM119" i="2" s="1"/>
  <c r="BL119" i="2"/>
  <c r="BY119" i="2" s="1"/>
  <c r="CN119" i="2" s="1"/>
  <c r="BM119" i="2"/>
  <c r="BZ119" i="2" s="1"/>
  <c r="CO119" i="2" s="1"/>
  <c r="BN119" i="2"/>
  <c r="CA119" i="2" s="1"/>
  <c r="CP119" i="2" s="1"/>
  <c r="BO119" i="2"/>
  <c r="CB119" i="2" s="1"/>
  <c r="CQ119" i="2" s="1"/>
  <c r="BP119" i="2"/>
  <c r="CC119" i="2" s="1"/>
  <c r="CR119" i="2" s="1"/>
  <c r="BQ119" i="2"/>
  <c r="CD119" i="2" s="1"/>
  <c r="CS119" i="2" s="1"/>
  <c r="BR119" i="2"/>
  <c r="CE119" i="2" s="1"/>
  <c r="CT119" i="2" s="1"/>
  <c r="BS119" i="2"/>
  <c r="CF119" i="2" s="1"/>
  <c r="CU119" i="2" s="1"/>
  <c r="BH120" i="2"/>
  <c r="BU120" i="2" s="1"/>
  <c r="CJ120" i="2" s="1"/>
  <c r="BI120" i="2"/>
  <c r="BV120" i="2" s="1"/>
  <c r="CK120" i="2" s="1"/>
  <c r="BJ120" i="2"/>
  <c r="BW120" i="2" s="1"/>
  <c r="CL120" i="2" s="1"/>
  <c r="BK120" i="2"/>
  <c r="BX120" i="2" s="1"/>
  <c r="CM120" i="2" s="1"/>
  <c r="BL120" i="2"/>
  <c r="BY120" i="2" s="1"/>
  <c r="CN120" i="2" s="1"/>
  <c r="BM120" i="2"/>
  <c r="BZ120" i="2" s="1"/>
  <c r="CO120" i="2" s="1"/>
  <c r="BN120" i="2"/>
  <c r="CA120" i="2" s="1"/>
  <c r="CP120" i="2" s="1"/>
  <c r="BO120" i="2"/>
  <c r="CB120" i="2" s="1"/>
  <c r="CQ120" i="2" s="1"/>
  <c r="BP120" i="2"/>
  <c r="CC120" i="2" s="1"/>
  <c r="CR120" i="2" s="1"/>
  <c r="BQ120" i="2"/>
  <c r="CD120" i="2" s="1"/>
  <c r="CS120" i="2" s="1"/>
  <c r="BR120" i="2"/>
  <c r="CE120" i="2" s="1"/>
  <c r="CT120" i="2" s="1"/>
  <c r="BS120" i="2"/>
  <c r="CF120" i="2" s="1"/>
  <c r="CU120" i="2" s="1"/>
  <c r="BH121" i="2"/>
  <c r="BU121" i="2" s="1"/>
  <c r="CJ121" i="2" s="1"/>
  <c r="BI121" i="2"/>
  <c r="BV121" i="2" s="1"/>
  <c r="CK121" i="2" s="1"/>
  <c r="BJ121" i="2"/>
  <c r="BW121" i="2" s="1"/>
  <c r="CL121" i="2" s="1"/>
  <c r="BK121" i="2"/>
  <c r="BX121" i="2" s="1"/>
  <c r="CM121" i="2" s="1"/>
  <c r="BL121" i="2"/>
  <c r="BY121" i="2" s="1"/>
  <c r="CN121" i="2" s="1"/>
  <c r="BM121" i="2"/>
  <c r="BZ121" i="2" s="1"/>
  <c r="CO121" i="2" s="1"/>
  <c r="BN121" i="2"/>
  <c r="CA121" i="2" s="1"/>
  <c r="CP121" i="2" s="1"/>
  <c r="BO121" i="2"/>
  <c r="CB121" i="2" s="1"/>
  <c r="CQ121" i="2" s="1"/>
  <c r="BP121" i="2"/>
  <c r="CC121" i="2" s="1"/>
  <c r="CR121" i="2" s="1"/>
  <c r="BQ121" i="2"/>
  <c r="CD121" i="2" s="1"/>
  <c r="CS121" i="2" s="1"/>
  <c r="BR121" i="2"/>
  <c r="CE121" i="2" s="1"/>
  <c r="CT121" i="2" s="1"/>
  <c r="BS121" i="2"/>
  <c r="CF121" i="2" s="1"/>
  <c r="CU121" i="2" s="1"/>
  <c r="BH122" i="2"/>
  <c r="BU122" i="2" s="1"/>
  <c r="CJ122" i="2" s="1"/>
  <c r="BI122" i="2"/>
  <c r="BV122" i="2" s="1"/>
  <c r="CK122" i="2" s="1"/>
  <c r="BJ122" i="2"/>
  <c r="BW122" i="2" s="1"/>
  <c r="CL122" i="2" s="1"/>
  <c r="BK122" i="2"/>
  <c r="BX122" i="2" s="1"/>
  <c r="CM122" i="2" s="1"/>
  <c r="BL122" i="2"/>
  <c r="BY122" i="2" s="1"/>
  <c r="CN122" i="2" s="1"/>
  <c r="BM122" i="2"/>
  <c r="BZ122" i="2" s="1"/>
  <c r="CO122" i="2" s="1"/>
  <c r="BN122" i="2"/>
  <c r="CA122" i="2" s="1"/>
  <c r="CP122" i="2" s="1"/>
  <c r="BO122" i="2"/>
  <c r="CB122" i="2" s="1"/>
  <c r="CQ122" i="2" s="1"/>
  <c r="BP122" i="2"/>
  <c r="CC122" i="2" s="1"/>
  <c r="CR122" i="2" s="1"/>
  <c r="BQ122" i="2"/>
  <c r="CD122" i="2" s="1"/>
  <c r="CS122" i="2" s="1"/>
  <c r="BR122" i="2"/>
  <c r="CE122" i="2" s="1"/>
  <c r="CT122" i="2" s="1"/>
  <c r="BS122" i="2"/>
  <c r="CF122" i="2" s="1"/>
  <c r="CU122" i="2" s="1"/>
  <c r="BH123" i="2"/>
  <c r="BU123" i="2" s="1"/>
  <c r="CJ123" i="2" s="1"/>
  <c r="BI123" i="2"/>
  <c r="BV123" i="2" s="1"/>
  <c r="CK123" i="2" s="1"/>
  <c r="BJ123" i="2"/>
  <c r="BW123" i="2" s="1"/>
  <c r="CL123" i="2" s="1"/>
  <c r="BK123" i="2"/>
  <c r="BX123" i="2" s="1"/>
  <c r="CM123" i="2" s="1"/>
  <c r="BL123" i="2"/>
  <c r="BY123" i="2" s="1"/>
  <c r="CN123" i="2" s="1"/>
  <c r="BM123" i="2"/>
  <c r="BZ123" i="2" s="1"/>
  <c r="CO123" i="2" s="1"/>
  <c r="BN123" i="2"/>
  <c r="CA123" i="2" s="1"/>
  <c r="CP123" i="2" s="1"/>
  <c r="BO123" i="2"/>
  <c r="CB123" i="2" s="1"/>
  <c r="CQ123" i="2" s="1"/>
  <c r="BP123" i="2"/>
  <c r="CC123" i="2" s="1"/>
  <c r="CR123" i="2" s="1"/>
  <c r="BQ123" i="2"/>
  <c r="CD123" i="2" s="1"/>
  <c r="CS123" i="2" s="1"/>
  <c r="BR123" i="2"/>
  <c r="CE123" i="2" s="1"/>
  <c r="CT123" i="2" s="1"/>
  <c r="BS123" i="2"/>
  <c r="CF123" i="2" s="1"/>
  <c r="CU123" i="2" s="1"/>
  <c r="BH124" i="2"/>
  <c r="BU124" i="2" s="1"/>
  <c r="CJ124" i="2" s="1"/>
  <c r="BI124" i="2"/>
  <c r="BV124" i="2" s="1"/>
  <c r="CK124" i="2" s="1"/>
  <c r="BJ124" i="2"/>
  <c r="BW124" i="2" s="1"/>
  <c r="CL124" i="2" s="1"/>
  <c r="BK124" i="2"/>
  <c r="BX124" i="2" s="1"/>
  <c r="CM124" i="2" s="1"/>
  <c r="BL124" i="2"/>
  <c r="BY124" i="2" s="1"/>
  <c r="CN124" i="2" s="1"/>
  <c r="BM124" i="2"/>
  <c r="BZ124" i="2" s="1"/>
  <c r="CO124" i="2" s="1"/>
  <c r="BN124" i="2"/>
  <c r="CA124" i="2" s="1"/>
  <c r="CP124" i="2" s="1"/>
  <c r="BO124" i="2"/>
  <c r="CB124" i="2" s="1"/>
  <c r="CQ124" i="2" s="1"/>
  <c r="BP124" i="2"/>
  <c r="CC124" i="2" s="1"/>
  <c r="CR124" i="2" s="1"/>
  <c r="BQ124" i="2"/>
  <c r="CD124" i="2" s="1"/>
  <c r="CS124" i="2" s="1"/>
  <c r="BR124" i="2"/>
  <c r="CE124" i="2" s="1"/>
  <c r="CT124" i="2" s="1"/>
  <c r="BS124" i="2"/>
  <c r="CF124" i="2" s="1"/>
  <c r="CU124" i="2" s="1"/>
  <c r="BH125" i="2"/>
  <c r="BU125" i="2" s="1"/>
  <c r="CJ125" i="2" s="1"/>
  <c r="BI125" i="2"/>
  <c r="BV125" i="2" s="1"/>
  <c r="CK125" i="2" s="1"/>
  <c r="BJ125" i="2"/>
  <c r="BW125" i="2" s="1"/>
  <c r="CL125" i="2" s="1"/>
  <c r="BK125" i="2"/>
  <c r="BX125" i="2" s="1"/>
  <c r="CM125" i="2" s="1"/>
  <c r="BL125" i="2"/>
  <c r="BY125" i="2" s="1"/>
  <c r="CN125" i="2" s="1"/>
  <c r="BM125" i="2"/>
  <c r="BZ125" i="2" s="1"/>
  <c r="CO125" i="2" s="1"/>
  <c r="BN125" i="2"/>
  <c r="CA125" i="2" s="1"/>
  <c r="CP125" i="2" s="1"/>
  <c r="BO125" i="2"/>
  <c r="CB125" i="2" s="1"/>
  <c r="CQ125" i="2" s="1"/>
  <c r="BP125" i="2"/>
  <c r="CC125" i="2" s="1"/>
  <c r="CR125" i="2" s="1"/>
  <c r="BQ125" i="2"/>
  <c r="CD125" i="2" s="1"/>
  <c r="CS125" i="2" s="1"/>
  <c r="BR125" i="2"/>
  <c r="CE125" i="2" s="1"/>
  <c r="CT125" i="2" s="1"/>
  <c r="BS125" i="2"/>
  <c r="CF125" i="2" s="1"/>
  <c r="CU125" i="2" s="1"/>
  <c r="BH126" i="2"/>
  <c r="BU126" i="2" s="1"/>
  <c r="CJ126" i="2" s="1"/>
  <c r="BI126" i="2"/>
  <c r="BV126" i="2" s="1"/>
  <c r="CK126" i="2" s="1"/>
  <c r="BJ126" i="2"/>
  <c r="BW126" i="2" s="1"/>
  <c r="CL126" i="2" s="1"/>
  <c r="BK126" i="2"/>
  <c r="BX126" i="2" s="1"/>
  <c r="CM126" i="2" s="1"/>
  <c r="BL126" i="2"/>
  <c r="BY126" i="2" s="1"/>
  <c r="CN126" i="2" s="1"/>
  <c r="BM126" i="2"/>
  <c r="BZ126" i="2" s="1"/>
  <c r="CO126" i="2" s="1"/>
  <c r="BN126" i="2"/>
  <c r="CA126" i="2" s="1"/>
  <c r="CP126" i="2" s="1"/>
  <c r="BO126" i="2"/>
  <c r="CB126" i="2" s="1"/>
  <c r="CQ126" i="2" s="1"/>
  <c r="BP126" i="2"/>
  <c r="CC126" i="2" s="1"/>
  <c r="CR126" i="2" s="1"/>
  <c r="BQ126" i="2"/>
  <c r="CD126" i="2" s="1"/>
  <c r="CS126" i="2" s="1"/>
  <c r="BR126" i="2"/>
  <c r="CE126" i="2" s="1"/>
  <c r="CT126" i="2" s="1"/>
  <c r="BS126" i="2"/>
  <c r="CF126" i="2" s="1"/>
  <c r="CU126" i="2" s="1"/>
  <c r="BH127" i="2"/>
  <c r="BU127" i="2" s="1"/>
  <c r="CJ127" i="2" s="1"/>
  <c r="BI127" i="2"/>
  <c r="BV127" i="2" s="1"/>
  <c r="CK127" i="2" s="1"/>
  <c r="BJ127" i="2"/>
  <c r="BW127" i="2" s="1"/>
  <c r="CL127" i="2" s="1"/>
  <c r="BK127" i="2"/>
  <c r="BX127" i="2" s="1"/>
  <c r="CM127" i="2" s="1"/>
  <c r="BL127" i="2"/>
  <c r="BY127" i="2" s="1"/>
  <c r="CN127" i="2" s="1"/>
  <c r="BM127" i="2"/>
  <c r="BZ127" i="2" s="1"/>
  <c r="CO127" i="2" s="1"/>
  <c r="BN127" i="2"/>
  <c r="CA127" i="2" s="1"/>
  <c r="CP127" i="2" s="1"/>
  <c r="BO127" i="2"/>
  <c r="CB127" i="2" s="1"/>
  <c r="CQ127" i="2" s="1"/>
  <c r="BP127" i="2"/>
  <c r="CC127" i="2" s="1"/>
  <c r="CR127" i="2" s="1"/>
  <c r="BQ127" i="2"/>
  <c r="CD127" i="2" s="1"/>
  <c r="CS127" i="2" s="1"/>
  <c r="BR127" i="2"/>
  <c r="CE127" i="2" s="1"/>
  <c r="CT127" i="2" s="1"/>
  <c r="BS127" i="2"/>
  <c r="CF127" i="2" s="1"/>
  <c r="CU127" i="2" s="1"/>
  <c r="BH128" i="2"/>
  <c r="BU128" i="2" s="1"/>
  <c r="CJ128" i="2" s="1"/>
  <c r="BI128" i="2"/>
  <c r="BV128" i="2" s="1"/>
  <c r="CK128" i="2" s="1"/>
  <c r="BJ128" i="2"/>
  <c r="BW128" i="2" s="1"/>
  <c r="CL128" i="2" s="1"/>
  <c r="BK128" i="2"/>
  <c r="BX128" i="2" s="1"/>
  <c r="CM128" i="2" s="1"/>
  <c r="BL128" i="2"/>
  <c r="BY128" i="2" s="1"/>
  <c r="CN128" i="2" s="1"/>
  <c r="BM128" i="2"/>
  <c r="BZ128" i="2" s="1"/>
  <c r="CO128" i="2" s="1"/>
  <c r="BN128" i="2"/>
  <c r="CA128" i="2" s="1"/>
  <c r="CP128" i="2" s="1"/>
  <c r="BO128" i="2"/>
  <c r="CB128" i="2" s="1"/>
  <c r="CQ128" i="2" s="1"/>
  <c r="BP128" i="2"/>
  <c r="CC128" i="2" s="1"/>
  <c r="CR128" i="2" s="1"/>
  <c r="BQ128" i="2"/>
  <c r="CD128" i="2" s="1"/>
  <c r="CS128" i="2" s="1"/>
  <c r="BR128" i="2"/>
  <c r="CE128" i="2" s="1"/>
  <c r="CT128" i="2" s="1"/>
  <c r="BS128" i="2"/>
  <c r="CF128" i="2" s="1"/>
  <c r="CU128" i="2" s="1"/>
  <c r="BH129" i="2"/>
  <c r="BU129" i="2" s="1"/>
  <c r="CJ129" i="2" s="1"/>
  <c r="BI129" i="2"/>
  <c r="BV129" i="2" s="1"/>
  <c r="CK129" i="2" s="1"/>
  <c r="BJ129" i="2"/>
  <c r="BW129" i="2" s="1"/>
  <c r="CL129" i="2" s="1"/>
  <c r="BK129" i="2"/>
  <c r="BX129" i="2" s="1"/>
  <c r="CM129" i="2" s="1"/>
  <c r="BL129" i="2"/>
  <c r="BY129" i="2" s="1"/>
  <c r="CN129" i="2" s="1"/>
  <c r="BM129" i="2"/>
  <c r="BZ129" i="2" s="1"/>
  <c r="CO129" i="2" s="1"/>
  <c r="BN129" i="2"/>
  <c r="CA129" i="2" s="1"/>
  <c r="CP129" i="2" s="1"/>
  <c r="BO129" i="2"/>
  <c r="CB129" i="2" s="1"/>
  <c r="CQ129" i="2" s="1"/>
  <c r="BP129" i="2"/>
  <c r="CC129" i="2" s="1"/>
  <c r="CR129" i="2" s="1"/>
  <c r="BQ129" i="2"/>
  <c r="CD129" i="2" s="1"/>
  <c r="CS129" i="2" s="1"/>
  <c r="BR129" i="2"/>
  <c r="CE129" i="2" s="1"/>
  <c r="CT129" i="2" s="1"/>
  <c r="BS129" i="2"/>
  <c r="CF129" i="2" s="1"/>
  <c r="CU129" i="2" s="1"/>
  <c r="BH130" i="2"/>
  <c r="BU130" i="2" s="1"/>
  <c r="CJ130" i="2" s="1"/>
  <c r="BI130" i="2"/>
  <c r="BV130" i="2" s="1"/>
  <c r="CK130" i="2" s="1"/>
  <c r="BJ130" i="2"/>
  <c r="BW130" i="2" s="1"/>
  <c r="CL130" i="2" s="1"/>
  <c r="BK130" i="2"/>
  <c r="BX130" i="2" s="1"/>
  <c r="CM130" i="2" s="1"/>
  <c r="BL130" i="2"/>
  <c r="BY130" i="2" s="1"/>
  <c r="CN130" i="2" s="1"/>
  <c r="BM130" i="2"/>
  <c r="BZ130" i="2" s="1"/>
  <c r="CO130" i="2" s="1"/>
  <c r="BN130" i="2"/>
  <c r="CA130" i="2" s="1"/>
  <c r="CP130" i="2" s="1"/>
  <c r="BO130" i="2"/>
  <c r="CB130" i="2" s="1"/>
  <c r="CQ130" i="2" s="1"/>
  <c r="BP130" i="2"/>
  <c r="CC130" i="2" s="1"/>
  <c r="CR130" i="2" s="1"/>
  <c r="BQ130" i="2"/>
  <c r="CD130" i="2" s="1"/>
  <c r="CS130" i="2" s="1"/>
  <c r="BR130" i="2"/>
  <c r="CE130" i="2" s="1"/>
  <c r="CT130" i="2" s="1"/>
  <c r="BS130" i="2"/>
  <c r="CF130" i="2" s="1"/>
  <c r="CU130" i="2" s="1"/>
  <c r="BH131" i="2"/>
  <c r="BU131" i="2" s="1"/>
  <c r="CJ131" i="2" s="1"/>
  <c r="BI131" i="2"/>
  <c r="BV131" i="2" s="1"/>
  <c r="CK131" i="2" s="1"/>
  <c r="BJ131" i="2"/>
  <c r="BW131" i="2" s="1"/>
  <c r="CL131" i="2" s="1"/>
  <c r="BK131" i="2"/>
  <c r="BX131" i="2" s="1"/>
  <c r="CM131" i="2" s="1"/>
  <c r="BL131" i="2"/>
  <c r="BY131" i="2" s="1"/>
  <c r="CN131" i="2" s="1"/>
  <c r="BM131" i="2"/>
  <c r="BZ131" i="2" s="1"/>
  <c r="CO131" i="2" s="1"/>
  <c r="BN131" i="2"/>
  <c r="CA131" i="2" s="1"/>
  <c r="CP131" i="2" s="1"/>
  <c r="BO131" i="2"/>
  <c r="CB131" i="2" s="1"/>
  <c r="CQ131" i="2" s="1"/>
  <c r="BP131" i="2"/>
  <c r="CC131" i="2" s="1"/>
  <c r="CR131" i="2" s="1"/>
  <c r="BQ131" i="2"/>
  <c r="CD131" i="2" s="1"/>
  <c r="CS131" i="2" s="1"/>
  <c r="BR131" i="2"/>
  <c r="CE131" i="2" s="1"/>
  <c r="CT131" i="2" s="1"/>
  <c r="BS131" i="2"/>
  <c r="CF131" i="2" s="1"/>
  <c r="CU131" i="2" s="1"/>
  <c r="BH132" i="2"/>
  <c r="BU132" i="2" s="1"/>
  <c r="CJ132" i="2" s="1"/>
  <c r="BI132" i="2"/>
  <c r="BV132" i="2" s="1"/>
  <c r="CK132" i="2" s="1"/>
  <c r="BJ132" i="2"/>
  <c r="BW132" i="2" s="1"/>
  <c r="CL132" i="2" s="1"/>
  <c r="BK132" i="2"/>
  <c r="BX132" i="2" s="1"/>
  <c r="CM132" i="2" s="1"/>
  <c r="BL132" i="2"/>
  <c r="BY132" i="2" s="1"/>
  <c r="CN132" i="2" s="1"/>
  <c r="BM132" i="2"/>
  <c r="BZ132" i="2" s="1"/>
  <c r="CO132" i="2" s="1"/>
  <c r="BN132" i="2"/>
  <c r="CA132" i="2" s="1"/>
  <c r="CP132" i="2" s="1"/>
  <c r="BO132" i="2"/>
  <c r="CB132" i="2" s="1"/>
  <c r="CQ132" i="2" s="1"/>
  <c r="BP132" i="2"/>
  <c r="CC132" i="2" s="1"/>
  <c r="CR132" i="2" s="1"/>
  <c r="BQ132" i="2"/>
  <c r="CD132" i="2" s="1"/>
  <c r="CS132" i="2" s="1"/>
  <c r="BR132" i="2"/>
  <c r="CE132" i="2" s="1"/>
  <c r="CT132" i="2" s="1"/>
  <c r="BS132" i="2"/>
  <c r="CF132" i="2" s="1"/>
  <c r="CU132" i="2" s="1"/>
  <c r="BH133" i="2"/>
  <c r="BU133" i="2" s="1"/>
  <c r="CJ133" i="2" s="1"/>
  <c r="BI133" i="2"/>
  <c r="BV133" i="2" s="1"/>
  <c r="CK133" i="2" s="1"/>
  <c r="BJ133" i="2"/>
  <c r="BW133" i="2" s="1"/>
  <c r="CL133" i="2" s="1"/>
  <c r="BK133" i="2"/>
  <c r="BX133" i="2" s="1"/>
  <c r="CM133" i="2" s="1"/>
  <c r="BL133" i="2"/>
  <c r="BY133" i="2" s="1"/>
  <c r="CN133" i="2" s="1"/>
  <c r="BM133" i="2"/>
  <c r="BZ133" i="2" s="1"/>
  <c r="CO133" i="2" s="1"/>
  <c r="BN133" i="2"/>
  <c r="CA133" i="2" s="1"/>
  <c r="CP133" i="2" s="1"/>
  <c r="BO133" i="2"/>
  <c r="CB133" i="2" s="1"/>
  <c r="CQ133" i="2" s="1"/>
  <c r="BP133" i="2"/>
  <c r="CC133" i="2" s="1"/>
  <c r="CR133" i="2" s="1"/>
  <c r="BQ133" i="2"/>
  <c r="CD133" i="2" s="1"/>
  <c r="CS133" i="2" s="1"/>
  <c r="BR133" i="2"/>
  <c r="CE133" i="2" s="1"/>
  <c r="CT133" i="2" s="1"/>
  <c r="BS133" i="2"/>
  <c r="CF133" i="2" s="1"/>
  <c r="CU133" i="2" s="1"/>
  <c r="BH134" i="2"/>
  <c r="BU134" i="2" s="1"/>
  <c r="CJ134" i="2" s="1"/>
  <c r="BI134" i="2"/>
  <c r="BV134" i="2" s="1"/>
  <c r="CK134" i="2" s="1"/>
  <c r="BJ134" i="2"/>
  <c r="BW134" i="2" s="1"/>
  <c r="CL134" i="2" s="1"/>
  <c r="BK134" i="2"/>
  <c r="BX134" i="2" s="1"/>
  <c r="CM134" i="2" s="1"/>
  <c r="BL134" i="2"/>
  <c r="BY134" i="2" s="1"/>
  <c r="CN134" i="2" s="1"/>
  <c r="BM134" i="2"/>
  <c r="BZ134" i="2" s="1"/>
  <c r="CO134" i="2" s="1"/>
  <c r="BN134" i="2"/>
  <c r="CA134" i="2" s="1"/>
  <c r="CP134" i="2" s="1"/>
  <c r="BO134" i="2"/>
  <c r="CB134" i="2" s="1"/>
  <c r="CQ134" i="2" s="1"/>
  <c r="BP134" i="2"/>
  <c r="CC134" i="2" s="1"/>
  <c r="CR134" i="2" s="1"/>
  <c r="BQ134" i="2"/>
  <c r="CD134" i="2" s="1"/>
  <c r="CS134" i="2" s="1"/>
  <c r="BR134" i="2"/>
  <c r="CE134" i="2" s="1"/>
  <c r="CT134" i="2" s="1"/>
  <c r="BS134" i="2"/>
  <c r="CF134" i="2" s="1"/>
  <c r="CU134" i="2" s="1"/>
  <c r="BH135" i="2"/>
  <c r="BU135" i="2" s="1"/>
  <c r="CJ135" i="2" s="1"/>
  <c r="BI135" i="2"/>
  <c r="BV135" i="2" s="1"/>
  <c r="CK135" i="2" s="1"/>
  <c r="BJ135" i="2"/>
  <c r="BW135" i="2" s="1"/>
  <c r="CL135" i="2" s="1"/>
  <c r="BK135" i="2"/>
  <c r="BX135" i="2" s="1"/>
  <c r="CM135" i="2" s="1"/>
  <c r="BL135" i="2"/>
  <c r="BY135" i="2" s="1"/>
  <c r="CN135" i="2" s="1"/>
  <c r="BM135" i="2"/>
  <c r="BZ135" i="2" s="1"/>
  <c r="CO135" i="2" s="1"/>
  <c r="BN135" i="2"/>
  <c r="CA135" i="2" s="1"/>
  <c r="CP135" i="2" s="1"/>
  <c r="BO135" i="2"/>
  <c r="CB135" i="2" s="1"/>
  <c r="CQ135" i="2" s="1"/>
  <c r="BP135" i="2"/>
  <c r="CC135" i="2" s="1"/>
  <c r="CR135" i="2" s="1"/>
  <c r="BQ135" i="2"/>
  <c r="CD135" i="2" s="1"/>
  <c r="CS135" i="2" s="1"/>
  <c r="BR135" i="2"/>
  <c r="CE135" i="2" s="1"/>
  <c r="CT135" i="2" s="1"/>
  <c r="BS135" i="2"/>
  <c r="CF135" i="2" s="1"/>
  <c r="CU135" i="2" s="1"/>
  <c r="BH136" i="2"/>
  <c r="BU136" i="2" s="1"/>
  <c r="CJ136" i="2" s="1"/>
  <c r="BI136" i="2"/>
  <c r="BV136" i="2" s="1"/>
  <c r="CK136" i="2" s="1"/>
  <c r="BJ136" i="2"/>
  <c r="BW136" i="2" s="1"/>
  <c r="CL136" i="2" s="1"/>
  <c r="BK136" i="2"/>
  <c r="BX136" i="2" s="1"/>
  <c r="CM136" i="2" s="1"/>
  <c r="BL136" i="2"/>
  <c r="BY136" i="2" s="1"/>
  <c r="CN136" i="2" s="1"/>
  <c r="BM136" i="2"/>
  <c r="BZ136" i="2" s="1"/>
  <c r="CO136" i="2" s="1"/>
  <c r="BN136" i="2"/>
  <c r="CA136" i="2" s="1"/>
  <c r="CP136" i="2" s="1"/>
  <c r="BO136" i="2"/>
  <c r="CB136" i="2" s="1"/>
  <c r="CQ136" i="2" s="1"/>
  <c r="BP136" i="2"/>
  <c r="CC136" i="2" s="1"/>
  <c r="CR136" i="2" s="1"/>
  <c r="BQ136" i="2"/>
  <c r="CD136" i="2" s="1"/>
  <c r="CS136" i="2" s="1"/>
  <c r="BR136" i="2"/>
  <c r="CE136" i="2" s="1"/>
  <c r="CT136" i="2" s="1"/>
  <c r="BS136" i="2"/>
  <c r="CF136" i="2" s="1"/>
  <c r="CU136" i="2" s="1"/>
  <c r="BH137" i="2"/>
  <c r="BU137" i="2" s="1"/>
  <c r="CJ137" i="2" s="1"/>
  <c r="BI137" i="2"/>
  <c r="BV137" i="2" s="1"/>
  <c r="CK137" i="2" s="1"/>
  <c r="BJ137" i="2"/>
  <c r="BW137" i="2" s="1"/>
  <c r="CL137" i="2" s="1"/>
  <c r="BK137" i="2"/>
  <c r="BX137" i="2" s="1"/>
  <c r="CM137" i="2" s="1"/>
  <c r="BL137" i="2"/>
  <c r="BY137" i="2" s="1"/>
  <c r="CN137" i="2" s="1"/>
  <c r="BM137" i="2"/>
  <c r="BZ137" i="2" s="1"/>
  <c r="CO137" i="2" s="1"/>
  <c r="BN137" i="2"/>
  <c r="CA137" i="2" s="1"/>
  <c r="CP137" i="2" s="1"/>
  <c r="BO137" i="2"/>
  <c r="CB137" i="2" s="1"/>
  <c r="CQ137" i="2" s="1"/>
  <c r="BP137" i="2"/>
  <c r="CC137" i="2" s="1"/>
  <c r="CR137" i="2" s="1"/>
  <c r="BQ137" i="2"/>
  <c r="CD137" i="2" s="1"/>
  <c r="CS137" i="2" s="1"/>
  <c r="BR137" i="2"/>
  <c r="CE137" i="2" s="1"/>
  <c r="CT137" i="2" s="1"/>
  <c r="BS137" i="2"/>
  <c r="CF137" i="2" s="1"/>
  <c r="CU137" i="2" s="1"/>
  <c r="BH138" i="2"/>
  <c r="BU138" i="2" s="1"/>
  <c r="CJ138" i="2" s="1"/>
  <c r="BI138" i="2"/>
  <c r="BV138" i="2" s="1"/>
  <c r="CK138" i="2" s="1"/>
  <c r="BJ138" i="2"/>
  <c r="BW138" i="2" s="1"/>
  <c r="CL138" i="2" s="1"/>
  <c r="BK138" i="2"/>
  <c r="BX138" i="2" s="1"/>
  <c r="CM138" i="2" s="1"/>
  <c r="BL138" i="2"/>
  <c r="BY138" i="2" s="1"/>
  <c r="CN138" i="2" s="1"/>
  <c r="BM138" i="2"/>
  <c r="BZ138" i="2" s="1"/>
  <c r="CO138" i="2" s="1"/>
  <c r="BN138" i="2"/>
  <c r="CA138" i="2" s="1"/>
  <c r="CP138" i="2" s="1"/>
  <c r="BO138" i="2"/>
  <c r="CB138" i="2" s="1"/>
  <c r="CQ138" i="2" s="1"/>
  <c r="BP138" i="2"/>
  <c r="CC138" i="2" s="1"/>
  <c r="CR138" i="2" s="1"/>
  <c r="BQ138" i="2"/>
  <c r="CD138" i="2" s="1"/>
  <c r="CS138" i="2" s="1"/>
  <c r="BR138" i="2"/>
  <c r="CE138" i="2" s="1"/>
  <c r="CT138" i="2" s="1"/>
  <c r="BS138" i="2"/>
  <c r="CF138" i="2" s="1"/>
  <c r="CU138" i="2" s="1"/>
  <c r="BH139" i="2"/>
  <c r="BU139" i="2" s="1"/>
  <c r="CJ139" i="2" s="1"/>
  <c r="BI139" i="2"/>
  <c r="BV139" i="2" s="1"/>
  <c r="CK139" i="2" s="1"/>
  <c r="BJ139" i="2"/>
  <c r="BW139" i="2" s="1"/>
  <c r="CL139" i="2" s="1"/>
  <c r="BK139" i="2"/>
  <c r="BX139" i="2" s="1"/>
  <c r="CM139" i="2" s="1"/>
  <c r="BL139" i="2"/>
  <c r="BY139" i="2" s="1"/>
  <c r="CN139" i="2" s="1"/>
  <c r="BM139" i="2"/>
  <c r="BZ139" i="2" s="1"/>
  <c r="CO139" i="2" s="1"/>
  <c r="BN139" i="2"/>
  <c r="CA139" i="2" s="1"/>
  <c r="CP139" i="2" s="1"/>
  <c r="BO139" i="2"/>
  <c r="CB139" i="2" s="1"/>
  <c r="CQ139" i="2" s="1"/>
  <c r="BP139" i="2"/>
  <c r="CC139" i="2" s="1"/>
  <c r="CR139" i="2" s="1"/>
  <c r="BQ139" i="2"/>
  <c r="CD139" i="2" s="1"/>
  <c r="CS139" i="2" s="1"/>
  <c r="BR139" i="2"/>
  <c r="CE139" i="2" s="1"/>
  <c r="CT139" i="2" s="1"/>
  <c r="BS139" i="2"/>
  <c r="CF139" i="2" s="1"/>
  <c r="CU139" i="2" s="1"/>
  <c r="BH140" i="2"/>
  <c r="BU140" i="2" s="1"/>
  <c r="CJ140" i="2" s="1"/>
  <c r="BI140" i="2"/>
  <c r="BV140" i="2" s="1"/>
  <c r="CK140" i="2" s="1"/>
  <c r="BJ140" i="2"/>
  <c r="BW140" i="2" s="1"/>
  <c r="CL140" i="2" s="1"/>
  <c r="BK140" i="2"/>
  <c r="BX140" i="2" s="1"/>
  <c r="CM140" i="2" s="1"/>
  <c r="BL140" i="2"/>
  <c r="BY140" i="2" s="1"/>
  <c r="CN140" i="2" s="1"/>
  <c r="BM140" i="2"/>
  <c r="BZ140" i="2" s="1"/>
  <c r="CO140" i="2" s="1"/>
  <c r="BN140" i="2"/>
  <c r="CA140" i="2" s="1"/>
  <c r="CP140" i="2" s="1"/>
  <c r="BO140" i="2"/>
  <c r="CB140" i="2" s="1"/>
  <c r="CQ140" i="2" s="1"/>
  <c r="BP140" i="2"/>
  <c r="CC140" i="2" s="1"/>
  <c r="CR140" i="2" s="1"/>
  <c r="BQ140" i="2"/>
  <c r="CD140" i="2" s="1"/>
  <c r="CS140" i="2" s="1"/>
  <c r="BR140" i="2"/>
  <c r="CE140" i="2" s="1"/>
  <c r="CT140" i="2" s="1"/>
  <c r="BS140" i="2"/>
  <c r="CF140" i="2" s="1"/>
  <c r="CU140" i="2" s="1"/>
  <c r="BH141" i="2"/>
  <c r="BU141" i="2" s="1"/>
  <c r="CJ141" i="2" s="1"/>
  <c r="BI141" i="2"/>
  <c r="BV141" i="2" s="1"/>
  <c r="CK141" i="2" s="1"/>
  <c r="BJ141" i="2"/>
  <c r="BW141" i="2" s="1"/>
  <c r="CL141" i="2" s="1"/>
  <c r="BK141" i="2"/>
  <c r="BX141" i="2" s="1"/>
  <c r="CM141" i="2" s="1"/>
  <c r="BL141" i="2"/>
  <c r="BY141" i="2" s="1"/>
  <c r="CN141" i="2" s="1"/>
  <c r="BM141" i="2"/>
  <c r="BZ141" i="2" s="1"/>
  <c r="CO141" i="2" s="1"/>
  <c r="BN141" i="2"/>
  <c r="CA141" i="2" s="1"/>
  <c r="CP141" i="2" s="1"/>
  <c r="BO141" i="2"/>
  <c r="CB141" i="2" s="1"/>
  <c r="CQ141" i="2" s="1"/>
  <c r="BP141" i="2"/>
  <c r="CC141" i="2" s="1"/>
  <c r="CR141" i="2" s="1"/>
  <c r="BQ141" i="2"/>
  <c r="CD141" i="2" s="1"/>
  <c r="CS141" i="2" s="1"/>
  <c r="BR141" i="2"/>
  <c r="CE141" i="2" s="1"/>
  <c r="CT141" i="2" s="1"/>
  <c r="BS141" i="2"/>
  <c r="CF141" i="2" s="1"/>
  <c r="CU141" i="2" s="1"/>
  <c r="BH142" i="2"/>
  <c r="BU142" i="2" s="1"/>
  <c r="CJ142" i="2" s="1"/>
  <c r="BI142" i="2"/>
  <c r="BV142" i="2" s="1"/>
  <c r="CK142" i="2" s="1"/>
  <c r="BJ142" i="2"/>
  <c r="BW142" i="2" s="1"/>
  <c r="CL142" i="2" s="1"/>
  <c r="BK142" i="2"/>
  <c r="BX142" i="2" s="1"/>
  <c r="CM142" i="2" s="1"/>
  <c r="BL142" i="2"/>
  <c r="BY142" i="2" s="1"/>
  <c r="CN142" i="2" s="1"/>
  <c r="BM142" i="2"/>
  <c r="BZ142" i="2" s="1"/>
  <c r="CO142" i="2" s="1"/>
  <c r="BN142" i="2"/>
  <c r="CA142" i="2" s="1"/>
  <c r="CP142" i="2" s="1"/>
  <c r="BO142" i="2"/>
  <c r="CB142" i="2" s="1"/>
  <c r="CQ142" i="2" s="1"/>
  <c r="BP142" i="2"/>
  <c r="CC142" i="2" s="1"/>
  <c r="CR142" i="2" s="1"/>
  <c r="BQ142" i="2"/>
  <c r="CD142" i="2" s="1"/>
  <c r="CS142" i="2" s="1"/>
  <c r="BR142" i="2"/>
  <c r="CE142" i="2" s="1"/>
  <c r="CT142" i="2" s="1"/>
  <c r="BS142" i="2"/>
  <c r="CF142" i="2" s="1"/>
  <c r="CU142" i="2" s="1"/>
  <c r="BH143" i="2"/>
  <c r="BU143" i="2" s="1"/>
  <c r="CJ143" i="2" s="1"/>
  <c r="BI143" i="2"/>
  <c r="BV143" i="2" s="1"/>
  <c r="CK143" i="2" s="1"/>
  <c r="BJ143" i="2"/>
  <c r="BW143" i="2" s="1"/>
  <c r="CL143" i="2" s="1"/>
  <c r="BK143" i="2"/>
  <c r="BX143" i="2" s="1"/>
  <c r="CM143" i="2" s="1"/>
  <c r="BL143" i="2"/>
  <c r="BY143" i="2" s="1"/>
  <c r="CN143" i="2" s="1"/>
  <c r="BM143" i="2"/>
  <c r="BZ143" i="2" s="1"/>
  <c r="CO143" i="2" s="1"/>
  <c r="BN143" i="2"/>
  <c r="CA143" i="2" s="1"/>
  <c r="CP143" i="2" s="1"/>
  <c r="BO143" i="2"/>
  <c r="CB143" i="2" s="1"/>
  <c r="CQ143" i="2" s="1"/>
  <c r="BP143" i="2"/>
  <c r="CC143" i="2" s="1"/>
  <c r="CR143" i="2" s="1"/>
  <c r="BQ143" i="2"/>
  <c r="CD143" i="2" s="1"/>
  <c r="CS143" i="2" s="1"/>
  <c r="BR143" i="2"/>
  <c r="CE143" i="2" s="1"/>
  <c r="CT143" i="2" s="1"/>
  <c r="BS143" i="2"/>
  <c r="CF143" i="2" s="1"/>
  <c r="CU143" i="2" s="1"/>
  <c r="BH144" i="2"/>
  <c r="BU144" i="2" s="1"/>
  <c r="CJ144" i="2" s="1"/>
  <c r="BI144" i="2"/>
  <c r="BV144" i="2" s="1"/>
  <c r="CK144" i="2" s="1"/>
  <c r="BJ144" i="2"/>
  <c r="BW144" i="2" s="1"/>
  <c r="CL144" i="2" s="1"/>
  <c r="BK144" i="2"/>
  <c r="BX144" i="2" s="1"/>
  <c r="CM144" i="2" s="1"/>
  <c r="BL144" i="2"/>
  <c r="BY144" i="2" s="1"/>
  <c r="CN144" i="2" s="1"/>
  <c r="BM144" i="2"/>
  <c r="BZ144" i="2" s="1"/>
  <c r="CO144" i="2" s="1"/>
  <c r="BN144" i="2"/>
  <c r="CA144" i="2" s="1"/>
  <c r="CP144" i="2" s="1"/>
  <c r="BO144" i="2"/>
  <c r="CB144" i="2" s="1"/>
  <c r="CQ144" i="2" s="1"/>
  <c r="BP144" i="2"/>
  <c r="CC144" i="2" s="1"/>
  <c r="CR144" i="2" s="1"/>
  <c r="BQ144" i="2"/>
  <c r="CD144" i="2" s="1"/>
  <c r="CS144" i="2" s="1"/>
  <c r="BR144" i="2"/>
  <c r="CE144" i="2" s="1"/>
  <c r="CT144" i="2" s="1"/>
  <c r="BS144" i="2"/>
  <c r="CF144" i="2" s="1"/>
  <c r="CU144" i="2" s="1"/>
  <c r="BH145" i="2"/>
  <c r="BU145" i="2" s="1"/>
  <c r="CJ145" i="2" s="1"/>
  <c r="BI145" i="2"/>
  <c r="BV145" i="2" s="1"/>
  <c r="CK145" i="2" s="1"/>
  <c r="BJ145" i="2"/>
  <c r="BW145" i="2" s="1"/>
  <c r="CL145" i="2" s="1"/>
  <c r="BK145" i="2"/>
  <c r="BX145" i="2" s="1"/>
  <c r="CM145" i="2" s="1"/>
  <c r="BL145" i="2"/>
  <c r="BY145" i="2" s="1"/>
  <c r="CN145" i="2" s="1"/>
  <c r="BM145" i="2"/>
  <c r="BZ145" i="2" s="1"/>
  <c r="CO145" i="2" s="1"/>
  <c r="BN145" i="2"/>
  <c r="CA145" i="2" s="1"/>
  <c r="CP145" i="2" s="1"/>
  <c r="BO145" i="2"/>
  <c r="CB145" i="2" s="1"/>
  <c r="CQ145" i="2" s="1"/>
  <c r="BP145" i="2"/>
  <c r="CC145" i="2" s="1"/>
  <c r="CR145" i="2" s="1"/>
  <c r="BQ145" i="2"/>
  <c r="CD145" i="2" s="1"/>
  <c r="CS145" i="2" s="1"/>
  <c r="BR145" i="2"/>
  <c r="CE145" i="2" s="1"/>
  <c r="CT145" i="2" s="1"/>
  <c r="BS145" i="2"/>
  <c r="CF145" i="2" s="1"/>
  <c r="CU145" i="2" s="1"/>
  <c r="BH146" i="2"/>
  <c r="BU146" i="2" s="1"/>
  <c r="CJ146" i="2" s="1"/>
  <c r="BI146" i="2"/>
  <c r="BV146" i="2" s="1"/>
  <c r="CK146" i="2" s="1"/>
  <c r="BJ146" i="2"/>
  <c r="BW146" i="2" s="1"/>
  <c r="CL146" i="2" s="1"/>
  <c r="BK146" i="2"/>
  <c r="BX146" i="2" s="1"/>
  <c r="CM146" i="2" s="1"/>
  <c r="BL146" i="2"/>
  <c r="BY146" i="2" s="1"/>
  <c r="CN146" i="2" s="1"/>
  <c r="BM146" i="2"/>
  <c r="BZ146" i="2" s="1"/>
  <c r="CO146" i="2" s="1"/>
  <c r="BN146" i="2"/>
  <c r="CA146" i="2" s="1"/>
  <c r="CP146" i="2" s="1"/>
  <c r="BO146" i="2"/>
  <c r="CB146" i="2" s="1"/>
  <c r="CQ146" i="2" s="1"/>
  <c r="BP146" i="2"/>
  <c r="CC146" i="2" s="1"/>
  <c r="CR146" i="2" s="1"/>
  <c r="BQ146" i="2"/>
  <c r="CD146" i="2" s="1"/>
  <c r="CS146" i="2" s="1"/>
  <c r="BR146" i="2"/>
  <c r="CE146" i="2" s="1"/>
  <c r="CT146" i="2" s="1"/>
  <c r="BS146" i="2"/>
  <c r="CF146" i="2" s="1"/>
  <c r="CU146" i="2" s="1"/>
  <c r="BH147" i="2"/>
  <c r="BU147" i="2" s="1"/>
  <c r="CJ147" i="2" s="1"/>
  <c r="BI147" i="2"/>
  <c r="BV147" i="2" s="1"/>
  <c r="CK147" i="2" s="1"/>
  <c r="BJ147" i="2"/>
  <c r="BW147" i="2" s="1"/>
  <c r="CL147" i="2" s="1"/>
  <c r="BK147" i="2"/>
  <c r="BX147" i="2" s="1"/>
  <c r="CM147" i="2" s="1"/>
  <c r="BL147" i="2"/>
  <c r="BY147" i="2" s="1"/>
  <c r="CN147" i="2" s="1"/>
  <c r="BM147" i="2"/>
  <c r="BZ147" i="2" s="1"/>
  <c r="CO147" i="2" s="1"/>
  <c r="BN147" i="2"/>
  <c r="CA147" i="2" s="1"/>
  <c r="CP147" i="2" s="1"/>
  <c r="BO147" i="2"/>
  <c r="CB147" i="2" s="1"/>
  <c r="CQ147" i="2" s="1"/>
  <c r="BP147" i="2"/>
  <c r="CC147" i="2" s="1"/>
  <c r="CR147" i="2" s="1"/>
  <c r="BQ147" i="2"/>
  <c r="CD147" i="2" s="1"/>
  <c r="CS147" i="2" s="1"/>
  <c r="BR147" i="2"/>
  <c r="CE147" i="2" s="1"/>
  <c r="CT147" i="2" s="1"/>
  <c r="BS147" i="2"/>
  <c r="CF147" i="2" s="1"/>
  <c r="CU147" i="2" s="1"/>
  <c r="BH148" i="2"/>
  <c r="BU148" i="2" s="1"/>
  <c r="CJ148" i="2" s="1"/>
  <c r="BI148" i="2"/>
  <c r="BV148" i="2" s="1"/>
  <c r="CK148" i="2" s="1"/>
  <c r="BJ148" i="2"/>
  <c r="BW148" i="2" s="1"/>
  <c r="CL148" i="2" s="1"/>
  <c r="BK148" i="2"/>
  <c r="BX148" i="2" s="1"/>
  <c r="CM148" i="2" s="1"/>
  <c r="BL148" i="2"/>
  <c r="BY148" i="2" s="1"/>
  <c r="CN148" i="2" s="1"/>
  <c r="BM148" i="2"/>
  <c r="BZ148" i="2" s="1"/>
  <c r="CO148" i="2" s="1"/>
  <c r="BN148" i="2"/>
  <c r="CA148" i="2" s="1"/>
  <c r="CP148" i="2" s="1"/>
  <c r="BO148" i="2"/>
  <c r="CB148" i="2" s="1"/>
  <c r="CQ148" i="2" s="1"/>
  <c r="BP148" i="2"/>
  <c r="CC148" i="2" s="1"/>
  <c r="CR148" i="2" s="1"/>
  <c r="BQ148" i="2"/>
  <c r="CD148" i="2" s="1"/>
  <c r="CS148" i="2" s="1"/>
  <c r="BR148" i="2"/>
  <c r="CE148" i="2" s="1"/>
  <c r="CT148" i="2" s="1"/>
  <c r="BS148" i="2"/>
  <c r="CF148" i="2" s="1"/>
  <c r="CU148" i="2" s="1"/>
  <c r="BH149" i="2"/>
  <c r="BU149" i="2" s="1"/>
  <c r="CJ149" i="2" s="1"/>
  <c r="BI149" i="2"/>
  <c r="BV149" i="2" s="1"/>
  <c r="CK149" i="2" s="1"/>
  <c r="BJ149" i="2"/>
  <c r="BW149" i="2" s="1"/>
  <c r="CL149" i="2" s="1"/>
  <c r="BK149" i="2"/>
  <c r="BX149" i="2" s="1"/>
  <c r="CM149" i="2" s="1"/>
  <c r="BL149" i="2"/>
  <c r="BY149" i="2" s="1"/>
  <c r="CN149" i="2" s="1"/>
  <c r="BM149" i="2"/>
  <c r="BZ149" i="2" s="1"/>
  <c r="CO149" i="2" s="1"/>
  <c r="BN149" i="2"/>
  <c r="CA149" i="2" s="1"/>
  <c r="CP149" i="2" s="1"/>
  <c r="BO149" i="2"/>
  <c r="CB149" i="2" s="1"/>
  <c r="CQ149" i="2" s="1"/>
  <c r="BP149" i="2"/>
  <c r="CC149" i="2" s="1"/>
  <c r="CR149" i="2" s="1"/>
  <c r="BQ149" i="2"/>
  <c r="CD149" i="2" s="1"/>
  <c r="CS149" i="2" s="1"/>
  <c r="BR149" i="2"/>
  <c r="CE149" i="2" s="1"/>
  <c r="CT149" i="2" s="1"/>
  <c r="BS149" i="2"/>
  <c r="CF149" i="2" s="1"/>
  <c r="CU149" i="2" s="1"/>
  <c r="BH150" i="2"/>
  <c r="BU150" i="2" s="1"/>
  <c r="CJ150" i="2" s="1"/>
  <c r="BI150" i="2"/>
  <c r="BV150" i="2" s="1"/>
  <c r="CK150" i="2" s="1"/>
  <c r="BJ150" i="2"/>
  <c r="BW150" i="2" s="1"/>
  <c r="CL150" i="2" s="1"/>
  <c r="BK150" i="2"/>
  <c r="BX150" i="2" s="1"/>
  <c r="CM150" i="2" s="1"/>
  <c r="BL150" i="2"/>
  <c r="BY150" i="2" s="1"/>
  <c r="CN150" i="2" s="1"/>
  <c r="BM150" i="2"/>
  <c r="BZ150" i="2" s="1"/>
  <c r="CO150" i="2" s="1"/>
  <c r="BN150" i="2"/>
  <c r="CA150" i="2" s="1"/>
  <c r="CP150" i="2" s="1"/>
  <c r="BO150" i="2"/>
  <c r="CB150" i="2" s="1"/>
  <c r="CQ150" i="2" s="1"/>
  <c r="BP150" i="2"/>
  <c r="CC150" i="2" s="1"/>
  <c r="CR150" i="2" s="1"/>
  <c r="BQ150" i="2"/>
  <c r="CD150" i="2" s="1"/>
  <c r="CS150" i="2" s="1"/>
  <c r="BR150" i="2"/>
  <c r="CE150" i="2" s="1"/>
  <c r="CT150" i="2" s="1"/>
  <c r="BS150" i="2"/>
  <c r="CF150" i="2" s="1"/>
  <c r="CU150" i="2" s="1"/>
  <c r="BH151" i="2"/>
  <c r="BU151" i="2" s="1"/>
  <c r="CJ151" i="2" s="1"/>
  <c r="BI151" i="2"/>
  <c r="BV151" i="2" s="1"/>
  <c r="CK151" i="2" s="1"/>
  <c r="BJ151" i="2"/>
  <c r="BW151" i="2" s="1"/>
  <c r="CL151" i="2" s="1"/>
  <c r="BK151" i="2"/>
  <c r="BX151" i="2" s="1"/>
  <c r="CM151" i="2" s="1"/>
  <c r="BL151" i="2"/>
  <c r="BY151" i="2" s="1"/>
  <c r="CN151" i="2" s="1"/>
  <c r="BM151" i="2"/>
  <c r="BZ151" i="2" s="1"/>
  <c r="CO151" i="2" s="1"/>
  <c r="BN151" i="2"/>
  <c r="CA151" i="2" s="1"/>
  <c r="CP151" i="2" s="1"/>
  <c r="BO151" i="2"/>
  <c r="CB151" i="2" s="1"/>
  <c r="CQ151" i="2" s="1"/>
  <c r="BP151" i="2"/>
  <c r="CC151" i="2" s="1"/>
  <c r="CR151" i="2" s="1"/>
  <c r="BQ151" i="2"/>
  <c r="CD151" i="2" s="1"/>
  <c r="CS151" i="2" s="1"/>
  <c r="BR151" i="2"/>
  <c r="CE151" i="2" s="1"/>
  <c r="CT151" i="2" s="1"/>
  <c r="BS151" i="2"/>
  <c r="CF151" i="2" s="1"/>
  <c r="CU151" i="2" s="1"/>
  <c r="BH152" i="2"/>
  <c r="BU152" i="2" s="1"/>
  <c r="CJ152" i="2" s="1"/>
  <c r="BI152" i="2"/>
  <c r="BV152" i="2" s="1"/>
  <c r="CK152" i="2" s="1"/>
  <c r="BJ152" i="2"/>
  <c r="BW152" i="2" s="1"/>
  <c r="CL152" i="2" s="1"/>
  <c r="BK152" i="2"/>
  <c r="BX152" i="2" s="1"/>
  <c r="CM152" i="2" s="1"/>
  <c r="BL152" i="2"/>
  <c r="BY152" i="2" s="1"/>
  <c r="CN152" i="2" s="1"/>
  <c r="BM152" i="2"/>
  <c r="BZ152" i="2" s="1"/>
  <c r="CO152" i="2" s="1"/>
  <c r="BN152" i="2"/>
  <c r="CA152" i="2" s="1"/>
  <c r="CP152" i="2" s="1"/>
  <c r="BO152" i="2"/>
  <c r="CB152" i="2" s="1"/>
  <c r="CQ152" i="2" s="1"/>
  <c r="BP152" i="2"/>
  <c r="CC152" i="2" s="1"/>
  <c r="CR152" i="2" s="1"/>
  <c r="BQ152" i="2"/>
  <c r="CD152" i="2" s="1"/>
  <c r="CS152" i="2" s="1"/>
  <c r="BR152" i="2"/>
  <c r="CE152" i="2" s="1"/>
  <c r="CT152" i="2" s="1"/>
  <c r="BS152" i="2"/>
  <c r="CF152" i="2" s="1"/>
  <c r="CU152" i="2" s="1"/>
  <c r="BH153" i="2"/>
  <c r="BU153" i="2" s="1"/>
  <c r="CJ153" i="2" s="1"/>
  <c r="BI153" i="2"/>
  <c r="BV153" i="2" s="1"/>
  <c r="CK153" i="2" s="1"/>
  <c r="BJ153" i="2"/>
  <c r="BW153" i="2" s="1"/>
  <c r="CL153" i="2" s="1"/>
  <c r="BK153" i="2"/>
  <c r="BX153" i="2" s="1"/>
  <c r="CM153" i="2" s="1"/>
  <c r="BL153" i="2"/>
  <c r="BY153" i="2" s="1"/>
  <c r="CN153" i="2" s="1"/>
  <c r="BM153" i="2"/>
  <c r="BZ153" i="2" s="1"/>
  <c r="CO153" i="2" s="1"/>
  <c r="BN153" i="2"/>
  <c r="CA153" i="2" s="1"/>
  <c r="CP153" i="2" s="1"/>
  <c r="BO153" i="2"/>
  <c r="CB153" i="2" s="1"/>
  <c r="CQ153" i="2" s="1"/>
  <c r="BP153" i="2"/>
  <c r="CC153" i="2" s="1"/>
  <c r="CR153" i="2" s="1"/>
  <c r="BQ153" i="2"/>
  <c r="CD153" i="2" s="1"/>
  <c r="CS153" i="2" s="1"/>
  <c r="BR153" i="2"/>
  <c r="CE153" i="2" s="1"/>
  <c r="CT153" i="2" s="1"/>
  <c r="BS153" i="2"/>
  <c r="CF153" i="2" s="1"/>
  <c r="CU153" i="2" s="1"/>
  <c r="BH154" i="2"/>
  <c r="BU154" i="2" s="1"/>
  <c r="CJ154" i="2" s="1"/>
  <c r="BI154" i="2"/>
  <c r="BV154" i="2" s="1"/>
  <c r="CK154" i="2" s="1"/>
  <c r="BJ154" i="2"/>
  <c r="BW154" i="2" s="1"/>
  <c r="CL154" i="2" s="1"/>
  <c r="BK154" i="2"/>
  <c r="BX154" i="2" s="1"/>
  <c r="CM154" i="2" s="1"/>
  <c r="BL154" i="2"/>
  <c r="BY154" i="2" s="1"/>
  <c r="CN154" i="2" s="1"/>
  <c r="BM154" i="2"/>
  <c r="BZ154" i="2" s="1"/>
  <c r="CO154" i="2" s="1"/>
  <c r="BN154" i="2"/>
  <c r="CA154" i="2" s="1"/>
  <c r="CP154" i="2" s="1"/>
  <c r="BO154" i="2"/>
  <c r="CB154" i="2" s="1"/>
  <c r="CQ154" i="2" s="1"/>
  <c r="BP154" i="2"/>
  <c r="CC154" i="2" s="1"/>
  <c r="CR154" i="2" s="1"/>
  <c r="BQ154" i="2"/>
  <c r="CD154" i="2" s="1"/>
  <c r="CS154" i="2" s="1"/>
  <c r="BR154" i="2"/>
  <c r="CE154" i="2" s="1"/>
  <c r="CT154" i="2" s="1"/>
  <c r="BS154" i="2"/>
  <c r="CF154" i="2" s="1"/>
  <c r="CU154" i="2" s="1"/>
  <c r="BH155" i="2"/>
  <c r="BU155" i="2" s="1"/>
  <c r="CJ155" i="2" s="1"/>
  <c r="BI155" i="2"/>
  <c r="BV155" i="2" s="1"/>
  <c r="CK155" i="2" s="1"/>
  <c r="BJ155" i="2"/>
  <c r="BW155" i="2" s="1"/>
  <c r="CL155" i="2" s="1"/>
  <c r="BK155" i="2"/>
  <c r="BX155" i="2" s="1"/>
  <c r="CM155" i="2" s="1"/>
  <c r="BL155" i="2"/>
  <c r="BY155" i="2" s="1"/>
  <c r="CN155" i="2" s="1"/>
  <c r="BM155" i="2"/>
  <c r="BZ155" i="2" s="1"/>
  <c r="CO155" i="2" s="1"/>
  <c r="BN155" i="2"/>
  <c r="CA155" i="2" s="1"/>
  <c r="CP155" i="2" s="1"/>
  <c r="BO155" i="2"/>
  <c r="CB155" i="2" s="1"/>
  <c r="CQ155" i="2" s="1"/>
  <c r="BP155" i="2"/>
  <c r="CC155" i="2" s="1"/>
  <c r="CR155" i="2" s="1"/>
  <c r="BQ155" i="2"/>
  <c r="CD155" i="2" s="1"/>
  <c r="CS155" i="2" s="1"/>
  <c r="BR155" i="2"/>
  <c r="CE155" i="2" s="1"/>
  <c r="CT155" i="2" s="1"/>
  <c r="BS155" i="2"/>
  <c r="CF155" i="2" s="1"/>
  <c r="CU155" i="2" s="1"/>
  <c r="BH156" i="2"/>
  <c r="BU156" i="2" s="1"/>
  <c r="CJ156" i="2" s="1"/>
  <c r="BI156" i="2"/>
  <c r="BV156" i="2" s="1"/>
  <c r="CK156" i="2" s="1"/>
  <c r="BJ156" i="2"/>
  <c r="BW156" i="2" s="1"/>
  <c r="CL156" i="2" s="1"/>
  <c r="BK156" i="2"/>
  <c r="BX156" i="2" s="1"/>
  <c r="CM156" i="2" s="1"/>
  <c r="BL156" i="2"/>
  <c r="BY156" i="2" s="1"/>
  <c r="CN156" i="2" s="1"/>
  <c r="BM156" i="2"/>
  <c r="BZ156" i="2" s="1"/>
  <c r="CO156" i="2" s="1"/>
  <c r="BN156" i="2"/>
  <c r="CA156" i="2" s="1"/>
  <c r="CP156" i="2" s="1"/>
  <c r="BO156" i="2"/>
  <c r="CB156" i="2" s="1"/>
  <c r="CQ156" i="2" s="1"/>
  <c r="BP156" i="2"/>
  <c r="CC156" i="2" s="1"/>
  <c r="CR156" i="2" s="1"/>
  <c r="BQ156" i="2"/>
  <c r="CD156" i="2" s="1"/>
  <c r="CS156" i="2" s="1"/>
  <c r="BR156" i="2"/>
  <c r="CE156" i="2" s="1"/>
  <c r="CT156" i="2" s="1"/>
  <c r="BS156" i="2"/>
  <c r="CF156" i="2" s="1"/>
  <c r="CU156" i="2" s="1"/>
  <c r="BH157" i="2"/>
  <c r="BU157" i="2" s="1"/>
  <c r="CJ157" i="2" s="1"/>
  <c r="BI157" i="2"/>
  <c r="BV157" i="2" s="1"/>
  <c r="CK157" i="2" s="1"/>
  <c r="BJ157" i="2"/>
  <c r="BW157" i="2" s="1"/>
  <c r="CL157" i="2" s="1"/>
  <c r="BK157" i="2"/>
  <c r="BX157" i="2" s="1"/>
  <c r="CM157" i="2" s="1"/>
  <c r="BL157" i="2"/>
  <c r="BY157" i="2" s="1"/>
  <c r="CN157" i="2" s="1"/>
  <c r="BM157" i="2"/>
  <c r="BZ157" i="2" s="1"/>
  <c r="CO157" i="2" s="1"/>
  <c r="BN157" i="2"/>
  <c r="CA157" i="2" s="1"/>
  <c r="CP157" i="2" s="1"/>
  <c r="BO157" i="2"/>
  <c r="CB157" i="2" s="1"/>
  <c r="CQ157" i="2" s="1"/>
  <c r="BP157" i="2"/>
  <c r="CC157" i="2" s="1"/>
  <c r="CR157" i="2" s="1"/>
  <c r="BQ157" i="2"/>
  <c r="CD157" i="2" s="1"/>
  <c r="CS157" i="2" s="1"/>
  <c r="BR157" i="2"/>
  <c r="CE157" i="2" s="1"/>
  <c r="CT157" i="2" s="1"/>
  <c r="BS157" i="2"/>
  <c r="CF157" i="2" s="1"/>
  <c r="CU157" i="2" s="1"/>
  <c r="BH158" i="2"/>
  <c r="BU158" i="2" s="1"/>
  <c r="CJ158" i="2" s="1"/>
  <c r="BI158" i="2"/>
  <c r="BV158" i="2" s="1"/>
  <c r="CK158" i="2" s="1"/>
  <c r="BJ158" i="2"/>
  <c r="BW158" i="2" s="1"/>
  <c r="CL158" i="2" s="1"/>
  <c r="BK158" i="2"/>
  <c r="BX158" i="2" s="1"/>
  <c r="CM158" i="2" s="1"/>
  <c r="BL158" i="2"/>
  <c r="BY158" i="2" s="1"/>
  <c r="CN158" i="2" s="1"/>
  <c r="BM158" i="2"/>
  <c r="BZ158" i="2" s="1"/>
  <c r="CO158" i="2" s="1"/>
  <c r="BN158" i="2"/>
  <c r="CA158" i="2" s="1"/>
  <c r="CP158" i="2" s="1"/>
  <c r="BO158" i="2"/>
  <c r="CB158" i="2" s="1"/>
  <c r="CQ158" i="2" s="1"/>
  <c r="BP158" i="2"/>
  <c r="CC158" i="2" s="1"/>
  <c r="CR158" i="2" s="1"/>
  <c r="BQ158" i="2"/>
  <c r="CD158" i="2" s="1"/>
  <c r="CS158" i="2" s="1"/>
  <c r="BR158" i="2"/>
  <c r="CE158" i="2" s="1"/>
  <c r="CT158" i="2" s="1"/>
  <c r="BS158" i="2"/>
  <c r="CF158" i="2" s="1"/>
  <c r="CU158" i="2" s="1"/>
  <c r="BH159" i="2"/>
  <c r="BU159" i="2" s="1"/>
  <c r="CJ159" i="2" s="1"/>
  <c r="BI159" i="2"/>
  <c r="BV159" i="2" s="1"/>
  <c r="CK159" i="2" s="1"/>
  <c r="BJ159" i="2"/>
  <c r="BW159" i="2" s="1"/>
  <c r="CL159" i="2" s="1"/>
  <c r="BK159" i="2"/>
  <c r="BX159" i="2" s="1"/>
  <c r="CM159" i="2" s="1"/>
  <c r="BL159" i="2"/>
  <c r="BY159" i="2" s="1"/>
  <c r="CN159" i="2" s="1"/>
  <c r="BM159" i="2"/>
  <c r="BZ159" i="2" s="1"/>
  <c r="CO159" i="2" s="1"/>
  <c r="BN159" i="2"/>
  <c r="CA159" i="2" s="1"/>
  <c r="CP159" i="2" s="1"/>
  <c r="BO159" i="2"/>
  <c r="CB159" i="2" s="1"/>
  <c r="CQ159" i="2" s="1"/>
  <c r="BP159" i="2"/>
  <c r="CC159" i="2" s="1"/>
  <c r="CR159" i="2" s="1"/>
  <c r="BQ159" i="2"/>
  <c r="CD159" i="2" s="1"/>
  <c r="CS159" i="2" s="1"/>
  <c r="BR159" i="2"/>
  <c r="CE159" i="2" s="1"/>
  <c r="CT159" i="2" s="1"/>
  <c r="BS159" i="2"/>
  <c r="CF159" i="2" s="1"/>
  <c r="CU159" i="2" s="1"/>
  <c r="BH160" i="2"/>
  <c r="BU160" i="2" s="1"/>
  <c r="CJ160" i="2" s="1"/>
  <c r="BI160" i="2"/>
  <c r="BV160" i="2" s="1"/>
  <c r="CK160" i="2" s="1"/>
  <c r="BJ160" i="2"/>
  <c r="BW160" i="2" s="1"/>
  <c r="CL160" i="2" s="1"/>
  <c r="BK160" i="2"/>
  <c r="BX160" i="2" s="1"/>
  <c r="CM160" i="2" s="1"/>
  <c r="BL160" i="2"/>
  <c r="BY160" i="2" s="1"/>
  <c r="CN160" i="2" s="1"/>
  <c r="BM160" i="2"/>
  <c r="BZ160" i="2" s="1"/>
  <c r="CO160" i="2" s="1"/>
  <c r="BN160" i="2"/>
  <c r="CA160" i="2" s="1"/>
  <c r="CP160" i="2" s="1"/>
  <c r="BO160" i="2"/>
  <c r="CB160" i="2" s="1"/>
  <c r="CQ160" i="2" s="1"/>
  <c r="BP160" i="2"/>
  <c r="CC160" i="2" s="1"/>
  <c r="CR160" i="2" s="1"/>
  <c r="BQ160" i="2"/>
  <c r="CD160" i="2" s="1"/>
  <c r="CS160" i="2" s="1"/>
  <c r="BR160" i="2"/>
  <c r="CE160" i="2" s="1"/>
  <c r="CT160" i="2" s="1"/>
  <c r="BS160" i="2"/>
  <c r="CF160" i="2" s="1"/>
  <c r="CU160" i="2" s="1"/>
  <c r="BH161" i="2"/>
  <c r="BU161" i="2" s="1"/>
  <c r="CJ161" i="2" s="1"/>
  <c r="BI161" i="2"/>
  <c r="BV161" i="2" s="1"/>
  <c r="CK161" i="2" s="1"/>
  <c r="BJ161" i="2"/>
  <c r="BW161" i="2" s="1"/>
  <c r="CL161" i="2" s="1"/>
  <c r="BK161" i="2"/>
  <c r="BX161" i="2" s="1"/>
  <c r="CM161" i="2" s="1"/>
  <c r="BL161" i="2"/>
  <c r="BY161" i="2" s="1"/>
  <c r="CN161" i="2" s="1"/>
  <c r="BM161" i="2"/>
  <c r="BZ161" i="2" s="1"/>
  <c r="CO161" i="2" s="1"/>
  <c r="BN161" i="2"/>
  <c r="CA161" i="2" s="1"/>
  <c r="CP161" i="2" s="1"/>
  <c r="BO161" i="2"/>
  <c r="CB161" i="2" s="1"/>
  <c r="CQ161" i="2" s="1"/>
  <c r="BP161" i="2"/>
  <c r="CC161" i="2" s="1"/>
  <c r="CR161" i="2" s="1"/>
  <c r="BQ161" i="2"/>
  <c r="CD161" i="2" s="1"/>
  <c r="CS161" i="2" s="1"/>
  <c r="BR161" i="2"/>
  <c r="CE161" i="2" s="1"/>
  <c r="CT161" i="2" s="1"/>
  <c r="BS161" i="2"/>
  <c r="CF161" i="2" s="1"/>
  <c r="CU161" i="2" s="1"/>
  <c r="BH162" i="2"/>
  <c r="BU162" i="2" s="1"/>
  <c r="CJ162" i="2" s="1"/>
  <c r="BI162" i="2"/>
  <c r="BV162" i="2" s="1"/>
  <c r="CK162" i="2" s="1"/>
  <c r="BJ162" i="2"/>
  <c r="BW162" i="2" s="1"/>
  <c r="CL162" i="2" s="1"/>
  <c r="BK162" i="2"/>
  <c r="BX162" i="2" s="1"/>
  <c r="CM162" i="2" s="1"/>
  <c r="BL162" i="2"/>
  <c r="BY162" i="2" s="1"/>
  <c r="CN162" i="2" s="1"/>
  <c r="BM162" i="2"/>
  <c r="BZ162" i="2" s="1"/>
  <c r="CO162" i="2" s="1"/>
  <c r="BN162" i="2"/>
  <c r="CA162" i="2" s="1"/>
  <c r="CP162" i="2" s="1"/>
  <c r="BO162" i="2"/>
  <c r="CB162" i="2" s="1"/>
  <c r="CQ162" i="2" s="1"/>
  <c r="BP162" i="2"/>
  <c r="CC162" i="2" s="1"/>
  <c r="CR162" i="2" s="1"/>
  <c r="BQ162" i="2"/>
  <c r="CD162" i="2" s="1"/>
  <c r="CS162" i="2" s="1"/>
  <c r="BR162" i="2"/>
  <c r="CE162" i="2" s="1"/>
  <c r="CT162" i="2" s="1"/>
  <c r="BS162" i="2"/>
  <c r="CF162" i="2" s="1"/>
  <c r="CU162" i="2" s="1"/>
  <c r="BH163" i="2"/>
  <c r="BU163" i="2" s="1"/>
  <c r="CJ163" i="2" s="1"/>
  <c r="BI163" i="2"/>
  <c r="BV163" i="2" s="1"/>
  <c r="CK163" i="2" s="1"/>
  <c r="BJ163" i="2"/>
  <c r="BW163" i="2" s="1"/>
  <c r="CL163" i="2" s="1"/>
  <c r="BK163" i="2"/>
  <c r="BX163" i="2" s="1"/>
  <c r="CM163" i="2" s="1"/>
  <c r="BL163" i="2"/>
  <c r="BY163" i="2" s="1"/>
  <c r="CN163" i="2" s="1"/>
  <c r="BM163" i="2"/>
  <c r="BZ163" i="2" s="1"/>
  <c r="CO163" i="2" s="1"/>
  <c r="BN163" i="2"/>
  <c r="CA163" i="2" s="1"/>
  <c r="CP163" i="2" s="1"/>
  <c r="BO163" i="2"/>
  <c r="CB163" i="2" s="1"/>
  <c r="CQ163" i="2" s="1"/>
  <c r="BP163" i="2"/>
  <c r="CC163" i="2" s="1"/>
  <c r="CR163" i="2" s="1"/>
  <c r="BQ163" i="2"/>
  <c r="CD163" i="2" s="1"/>
  <c r="CS163" i="2" s="1"/>
  <c r="BR163" i="2"/>
  <c r="CE163" i="2" s="1"/>
  <c r="CT163" i="2" s="1"/>
  <c r="BS163" i="2"/>
  <c r="CF163" i="2" s="1"/>
  <c r="CU163" i="2" s="1"/>
  <c r="BH164" i="2"/>
  <c r="BU164" i="2" s="1"/>
  <c r="CJ164" i="2" s="1"/>
  <c r="BI164" i="2"/>
  <c r="BV164" i="2" s="1"/>
  <c r="CK164" i="2" s="1"/>
  <c r="BJ164" i="2"/>
  <c r="BW164" i="2" s="1"/>
  <c r="CL164" i="2" s="1"/>
  <c r="BK164" i="2"/>
  <c r="BX164" i="2" s="1"/>
  <c r="CM164" i="2" s="1"/>
  <c r="BL164" i="2"/>
  <c r="BY164" i="2" s="1"/>
  <c r="CN164" i="2" s="1"/>
  <c r="BM164" i="2"/>
  <c r="BZ164" i="2" s="1"/>
  <c r="CO164" i="2" s="1"/>
  <c r="BN164" i="2"/>
  <c r="CA164" i="2" s="1"/>
  <c r="CP164" i="2" s="1"/>
  <c r="BO164" i="2"/>
  <c r="CB164" i="2" s="1"/>
  <c r="CQ164" i="2" s="1"/>
  <c r="BP164" i="2"/>
  <c r="CC164" i="2" s="1"/>
  <c r="CR164" i="2" s="1"/>
  <c r="BQ164" i="2"/>
  <c r="CD164" i="2" s="1"/>
  <c r="CS164" i="2" s="1"/>
  <c r="BR164" i="2"/>
  <c r="CE164" i="2" s="1"/>
  <c r="CT164" i="2" s="1"/>
  <c r="BS164" i="2"/>
  <c r="CF164" i="2" s="1"/>
  <c r="CU164" i="2" s="1"/>
  <c r="BH165" i="2"/>
  <c r="BU165" i="2" s="1"/>
  <c r="CJ165" i="2" s="1"/>
  <c r="BI165" i="2"/>
  <c r="BV165" i="2" s="1"/>
  <c r="CK165" i="2" s="1"/>
  <c r="BJ165" i="2"/>
  <c r="BW165" i="2" s="1"/>
  <c r="CL165" i="2" s="1"/>
  <c r="BK165" i="2"/>
  <c r="BX165" i="2" s="1"/>
  <c r="CM165" i="2" s="1"/>
  <c r="BL165" i="2"/>
  <c r="BY165" i="2" s="1"/>
  <c r="CN165" i="2" s="1"/>
  <c r="BM165" i="2"/>
  <c r="BZ165" i="2" s="1"/>
  <c r="CO165" i="2" s="1"/>
  <c r="BN165" i="2"/>
  <c r="CA165" i="2" s="1"/>
  <c r="CP165" i="2" s="1"/>
  <c r="BO165" i="2"/>
  <c r="CB165" i="2" s="1"/>
  <c r="CQ165" i="2" s="1"/>
  <c r="BP165" i="2"/>
  <c r="CC165" i="2" s="1"/>
  <c r="CR165" i="2" s="1"/>
  <c r="BQ165" i="2"/>
  <c r="CD165" i="2" s="1"/>
  <c r="CS165" i="2" s="1"/>
  <c r="BR165" i="2"/>
  <c r="CE165" i="2" s="1"/>
  <c r="CT165" i="2" s="1"/>
  <c r="BS165" i="2"/>
  <c r="CF165" i="2" s="1"/>
  <c r="CU165" i="2" s="1"/>
  <c r="BH166" i="2"/>
  <c r="BU166" i="2" s="1"/>
  <c r="CJ166" i="2" s="1"/>
  <c r="BI166" i="2"/>
  <c r="BV166" i="2" s="1"/>
  <c r="CK166" i="2" s="1"/>
  <c r="BJ166" i="2"/>
  <c r="BW166" i="2" s="1"/>
  <c r="CL166" i="2" s="1"/>
  <c r="BK166" i="2"/>
  <c r="BX166" i="2" s="1"/>
  <c r="CM166" i="2" s="1"/>
  <c r="BL166" i="2"/>
  <c r="BY166" i="2" s="1"/>
  <c r="CN166" i="2" s="1"/>
  <c r="BM166" i="2"/>
  <c r="BZ166" i="2" s="1"/>
  <c r="CO166" i="2" s="1"/>
  <c r="BN166" i="2"/>
  <c r="CA166" i="2" s="1"/>
  <c r="CP166" i="2" s="1"/>
  <c r="BO166" i="2"/>
  <c r="CB166" i="2" s="1"/>
  <c r="CQ166" i="2" s="1"/>
  <c r="BP166" i="2"/>
  <c r="CC166" i="2" s="1"/>
  <c r="CR166" i="2" s="1"/>
  <c r="BQ166" i="2"/>
  <c r="CD166" i="2" s="1"/>
  <c r="CS166" i="2" s="1"/>
  <c r="BR166" i="2"/>
  <c r="CE166" i="2" s="1"/>
  <c r="CT166" i="2" s="1"/>
  <c r="BS166" i="2"/>
  <c r="CF166" i="2" s="1"/>
  <c r="CU166" i="2" s="1"/>
  <c r="BH167" i="2"/>
  <c r="BU167" i="2" s="1"/>
  <c r="CJ167" i="2" s="1"/>
  <c r="BI167" i="2"/>
  <c r="BV167" i="2" s="1"/>
  <c r="CK167" i="2" s="1"/>
  <c r="BJ167" i="2"/>
  <c r="BW167" i="2" s="1"/>
  <c r="CL167" i="2" s="1"/>
  <c r="BK167" i="2"/>
  <c r="BX167" i="2" s="1"/>
  <c r="CM167" i="2" s="1"/>
  <c r="BL167" i="2"/>
  <c r="BY167" i="2" s="1"/>
  <c r="CN167" i="2" s="1"/>
  <c r="BM167" i="2"/>
  <c r="BZ167" i="2" s="1"/>
  <c r="CO167" i="2" s="1"/>
  <c r="BN167" i="2"/>
  <c r="CA167" i="2" s="1"/>
  <c r="CP167" i="2" s="1"/>
  <c r="BO167" i="2"/>
  <c r="CB167" i="2" s="1"/>
  <c r="CQ167" i="2" s="1"/>
  <c r="BP167" i="2"/>
  <c r="CC167" i="2" s="1"/>
  <c r="CR167" i="2" s="1"/>
  <c r="BQ167" i="2"/>
  <c r="CD167" i="2" s="1"/>
  <c r="CS167" i="2" s="1"/>
  <c r="BR167" i="2"/>
  <c r="CE167" i="2" s="1"/>
  <c r="CT167" i="2" s="1"/>
  <c r="BS167" i="2"/>
  <c r="CF167" i="2" s="1"/>
  <c r="CU167" i="2" s="1"/>
  <c r="BH168" i="2"/>
  <c r="BU168" i="2" s="1"/>
  <c r="CJ168" i="2" s="1"/>
  <c r="BI168" i="2"/>
  <c r="BV168" i="2" s="1"/>
  <c r="CK168" i="2" s="1"/>
  <c r="BJ168" i="2"/>
  <c r="BW168" i="2" s="1"/>
  <c r="CL168" i="2" s="1"/>
  <c r="BK168" i="2"/>
  <c r="BX168" i="2" s="1"/>
  <c r="CM168" i="2" s="1"/>
  <c r="BL168" i="2"/>
  <c r="BY168" i="2" s="1"/>
  <c r="CN168" i="2" s="1"/>
  <c r="BM168" i="2"/>
  <c r="BZ168" i="2" s="1"/>
  <c r="CO168" i="2" s="1"/>
  <c r="BN168" i="2"/>
  <c r="CA168" i="2" s="1"/>
  <c r="CP168" i="2" s="1"/>
  <c r="BO168" i="2"/>
  <c r="CB168" i="2" s="1"/>
  <c r="CQ168" i="2" s="1"/>
  <c r="BP168" i="2"/>
  <c r="CC168" i="2" s="1"/>
  <c r="CR168" i="2" s="1"/>
  <c r="BQ168" i="2"/>
  <c r="CD168" i="2" s="1"/>
  <c r="CS168" i="2" s="1"/>
  <c r="BR168" i="2"/>
  <c r="CE168" i="2" s="1"/>
  <c r="CT168" i="2" s="1"/>
  <c r="BS168" i="2"/>
  <c r="CF168" i="2" s="1"/>
  <c r="CU168" i="2" s="1"/>
  <c r="BH169" i="2"/>
  <c r="BU169" i="2" s="1"/>
  <c r="CJ169" i="2" s="1"/>
  <c r="BI169" i="2"/>
  <c r="BV169" i="2" s="1"/>
  <c r="CK169" i="2" s="1"/>
  <c r="BJ169" i="2"/>
  <c r="BW169" i="2" s="1"/>
  <c r="CL169" i="2" s="1"/>
  <c r="BK169" i="2"/>
  <c r="BX169" i="2" s="1"/>
  <c r="CM169" i="2" s="1"/>
  <c r="BL169" i="2"/>
  <c r="BY169" i="2" s="1"/>
  <c r="CN169" i="2" s="1"/>
  <c r="BM169" i="2"/>
  <c r="BZ169" i="2" s="1"/>
  <c r="CO169" i="2" s="1"/>
  <c r="BN169" i="2"/>
  <c r="CA169" i="2" s="1"/>
  <c r="CP169" i="2" s="1"/>
  <c r="BO169" i="2"/>
  <c r="CB169" i="2" s="1"/>
  <c r="CQ169" i="2" s="1"/>
  <c r="BP169" i="2"/>
  <c r="CC169" i="2" s="1"/>
  <c r="CR169" i="2" s="1"/>
  <c r="BQ169" i="2"/>
  <c r="CD169" i="2" s="1"/>
  <c r="CS169" i="2" s="1"/>
  <c r="BR169" i="2"/>
  <c r="CE169" i="2" s="1"/>
  <c r="CT169" i="2" s="1"/>
  <c r="BS169" i="2"/>
  <c r="CF169" i="2" s="1"/>
  <c r="CU169" i="2" s="1"/>
  <c r="BH170" i="2"/>
  <c r="BU170" i="2" s="1"/>
  <c r="CJ170" i="2" s="1"/>
  <c r="BI170" i="2"/>
  <c r="BV170" i="2" s="1"/>
  <c r="CK170" i="2" s="1"/>
  <c r="BJ170" i="2"/>
  <c r="BW170" i="2" s="1"/>
  <c r="CL170" i="2" s="1"/>
  <c r="BK170" i="2"/>
  <c r="BX170" i="2" s="1"/>
  <c r="CM170" i="2" s="1"/>
  <c r="BL170" i="2"/>
  <c r="BY170" i="2" s="1"/>
  <c r="CN170" i="2" s="1"/>
  <c r="BM170" i="2"/>
  <c r="BZ170" i="2" s="1"/>
  <c r="CO170" i="2" s="1"/>
  <c r="BN170" i="2"/>
  <c r="CA170" i="2" s="1"/>
  <c r="CP170" i="2" s="1"/>
  <c r="BO170" i="2"/>
  <c r="CB170" i="2" s="1"/>
  <c r="CQ170" i="2" s="1"/>
  <c r="BP170" i="2"/>
  <c r="CC170" i="2" s="1"/>
  <c r="CR170" i="2" s="1"/>
  <c r="BQ170" i="2"/>
  <c r="CD170" i="2" s="1"/>
  <c r="CS170" i="2" s="1"/>
  <c r="BR170" i="2"/>
  <c r="CE170" i="2" s="1"/>
  <c r="CT170" i="2" s="1"/>
  <c r="BS170" i="2"/>
  <c r="CF170" i="2" s="1"/>
  <c r="CU170" i="2" s="1"/>
  <c r="BH171" i="2"/>
  <c r="BU171" i="2" s="1"/>
  <c r="CJ171" i="2" s="1"/>
  <c r="BI171" i="2"/>
  <c r="BV171" i="2" s="1"/>
  <c r="CK171" i="2" s="1"/>
  <c r="BJ171" i="2"/>
  <c r="BW171" i="2" s="1"/>
  <c r="CL171" i="2" s="1"/>
  <c r="BK171" i="2"/>
  <c r="BX171" i="2" s="1"/>
  <c r="CM171" i="2" s="1"/>
  <c r="BL171" i="2"/>
  <c r="BY171" i="2" s="1"/>
  <c r="CN171" i="2" s="1"/>
  <c r="BM171" i="2"/>
  <c r="BZ171" i="2" s="1"/>
  <c r="CO171" i="2" s="1"/>
  <c r="BN171" i="2"/>
  <c r="CA171" i="2" s="1"/>
  <c r="CP171" i="2" s="1"/>
  <c r="BO171" i="2"/>
  <c r="CB171" i="2" s="1"/>
  <c r="CQ171" i="2" s="1"/>
  <c r="BP171" i="2"/>
  <c r="CC171" i="2" s="1"/>
  <c r="CR171" i="2" s="1"/>
  <c r="BQ171" i="2"/>
  <c r="CD171" i="2" s="1"/>
  <c r="CS171" i="2" s="1"/>
  <c r="BR171" i="2"/>
  <c r="CE171" i="2" s="1"/>
  <c r="CT171" i="2" s="1"/>
  <c r="BS171" i="2"/>
  <c r="CF171" i="2" s="1"/>
  <c r="CU171" i="2" s="1"/>
  <c r="BH172" i="2"/>
  <c r="BU172" i="2" s="1"/>
  <c r="CJ172" i="2" s="1"/>
  <c r="BI172" i="2"/>
  <c r="BV172" i="2" s="1"/>
  <c r="CK172" i="2" s="1"/>
  <c r="BJ172" i="2"/>
  <c r="BW172" i="2" s="1"/>
  <c r="CL172" i="2" s="1"/>
  <c r="BK172" i="2"/>
  <c r="BX172" i="2" s="1"/>
  <c r="CM172" i="2" s="1"/>
  <c r="BL172" i="2"/>
  <c r="BY172" i="2" s="1"/>
  <c r="CN172" i="2" s="1"/>
  <c r="BM172" i="2"/>
  <c r="BZ172" i="2" s="1"/>
  <c r="CO172" i="2" s="1"/>
  <c r="BN172" i="2"/>
  <c r="CA172" i="2" s="1"/>
  <c r="CP172" i="2" s="1"/>
  <c r="BO172" i="2"/>
  <c r="CB172" i="2" s="1"/>
  <c r="CQ172" i="2" s="1"/>
  <c r="BP172" i="2"/>
  <c r="CC172" i="2" s="1"/>
  <c r="CR172" i="2" s="1"/>
  <c r="BQ172" i="2"/>
  <c r="CD172" i="2" s="1"/>
  <c r="CS172" i="2" s="1"/>
  <c r="BR172" i="2"/>
  <c r="CE172" i="2" s="1"/>
  <c r="CT172" i="2" s="1"/>
  <c r="BS172" i="2"/>
  <c r="CF172" i="2" s="1"/>
  <c r="CU172" i="2" s="1"/>
  <c r="BH173" i="2"/>
  <c r="BU173" i="2" s="1"/>
  <c r="CJ173" i="2" s="1"/>
  <c r="BI173" i="2"/>
  <c r="BV173" i="2" s="1"/>
  <c r="CK173" i="2" s="1"/>
  <c r="BJ173" i="2"/>
  <c r="BW173" i="2" s="1"/>
  <c r="CL173" i="2" s="1"/>
  <c r="BK173" i="2"/>
  <c r="BX173" i="2" s="1"/>
  <c r="CM173" i="2" s="1"/>
  <c r="BL173" i="2"/>
  <c r="BY173" i="2" s="1"/>
  <c r="CN173" i="2" s="1"/>
  <c r="BM173" i="2"/>
  <c r="BZ173" i="2" s="1"/>
  <c r="CO173" i="2" s="1"/>
  <c r="BN173" i="2"/>
  <c r="CA173" i="2" s="1"/>
  <c r="CP173" i="2" s="1"/>
  <c r="BO173" i="2"/>
  <c r="CB173" i="2" s="1"/>
  <c r="CQ173" i="2" s="1"/>
  <c r="BP173" i="2"/>
  <c r="CC173" i="2" s="1"/>
  <c r="CR173" i="2" s="1"/>
  <c r="BQ173" i="2"/>
  <c r="CD173" i="2" s="1"/>
  <c r="CS173" i="2" s="1"/>
  <c r="BR173" i="2"/>
  <c r="CE173" i="2" s="1"/>
  <c r="CT173" i="2" s="1"/>
  <c r="BS173" i="2"/>
  <c r="CF173" i="2" s="1"/>
  <c r="CU173" i="2" s="1"/>
  <c r="BH174" i="2"/>
  <c r="BU174" i="2" s="1"/>
  <c r="CJ174" i="2" s="1"/>
  <c r="BI174" i="2"/>
  <c r="BV174" i="2" s="1"/>
  <c r="CK174" i="2" s="1"/>
  <c r="BJ174" i="2"/>
  <c r="BW174" i="2" s="1"/>
  <c r="CL174" i="2" s="1"/>
  <c r="BK174" i="2"/>
  <c r="BX174" i="2" s="1"/>
  <c r="CM174" i="2" s="1"/>
  <c r="BL174" i="2"/>
  <c r="BY174" i="2" s="1"/>
  <c r="CN174" i="2" s="1"/>
  <c r="BM174" i="2"/>
  <c r="BZ174" i="2" s="1"/>
  <c r="CO174" i="2" s="1"/>
  <c r="BN174" i="2"/>
  <c r="CA174" i="2" s="1"/>
  <c r="CP174" i="2" s="1"/>
  <c r="BO174" i="2"/>
  <c r="CB174" i="2" s="1"/>
  <c r="CQ174" i="2" s="1"/>
  <c r="BP174" i="2"/>
  <c r="CC174" i="2" s="1"/>
  <c r="CR174" i="2" s="1"/>
  <c r="BQ174" i="2"/>
  <c r="CD174" i="2" s="1"/>
  <c r="CS174" i="2" s="1"/>
  <c r="BR174" i="2"/>
  <c r="CE174" i="2" s="1"/>
  <c r="CT174" i="2" s="1"/>
  <c r="BS174" i="2"/>
  <c r="CF174" i="2" s="1"/>
  <c r="CU174" i="2" s="1"/>
  <c r="BH175" i="2"/>
  <c r="BU175" i="2" s="1"/>
  <c r="CJ175" i="2" s="1"/>
  <c r="BI175" i="2"/>
  <c r="BV175" i="2" s="1"/>
  <c r="CK175" i="2" s="1"/>
  <c r="BJ175" i="2"/>
  <c r="BW175" i="2" s="1"/>
  <c r="CL175" i="2" s="1"/>
  <c r="BK175" i="2"/>
  <c r="BX175" i="2" s="1"/>
  <c r="CM175" i="2" s="1"/>
  <c r="BL175" i="2"/>
  <c r="BY175" i="2" s="1"/>
  <c r="CN175" i="2" s="1"/>
  <c r="BM175" i="2"/>
  <c r="BZ175" i="2" s="1"/>
  <c r="CO175" i="2" s="1"/>
  <c r="BN175" i="2"/>
  <c r="CA175" i="2" s="1"/>
  <c r="CP175" i="2" s="1"/>
  <c r="BO175" i="2"/>
  <c r="CB175" i="2" s="1"/>
  <c r="CQ175" i="2" s="1"/>
  <c r="BP175" i="2"/>
  <c r="CC175" i="2" s="1"/>
  <c r="CR175" i="2" s="1"/>
  <c r="BQ175" i="2"/>
  <c r="CD175" i="2" s="1"/>
  <c r="CS175" i="2" s="1"/>
  <c r="BR175" i="2"/>
  <c r="CE175" i="2" s="1"/>
  <c r="CT175" i="2" s="1"/>
  <c r="BS175" i="2"/>
  <c r="CF175" i="2" s="1"/>
  <c r="CU175" i="2" s="1"/>
  <c r="BH176" i="2"/>
  <c r="BU176" i="2" s="1"/>
  <c r="CJ176" i="2" s="1"/>
  <c r="BI176" i="2"/>
  <c r="BV176" i="2" s="1"/>
  <c r="CK176" i="2" s="1"/>
  <c r="BJ176" i="2"/>
  <c r="BW176" i="2" s="1"/>
  <c r="CL176" i="2" s="1"/>
  <c r="BK176" i="2"/>
  <c r="BX176" i="2" s="1"/>
  <c r="CM176" i="2" s="1"/>
  <c r="BL176" i="2"/>
  <c r="BY176" i="2" s="1"/>
  <c r="CN176" i="2" s="1"/>
  <c r="BM176" i="2"/>
  <c r="BZ176" i="2" s="1"/>
  <c r="CO176" i="2" s="1"/>
  <c r="BN176" i="2"/>
  <c r="CA176" i="2" s="1"/>
  <c r="CP176" i="2" s="1"/>
  <c r="BO176" i="2"/>
  <c r="CB176" i="2" s="1"/>
  <c r="CQ176" i="2" s="1"/>
  <c r="BP176" i="2"/>
  <c r="CC176" i="2" s="1"/>
  <c r="CR176" i="2" s="1"/>
  <c r="BQ176" i="2"/>
  <c r="CD176" i="2" s="1"/>
  <c r="CS176" i="2" s="1"/>
  <c r="BR176" i="2"/>
  <c r="CE176" i="2" s="1"/>
  <c r="CT176" i="2" s="1"/>
  <c r="BS176" i="2"/>
  <c r="CF176" i="2" s="1"/>
  <c r="CU176" i="2" s="1"/>
  <c r="BH177" i="2"/>
  <c r="BU177" i="2" s="1"/>
  <c r="CJ177" i="2" s="1"/>
  <c r="BI177" i="2"/>
  <c r="BV177" i="2" s="1"/>
  <c r="CK177" i="2" s="1"/>
  <c r="BJ177" i="2"/>
  <c r="BW177" i="2" s="1"/>
  <c r="CL177" i="2" s="1"/>
  <c r="BK177" i="2"/>
  <c r="BX177" i="2" s="1"/>
  <c r="CM177" i="2" s="1"/>
  <c r="BL177" i="2"/>
  <c r="BY177" i="2" s="1"/>
  <c r="CN177" i="2" s="1"/>
  <c r="BM177" i="2"/>
  <c r="BZ177" i="2" s="1"/>
  <c r="CO177" i="2" s="1"/>
  <c r="BN177" i="2"/>
  <c r="CA177" i="2" s="1"/>
  <c r="CP177" i="2" s="1"/>
  <c r="BO177" i="2"/>
  <c r="CB177" i="2" s="1"/>
  <c r="CQ177" i="2" s="1"/>
  <c r="BP177" i="2"/>
  <c r="CC177" i="2" s="1"/>
  <c r="CR177" i="2" s="1"/>
  <c r="BQ177" i="2"/>
  <c r="CD177" i="2" s="1"/>
  <c r="CS177" i="2" s="1"/>
  <c r="BR177" i="2"/>
  <c r="CE177" i="2" s="1"/>
  <c r="CT177" i="2" s="1"/>
  <c r="BS177" i="2"/>
  <c r="CF177" i="2" s="1"/>
  <c r="CU177" i="2" s="1"/>
  <c r="BH178" i="2"/>
  <c r="BU178" i="2" s="1"/>
  <c r="CJ178" i="2" s="1"/>
  <c r="BI178" i="2"/>
  <c r="BV178" i="2" s="1"/>
  <c r="CK178" i="2" s="1"/>
  <c r="BJ178" i="2"/>
  <c r="BW178" i="2" s="1"/>
  <c r="CL178" i="2" s="1"/>
  <c r="BK178" i="2"/>
  <c r="BX178" i="2" s="1"/>
  <c r="CM178" i="2" s="1"/>
  <c r="BL178" i="2"/>
  <c r="BY178" i="2" s="1"/>
  <c r="CN178" i="2" s="1"/>
  <c r="BM178" i="2"/>
  <c r="BZ178" i="2" s="1"/>
  <c r="CO178" i="2" s="1"/>
  <c r="BN178" i="2"/>
  <c r="CA178" i="2" s="1"/>
  <c r="CP178" i="2" s="1"/>
  <c r="BO178" i="2"/>
  <c r="CB178" i="2" s="1"/>
  <c r="CQ178" i="2" s="1"/>
  <c r="BP178" i="2"/>
  <c r="CC178" i="2" s="1"/>
  <c r="CR178" i="2" s="1"/>
  <c r="BQ178" i="2"/>
  <c r="CD178" i="2" s="1"/>
  <c r="CS178" i="2" s="1"/>
  <c r="BR178" i="2"/>
  <c r="CE178" i="2" s="1"/>
  <c r="CT178" i="2" s="1"/>
  <c r="BS178" i="2"/>
  <c r="CF178" i="2" s="1"/>
  <c r="CU178" i="2" s="1"/>
  <c r="BH179" i="2"/>
  <c r="BU179" i="2" s="1"/>
  <c r="CJ179" i="2" s="1"/>
  <c r="BI179" i="2"/>
  <c r="BV179" i="2" s="1"/>
  <c r="CK179" i="2" s="1"/>
  <c r="BJ179" i="2"/>
  <c r="BW179" i="2" s="1"/>
  <c r="CL179" i="2" s="1"/>
  <c r="BK179" i="2"/>
  <c r="BX179" i="2" s="1"/>
  <c r="CM179" i="2" s="1"/>
  <c r="BL179" i="2"/>
  <c r="BY179" i="2" s="1"/>
  <c r="CN179" i="2" s="1"/>
  <c r="BM179" i="2"/>
  <c r="BZ179" i="2" s="1"/>
  <c r="CO179" i="2" s="1"/>
  <c r="BN179" i="2"/>
  <c r="CA179" i="2" s="1"/>
  <c r="CP179" i="2" s="1"/>
  <c r="BO179" i="2"/>
  <c r="CB179" i="2" s="1"/>
  <c r="CQ179" i="2" s="1"/>
  <c r="BP179" i="2"/>
  <c r="CC179" i="2" s="1"/>
  <c r="CR179" i="2" s="1"/>
  <c r="BQ179" i="2"/>
  <c r="CD179" i="2" s="1"/>
  <c r="CS179" i="2" s="1"/>
  <c r="BR179" i="2"/>
  <c r="CE179" i="2" s="1"/>
  <c r="CT179" i="2" s="1"/>
  <c r="BS179" i="2"/>
  <c r="CF179" i="2" s="1"/>
  <c r="CU179" i="2" s="1"/>
  <c r="BH180" i="2"/>
  <c r="BU180" i="2" s="1"/>
  <c r="CJ180" i="2" s="1"/>
  <c r="BI180" i="2"/>
  <c r="BV180" i="2" s="1"/>
  <c r="CK180" i="2" s="1"/>
  <c r="BJ180" i="2"/>
  <c r="BW180" i="2" s="1"/>
  <c r="CL180" i="2" s="1"/>
  <c r="BK180" i="2"/>
  <c r="BX180" i="2" s="1"/>
  <c r="CM180" i="2" s="1"/>
  <c r="BL180" i="2"/>
  <c r="BY180" i="2" s="1"/>
  <c r="CN180" i="2" s="1"/>
  <c r="BM180" i="2"/>
  <c r="BZ180" i="2" s="1"/>
  <c r="CO180" i="2" s="1"/>
  <c r="BN180" i="2"/>
  <c r="CA180" i="2" s="1"/>
  <c r="CP180" i="2" s="1"/>
  <c r="BO180" i="2"/>
  <c r="CB180" i="2" s="1"/>
  <c r="CQ180" i="2" s="1"/>
  <c r="BP180" i="2"/>
  <c r="CC180" i="2" s="1"/>
  <c r="CR180" i="2" s="1"/>
  <c r="BQ180" i="2"/>
  <c r="CD180" i="2" s="1"/>
  <c r="CS180" i="2" s="1"/>
  <c r="BR180" i="2"/>
  <c r="CE180" i="2" s="1"/>
  <c r="CT180" i="2" s="1"/>
  <c r="BS180" i="2"/>
  <c r="CF180" i="2" s="1"/>
  <c r="CU180" i="2" s="1"/>
  <c r="BH181" i="2"/>
  <c r="BU181" i="2" s="1"/>
  <c r="CJ181" i="2" s="1"/>
  <c r="BI181" i="2"/>
  <c r="BV181" i="2" s="1"/>
  <c r="CK181" i="2" s="1"/>
  <c r="BJ181" i="2"/>
  <c r="BW181" i="2" s="1"/>
  <c r="CL181" i="2" s="1"/>
  <c r="BK181" i="2"/>
  <c r="BX181" i="2" s="1"/>
  <c r="CM181" i="2" s="1"/>
  <c r="BL181" i="2"/>
  <c r="BY181" i="2" s="1"/>
  <c r="CN181" i="2" s="1"/>
  <c r="BM181" i="2"/>
  <c r="BZ181" i="2" s="1"/>
  <c r="CO181" i="2" s="1"/>
  <c r="BN181" i="2"/>
  <c r="CA181" i="2" s="1"/>
  <c r="CP181" i="2" s="1"/>
  <c r="BO181" i="2"/>
  <c r="CB181" i="2" s="1"/>
  <c r="CQ181" i="2" s="1"/>
  <c r="BP181" i="2"/>
  <c r="CC181" i="2" s="1"/>
  <c r="CR181" i="2" s="1"/>
  <c r="BQ181" i="2"/>
  <c r="CD181" i="2" s="1"/>
  <c r="CS181" i="2" s="1"/>
  <c r="BR181" i="2"/>
  <c r="CE181" i="2" s="1"/>
  <c r="CT181" i="2" s="1"/>
  <c r="BS181" i="2"/>
  <c r="CF181" i="2" s="1"/>
  <c r="CU181" i="2" s="1"/>
  <c r="BH182" i="2"/>
  <c r="BU182" i="2" s="1"/>
  <c r="CJ182" i="2" s="1"/>
  <c r="BI182" i="2"/>
  <c r="BV182" i="2" s="1"/>
  <c r="CK182" i="2" s="1"/>
  <c r="BJ182" i="2"/>
  <c r="BW182" i="2" s="1"/>
  <c r="CL182" i="2" s="1"/>
  <c r="BK182" i="2"/>
  <c r="BX182" i="2" s="1"/>
  <c r="CM182" i="2" s="1"/>
  <c r="BL182" i="2"/>
  <c r="BY182" i="2" s="1"/>
  <c r="CN182" i="2" s="1"/>
  <c r="BM182" i="2"/>
  <c r="BZ182" i="2" s="1"/>
  <c r="CO182" i="2" s="1"/>
  <c r="BN182" i="2"/>
  <c r="CA182" i="2" s="1"/>
  <c r="CP182" i="2" s="1"/>
  <c r="BO182" i="2"/>
  <c r="CB182" i="2" s="1"/>
  <c r="CQ182" i="2" s="1"/>
  <c r="BP182" i="2"/>
  <c r="CC182" i="2" s="1"/>
  <c r="CR182" i="2" s="1"/>
  <c r="BQ182" i="2"/>
  <c r="CD182" i="2" s="1"/>
  <c r="CS182" i="2" s="1"/>
  <c r="BR182" i="2"/>
  <c r="CE182" i="2" s="1"/>
  <c r="CT182" i="2" s="1"/>
  <c r="BS182" i="2"/>
  <c r="CF182" i="2" s="1"/>
  <c r="CU182" i="2" s="1"/>
  <c r="BH183" i="2"/>
  <c r="BU183" i="2" s="1"/>
  <c r="CJ183" i="2" s="1"/>
  <c r="BI183" i="2"/>
  <c r="BV183" i="2" s="1"/>
  <c r="CK183" i="2" s="1"/>
  <c r="BJ183" i="2"/>
  <c r="BW183" i="2" s="1"/>
  <c r="CL183" i="2" s="1"/>
  <c r="BK183" i="2"/>
  <c r="BX183" i="2" s="1"/>
  <c r="CM183" i="2" s="1"/>
  <c r="BL183" i="2"/>
  <c r="BY183" i="2" s="1"/>
  <c r="CN183" i="2" s="1"/>
  <c r="BM183" i="2"/>
  <c r="BZ183" i="2" s="1"/>
  <c r="CO183" i="2" s="1"/>
  <c r="BN183" i="2"/>
  <c r="CA183" i="2" s="1"/>
  <c r="CP183" i="2" s="1"/>
  <c r="BO183" i="2"/>
  <c r="CB183" i="2" s="1"/>
  <c r="CQ183" i="2" s="1"/>
  <c r="BP183" i="2"/>
  <c r="CC183" i="2" s="1"/>
  <c r="CR183" i="2" s="1"/>
  <c r="BQ183" i="2"/>
  <c r="CD183" i="2" s="1"/>
  <c r="CS183" i="2" s="1"/>
  <c r="BR183" i="2"/>
  <c r="CE183" i="2" s="1"/>
  <c r="CT183" i="2" s="1"/>
  <c r="BS183" i="2"/>
  <c r="CF183" i="2" s="1"/>
  <c r="CU183" i="2" s="1"/>
  <c r="BH184" i="2"/>
  <c r="BU184" i="2" s="1"/>
  <c r="CJ184" i="2" s="1"/>
  <c r="BI184" i="2"/>
  <c r="BV184" i="2" s="1"/>
  <c r="CK184" i="2" s="1"/>
  <c r="BJ184" i="2"/>
  <c r="BW184" i="2" s="1"/>
  <c r="CL184" i="2" s="1"/>
  <c r="BK184" i="2"/>
  <c r="BX184" i="2" s="1"/>
  <c r="CM184" i="2" s="1"/>
  <c r="BL184" i="2"/>
  <c r="BY184" i="2" s="1"/>
  <c r="CN184" i="2" s="1"/>
  <c r="BM184" i="2"/>
  <c r="BZ184" i="2" s="1"/>
  <c r="CO184" i="2" s="1"/>
  <c r="BN184" i="2"/>
  <c r="CA184" i="2" s="1"/>
  <c r="CP184" i="2" s="1"/>
  <c r="BO184" i="2"/>
  <c r="CB184" i="2" s="1"/>
  <c r="CQ184" i="2" s="1"/>
  <c r="BP184" i="2"/>
  <c r="CC184" i="2" s="1"/>
  <c r="CR184" i="2" s="1"/>
  <c r="BQ184" i="2"/>
  <c r="CD184" i="2" s="1"/>
  <c r="CS184" i="2" s="1"/>
  <c r="BR184" i="2"/>
  <c r="CE184" i="2" s="1"/>
  <c r="CT184" i="2" s="1"/>
  <c r="BS184" i="2"/>
  <c r="CF184" i="2" s="1"/>
  <c r="CU184" i="2" s="1"/>
  <c r="BH185" i="2"/>
  <c r="BU185" i="2" s="1"/>
  <c r="CJ185" i="2" s="1"/>
  <c r="BI185" i="2"/>
  <c r="BV185" i="2" s="1"/>
  <c r="CK185" i="2" s="1"/>
  <c r="BJ185" i="2"/>
  <c r="BW185" i="2" s="1"/>
  <c r="CL185" i="2" s="1"/>
  <c r="BK185" i="2"/>
  <c r="BX185" i="2" s="1"/>
  <c r="CM185" i="2" s="1"/>
  <c r="BL185" i="2"/>
  <c r="BY185" i="2" s="1"/>
  <c r="CN185" i="2" s="1"/>
  <c r="BM185" i="2"/>
  <c r="BZ185" i="2" s="1"/>
  <c r="CO185" i="2" s="1"/>
  <c r="BN185" i="2"/>
  <c r="CA185" i="2" s="1"/>
  <c r="CP185" i="2" s="1"/>
  <c r="BO185" i="2"/>
  <c r="CB185" i="2" s="1"/>
  <c r="CQ185" i="2" s="1"/>
  <c r="BP185" i="2"/>
  <c r="CC185" i="2" s="1"/>
  <c r="CR185" i="2" s="1"/>
  <c r="BQ185" i="2"/>
  <c r="CD185" i="2" s="1"/>
  <c r="CS185" i="2" s="1"/>
  <c r="BR185" i="2"/>
  <c r="CE185" i="2" s="1"/>
  <c r="CT185" i="2" s="1"/>
  <c r="BS185" i="2"/>
  <c r="CF185" i="2" s="1"/>
  <c r="CU185" i="2" s="1"/>
  <c r="BH186" i="2"/>
  <c r="BU186" i="2" s="1"/>
  <c r="CJ186" i="2" s="1"/>
  <c r="BI186" i="2"/>
  <c r="BV186" i="2" s="1"/>
  <c r="CK186" i="2" s="1"/>
  <c r="BJ186" i="2"/>
  <c r="BW186" i="2" s="1"/>
  <c r="CL186" i="2" s="1"/>
  <c r="BK186" i="2"/>
  <c r="BX186" i="2" s="1"/>
  <c r="CM186" i="2" s="1"/>
  <c r="BL186" i="2"/>
  <c r="BY186" i="2" s="1"/>
  <c r="CN186" i="2" s="1"/>
  <c r="BM186" i="2"/>
  <c r="BZ186" i="2" s="1"/>
  <c r="CO186" i="2" s="1"/>
  <c r="BN186" i="2"/>
  <c r="CA186" i="2" s="1"/>
  <c r="CP186" i="2" s="1"/>
  <c r="BO186" i="2"/>
  <c r="CB186" i="2" s="1"/>
  <c r="CQ186" i="2" s="1"/>
  <c r="BP186" i="2"/>
  <c r="CC186" i="2" s="1"/>
  <c r="CR186" i="2" s="1"/>
  <c r="BQ186" i="2"/>
  <c r="CD186" i="2" s="1"/>
  <c r="CS186" i="2" s="1"/>
  <c r="BR186" i="2"/>
  <c r="CE186" i="2" s="1"/>
  <c r="CT186" i="2" s="1"/>
  <c r="BS186" i="2"/>
  <c r="CF186" i="2" s="1"/>
  <c r="CU186" i="2" s="1"/>
  <c r="BH187" i="2"/>
  <c r="BU187" i="2" s="1"/>
  <c r="CJ187" i="2" s="1"/>
  <c r="BI187" i="2"/>
  <c r="BV187" i="2" s="1"/>
  <c r="CK187" i="2" s="1"/>
  <c r="BJ187" i="2"/>
  <c r="BW187" i="2" s="1"/>
  <c r="CL187" i="2" s="1"/>
  <c r="BK187" i="2"/>
  <c r="BX187" i="2" s="1"/>
  <c r="CM187" i="2" s="1"/>
  <c r="BL187" i="2"/>
  <c r="BY187" i="2" s="1"/>
  <c r="CN187" i="2" s="1"/>
  <c r="BM187" i="2"/>
  <c r="BZ187" i="2" s="1"/>
  <c r="CO187" i="2" s="1"/>
  <c r="BN187" i="2"/>
  <c r="CA187" i="2" s="1"/>
  <c r="CP187" i="2" s="1"/>
  <c r="BO187" i="2"/>
  <c r="CB187" i="2" s="1"/>
  <c r="CQ187" i="2" s="1"/>
  <c r="BP187" i="2"/>
  <c r="CC187" i="2" s="1"/>
  <c r="CR187" i="2" s="1"/>
  <c r="BQ187" i="2"/>
  <c r="CD187" i="2" s="1"/>
  <c r="CS187" i="2" s="1"/>
  <c r="BR187" i="2"/>
  <c r="CE187" i="2" s="1"/>
  <c r="CT187" i="2" s="1"/>
  <c r="BS187" i="2"/>
  <c r="CF187" i="2" s="1"/>
  <c r="CU187" i="2" s="1"/>
  <c r="BH188" i="2"/>
  <c r="BU188" i="2" s="1"/>
  <c r="CJ188" i="2" s="1"/>
  <c r="BI188" i="2"/>
  <c r="BV188" i="2" s="1"/>
  <c r="CK188" i="2" s="1"/>
  <c r="BJ188" i="2"/>
  <c r="BW188" i="2" s="1"/>
  <c r="CL188" i="2" s="1"/>
  <c r="BK188" i="2"/>
  <c r="BX188" i="2" s="1"/>
  <c r="CM188" i="2" s="1"/>
  <c r="BL188" i="2"/>
  <c r="BY188" i="2" s="1"/>
  <c r="CN188" i="2" s="1"/>
  <c r="BM188" i="2"/>
  <c r="BZ188" i="2" s="1"/>
  <c r="CO188" i="2" s="1"/>
  <c r="BN188" i="2"/>
  <c r="CA188" i="2" s="1"/>
  <c r="CP188" i="2" s="1"/>
  <c r="BO188" i="2"/>
  <c r="CB188" i="2" s="1"/>
  <c r="CQ188" i="2" s="1"/>
  <c r="BP188" i="2"/>
  <c r="CC188" i="2" s="1"/>
  <c r="CR188" i="2" s="1"/>
  <c r="BQ188" i="2"/>
  <c r="CD188" i="2" s="1"/>
  <c r="CS188" i="2" s="1"/>
  <c r="BR188" i="2"/>
  <c r="CE188" i="2" s="1"/>
  <c r="CT188" i="2" s="1"/>
  <c r="BS188" i="2"/>
  <c r="CF188" i="2" s="1"/>
  <c r="CU188" i="2" s="1"/>
  <c r="BH189" i="2"/>
  <c r="BU189" i="2" s="1"/>
  <c r="CJ189" i="2" s="1"/>
  <c r="BI189" i="2"/>
  <c r="BV189" i="2" s="1"/>
  <c r="CK189" i="2" s="1"/>
  <c r="BJ189" i="2"/>
  <c r="BW189" i="2" s="1"/>
  <c r="CL189" i="2" s="1"/>
  <c r="BK189" i="2"/>
  <c r="BX189" i="2" s="1"/>
  <c r="CM189" i="2" s="1"/>
  <c r="BL189" i="2"/>
  <c r="BY189" i="2" s="1"/>
  <c r="CN189" i="2" s="1"/>
  <c r="BM189" i="2"/>
  <c r="BZ189" i="2" s="1"/>
  <c r="CO189" i="2" s="1"/>
  <c r="BN189" i="2"/>
  <c r="CA189" i="2" s="1"/>
  <c r="CP189" i="2" s="1"/>
  <c r="BO189" i="2"/>
  <c r="CB189" i="2" s="1"/>
  <c r="CQ189" i="2" s="1"/>
  <c r="BP189" i="2"/>
  <c r="CC189" i="2" s="1"/>
  <c r="CR189" i="2" s="1"/>
  <c r="BQ189" i="2"/>
  <c r="CD189" i="2" s="1"/>
  <c r="CS189" i="2" s="1"/>
  <c r="BR189" i="2"/>
  <c r="CE189" i="2" s="1"/>
  <c r="CT189" i="2" s="1"/>
  <c r="BS189" i="2"/>
  <c r="CF189" i="2" s="1"/>
  <c r="CU189" i="2" s="1"/>
  <c r="BH190" i="2"/>
  <c r="BU190" i="2" s="1"/>
  <c r="CJ190" i="2" s="1"/>
  <c r="BI190" i="2"/>
  <c r="BV190" i="2" s="1"/>
  <c r="CK190" i="2" s="1"/>
  <c r="BJ190" i="2"/>
  <c r="BW190" i="2" s="1"/>
  <c r="CL190" i="2" s="1"/>
  <c r="BK190" i="2"/>
  <c r="BX190" i="2" s="1"/>
  <c r="CM190" i="2" s="1"/>
  <c r="BL190" i="2"/>
  <c r="BY190" i="2" s="1"/>
  <c r="CN190" i="2" s="1"/>
  <c r="BM190" i="2"/>
  <c r="BZ190" i="2" s="1"/>
  <c r="CO190" i="2" s="1"/>
  <c r="BN190" i="2"/>
  <c r="CA190" i="2" s="1"/>
  <c r="CP190" i="2" s="1"/>
  <c r="BO190" i="2"/>
  <c r="CB190" i="2" s="1"/>
  <c r="CQ190" i="2" s="1"/>
  <c r="BP190" i="2"/>
  <c r="CC190" i="2" s="1"/>
  <c r="CR190" i="2" s="1"/>
  <c r="BQ190" i="2"/>
  <c r="CD190" i="2" s="1"/>
  <c r="CS190" i="2" s="1"/>
  <c r="BR190" i="2"/>
  <c r="CE190" i="2" s="1"/>
  <c r="CT190" i="2" s="1"/>
  <c r="BS190" i="2"/>
  <c r="CF190" i="2" s="1"/>
  <c r="CU190" i="2" s="1"/>
  <c r="BH191" i="2"/>
  <c r="BU191" i="2" s="1"/>
  <c r="CJ191" i="2" s="1"/>
  <c r="BI191" i="2"/>
  <c r="BV191" i="2" s="1"/>
  <c r="CK191" i="2" s="1"/>
  <c r="BJ191" i="2"/>
  <c r="BW191" i="2" s="1"/>
  <c r="CL191" i="2" s="1"/>
  <c r="BK191" i="2"/>
  <c r="BX191" i="2" s="1"/>
  <c r="CM191" i="2" s="1"/>
  <c r="BL191" i="2"/>
  <c r="BY191" i="2" s="1"/>
  <c r="CN191" i="2" s="1"/>
  <c r="BM191" i="2"/>
  <c r="BZ191" i="2" s="1"/>
  <c r="CO191" i="2" s="1"/>
  <c r="BN191" i="2"/>
  <c r="CA191" i="2" s="1"/>
  <c r="CP191" i="2" s="1"/>
  <c r="BO191" i="2"/>
  <c r="CB191" i="2" s="1"/>
  <c r="CQ191" i="2" s="1"/>
  <c r="BP191" i="2"/>
  <c r="CC191" i="2" s="1"/>
  <c r="CR191" i="2" s="1"/>
  <c r="BQ191" i="2"/>
  <c r="CD191" i="2" s="1"/>
  <c r="CS191" i="2" s="1"/>
  <c r="BR191" i="2"/>
  <c r="CE191" i="2" s="1"/>
  <c r="CT191" i="2" s="1"/>
  <c r="BS191" i="2"/>
  <c r="CF191" i="2" s="1"/>
  <c r="CU191" i="2" s="1"/>
  <c r="BH192" i="2"/>
  <c r="BU192" i="2" s="1"/>
  <c r="CJ192" i="2" s="1"/>
  <c r="BI192" i="2"/>
  <c r="BV192" i="2" s="1"/>
  <c r="CK192" i="2" s="1"/>
  <c r="BJ192" i="2"/>
  <c r="BW192" i="2" s="1"/>
  <c r="CL192" i="2" s="1"/>
  <c r="BK192" i="2"/>
  <c r="BX192" i="2" s="1"/>
  <c r="CM192" i="2" s="1"/>
  <c r="BL192" i="2"/>
  <c r="BY192" i="2" s="1"/>
  <c r="CN192" i="2" s="1"/>
  <c r="BM192" i="2"/>
  <c r="BZ192" i="2" s="1"/>
  <c r="CO192" i="2" s="1"/>
  <c r="BN192" i="2"/>
  <c r="CA192" i="2" s="1"/>
  <c r="CP192" i="2" s="1"/>
  <c r="BO192" i="2"/>
  <c r="CB192" i="2" s="1"/>
  <c r="CQ192" i="2" s="1"/>
  <c r="BP192" i="2"/>
  <c r="CC192" i="2" s="1"/>
  <c r="CR192" i="2" s="1"/>
  <c r="BQ192" i="2"/>
  <c r="CD192" i="2" s="1"/>
  <c r="CS192" i="2" s="1"/>
  <c r="BR192" i="2"/>
  <c r="CE192" i="2" s="1"/>
  <c r="CT192" i="2" s="1"/>
  <c r="BS192" i="2"/>
  <c r="CF192" i="2" s="1"/>
  <c r="CU192" i="2" s="1"/>
  <c r="BH193" i="2"/>
  <c r="BU193" i="2" s="1"/>
  <c r="CJ193" i="2" s="1"/>
  <c r="BI193" i="2"/>
  <c r="BV193" i="2" s="1"/>
  <c r="CK193" i="2" s="1"/>
  <c r="BJ193" i="2"/>
  <c r="BW193" i="2" s="1"/>
  <c r="CL193" i="2" s="1"/>
  <c r="BK193" i="2"/>
  <c r="BX193" i="2" s="1"/>
  <c r="CM193" i="2" s="1"/>
  <c r="BL193" i="2"/>
  <c r="BY193" i="2" s="1"/>
  <c r="CN193" i="2" s="1"/>
  <c r="BM193" i="2"/>
  <c r="BZ193" i="2" s="1"/>
  <c r="CO193" i="2" s="1"/>
  <c r="BN193" i="2"/>
  <c r="CA193" i="2" s="1"/>
  <c r="CP193" i="2" s="1"/>
  <c r="BO193" i="2"/>
  <c r="CB193" i="2" s="1"/>
  <c r="CQ193" i="2" s="1"/>
  <c r="BP193" i="2"/>
  <c r="CC193" i="2" s="1"/>
  <c r="CR193" i="2" s="1"/>
  <c r="BQ193" i="2"/>
  <c r="CD193" i="2" s="1"/>
  <c r="CS193" i="2" s="1"/>
  <c r="BR193" i="2"/>
  <c r="CE193" i="2" s="1"/>
  <c r="CT193" i="2" s="1"/>
  <c r="BS193" i="2"/>
  <c r="CF193" i="2" s="1"/>
  <c r="CU193" i="2" s="1"/>
  <c r="BH194" i="2"/>
  <c r="BU194" i="2" s="1"/>
  <c r="CJ194" i="2" s="1"/>
  <c r="BI194" i="2"/>
  <c r="BV194" i="2" s="1"/>
  <c r="CK194" i="2" s="1"/>
  <c r="BJ194" i="2"/>
  <c r="BW194" i="2" s="1"/>
  <c r="CL194" i="2" s="1"/>
  <c r="BK194" i="2"/>
  <c r="BX194" i="2" s="1"/>
  <c r="CM194" i="2" s="1"/>
  <c r="BL194" i="2"/>
  <c r="BY194" i="2" s="1"/>
  <c r="CN194" i="2" s="1"/>
  <c r="BM194" i="2"/>
  <c r="BZ194" i="2" s="1"/>
  <c r="CO194" i="2" s="1"/>
  <c r="BN194" i="2"/>
  <c r="CA194" i="2" s="1"/>
  <c r="CP194" i="2" s="1"/>
  <c r="BO194" i="2"/>
  <c r="CB194" i="2" s="1"/>
  <c r="CQ194" i="2" s="1"/>
  <c r="BP194" i="2"/>
  <c r="CC194" i="2" s="1"/>
  <c r="CR194" i="2" s="1"/>
  <c r="BQ194" i="2"/>
  <c r="CD194" i="2" s="1"/>
  <c r="CS194" i="2" s="1"/>
  <c r="BR194" i="2"/>
  <c r="CE194" i="2" s="1"/>
  <c r="CT194" i="2" s="1"/>
  <c r="BS194" i="2"/>
  <c r="CF194" i="2" s="1"/>
  <c r="CU194" i="2" s="1"/>
  <c r="BH195" i="2"/>
  <c r="BU195" i="2" s="1"/>
  <c r="CJ195" i="2" s="1"/>
  <c r="BI195" i="2"/>
  <c r="BV195" i="2" s="1"/>
  <c r="CK195" i="2" s="1"/>
  <c r="BJ195" i="2"/>
  <c r="BW195" i="2" s="1"/>
  <c r="CL195" i="2" s="1"/>
  <c r="BK195" i="2"/>
  <c r="BX195" i="2" s="1"/>
  <c r="CM195" i="2" s="1"/>
  <c r="BL195" i="2"/>
  <c r="BY195" i="2" s="1"/>
  <c r="CN195" i="2" s="1"/>
  <c r="BM195" i="2"/>
  <c r="BZ195" i="2" s="1"/>
  <c r="CO195" i="2" s="1"/>
  <c r="BN195" i="2"/>
  <c r="CA195" i="2" s="1"/>
  <c r="CP195" i="2" s="1"/>
  <c r="BO195" i="2"/>
  <c r="CB195" i="2" s="1"/>
  <c r="CQ195" i="2" s="1"/>
  <c r="BP195" i="2"/>
  <c r="CC195" i="2" s="1"/>
  <c r="CR195" i="2" s="1"/>
  <c r="BQ195" i="2"/>
  <c r="CD195" i="2" s="1"/>
  <c r="CS195" i="2" s="1"/>
  <c r="BR195" i="2"/>
  <c r="CE195" i="2" s="1"/>
  <c r="CT195" i="2" s="1"/>
  <c r="BS195" i="2"/>
  <c r="CF195" i="2" s="1"/>
  <c r="CU195" i="2" s="1"/>
  <c r="BH196" i="2"/>
  <c r="BU196" i="2" s="1"/>
  <c r="CJ196" i="2" s="1"/>
  <c r="BI196" i="2"/>
  <c r="BV196" i="2" s="1"/>
  <c r="CK196" i="2" s="1"/>
  <c r="BJ196" i="2"/>
  <c r="BW196" i="2" s="1"/>
  <c r="CL196" i="2" s="1"/>
  <c r="BK196" i="2"/>
  <c r="BX196" i="2" s="1"/>
  <c r="CM196" i="2" s="1"/>
  <c r="BL196" i="2"/>
  <c r="BY196" i="2" s="1"/>
  <c r="CN196" i="2" s="1"/>
  <c r="BM196" i="2"/>
  <c r="BZ196" i="2" s="1"/>
  <c r="CO196" i="2" s="1"/>
  <c r="BN196" i="2"/>
  <c r="CA196" i="2" s="1"/>
  <c r="CP196" i="2" s="1"/>
  <c r="BO196" i="2"/>
  <c r="CB196" i="2" s="1"/>
  <c r="CQ196" i="2" s="1"/>
  <c r="BP196" i="2"/>
  <c r="CC196" i="2" s="1"/>
  <c r="CR196" i="2" s="1"/>
  <c r="BQ196" i="2"/>
  <c r="CD196" i="2" s="1"/>
  <c r="CS196" i="2" s="1"/>
  <c r="BR196" i="2"/>
  <c r="CE196" i="2" s="1"/>
  <c r="CT196" i="2" s="1"/>
  <c r="BS196" i="2"/>
  <c r="CF196" i="2" s="1"/>
  <c r="CU196" i="2" s="1"/>
  <c r="BH197" i="2"/>
  <c r="BU197" i="2" s="1"/>
  <c r="CJ197" i="2" s="1"/>
  <c r="BI197" i="2"/>
  <c r="BV197" i="2" s="1"/>
  <c r="CK197" i="2" s="1"/>
  <c r="BJ197" i="2"/>
  <c r="BW197" i="2" s="1"/>
  <c r="CL197" i="2" s="1"/>
  <c r="BK197" i="2"/>
  <c r="BX197" i="2" s="1"/>
  <c r="CM197" i="2" s="1"/>
  <c r="BL197" i="2"/>
  <c r="BY197" i="2" s="1"/>
  <c r="CN197" i="2" s="1"/>
  <c r="BM197" i="2"/>
  <c r="BZ197" i="2" s="1"/>
  <c r="CO197" i="2" s="1"/>
  <c r="BN197" i="2"/>
  <c r="CA197" i="2" s="1"/>
  <c r="CP197" i="2" s="1"/>
  <c r="BO197" i="2"/>
  <c r="CB197" i="2" s="1"/>
  <c r="CQ197" i="2" s="1"/>
  <c r="BP197" i="2"/>
  <c r="CC197" i="2" s="1"/>
  <c r="CR197" i="2" s="1"/>
  <c r="BQ197" i="2"/>
  <c r="CD197" i="2" s="1"/>
  <c r="CS197" i="2" s="1"/>
  <c r="BR197" i="2"/>
  <c r="CE197" i="2" s="1"/>
  <c r="CT197" i="2" s="1"/>
  <c r="BS197" i="2"/>
  <c r="CF197" i="2" s="1"/>
  <c r="CU197" i="2" s="1"/>
  <c r="BH198" i="2"/>
  <c r="BU198" i="2" s="1"/>
  <c r="CJ198" i="2" s="1"/>
  <c r="BI198" i="2"/>
  <c r="BV198" i="2" s="1"/>
  <c r="CK198" i="2" s="1"/>
  <c r="BJ198" i="2"/>
  <c r="BW198" i="2" s="1"/>
  <c r="CL198" i="2" s="1"/>
  <c r="BK198" i="2"/>
  <c r="BX198" i="2" s="1"/>
  <c r="CM198" i="2" s="1"/>
  <c r="BL198" i="2"/>
  <c r="BY198" i="2" s="1"/>
  <c r="CN198" i="2" s="1"/>
  <c r="BM198" i="2"/>
  <c r="BZ198" i="2" s="1"/>
  <c r="CO198" i="2" s="1"/>
  <c r="BN198" i="2"/>
  <c r="CA198" i="2" s="1"/>
  <c r="CP198" i="2" s="1"/>
  <c r="BO198" i="2"/>
  <c r="CB198" i="2" s="1"/>
  <c r="CQ198" i="2" s="1"/>
  <c r="BP198" i="2"/>
  <c r="CC198" i="2" s="1"/>
  <c r="CR198" i="2" s="1"/>
  <c r="BQ198" i="2"/>
  <c r="CD198" i="2" s="1"/>
  <c r="CS198" i="2" s="1"/>
  <c r="BR198" i="2"/>
  <c r="CE198" i="2" s="1"/>
  <c r="CT198" i="2" s="1"/>
  <c r="BS198" i="2"/>
  <c r="CF198" i="2" s="1"/>
  <c r="CU198" i="2" s="1"/>
  <c r="BH199" i="2"/>
  <c r="BU199" i="2" s="1"/>
  <c r="CJ199" i="2" s="1"/>
  <c r="BI199" i="2"/>
  <c r="BV199" i="2" s="1"/>
  <c r="CK199" i="2" s="1"/>
  <c r="BJ199" i="2"/>
  <c r="BW199" i="2" s="1"/>
  <c r="CL199" i="2" s="1"/>
  <c r="BK199" i="2"/>
  <c r="BX199" i="2" s="1"/>
  <c r="CM199" i="2" s="1"/>
  <c r="BL199" i="2"/>
  <c r="BY199" i="2" s="1"/>
  <c r="CN199" i="2" s="1"/>
  <c r="BM199" i="2"/>
  <c r="BZ199" i="2" s="1"/>
  <c r="CO199" i="2" s="1"/>
  <c r="BN199" i="2"/>
  <c r="CA199" i="2" s="1"/>
  <c r="CP199" i="2" s="1"/>
  <c r="BO199" i="2"/>
  <c r="CB199" i="2" s="1"/>
  <c r="CQ199" i="2" s="1"/>
  <c r="BP199" i="2"/>
  <c r="CC199" i="2" s="1"/>
  <c r="CR199" i="2" s="1"/>
  <c r="BQ199" i="2"/>
  <c r="CD199" i="2" s="1"/>
  <c r="CS199" i="2" s="1"/>
  <c r="BR199" i="2"/>
  <c r="CE199" i="2" s="1"/>
  <c r="CT199" i="2" s="1"/>
  <c r="BS199" i="2"/>
  <c r="CF199" i="2" s="1"/>
  <c r="CU199" i="2" s="1"/>
  <c r="BH200" i="2"/>
  <c r="BU200" i="2" s="1"/>
  <c r="CJ200" i="2" s="1"/>
  <c r="BI200" i="2"/>
  <c r="BV200" i="2" s="1"/>
  <c r="CK200" i="2" s="1"/>
  <c r="BJ200" i="2"/>
  <c r="BW200" i="2" s="1"/>
  <c r="CL200" i="2" s="1"/>
  <c r="BK200" i="2"/>
  <c r="BX200" i="2" s="1"/>
  <c r="CM200" i="2" s="1"/>
  <c r="BL200" i="2"/>
  <c r="BY200" i="2" s="1"/>
  <c r="CN200" i="2" s="1"/>
  <c r="BM200" i="2"/>
  <c r="BZ200" i="2" s="1"/>
  <c r="CO200" i="2" s="1"/>
  <c r="BN200" i="2"/>
  <c r="CA200" i="2" s="1"/>
  <c r="CP200" i="2" s="1"/>
  <c r="BO200" i="2"/>
  <c r="CB200" i="2" s="1"/>
  <c r="CQ200" i="2" s="1"/>
  <c r="BP200" i="2"/>
  <c r="CC200" i="2" s="1"/>
  <c r="CR200" i="2" s="1"/>
  <c r="BQ200" i="2"/>
  <c r="CD200" i="2" s="1"/>
  <c r="CS200" i="2" s="1"/>
  <c r="BR200" i="2"/>
  <c r="CE200" i="2" s="1"/>
  <c r="CT200" i="2" s="1"/>
  <c r="BS200" i="2"/>
  <c r="CF200" i="2" s="1"/>
  <c r="CU200" i="2" s="1"/>
  <c r="BH201" i="2"/>
  <c r="BU201" i="2" s="1"/>
  <c r="CJ201" i="2" s="1"/>
  <c r="BI201" i="2"/>
  <c r="BV201" i="2" s="1"/>
  <c r="CK201" i="2" s="1"/>
  <c r="BJ201" i="2"/>
  <c r="BW201" i="2" s="1"/>
  <c r="CL201" i="2" s="1"/>
  <c r="BK201" i="2"/>
  <c r="BX201" i="2" s="1"/>
  <c r="CM201" i="2" s="1"/>
  <c r="BL201" i="2"/>
  <c r="BY201" i="2" s="1"/>
  <c r="CN201" i="2" s="1"/>
  <c r="BM201" i="2"/>
  <c r="BZ201" i="2" s="1"/>
  <c r="CO201" i="2" s="1"/>
  <c r="BN201" i="2"/>
  <c r="CA201" i="2" s="1"/>
  <c r="CP201" i="2" s="1"/>
  <c r="BO201" i="2"/>
  <c r="CB201" i="2" s="1"/>
  <c r="CQ201" i="2" s="1"/>
  <c r="BP201" i="2"/>
  <c r="CC201" i="2" s="1"/>
  <c r="CR201" i="2" s="1"/>
  <c r="BQ201" i="2"/>
  <c r="CD201" i="2" s="1"/>
  <c r="CS201" i="2" s="1"/>
  <c r="BR201" i="2"/>
  <c r="CE201" i="2" s="1"/>
  <c r="CT201" i="2" s="1"/>
  <c r="BS201" i="2"/>
  <c r="CF201" i="2" s="1"/>
  <c r="CU201" i="2" s="1"/>
  <c r="BH202" i="2"/>
  <c r="BU202" i="2" s="1"/>
  <c r="CJ202" i="2" s="1"/>
  <c r="BI202" i="2"/>
  <c r="BV202" i="2" s="1"/>
  <c r="CK202" i="2" s="1"/>
  <c r="BJ202" i="2"/>
  <c r="BW202" i="2" s="1"/>
  <c r="CL202" i="2" s="1"/>
  <c r="BK202" i="2"/>
  <c r="BX202" i="2" s="1"/>
  <c r="CM202" i="2" s="1"/>
  <c r="BL202" i="2"/>
  <c r="BY202" i="2" s="1"/>
  <c r="CN202" i="2" s="1"/>
  <c r="BM202" i="2"/>
  <c r="BZ202" i="2" s="1"/>
  <c r="CO202" i="2" s="1"/>
  <c r="BN202" i="2"/>
  <c r="CA202" i="2" s="1"/>
  <c r="CP202" i="2" s="1"/>
  <c r="BO202" i="2"/>
  <c r="CB202" i="2" s="1"/>
  <c r="CQ202" i="2" s="1"/>
  <c r="BP202" i="2"/>
  <c r="CC202" i="2" s="1"/>
  <c r="CR202" i="2" s="1"/>
  <c r="BQ202" i="2"/>
  <c r="CD202" i="2" s="1"/>
  <c r="CS202" i="2" s="1"/>
  <c r="BR202" i="2"/>
  <c r="CE202" i="2" s="1"/>
  <c r="CT202" i="2" s="1"/>
  <c r="BS202" i="2"/>
  <c r="CF202" i="2" s="1"/>
  <c r="CU202" i="2" s="1"/>
  <c r="BH203" i="2"/>
  <c r="BU203" i="2" s="1"/>
  <c r="CJ203" i="2" s="1"/>
  <c r="BI203" i="2"/>
  <c r="BV203" i="2" s="1"/>
  <c r="CK203" i="2" s="1"/>
  <c r="BJ203" i="2"/>
  <c r="BW203" i="2" s="1"/>
  <c r="CL203" i="2" s="1"/>
  <c r="BK203" i="2"/>
  <c r="BX203" i="2" s="1"/>
  <c r="CM203" i="2" s="1"/>
  <c r="BL203" i="2"/>
  <c r="BY203" i="2" s="1"/>
  <c r="CN203" i="2" s="1"/>
  <c r="BM203" i="2"/>
  <c r="BZ203" i="2" s="1"/>
  <c r="CO203" i="2" s="1"/>
  <c r="BN203" i="2"/>
  <c r="CA203" i="2" s="1"/>
  <c r="CP203" i="2" s="1"/>
  <c r="BO203" i="2"/>
  <c r="CB203" i="2" s="1"/>
  <c r="CQ203" i="2" s="1"/>
  <c r="BP203" i="2"/>
  <c r="CC203" i="2" s="1"/>
  <c r="CR203" i="2" s="1"/>
  <c r="BQ203" i="2"/>
  <c r="CD203" i="2" s="1"/>
  <c r="CS203" i="2" s="1"/>
  <c r="BR203" i="2"/>
  <c r="CE203" i="2" s="1"/>
  <c r="CT203" i="2" s="1"/>
  <c r="BS203" i="2"/>
  <c r="CF203" i="2" s="1"/>
  <c r="CU203" i="2" s="1"/>
  <c r="BH204" i="2"/>
  <c r="BU204" i="2" s="1"/>
  <c r="CJ204" i="2" s="1"/>
  <c r="BI204" i="2"/>
  <c r="BV204" i="2" s="1"/>
  <c r="CK204" i="2" s="1"/>
  <c r="BJ204" i="2"/>
  <c r="BW204" i="2" s="1"/>
  <c r="CL204" i="2" s="1"/>
  <c r="BK204" i="2"/>
  <c r="BX204" i="2" s="1"/>
  <c r="CM204" i="2" s="1"/>
  <c r="BL204" i="2"/>
  <c r="BY204" i="2" s="1"/>
  <c r="CN204" i="2" s="1"/>
  <c r="BM204" i="2"/>
  <c r="BZ204" i="2" s="1"/>
  <c r="CO204" i="2" s="1"/>
  <c r="BN204" i="2"/>
  <c r="CA204" i="2" s="1"/>
  <c r="CP204" i="2" s="1"/>
  <c r="BO204" i="2"/>
  <c r="CB204" i="2" s="1"/>
  <c r="CQ204" i="2" s="1"/>
  <c r="BP204" i="2"/>
  <c r="CC204" i="2" s="1"/>
  <c r="CR204" i="2" s="1"/>
  <c r="BQ204" i="2"/>
  <c r="CD204" i="2" s="1"/>
  <c r="CS204" i="2" s="1"/>
  <c r="BR204" i="2"/>
  <c r="CE204" i="2" s="1"/>
  <c r="CT204" i="2" s="1"/>
  <c r="BS204" i="2"/>
  <c r="CF204" i="2" s="1"/>
  <c r="CU204" i="2" s="1"/>
  <c r="BH205" i="2"/>
  <c r="BU205" i="2" s="1"/>
  <c r="CJ205" i="2" s="1"/>
  <c r="BI205" i="2"/>
  <c r="BV205" i="2" s="1"/>
  <c r="CK205" i="2" s="1"/>
  <c r="BJ205" i="2"/>
  <c r="BW205" i="2" s="1"/>
  <c r="CL205" i="2" s="1"/>
  <c r="BK205" i="2"/>
  <c r="BX205" i="2" s="1"/>
  <c r="CM205" i="2" s="1"/>
  <c r="BL205" i="2"/>
  <c r="BY205" i="2" s="1"/>
  <c r="CN205" i="2" s="1"/>
  <c r="BM205" i="2"/>
  <c r="BZ205" i="2" s="1"/>
  <c r="CO205" i="2" s="1"/>
  <c r="BN205" i="2"/>
  <c r="CA205" i="2" s="1"/>
  <c r="CP205" i="2" s="1"/>
  <c r="BO205" i="2"/>
  <c r="CB205" i="2" s="1"/>
  <c r="CQ205" i="2" s="1"/>
  <c r="BP205" i="2"/>
  <c r="CC205" i="2" s="1"/>
  <c r="CR205" i="2" s="1"/>
  <c r="BQ205" i="2"/>
  <c r="CD205" i="2" s="1"/>
  <c r="CS205" i="2" s="1"/>
  <c r="BR205" i="2"/>
  <c r="CE205" i="2" s="1"/>
  <c r="CT205" i="2" s="1"/>
  <c r="BS205" i="2"/>
  <c r="CF205" i="2" s="1"/>
  <c r="CU205" i="2" s="1"/>
  <c r="BH206" i="2"/>
  <c r="BU206" i="2" s="1"/>
  <c r="CJ206" i="2" s="1"/>
  <c r="BI206" i="2"/>
  <c r="BV206" i="2" s="1"/>
  <c r="CK206" i="2" s="1"/>
  <c r="BJ206" i="2"/>
  <c r="BW206" i="2" s="1"/>
  <c r="CL206" i="2" s="1"/>
  <c r="BK206" i="2"/>
  <c r="BX206" i="2" s="1"/>
  <c r="CM206" i="2" s="1"/>
  <c r="BL206" i="2"/>
  <c r="BY206" i="2" s="1"/>
  <c r="CN206" i="2" s="1"/>
  <c r="BM206" i="2"/>
  <c r="BZ206" i="2" s="1"/>
  <c r="CO206" i="2" s="1"/>
  <c r="BN206" i="2"/>
  <c r="CA206" i="2" s="1"/>
  <c r="CP206" i="2" s="1"/>
  <c r="BO206" i="2"/>
  <c r="CB206" i="2" s="1"/>
  <c r="CQ206" i="2" s="1"/>
  <c r="BP206" i="2"/>
  <c r="CC206" i="2" s="1"/>
  <c r="CR206" i="2" s="1"/>
  <c r="BQ206" i="2"/>
  <c r="CD206" i="2" s="1"/>
  <c r="CS206" i="2" s="1"/>
  <c r="BR206" i="2"/>
  <c r="CE206" i="2" s="1"/>
  <c r="CT206" i="2" s="1"/>
  <c r="BS206" i="2"/>
  <c r="CF206" i="2" s="1"/>
  <c r="CU206" i="2" s="1"/>
  <c r="BH207" i="2"/>
  <c r="BU207" i="2" s="1"/>
  <c r="CJ207" i="2" s="1"/>
  <c r="BI207" i="2"/>
  <c r="BV207" i="2" s="1"/>
  <c r="CK207" i="2" s="1"/>
  <c r="BJ207" i="2"/>
  <c r="BW207" i="2" s="1"/>
  <c r="CL207" i="2" s="1"/>
  <c r="BK207" i="2"/>
  <c r="BX207" i="2" s="1"/>
  <c r="CM207" i="2" s="1"/>
  <c r="BL207" i="2"/>
  <c r="BY207" i="2" s="1"/>
  <c r="CN207" i="2" s="1"/>
  <c r="BM207" i="2"/>
  <c r="BZ207" i="2" s="1"/>
  <c r="CO207" i="2" s="1"/>
  <c r="BN207" i="2"/>
  <c r="CA207" i="2" s="1"/>
  <c r="CP207" i="2" s="1"/>
  <c r="BO207" i="2"/>
  <c r="CB207" i="2" s="1"/>
  <c r="CQ207" i="2" s="1"/>
  <c r="BP207" i="2"/>
  <c r="CC207" i="2" s="1"/>
  <c r="CR207" i="2" s="1"/>
  <c r="BQ207" i="2"/>
  <c r="CD207" i="2" s="1"/>
  <c r="CS207" i="2" s="1"/>
  <c r="BR207" i="2"/>
  <c r="CE207" i="2" s="1"/>
  <c r="CT207" i="2" s="1"/>
  <c r="BS207" i="2"/>
  <c r="CF207" i="2" s="1"/>
  <c r="CU207" i="2" s="1"/>
  <c r="BH208" i="2"/>
  <c r="BU208" i="2" s="1"/>
  <c r="CJ208" i="2" s="1"/>
  <c r="BI208" i="2"/>
  <c r="BV208" i="2" s="1"/>
  <c r="CK208" i="2" s="1"/>
  <c r="BJ208" i="2"/>
  <c r="BW208" i="2" s="1"/>
  <c r="CL208" i="2" s="1"/>
  <c r="BK208" i="2"/>
  <c r="BX208" i="2" s="1"/>
  <c r="CM208" i="2" s="1"/>
  <c r="BL208" i="2"/>
  <c r="BY208" i="2" s="1"/>
  <c r="CN208" i="2" s="1"/>
  <c r="BM208" i="2"/>
  <c r="BZ208" i="2" s="1"/>
  <c r="CO208" i="2" s="1"/>
  <c r="BN208" i="2"/>
  <c r="CA208" i="2" s="1"/>
  <c r="CP208" i="2" s="1"/>
  <c r="BO208" i="2"/>
  <c r="CB208" i="2" s="1"/>
  <c r="CQ208" i="2" s="1"/>
  <c r="BP208" i="2"/>
  <c r="CC208" i="2" s="1"/>
  <c r="CR208" i="2" s="1"/>
  <c r="BQ208" i="2"/>
  <c r="CD208" i="2" s="1"/>
  <c r="CS208" i="2" s="1"/>
  <c r="BR208" i="2"/>
  <c r="CE208" i="2" s="1"/>
  <c r="CT208" i="2" s="1"/>
  <c r="BS208" i="2"/>
  <c r="CF208" i="2" s="1"/>
  <c r="CU208" i="2" s="1"/>
  <c r="BH209" i="2"/>
  <c r="BU209" i="2" s="1"/>
  <c r="CJ209" i="2" s="1"/>
  <c r="BI209" i="2"/>
  <c r="BV209" i="2" s="1"/>
  <c r="CK209" i="2" s="1"/>
  <c r="BJ209" i="2"/>
  <c r="BW209" i="2" s="1"/>
  <c r="CL209" i="2" s="1"/>
  <c r="BK209" i="2"/>
  <c r="BX209" i="2" s="1"/>
  <c r="CM209" i="2" s="1"/>
  <c r="BL209" i="2"/>
  <c r="BY209" i="2" s="1"/>
  <c r="CN209" i="2" s="1"/>
  <c r="BM209" i="2"/>
  <c r="BZ209" i="2" s="1"/>
  <c r="CO209" i="2" s="1"/>
  <c r="BN209" i="2"/>
  <c r="CA209" i="2" s="1"/>
  <c r="CP209" i="2" s="1"/>
  <c r="BO209" i="2"/>
  <c r="CB209" i="2" s="1"/>
  <c r="CQ209" i="2" s="1"/>
  <c r="BP209" i="2"/>
  <c r="CC209" i="2" s="1"/>
  <c r="CR209" i="2" s="1"/>
  <c r="BQ209" i="2"/>
  <c r="CD209" i="2" s="1"/>
  <c r="CS209" i="2" s="1"/>
  <c r="BR209" i="2"/>
  <c r="CE209" i="2" s="1"/>
  <c r="CT209" i="2" s="1"/>
  <c r="BS209" i="2"/>
  <c r="CF209" i="2" s="1"/>
  <c r="CU209" i="2" s="1"/>
  <c r="BH210" i="2"/>
  <c r="BU210" i="2" s="1"/>
  <c r="CJ210" i="2" s="1"/>
  <c r="BI210" i="2"/>
  <c r="BV210" i="2" s="1"/>
  <c r="CK210" i="2" s="1"/>
  <c r="BJ210" i="2"/>
  <c r="BW210" i="2" s="1"/>
  <c r="CL210" i="2" s="1"/>
  <c r="BK210" i="2"/>
  <c r="BX210" i="2" s="1"/>
  <c r="CM210" i="2" s="1"/>
  <c r="BL210" i="2"/>
  <c r="BY210" i="2" s="1"/>
  <c r="CN210" i="2" s="1"/>
  <c r="BM210" i="2"/>
  <c r="BZ210" i="2" s="1"/>
  <c r="CO210" i="2" s="1"/>
  <c r="BN210" i="2"/>
  <c r="CA210" i="2" s="1"/>
  <c r="CP210" i="2" s="1"/>
  <c r="BO210" i="2"/>
  <c r="CB210" i="2" s="1"/>
  <c r="CQ210" i="2" s="1"/>
  <c r="BP210" i="2"/>
  <c r="CC210" i="2" s="1"/>
  <c r="CR210" i="2" s="1"/>
  <c r="BQ210" i="2"/>
  <c r="CD210" i="2" s="1"/>
  <c r="CS210" i="2" s="1"/>
  <c r="BR210" i="2"/>
  <c r="CE210" i="2" s="1"/>
  <c r="CT210" i="2" s="1"/>
  <c r="BS210" i="2"/>
  <c r="CF210" i="2" s="1"/>
  <c r="CU210" i="2" s="1"/>
  <c r="BH211" i="2"/>
  <c r="BU211" i="2" s="1"/>
  <c r="CJ211" i="2" s="1"/>
  <c r="BI211" i="2"/>
  <c r="BV211" i="2" s="1"/>
  <c r="CK211" i="2" s="1"/>
  <c r="BJ211" i="2"/>
  <c r="BW211" i="2" s="1"/>
  <c r="CL211" i="2" s="1"/>
  <c r="BK211" i="2"/>
  <c r="BX211" i="2" s="1"/>
  <c r="CM211" i="2" s="1"/>
  <c r="BL211" i="2"/>
  <c r="BY211" i="2" s="1"/>
  <c r="CN211" i="2" s="1"/>
  <c r="BM211" i="2"/>
  <c r="BZ211" i="2" s="1"/>
  <c r="CO211" i="2" s="1"/>
  <c r="BN211" i="2"/>
  <c r="CA211" i="2" s="1"/>
  <c r="CP211" i="2" s="1"/>
  <c r="BO211" i="2"/>
  <c r="CB211" i="2" s="1"/>
  <c r="CQ211" i="2" s="1"/>
  <c r="BP211" i="2"/>
  <c r="CC211" i="2" s="1"/>
  <c r="CR211" i="2" s="1"/>
  <c r="BQ211" i="2"/>
  <c r="CD211" i="2" s="1"/>
  <c r="CS211" i="2" s="1"/>
  <c r="BR211" i="2"/>
  <c r="CE211" i="2" s="1"/>
  <c r="CT211" i="2" s="1"/>
  <c r="BS211" i="2"/>
  <c r="CF211" i="2" s="1"/>
  <c r="CU211" i="2" s="1"/>
  <c r="BH212" i="2"/>
  <c r="BU212" i="2" s="1"/>
  <c r="CJ212" i="2" s="1"/>
  <c r="BI212" i="2"/>
  <c r="BV212" i="2" s="1"/>
  <c r="CK212" i="2" s="1"/>
  <c r="BJ212" i="2"/>
  <c r="BW212" i="2" s="1"/>
  <c r="CL212" i="2" s="1"/>
  <c r="BK212" i="2"/>
  <c r="BX212" i="2" s="1"/>
  <c r="CM212" i="2" s="1"/>
  <c r="BL212" i="2"/>
  <c r="BY212" i="2" s="1"/>
  <c r="CN212" i="2" s="1"/>
  <c r="BM212" i="2"/>
  <c r="BZ212" i="2" s="1"/>
  <c r="CO212" i="2" s="1"/>
  <c r="BN212" i="2"/>
  <c r="CA212" i="2" s="1"/>
  <c r="CP212" i="2" s="1"/>
  <c r="BO212" i="2"/>
  <c r="CB212" i="2" s="1"/>
  <c r="CQ212" i="2" s="1"/>
  <c r="BP212" i="2"/>
  <c r="CC212" i="2" s="1"/>
  <c r="CR212" i="2" s="1"/>
  <c r="BQ212" i="2"/>
  <c r="CD212" i="2" s="1"/>
  <c r="CS212" i="2" s="1"/>
  <c r="BR212" i="2"/>
  <c r="CE212" i="2" s="1"/>
  <c r="CT212" i="2" s="1"/>
  <c r="BS212" i="2"/>
  <c r="CF212" i="2" s="1"/>
  <c r="CU212" i="2" s="1"/>
  <c r="BH213" i="2"/>
  <c r="BU213" i="2" s="1"/>
  <c r="CJ213" i="2" s="1"/>
  <c r="BI213" i="2"/>
  <c r="BV213" i="2" s="1"/>
  <c r="CK213" i="2" s="1"/>
  <c r="BJ213" i="2"/>
  <c r="BW213" i="2" s="1"/>
  <c r="CL213" i="2" s="1"/>
  <c r="BK213" i="2"/>
  <c r="BX213" i="2" s="1"/>
  <c r="CM213" i="2" s="1"/>
  <c r="BL213" i="2"/>
  <c r="BY213" i="2" s="1"/>
  <c r="CN213" i="2" s="1"/>
  <c r="BM213" i="2"/>
  <c r="BZ213" i="2" s="1"/>
  <c r="CO213" i="2" s="1"/>
  <c r="BN213" i="2"/>
  <c r="CA213" i="2" s="1"/>
  <c r="CP213" i="2" s="1"/>
  <c r="BO213" i="2"/>
  <c r="CB213" i="2" s="1"/>
  <c r="CQ213" i="2" s="1"/>
  <c r="BP213" i="2"/>
  <c r="CC213" i="2" s="1"/>
  <c r="CR213" i="2" s="1"/>
  <c r="BQ213" i="2"/>
  <c r="CD213" i="2" s="1"/>
  <c r="CS213" i="2" s="1"/>
  <c r="BR213" i="2"/>
  <c r="CE213" i="2" s="1"/>
  <c r="CT213" i="2" s="1"/>
  <c r="BS213" i="2"/>
  <c r="CF213" i="2" s="1"/>
  <c r="CU213" i="2" s="1"/>
  <c r="BH214" i="2"/>
  <c r="BU214" i="2" s="1"/>
  <c r="CJ214" i="2" s="1"/>
  <c r="BI214" i="2"/>
  <c r="BV214" i="2" s="1"/>
  <c r="CK214" i="2" s="1"/>
  <c r="BJ214" i="2"/>
  <c r="BW214" i="2" s="1"/>
  <c r="CL214" i="2" s="1"/>
  <c r="BK214" i="2"/>
  <c r="BX214" i="2" s="1"/>
  <c r="CM214" i="2" s="1"/>
  <c r="BL214" i="2"/>
  <c r="BY214" i="2" s="1"/>
  <c r="CN214" i="2" s="1"/>
  <c r="BM214" i="2"/>
  <c r="BZ214" i="2" s="1"/>
  <c r="CO214" i="2" s="1"/>
  <c r="BN214" i="2"/>
  <c r="CA214" i="2" s="1"/>
  <c r="CP214" i="2" s="1"/>
  <c r="BO214" i="2"/>
  <c r="CB214" i="2" s="1"/>
  <c r="CQ214" i="2" s="1"/>
  <c r="BP214" i="2"/>
  <c r="CC214" i="2" s="1"/>
  <c r="CR214" i="2" s="1"/>
  <c r="BQ214" i="2"/>
  <c r="CD214" i="2" s="1"/>
  <c r="CS214" i="2" s="1"/>
  <c r="BR214" i="2"/>
  <c r="CE214" i="2" s="1"/>
  <c r="CT214" i="2" s="1"/>
  <c r="BS214" i="2"/>
  <c r="CF214" i="2" s="1"/>
  <c r="CU214" i="2" s="1"/>
  <c r="BH215" i="2"/>
  <c r="BU215" i="2" s="1"/>
  <c r="CJ215" i="2" s="1"/>
  <c r="BI215" i="2"/>
  <c r="BV215" i="2" s="1"/>
  <c r="CK215" i="2" s="1"/>
  <c r="BJ215" i="2"/>
  <c r="BW215" i="2" s="1"/>
  <c r="CL215" i="2" s="1"/>
  <c r="BK215" i="2"/>
  <c r="BX215" i="2" s="1"/>
  <c r="CM215" i="2" s="1"/>
  <c r="BL215" i="2"/>
  <c r="BY215" i="2" s="1"/>
  <c r="CN215" i="2" s="1"/>
  <c r="BM215" i="2"/>
  <c r="BZ215" i="2" s="1"/>
  <c r="CO215" i="2" s="1"/>
  <c r="BN215" i="2"/>
  <c r="CA215" i="2" s="1"/>
  <c r="CP215" i="2" s="1"/>
  <c r="BO215" i="2"/>
  <c r="CB215" i="2" s="1"/>
  <c r="CQ215" i="2" s="1"/>
  <c r="BP215" i="2"/>
  <c r="CC215" i="2" s="1"/>
  <c r="CR215" i="2" s="1"/>
  <c r="BQ215" i="2"/>
  <c r="CD215" i="2" s="1"/>
  <c r="CS215" i="2" s="1"/>
  <c r="BR215" i="2"/>
  <c r="CE215" i="2" s="1"/>
  <c r="CT215" i="2" s="1"/>
  <c r="BS215" i="2"/>
  <c r="CF215" i="2" s="1"/>
  <c r="CU215" i="2" s="1"/>
  <c r="BH216" i="2"/>
  <c r="BU216" i="2" s="1"/>
  <c r="CJ216" i="2" s="1"/>
  <c r="BI216" i="2"/>
  <c r="BV216" i="2" s="1"/>
  <c r="CK216" i="2" s="1"/>
  <c r="BJ216" i="2"/>
  <c r="BW216" i="2" s="1"/>
  <c r="CL216" i="2" s="1"/>
  <c r="BK216" i="2"/>
  <c r="BX216" i="2" s="1"/>
  <c r="CM216" i="2" s="1"/>
  <c r="BL216" i="2"/>
  <c r="BY216" i="2" s="1"/>
  <c r="CN216" i="2" s="1"/>
  <c r="BM216" i="2"/>
  <c r="BZ216" i="2" s="1"/>
  <c r="CO216" i="2" s="1"/>
  <c r="BN216" i="2"/>
  <c r="CA216" i="2" s="1"/>
  <c r="CP216" i="2" s="1"/>
  <c r="BO216" i="2"/>
  <c r="CB216" i="2" s="1"/>
  <c r="CQ216" i="2" s="1"/>
  <c r="BP216" i="2"/>
  <c r="CC216" i="2" s="1"/>
  <c r="CR216" i="2" s="1"/>
  <c r="BQ216" i="2"/>
  <c r="CD216" i="2" s="1"/>
  <c r="CS216" i="2" s="1"/>
  <c r="BR216" i="2"/>
  <c r="CE216" i="2" s="1"/>
  <c r="CT216" i="2" s="1"/>
  <c r="BS216" i="2"/>
  <c r="CF216" i="2" s="1"/>
  <c r="CU216" i="2" s="1"/>
  <c r="BH217" i="2"/>
  <c r="BU217" i="2" s="1"/>
  <c r="CJ217" i="2" s="1"/>
  <c r="BI217" i="2"/>
  <c r="BV217" i="2" s="1"/>
  <c r="CK217" i="2" s="1"/>
  <c r="BJ217" i="2"/>
  <c r="BW217" i="2" s="1"/>
  <c r="CL217" i="2" s="1"/>
  <c r="BK217" i="2"/>
  <c r="BX217" i="2" s="1"/>
  <c r="CM217" i="2" s="1"/>
  <c r="BL217" i="2"/>
  <c r="BY217" i="2" s="1"/>
  <c r="CN217" i="2" s="1"/>
  <c r="BM217" i="2"/>
  <c r="BZ217" i="2" s="1"/>
  <c r="CO217" i="2" s="1"/>
  <c r="BN217" i="2"/>
  <c r="CA217" i="2" s="1"/>
  <c r="CP217" i="2" s="1"/>
  <c r="BO217" i="2"/>
  <c r="CB217" i="2" s="1"/>
  <c r="CQ217" i="2" s="1"/>
  <c r="BP217" i="2"/>
  <c r="CC217" i="2" s="1"/>
  <c r="CR217" i="2" s="1"/>
  <c r="BQ217" i="2"/>
  <c r="CD217" i="2" s="1"/>
  <c r="CS217" i="2" s="1"/>
  <c r="BR217" i="2"/>
  <c r="CE217" i="2" s="1"/>
  <c r="CT217" i="2" s="1"/>
  <c r="BS217" i="2"/>
  <c r="CF217" i="2" s="1"/>
  <c r="CU217" i="2" s="1"/>
  <c r="BH218" i="2"/>
  <c r="BU218" i="2" s="1"/>
  <c r="CJ218" i="2" s="1"/>
  <c r="BI218" i="2"/>
  <c r="BV218" i="2" s="1"/>
  <c r="CK218" i="2" s="1"/>
  <c r="BJ218" i="2"/>
  <c r="BW218" i="2" s="1"/>
  <c r="CL218" i="2" s="1"/>
  <c r="BK218" i="2"/>
  <c r="BX218" i="2" s="1"/>
  <c r="CM218" i="2" s="1"/>
  <c r="BL218" i="2"/>
  <c r="BY218" i="2" s="1"/>
  <c r="CN218" i="2" s="1"/>
  <c r="BM218" i="2"/>
  <c r="BZ218" i="2" s="1"/>
  <c r="CO218" i="2" s="1"/>
  <c r="BN218" i="2"/>
  <c r="CA218" i="2" s="1"/>
  <c r="CP218" i="2" s="1"/>
  <c r="BO218" i="2"/>
  <c r="CB218" i="2" s="1"/>
  <c r="CQ218" i="2" s="1"/>
  <c r="BP218" i="2"/>
  <c r="CC218" i="2" s="1"/>
  <c r="CR218" i="2" s="1"/>
  <c r="BQ218" i="2"/>
  <c r="CD218" i="2" s="1"/>
  <c r="CS218" i="2" s="1"/>
  <c r="BR218" i="2"/>
  <c r="CE218" i="2" s="1"/>
  <c r="CT218" i="2" s="1"/>
  <c r="BS218" i="2"/>
  <c r="CF218" i="2" s="1"/>
  <c r="CU218" i="2" s="1"/>
  <c r="BH219" i="2"/>
  <c r="BU219" i="2" s="1"/>
  <c r="CJ219" i="2" s="1"/>
  <c r="BI219" i="2"/>
  <c r="BV219" i="2" s="1"/>
  <c r="CK219" i="2" s="1"/>
  <c r="BJ219" i="2"/>
  <c r="BW219" i="2" s="1"/>
  <c r="CL219" i="2" s="1"/>
  <c r="BK219" i="2"/>
  <c r="BX219" i="2" s="1"/>
  <c r="CM219" i="2" s="1"/>
  <c r="BL219" i="2"/>
  <c r="BY219" i="2" s="1"/>
  <c r="CN219" i="2" s="1"/>
  <c r="BM219" i="2"/>
  <c r="BZ219" i="2" s="1"/>
  <c r="CO219" i="2" s="1"/>
  <c r="BN219" i="2"/>
  <c r="CA219" i="2" s="1"/>
  <c r="CP219" i="2" s="1"/>
  <c r="BO219" i="2"/>
  <c r="CB219" i="2" s="1"/>
  <c r="CQ219" i="2" s="1"/>
  <c r="BP219" i="2"/>
  <c r="CC219" i="2" s="1"/>
  <c r="CR219" i="2" s="1"/>
  <c r="BQ219" i="2"/>
  <c r="CD219" i="2" s="1"/>
  <c r="CS219" i="2" s="1"/>
  <c r="BR219" i="2"/>
  <c r="CE219" i="2" s="1"/>
  <c r="CT219" i="2" s="1"/>
  <c r="BS219" i="2"/>
  <c r="CF219" i="2" s="1"/>
  <c r="CU219" i="2" s="1"/>
  <c r="BH220" i="2"/>
  <c r="BU220" i="2" s="1"/>
  <c r="CJ220" i="2" s="1"/>
  <c r="BI220" i="2"/>
  <c r="BV220" i="2" s="1"/>
  <c r="CK220" i="2" s="1"/>
  <c r="BJ220" i="2"/>
  <c r="BW220" i="2" s="1"/>
  <c r="CL220" i="2" s="1"/>
  <c r="BK220" i="2"/>
  <c r="BX220" i="2" s="1"/>
  <c r="CM220" i="2" s="1"/>
  <c r="BL220" i="2"/>
  <c r="BY220" i="2" s="1"/>
  <c r="CN220" i="2" s="1"/>
  <c r="BM220" i="2"/>
  <c r="BZ220" i="2" s="1"/>
  <c r="CO220" i="2" s="1"/>
  <c r="BN220" i="2"/>
  <c r="CA220" i="2" s="1"/>
  <c r="CP220" i="2" s="1"/>
  <c r="BO220" i="2"/>
  <c r="CB220" i="2" s="1"/>
  <c r="CQ220" i="2" s="1"/>
  <c r="BP220" i="2"/>
  <c r="CC220" i="2" s="1"/>
  <c r="CR220" i="2" s="1"/>
  <c r="BQ220" i="2"/>
  <c r="CD220" i="2" s="1"/>
  <c r="CS220" i="2" s="1"/>
  <c r="BR220" i="2"/>
  <c r="CE220" i="2" s="1"/>
  <c r="CT220" i="2" s="1"/>
  <c r="BS220" i="2"/>
  <c r="CF220" i="2" s="1"/>
  <c r="CU220" i="2" s="1"/>
  <c r="BH221" i="2"/>
  <c r="BU221" i="2" s="1"/>
  <c r="CJ221" i="2" s="1"/>
  <c r="BI221" i="2"/>
  <c r="BV221" i="2" s="1"/>
  <c r="CK221" i="2" s="1"/>
  <c r="BJ221" i="2"/>
  <c r="BW221" i="2" s="1"/>
  <c r="CL221" i="2" s="1"/>
  <c r="BK221" i="2"/>
  <c r="BX221" i="2" s="1"/>
  <c r="CM221" i="2" s="1"/>
  <c r="BL221" i="2"/>
  <c r="BY221" i="2" s="1"/>
  <c r="CN221" i="2" s="1"/>
  <c r="BM221" i="2"/>
  <c r="BZ221" i="2" s="1"/>
  <c r="CO221" i="2" s="1"/>
  <c r="BN221" i="2"/>
  <c r="CA221" i="2" s="1"/>
  <c r="CP221" i="2" s="1"/>
  <c r="BO221" i="2"/>
  <c r="CB221" i="2" s="1"/>
  <c r="CQ221" i="2" s="1"/>
  <c r="BP221" i="2"/>
  <c r="CC221" i="2" s="1"/>
  <c r="CR221" i="2" s="1"/>
  <c r="BQ221" i="2"/>
  <c r="CD221" i="2" s="1"/>
  <c r="CS221" i="2" s="1"/>
  <c r="BR221" i="2"/>
  <c r="CE221" i="2" s="1"/>
  <c r="CT221" i="2" s="1"/>
  <c r="BS221" i="2"/>
  <c r="CF221" i="2" s="1"/>
  <c r="CU221" i="2" s="1"/>
  <c r="BH222" i="2"/>
  <c r="BU222" i="2" s="1"/>
  <c r="CJ222" i="2" s="1"/>
  <c r="BI222" i="2"/>
  <c r="BV222" i="2" s="1"/>
  <c r="CK222" i="2" s="1"/>
  <c r="BJ222" i="2"/>
  <c r="BW222" i="2" s="1"/>
  <c r="CL222" i="2" s="1"/>
  <c r="BK222" i="2"/>
  <c r="BX222" i="2" s="1"/>
  <c r="CM222" i="2" s="1"/>
  <c r="BL222" i="2"/>
  <c r="BY222" i="2" s="1"/>
  <c r="CN222" i="2" s="1"/>
  <c r="BM222" i="2"/>
  <c r="BZ222" i="2" s="1"/>
  <c r="CO222" i="2" s="1"/>
  <c r="BN222" i="2"/>
  <c r="CA222" i="2" s="1"/>
  <c r="CP222" i="2" s="1"/>
  <c r="BO222" i="2"/>
  <c r="CB222" i="2" s="1"/>
  <c r="CQ222" i="2" s="1"/>
  <c r="BP222" i="2"/>
  <c r="CC222" i="2" s="1"/>
  <c r="CR222" i="2" s="1"/>
  <c r="BQ222" i="2"/>
  <c r="CD222" i="2" s="1"/>
  <c r="CS222" i="2" s="1"/>
  <c r="BR222" i="2"/>
  <c r="CE222" i="2" s="1"/>
  <c r="CT222" i="2" s="1"/>
  <c r="BS222" i="2"/>
  <c r="CF222" i="2" s="1"/>
  <c r="CU222" i="2" s="1"/>
  <c r="BH223" i="2"/>
  <c r="BU223" i="2" s="1"/>
  <c r="CJ223" i="2" s="1"/>
  <c r="BI223" i="2"/>
  <c r="BV223" i="2" s="1"/>
  <c r="CK223" i="2" s="1"/>
  <c r="BJ223" i="2"/>
  <c r="BW223" i="2" s="1"/>
  <c r="CL223" i="2" s="1"/>
  <c r="BK223" i="2"/>
  <c r="BX223" i="2" s="1"/>
  <c r="CM223" i="2" s="1"/>
  <c r="BL223" i="2"/>
  <c r="BY223" i="2" s="1"/>
  <c r="CN223" i="2" s="1"/>
  <c r="BM223" i="2"/>
  <c r="BZ223" i="2" s="1"/>
  <c r="CO223" i="2" s="1"/>
  <c r="BN223" i="2"/>
  <c r="CA223" i="2" s="1"/>
  <c r="CP223" i="2" s="1"/>
  <c r="BO223" i="2"/>
  <c r="CB223" i="2" s="1"/>
  <c r="CQ223" i="2" s="1"/>
  <c r="BP223" i="2"/>
  <c r="CC223" i="2" s="1"/>
  <c r="CR223" i="2" s="1"/>
  <c r="BQ223" i="2"/>
  <c r="CD223" i="2" s="1"/>
  <c r="CS223" i="2" s="1"/>
  <c r="BR223" i="2"/>
  <c r="CE223" i="2" s="1"/>
  <c r="CT223" i="2" s="1"/>
  <c r="BS223" i="2"/>
  <c r="CF223" i="2" s="1"/>
  <c r="CU223" i="2" s="1"/>
  <c r="BH224" i="2"/>
  <c r="BU224" i="2" s="1"/>
  <c r="CJ224" i="2" s="1"/>
  <c r="BI224" i="2"/>
  <c r="BV224" i="2" s="1"/>
  <c r="CK224" i="2" s="1"/>
  <c r="BJ224" i="2"/>
  <c r="BW224" i="2" s="1"/>
  <c r="CL224" i="2" s="1"/>
  <c r="BK224" i="2"/>
  <c r="BX224" i="2" s="1"/>
  <c r="CM224" i="2" s="1"/>
  <c r="BL224" i="2"/>
  <c r="BY224" i="2" s="1"/>
  <c r="CN224" i="2" s="1"/>
  <c r="BM224" i="2"/>
  <c r="BZ224" i="2" s="1"/>
  <c r="CO224" i="2" s="1"/>
  <c r="BN224" i="2"/>
  <c r="CA224" i="2" s="1"/>
  <c r="CP224" i="2" s="1"/>
  <c r="BO224" i="2"/>
  <c r="CB224" i="2" s="1"/>
  <c r="CQ224" i="2" s="1"/>
  <c r="BP224" i="2"/>
  <c r="CC224" i="2" s="1"/>
  <c r="CR224" i="2" s="1"/>
  <c r="BQ224" i="2"/>
  <c r="CD224" i="2" s="1"/>
  <c r="CS224" i="2" s="1"/>
  <c r="BR224" i="2"/>
  <c r="CE224" i="2" s="1"/>
  <c r="CT224" i="2" s="1"/>
  <c r="BS224" i="2"/>
  <c r="CF224" i="2" s="1"/>
  <c r="CU224" i="2" s="1"/>
  <c r="BH225" i="2"/>
  <c r="BU225" i="2" s="1"/>
  <c r="CJ225" i="2" s="1"/>
  <c r="BI225" i="2"/>
  <c r="BV225" i="2" s="1"/>
  <c r="CK225" i="2" s="1"/>
  <c r="BJ225" i="2"/>
  <c r="BW225" i="2" s="1"/>
  <c r="CL225" i="2" s="1"/>
  <c r="BK225" i="2"/>
  <c r="BX225" i="2" s="1"/>
  <c r="CM225" i="2" s="1"/>
  <c r="BL225" i="2"/>
  <c r="BY225" i="2" s="1"/>
  <c r="CN225" i="2" s="1"/>
  <c r="BM225" i="2"/>
  <c r="BZ225" i="2" s="1"/>
  <c r="CO225" i="2" s="1"/>
  <c r="BN225" i="2"/>
  <c r="CA225" i="2" s="1"/>
  <c r="CP225" i="2" s="1"/>
  <c r="BO225" i="2"/>
  <c r="CB225" i="2" s="1"/>
  <c r="CQ225" i="2" s="1"/>
  <c r="BP225" i="2"/>
  <c r="CC225" i="2" s="1"/>
  <c r="CR225" i="2" s="1"/>
  <c r="BQ225" i="2"/>
  <c r="CD225" i="2" s="1"/>
  <c r="CS225" i="2" s="1"/>
  <c r="BR225" i="2"/>
  <c r="CE225" i="2" s="1"/>
  <c r="CT225" i="2" s="1"/>
  <c r="BS225" i="2"/>
  <c r="CF225" i="2" s="1"/>
  <c r="CU225" i="2" s="1"/>
  <c r="BH226" i="2"/>
  <c r="BU226" i="2" s="1"/>
  <c r="CJ226" i="2" s="1"/>
  <c r="BI226" i="2"/>
  <c r="BV226" i="2" s="1"/>
  <c r="CK226" i="2" s="1"/>
  <c r="BJ226" i="2"/>
  <c r="BW226" i="2" s="1"/>
  <c r="CL226" i="2" s="1"/>
  <c r="BK226" i="2"/>
  <c r="BX226" i="2" s="1"/>
  <c r="CM226" i="2" s="1"/>
  <c r="BL226" i="2"/>
  <c r="BY226" i="2" s="1"/>
  <c r="CN226" i="2" s="1"/>
  <c r="BM226" i="2"/>
  <c r="BZ226" i="2" s="1"/>
  <c r="CO226" i="2" s="1"/>
  <c r="BN226" i="2"/>
  <c r="CA226" i="2" s="1"/>
  <c r="CP226" i="2" s="1"/>
  <c r="BO226" i="2"/>
  <c r="CB226" i="2" s="1"/>
  <c r="CQ226" i="2" s="1"/>
  <c r="BP226" i="2"/>
  <c r="CC226" i="2" s="1"/>
  <c r="CR226" i="2" s="1"/>
  <c r="BQ226" i="2"/>
  <c r="CD226" i="2" s="1"/>
  <c r="CS226" i="2" s="1"/>
  <c r="BR226" i="2"/>
  <c r="CE226" i="2" s="1"/>
  <c r="CT226" i="2" s="1"/>
  <c r="BS226" i="2"/>
  <c r="CF226" i="2" s="1"/>
  <c r="CU226" i="2" s="1"/>
  <c r="BH227" i="2"/>
  <c r="BU227" i="2" s="1"/>
  <c r="CJ227" i="2" s="1"/>
  <c r="BI227" i="2"/>
  <c r="BV227" i="2" s="1"/>
  <c r="CK227" i="2" s="1"/>
  <c r="BJ227" i="2"/>
  <c r="BW227" i="2" s="1"/>
  <c r="CL227" i="2" s="1"/>
  <c r="BK227" i="2"/>
  <c r="BX227" i="2" s="1"/>
  <c r="CM227" i="2" s="1"/>
  <c r="BL227" i="2"/>
  <c r="BY227" i="2" s="1"/>
  <c r="CN227" i="2" s="1"/>
  <c r="BM227" i="2"/>
  <c r="BZ227" i="2" s="1"/>
  <c r="CO227" i="2" s="1"/>
  <c r="BN227" i="2"/>
  <c r="CA227" i="2" s="1"/>
  <c r="CP227" i="2" s="1"/>
  <c r="BO227" i="2"/>
  <c r="CB227" i="2" s="1"/>
  <c r="CQ227" i="2" s="1"/>
  <c r="BP227" i="2"/>
  <c r="CC227" i="2" s="1"/>
  <c r="CR227" i="2" s="1"/>
  <c r="BQ227" i="2"/>
  <c r="CD227" i="2" s="1"/>
  <c r="CS227" i="2" s="1"/>
  <c r="BR227" i="2"/>
  <c r="CE227" i="2" s="1"/>
  <c r="CT227" i="2" s="1"/>
  <c r="BS227" i="2"/>
  <c r="CF227" i="2" s="1"/>
  <c r="CU227" i="2" s="1"/>
  <c r="BH228" i="2"/>
  <c r="BU228" i="2" s="1"/>
  <c r="CJ228" i="2" s="1"/>
  <c r="BI228" i="2"/>
  <c r="BV228" i="2" s="1"/>
  <c r="CK228" i="2" s="1"/>
  <c r="BJ228" i="2"/>
  <c r="BW228" i="2" s="1"/>
  <c r="CL228" i="2" s="1"/>
  <c r="BK228" i="2"/>
  <c r="BX228" i="2" s="1"/>
  <c r="CM228" i="2" s="1"/>
  <c r="BL228" i="2"/>
  <c r="BY228" i="2" s="1"/>
  <c r="CN228" i="2" s="1"/>
  <c r="BM228" i="2"/>
  <c r="BZ228" i="2" s="1"/>
  <c r="CO228" i="2" s="1"/>
  <c r="BN228" i="2"/>
  <c r="CA228" i="2" s="1"/>
  <c r="CP228" i="2" s="1"/>
  <c r="BO228" i="2"/>
  <c r="CB228" i="2" s="1"/>
  <c r="CQ228" i="2" s="1"/>
  <c r="BP228" i="2"/>
  <c r="CC228" i="2" s="1"/>
  <c r="CR228" i="2" s="1"/>
  <c r="BQ228" i="2"/>
  <c r="CD228" i="2" s="1"/>
  <c r="CS228" i="2" s="1"/>
  <c r="BR228" i="2"/>
  <c r="CE228" i="2" s="1"/>
  <c r="CT228" i="2" s="1"/>
  <c r="BS228" i="2"/>
  <c r="CF228" i="2" s="1"/>
  <c r="CU228" i="2" s="1"/>
  <c r="BH229" i="2"/>
  <c r="BU229" i="2" s="1"/>
  <c r="CJ229" i="2" s="1"/>
  <c r="BI229" i="2"/>
  <c r="BV229" i="2" s="1"/>
  <c r="CK229" i="2" s="1"/>
  <c r="BJ229" i="2"/>
  <c r="BW229" i="2" s="1"/>
  <c r="CL229" i="2" s="1"/>
  <c r="BK229" i="2"/>
  <c r="BX229" i="2" s="1"/>
  <c r="CM229" i="2" s="1"/>
  <c r="BL229" i="2"/>
  <c r="BY229" i="2" s="1"/>
  <c r="CN229" i="2" s="1"/>
  <c r="BM229" i="2"/>
  <c r="BZ229" i="2" s="1"/>
  <c r="CO229" i="2" s="1"/>
  <c r="BN229" i="2"/>
  <c r="CA229" i="2" s="1"/>
  <c r="CP229" i="2" s="1"/>
  <c r="BO229" i="2"/>
  <c r="CB229" i="2" s="1"/>
  <c r="CQ229" i="2" s="1"/>
  <c r="BP229" i="2"/>
  <c r="CC229" i="2" s="1"/>
  <c r="CR229" i="2" s="1"/>
  <c r="BQ229" i="2"/>
  <c r="CD229" i="2" s="1"/>
  <c r="CS229" i="2" s="1"/>
  <c r="BR229" i="2"/>
  <c r="CE229" i="2" s="1"/>
  <c r="CT229" i="2" s="1"/>
  <c r="BS229" i="2"/>
  <c r="CF229" i="2" s="1"/>
  <c r="CU229" i="2" s="1"/>
  <c r="BH230" i="2"/>
  <c r="BU230" i="2" s="1"/>
  <c r="CJ230" i="2" s="1"/>
  <c r="BI230" i="2"/>
  <c r="BV230" i="2" s="1"/>
  <c r="CK230" i="2" s="1"/>
  <c r="BJ230" i="2"/>
  <c r="BW230" i="2" s="1"/>
  <c r="CL230" i="2" s="1"/>
  <c r="BK230" i="2"/>
  <c r="BX230" i="2" s="1"/>
  <c r="CM230" i="2" s="1"/>
  <c r="BL230" i="2"/>
  <c r="BY230" i="2" s="1"/>
  <c r="CN230" i="2" s="1"/>
  <c r="BM230" i="2"/>
  <c r="BZ230" i="2" s="1"/>
  <c r="CO230" i="2" s="1"/>
  <c r="BN230" i="2"/>
  <c r="CA230" i="2" s="1"/>
  <c r="CP230" i="2" s="1"/>
  <c r="BO230" i="2"/>
  <c r="CB230" i="2" s="1"/>
  <c r="CQ230" i="2" s="1"/>
  <c r="BP230" i="2"/>
  <c r="CC230" i="2" s="1"/>
  <c r="CR230" i="2" s="1"/>
  <c r="BQ230" i="2"/>
  <c r="CD230" i="2" s="1"/>
  <c r="CS230" i="2" s="1"/>
  <c r="BR230" i="2"/>
  <c r="CE230" i="2" s="1"/>
  <c r="CT230" i="2" s="1"/>
  <c r="BS230" i="2"/>
  <c r="CF230" i="2" s="1"/>
  <c r="CU230" i="2" s="1"/>
  <c r="BH231" i="2"/>
  <c r="BU231" i="2" s="1"/>
  <c r="CJ231" i="2" s="1"/>
  <c r="BI231" i="2"/>
  <c r="BV231" i="2" s="1"/>
  <c r="CK231" i="2" s="1"/>
  <c r="BJ231" i="2"/>
  <c r="BW231" i="2" s="1"/>
  <c r="CL231" i="2" s="1"/>
  <c r="BK231" i="2"/>
  <c r="BX231" i="2" s="1"/>
  <c r="CM231" i="2" s="1"/>
  <c r="BL231" i="2"/>
  <c r="BY231" i="2" s="1"/>
  <c r="CN231" i="2" s="1"/>
  <c r="BM231" i="2"/>
  <c r="BZ231" i="2" s="1"/>
  <c r="CO231" i="2" s="1"/>
  <c r="BN231" i="2"/>
  <c r="CA231" i="2" s="1"/>
  <c r="CP231" i="2" s="1"/>
  <c r="BO231" i="2"/>
  <c r="CB231" i="2" s="1"/>
  <c r="CQ231" i="2" s="1"/>
  <c r="BP231" i="2"/>
  <c r="CC231" i="2" s="1"/>
  <c r="CR231" i="2" s="1"/>
  <c r="BQ231" i="2"/>
  <c r="CD231" i="2" s="1"/>
  <c r="CS231" i="2" s="1"/>
  <c r="BR231" i="2"/>
  <c r="CE231" i="2" s="1"/>
  <c r="CT231" i="2" s="1"/>
  <c r="BS231" i="2"/>
  <c r="CF231" i="2" s="1"/>
  <c r="CU231" i="2" s="1"/>
  <c r="BH232" i="2"/>
  <c r="BU232" i="2" s="1"/>
  <c r="CJ232" i="2" s="1"/>
  <c r="BI232" i="2"/>
  <c r="BV232" i="2" s="1"/>
  <c r="CK232" i="2" s="1"/>
  <c r="BJ232" i="2"/>
  <c r="BW232" i="2" s="1"/>
  <c r="CL232" i="2" s="1"/>
  <c r="BK232" i="2"/>
  <c r="BX232" i="2" s="1"/>
  <c r="CM232" i="2" s="1"/>
  <c r="BL232" i="2"/>
  <c r="BY232" i="2" s="1"/>
  <c r="CN232" i="2" s="1"/>
  <c r="BM232" i="2"/>
  <c r="BZ232" i="2" s="1"/>
  <c r="CO232" i="2" s="1"/>
  <c r="BN232" i="2"/>
  <c r="CA232" i="2" s="1"/>
  <c r="CP232" i="2" s="1"/>
  <c r="BO232" i="2"/>
  <c r="CB232" i="2" s="1"/>
  <c r="CQ232" i="2" s="1"/>
  <c r="BP232" i="2"/>
  <c r="CC232" i="2" s="1"/>
  <c r="CR232" i="2" s="1"/>
  <c r="BQ232" i="2"/>
  <c r="CD232" i="2" s="1"/>
  <c r="CS232" i="2" s="1"/>
  <c r="BR232" i="2"/>
  <c r="CE232" i="2" s="1"/>
  <c r="CT232" i="2" s="1"/>
  <c r="BS232" i="2"/>
  <c r="CF232" i="2" s="1"/>
  <c r="CU232" i="2" s="1"/>
  <c r="BH233" i="2"/>
  <c r="BU233" i="2" s="1"/>
  <c r="CJ233" i="2" s="1"/>
  <c r="BI233" i="2"/>
  <c r="BV233" i="2" s="1"/>
  <c r="CK233" i="2" s="1"/>
  <c r="BJ233" i="2"/>
  <c r="BW233" i="2" s="1"/>
  <c r="CL233" i="2" s="1"/>
  <c r="BK233" i="2"/>
  <c r="BX233" i="2" s="1"/>
  <c r="CM233" i="2" s="1"/>
  <c r="BL233" i="2"/>
  <c r="BY233" i="2" s="1"/>
  <c r="CN233" i="2" s="1"/>
  <c r="BM233" i="2"/>
  <c r="BZ233" i="2" s="1"/>
  <c r="CO233" i="2" s="1"/>
  <c r="BN233" i="2"/>
  <c r="CA233" i="2" s="1"/>
  <c r="CP233" i="2" s="1"/>
  <c r="BO233" i="2"/>
  <c r="CB233" i="2" s="1"/>
  <c r="CQ233" i="2" s="1"/>
  <c r="BP233" i="2"/>
  <c r="CC233" i="2" s="1"/>
  <c r="CR233" i="2" s="1"/>
  <c r="BQ233" i="2"/>
  <c r="CD233" i="2" s="1"/>
  <c r="CS233" i="2" s="1"/>
  <c r="BR233" i="2"/>
  <c r="CE233" i="2" s="1"/>
  <c r="CT233" i="2" s="1"/>
  <c r="BS233" i="2"/>
  <c r="CF233" i="2" s="1"/>
  <c r="CU233" i="2" s="1"/>
  <c r="BH234" i="2"/>
  <c r="BU234" i="2" s="1"/>
  <c r="CJ234" i="2" s="1"/>
  <c r="BI234" i="2"/>
  <c r="BV234" i="2" s="1"/>
  <c r="CK234" i="2" s="1"/>
  <c r="BJ234" i="2"/>
  <c r="BW234" i="2" s="1"/>
  <c r="CL234" i="2" s="1"/>
  <c r="BK234" i="2"/>
  <c r="BX234" i="2" s="1"/>
  <c r="CM234" i="2" s="1"/>
  <c r="BL234" i="2"/>
  <c r="BY234" i="2" s="1"/>
  <c r="CN234" i="2" s="1"/>
  <c r="BM234" i="2"/>
  <c r="BZ234" i="2" s="1"/>
  <c r="CO234" i="2" s="1"/>
  <c r="BN234" i="2"/>
  <c r="CA234" i="2" s="1"/>
  <c r="CP234" i="2" s="1"/>
  <c r="BO234" i="2"/>
  <c r="CB234" i="2" s="1"/>
  <c r="CQ234" i="2" s="1"/>
  <c r="BP234" i="2"/>
  <c r="CC234" i="2" s="1"/>
  <c r="CR234" i="2" s="1"/>
  <c r="BQ234" i="2"/>
  <c r="CD234" i="2" s="1"/>
  <c r="CS234" i="2" s="1"/>
  <c r="BR234" i="2"/>
  <c r="CE234" i="2" s="1"/>
  <c r="CT234" i="2" s="1"/>
  <c r="BS234" i="2"/>
  <c r="CF234" i="2" s="1"/>
  <c r="CU234" i="2" s="1"/>
  <c r="BH235" i="2"/>
  <c r="BU235" i="2" s="1"/>
  <c r="CJ235" i="2" s="1"/>
  <c r="BI235" i="2"/>
  <c r="BV235" i="2" s="1"/>
  <c r="CK235" i="2" s="1"/>
  <c r="BJ235" i="2"/>
  <c r="BW235" i="2" s="1"/>
  <c r="CL235" i="2" s="1"/>
  <c r="BK235" i="2"/>
  <c r="BX235" i="2" s="1"/>
  <c r="CM235" i="2" s="1"/>
  <c r="BL235" i="2"/>
  <c r="BY235" i="2" s="1"/>
  <c r="CN235" i="2" s="1"/>
  <c r="BM235" i="2"/>
  <c r="BZ235" i="2" s="1"/>
  <c r="CO235" i="2" s="1"/>
  <c r="BN235" i="2"/>
  <c r="CA235" i="2" s="1"/>
  <c r="CP235" i="2" s="1"/>
  <c r="BO235" i="2"/>
  <c r="CB235" i="2" s="1"/>
  <c r="CQ235" i="2" s="1"/>
  <c r="BP235" i="2"/>
  <c r="CC235" i="2" s="1"/>
  <c r="CR235" i="2" s="1"/>
  <c r="BQ235" i="2"/>
  <c r="CD235" i="2" s="1"/>
  <c r="CS235" i="2" s="1"/>
  <c r="BR235" i="2"/>
  <c r="CE235" i="2" s="1"/>
  <c r="CT235" i="2" s="1"/>
  <c r="BS235" i="2"/>
  <c r="CF235" i="2" s="1"/>
  <c r="CU235" i="2" s="1"/>
  <c r="BH236" i="2"/>
  <c r="BU236" i="2" s="1"/>
  <c r="CJ236" i="2" s="1"/>
  <c r="BI236" i="2"/>
  <c r="BV236" i="2" s="1"/>
  <c r="CK236" i="2" s="1"/>
  <c r="BJ236" i="2"/>
  <c r="BW236" i="2" s="1"/>
  <c r="CL236" i="2" s="1"/>
  <c r="BK236" i="2"/>
  <c r="BX236" i="2" s="1"/>
  <c r="CM236" i="2" s="1"/>
  <c r="BL236" i="2"/>
  <c r="BY236" i="2" s="1"/>
  <c r="CN236" i="2" s="1"/>
  <c r="BM236" i="2"/>
  <c r="BZ236" i="2" s="1"/>
  <c r="CO236" i="2" s="1"/>
  <c r="BN236" i="2"/>
  <c r="CA236" i="2" s="1"/>
  <c r="CP236" i="2" s="1"/>
  <c r="BO236" i="2"/>
  <c r="CB236" i="2" s="1"/>
  <c r="CQ236" i="2" s="1"/>
  <c r="BP236" i="2"/>
  <c r="CC236" i="2" s="1"/>
  <c r="CR236" i="2" s="1"/>
  <c r="BQ236" i="2"/>
  <c r="CD236" i="2" s="1"/>
  <c r="CS236" i="2" s="1"/>
  <c r="BR236" i="2"/>
  <c r="CE236" i="2" s="1"/>
  <c r="CT236" i="2" s="1"/>
  <c r="BS236" i="2"/>
  <c r="CF236" i="2" s="1"/>
  <c r="CU236" i="2" s="1"/>
  <c r="BH237" i="2"/>
  <c r="BU237" i="2" s="1"/>
  <c r="CJ237" i="2" s="1"/>
  <c r="BI237" i="2"/>
  <c r="BV237" i="2" s="1"/>
  <c r="CK237" i="2" s="1"/>
  <c r="BJ237" i="2"/>
  <c r="BW237" i="2" s="1"/>
  <c r="CL237" i="2" s="1"/>
  <c r="BK237" i="2"/>
  <c r="BX237" i="2" s="1"/>
  <c r="CM237" i="2" s="1"/>
  <c r="BL237" i="2"/>
  <c r="BY237" i="2" s="1"/>
  <c r="CN237" i="2" s="1"/>
  <c r="BM237" i="2"/>
  <c r="BZ237" i="2" s="1"/>
  <c r="CO237" i="2" s="1"/>
  <c r="BN237" i="2"/>
  <c r="CA237" i="2" s="1"/>
  <c r="CP237" i="2" s="1"/>
  <c r="BO237" i="2"/>
  <c r="CB237" i="2" s="1"/>
  <c r="CQ237" i="2" s="1"/>
  <c r="BP237" i="2"/>
  <c r="CC237" i="2" s="1"/>
  <c r="CR237" i="2" s="1"/>
  <c r="BQ237" i="2"/>
  <c r="CD237" i="2" s="1"/>
  <c r="CS237" i="2" s="1"/>
  <c r="BR237" i="2"/>
  <c r="CE237" i="2" s="1"/>
  <c r="CT237" i="2" s="1"/>
  <c r="BS237" i="2"/>
  <c r="CF237" i="2" s="1"/>
  <c r="CU237" i="2" s="1"/>
  <c r="BH238" i="2"/>
  <c r="BU238" i="2" s="1"/>
  <c r="CJ238" i="2" s="1"/>
  <c r="BI238" i="2"/>
  <c r="BV238" i="2" s="1"/>
  <c r="CK238" i="2" s="1"/>
  <c r="BJ238" i="2"/>
  <c r="BW238" i="2" s="1"/>
  <c r="CL238" i="2" s="1"/>
  <c r="BK238" i="2"/>
  <c r="BX238" i="2" s="1"/>
  <c r="CM238" i="2" s="1"/>
  <c r="BL238" i="2"/>
  <c r="BY238" i="2" s="1"/>
  <c r="CN238" i="2" s="1"/>
  <c r="BM238" i="2"/>
  <c r="BZ238" i="2" s="1"/>
  <c r="CO238" i="2" s="1"/>
  <c r="BN238" i="2"/>
  <c r="CA238" i="2" s="1"/>
  <c r="CP238" i="2" s="1"/>
  <c r="BO238" i="2"/>
  <c r="CB238" i="2" s="1"/>
  <c r="CQ238" i="2" s="1"/>
  <c r="BP238" i="2"/>
  <c r="CC238" i="2" s="1"/>
  <c r="CR238" i="2" s="1"/>
  <c r="BQ238" i="2"/>
  <c r="CD238" i="2" s="1"/>
  <c r="CS238" i="2" s="1"/>
  <c r="BR238" i="2"/>
  <c r="CE238" i="2" s="1"/>
  <c r="CT238" i="2" s="1"/>
  <c r="BS238" i="2"/>
  <c r="CF238" i="2" s="1"/>
  <c r="CU238" i="2" s="1"/>
  <c r="BH239" i="2"/>
  <c r="BU239" i="2" s="1"/>
  <c r="CJ239" i="2" s="1"/>
  <c r="BI239" i="2"/>
  <c r="BV239" i="2" s="1"/>
  <c r="CK239" i="2" s="1"/>
  <c r="BJ239" i="2"/>
  <c r="BW239" i="2" s="1"/>
  <c r="CL239" i="2" s="1"/>
  <c r="BK239" i="2"/>
  <c r="BX239" i="2" s="1"/>
  <c r="CM239" i="2" s="1"/>
  <c r="BL239" i="2"/>
  <c r="BY239" i="2" s="1"/>
  <c r="CN239" i="2" s="1"/>
  <c r="BM239" i="2"/>
  <c r="BZ239" i="2" s="1"/>
  <c r="CO239" i="2" s="1"/>
  <c r="BN239" i="2"/>
  <c r="CA239" i="2" s="1"/>
  <c r="CP239" i="2" s="1"/>
  <c r="BO239" i="2"/>
  <c r="CB239" i="2" s="1"/>
  <c r="CQ239" i="2" s="1"/>
  <c r="BP239" i="2"/>
  <c r="CC239" i="2" s="1"/>
  <c r="CR239" i="2" s="1"/>
  <c r="BQ239" i="2"/>
  <c r="CD239" i="2" s="1"/>
  <c r="CS239" i="2" s="1"/>
  <c r="BR239" i="2"/>
  <c r="CE239" i="2" s="1"/>
  <c r="CT239" i="2" s="1"/>
  <c r="BS239" i="2"/>
  <c r="CF239" i="2" s="1"/>
  <c r="CU239" i="2" s="1"/>
  <c r="BH240" i="2"/>
  <c r="BU240" i="2" s="1"/>
  <c r="CJ240" i="2" s="1"/>
  <c r="BI240" i="2"/>
  <c r="BV240" i="2" s="1"/>
  <c r="CK240" i="2" s="1"/>
  <c r="BJ240" i="2"/>
  <c r="BW240" i="2" s="1"/>
  <c r="CL240" i="2" s="1"/>
  <c r="BK240" i="2"/>
  <c r="BX240" i="2" s="1"/>
  <c r="CM240" i="2" s="1"/>
  <c r="BL240" i="2"/>
  <c r="BY240" i="2" s="1"/>
  <c r="CN240" i="2" s="1"/>
  <c r="BM240" i="2"/>
  <c r="BZ240" i="2" s="1"/>
  <c r="CO240" i="2" s="1"/>
  <c r="BN240" i="2"/>
  <c r="CA240" i="2" s="1"/>
  <c r="CP240" i="2" s="1"/>
  <c r="BO240" i="2"/>
  <c r="CB240" i="2" s="1"/>
  <c r="CQ240" i="2" s="1"/>
  <c r="BP240" i="2"/>
  <c r="CC240" i="2" s="1"/>
  <c r="CR240" i="2" s="1"/>
  <c r="BQ240" i="2"/>
  <c r="CD240" i="2" s="1"/>
  <c r="CS240" i="2" s="1"/>
  <c r="BR240" i="2"/>
  <c r="CE240" i="2" s="1"/>
  <c r="CT240" i="2" s="1"/>
  <c r="BS240" i="2"/>
  <c r="CF240" i="2" s="1"/>
  <c r="CU240" i="2" s="1"/>
  <c r="BH241" i="2"/>
  <c r="BU241" i="2" s="1"/>
  <c r="CJ241" i="2" s="1"/>
  <c r="BI241" i="2"/>
  <c r="BV241" i="2" s="1"/>
  <c r="CK241" i="2" s="1"/>
  <c r="BJ241" i="2"/>
  <c r="BW241" i="2" s="1"/>
  <c r="CL241" i="2" s="1"/>
  <c r="BK241" i="2"/>
  <c r="BX241" i="2" s="1"/>
  <c r="CM241" i="2" s="1"/>
  <c r="BL241" i="2"/>
  <c r="BY241" i="2" s="1"/>
  <c r="CN241" i="2" s="1"/>
  <c r="BM241" i="2"/>
  <c r="BZ241" i="2" s="1"/>
  <c r="CO241" i="2" s="1"/>
  <c r="BN241" i="2"/>
  <c r="CA241" i="2" s="1"/>
  <c r="CP241" i="2" s="1"/>
  <c r="BO241" i="2"/>
  <c r="CB241" i="2" s="1"/>
  <c r="CQ241" i="2" s="1"/>
  <c r="BP241" i="2"/>
  <c r="CC241" i="2" s="1"/>
  <c r="CR241" i="2" s="1"/>
  <c r="BQ241" i="2"/>
  <c r="CD241" i="2" s="1"/>
  <c r="CS241" i="2" s="1"/>
  <c r="BR241" i="2"/>
  <c r="CE241" i="2" s="1"/>
  <c r="CT241" i="2" s="1"/>
  <c r="BS241" i="2"/>
  <c r="CF241" i="2" s="1"/>
  <c r="CU241" i="2" s="1"/>
  <c r="BH242" i="2"/>
  <c r="BU242" i="2" s="1"/>
  <c r="CJ242" i="2" s="1"/>
  <c r="BI242" i="2"/>
  <c r="BV242" i="2" s="1"/>
  <c r="CK242" i="2" s="1"/>
  <c r="BJ242" i="2"/>
  <c r="BW242" i="2" s="1"/>
  <c r="CL242" i="2" s="1"/>
  <c r="BK242" i="2"/>
  <c r="BX242" i="2" s="1"/>
  <c r="CM242" i="2" s="1"/>
  <c r="BL242" i="2"/>
  <c r="BY242" i="2" s="1"/>
  <c r="CN242" i="2" s="1"/>
  <c r="BM242" i="2"/>
  <c r="BZ242" i="2" s="1"/>
  <c r="CO242" i="2" s="1"/>
  <c r="BN242" i="2"/>
  <c r="CA242" i="2" s="1"/>
  <c r="CP242" i="2" s="1"/>
  <c r="BO242" i="2"/>
  <c r="CB242" i="2" s="1"/>
  <c r="CQ242" i="2" s="1"/>
  <c r="BP242" i="2"/>
  <c r="CC242" i="2" s="1"/>
  <c r="CR242" i="2" s="1"/>
  <c r="BQ242" i="2"/>
  <c r="CD242" i="2" s="1"/>
  <c r="CS242" i="2" s="1"/>
  <c r="BR242" i="2"/>
  <c r="CE242" i="2" s="1"/>
  <c r="CT242" i="2" s="1"/>
  <c r="BS242" i="2"/>
  <c r="CF242" i="2" s="1"/>
  <c r="CU242" i="2" s="1"/>
  <c r="BH243" i="2"/>
  <c r="BU243" i="2" s="1"/>
  <c r="CJ243" i="2" s="1"/>
  <c r="BI243" i="2"/>
  <c r="BV243" i="2" s="1"/>
  <c r="CK243" i="2" s="1"/>
  <c r="BJ243" i="2"/>
  <c r="BW243" i="2" s="1"/>
  <c r="CL243" i="2" s="1"/>
  <c r="BK243" i="2"/>
  <c r="BX243" i="2" s="1"/>
  <c r="CM243" i="2" s="1"/>
  <c r="BL243" i="2"/>
  <c r="BY243" i="2" s="1"/>
  <c r="CN243" i="2" s="1"/>
  <c r="BM243" i="2"/>
  <c r="BZ243" i="2" s="1"/>
  <c r="CO243" i="2" s="1"/>
  <c r="BN243" i="2"/>
  <c r="CA243" i="2" s="1"/>
  <c r="CP243" i="2" s="1"/>
  <c r="BO243" i="2"/>
  <c r="CB243" i="2" s="1"/>
  <c r="CQ243" i="2" s="1"/>
  <c r="BP243" i="2"/>
  <c r="CC243" i="2" s="1"/>
  <c r="CR243" i="2" s="1"/>
  <c r="BQ243" i="2"/>
  <c r="CD243" i="2" s="1"/>
  <c r="CS243" i="2" s="1"/>
  <c r="BR243" i="2"/>
  <c r="CE243" i="2" s="1"/>
  <c r="CT243" i="2" s="1"/>
  <c r="BS243" i="2"/>
  <c r="CF243" i="2" s="1"/>
  <c r="CU243" i="2" s="1"/>
  <c r="BH244" i="2"/>
  <c r="BU244" i="2" s="1"/>
  <c r="CJ244" i="2" s="1"/>
  <c r="BI244" i="2"/>
  <c r="BV244" i="2" s="1"/>
  <c r="CK244" i="2" s="1"/>
  <c r="BJ244" i="2"/>
  <c r="BW244" i="2" s="1"/>
  <c r="CL244" i="2" s="1"/>
  <c r="BK244" i="2"/>
  <c r="BX244" i="2" s="1"/>
  <c r="CM244" i="2" s="1"/>
  <c r="BL244" i="2"/>
  <c r="BY244" i="2" s="1"/>
  <c r="CN244" i="2" s="1"/>
  <c r="BM244" i="2"/>
  <c r="BZ244" i="2" s="1"/>
  <c r="CO244" i="2" s="1"/>
  <c r="BN244" i="2"/>
  <c r="CA244" i="2" s="1"/>
  <c r="CP244" i="2" s="1"/>
  <c r="BO244" i="2"/>
  <c r="CB244" i="2" s="1"/>
  <c r="CQ244" i="2" s="1"/>
  <c r="BP244" i="2"/>
  <c r="CC244" i="2" s="1"/>
  <c r="CR244" i="2" s="1"/>
  <c r="BQ244" i="2"/>
  <c r="CD244" i="2" s="1"/>
  <c r="CS244" i="2" s="1"/>
  <c r="BR244" i="2"/>
  <c r="CE244" i="2" s="1"/>
  <c r="CT244" i="2" s="1"/>
  <c r="BS244" i="2"/>
  <c r="CF244" i="2" s="1"/>
  <c r="CU244" i="2" s="1"/>
  <c r="BH245" i="2"/>
  <c r="BU245" i="2" s="1"/>
  <c r="CJ245" i="2" s="1"/>
  <c r="BI245" i="2"/>
  <c r="BV245" i="2" s="1"/>
  <c r="CK245" i="2" s="1"/>
  <c r="BJ245" i="2"/>
  <c r="BW245" i="2" s="1"/>
  <c r="CL245" i="2" s="1"/>
  <c r="BK245" i="2"/>
  <c r="BX245" i="2" s="1"/>
  <c r="CM245" i="2" s="1"/>
  <c r="BL245" i="2"/>
  <c r="BY245" i="2" s="1"/>
  <c r="CN245" i="2" s="1"/>
  <c r="BM245" i="2"/>
  <c r="BZ245" i="2" s="1"/>
  <c r="CO245" i="2" s="1"/>
  <c r="BN245" i="2"/>
  <c r="CA245" i="2" s="1"/>
  <c r="CP245" i="2" s="1"/>
  <c r="BO245" i="2"/>
  <c r="CB245" i="2" s="1"/>
  <c r="CQ245" i="2" s="1"/>
  <c r="BP245" i="2"/>
  <c r="CC245" i="2" s="1"/>
  <c r="CR245" i="2" s="1"/>
  <c r="BQ245" i="2"/>
  <c r="CD245" i="2" s="1"/>
  <c r="CS245" i="2" s="1"/>
  <c r="BR245" i="2"/>
  <c r="CE245" i="2" s="1"/>
  <c r="CT245" i="2" s="1"/>
  <c r="BS245" i="2"/>
  <c r="CF245" i="2" s="1"/>
  <c r="CU245" i="2" s="1"/>
  <c r="BH246" i="2"/>
  <c r="BU246" i="2" s="1"/>
  <c r="CJ246" i="2" s="1"/>
  <c r="BI246" i="2"/>
  <c r="BV246" i="2" s="1"/>
  <c r="CK246" i="2" s="1"/>
  <c r="BJ246" i="2"/>
  <c r="BW246" i="2" s="1"/>
  <c r="CL246" i="2" s="1"/>
  <c r="BK246" i="2"/>
  <c r="BX246" i="2" s="1"/>
  <c r="CM246" i="2" s="1"/>
  <c r="BL246" i="2"/>
  <c r="BY246" i="2" s="1"/>
  <c r="CN246" i="2" s="1"/>
  <c r="BM246" i="2"/>
  <c r="BZ246" i="2" s="1"/>
  <c r="CO246" i="2" s="1"/>
  <c r="BN246" i="2"/>
  <c r="CA246" i="2" s="1"/>
  <c r="CP246" i="2" s="1"/>
  <c r="BO246" i="2"/>
  <c r="CB246" i="2" s="1"/>
  <c r="CQ246" i="2" s="1"/>
  <c r="BP246" i="2"/>
  <c r="CC246" i="2" s="1"/>
  <c r="CR246" i="2" s="1"/>
  <c r="BQ246" i="2"/>
  <c r="CD246" i="2" s="1"/>
  <c r="CS246" i="2" s="1"/>
  <c r="BR246" i="2"/>
  <c r="CE246" i="2" s="1"/>
  <c r="CT246" i="2" s="1"/>
  <c r="BS246" i="2"/>
  <c r="CF246" i="2" s="1"/>
  <c r="CU246" i="2" s="1"/>
  <c r="BH247" i="2"/>
  <c r="BU247" i="2" s="1"/>
  <c r="CJ247" i="2" s="1"/>
  <c r="BI247" i="2"/>
  <c r="BV247" i="2" s="1"/>
  <c r="CK247" i="2" s="1"/>
  <c r="BJ247" i="2"/>
  <c r="BW247" i="2" s="1"/>
  <c r="CL247" i="2" s="1"/>
  <c r="BK247" i="2"/>
  <c r="BX247" i="2" s="1"/>
  <c r="CM247" i="2" s="1"/>
  <c r="BL247" i="2"/>
  <c r="BY247" i="2" s="1"/>
  <c r="CN247" i="2" s="1"/>
  <c r="BM247" i="2"/>
  <c r="BZ247" i="2" s="1"/>
  <c r="CO247" i="2" s="1"/>
  <c r="BN247" i="2"/>
  <c r="CA247" i="2" s="1"/>
  <c r="CP247" i="2" s="1"/>
  <c r="BO247" i="2"/>
  <c r="CB247" i="2" s="1"/>
  <c r="CQ247" i="2" s="1"/>
  <c r="BP247" i="2"/>
  <c r="CC247" i="2" s="1"/>
  <c r="CR247" i="2" s="1"/>
  <c r="BQ247" i="2"/>
  <c r="CD247" i="2" s="1"/>
  <c r="CS247" i="2" s="1"/>
  <c r="BR247" i="2"/>
  <c r="CE247" i="2" s="1"/>
  <c r="CT247" i="2" s="1"/>
  <c r="BS247" i="2"/>
  <c r="CF247" i="2" s="1"/>
  <c r="CU247" i="2" s="1"/>
  <c r="BH248" i="2"/>
  <c r="BU248" i="2" s="1"/>
  <c r="CJ248" i="2" s="1"/>
  <c r="BI248" i="2"/>
  <c r="BV248" i="2" s="1"/>
  <c r="CK248" i="2" s="1"/>
  <c r="BJ248" i="2"/>
  <c r="BW248" i="2" s="1"/>
  <c r="CL248" i="2" s="1"/>
  <c r="BK248" i="2"/>
  <c r="BX248" i="2" s="1"/>
  <c r="CM248" i="2" s="1"/>
  <c r="BL248" i="2"/>
  <c r="BY248" i="2" s="1"/>
  <c r="CN248" i="2" s="1"/>
  <c r="BM248" i="2"/>
  <c r="BZ248" i="2" s="1"/>
  <c r="CO248" i="2" s="1"/>
  <c r="BN248" i="2"/>
  <c r="CA248" i="2" s="1"/>
  <c r="CP248" i="2" s="1"/>
  <c r="BO248" i="2"/>
  <c r="CB248" i="2" s="1"/>
  <c r="CQ248" i="2" s="1"/>
  <c r="BP248" i="2"/>
  <c r="CC248" i="2" s="1"/>
  <c r="CR248" i="2" s="1"/>
  <c r="BQ248" i="2"/>
  <c r="CD248" i="2" s="1"/>
  <c r="CS248" i="2" s="1"/>
  <c r="BR248" i="2"/>
  <c r="CE248" i="2" s="1"/>
  <c r="CT248" i="2" s="1"/>
  <c r="BS248" i="2"/>
  <c r="CF248" i="2" s="1"/>
  <c r="CU248" i="2" s="1"/>
  <c r="BH249" i="2"/>
  <c r="BU249" i="2" s="1"/>
  <c r="CJ249" i="2" s="1"/>
  <c r="BI249" i="2"/>
  <c r="BV249" i="2" s="1"/>
  <c r="CK249" i="2" s="1"/>
  <c r="BJ249" i="2"/>
  <c r="BW249" i="2" s="1"/>
  <c r="CL249" i="2" s="1"/>
  <c r="BK249" i="2"/>
  <c r="BX249" i="2" s="1"/>
  <c r="CM249" i="2" s="1"/>
  <c r="BL249" i="2"/>
  <c r="BY249" i="2" s="1"/>
  <c r="CN249" i="2" s="1"/>
  <c r="BM249" i="2"/>
  <c r="BZ249" i="2" s="1"/>
  <c r="CO249" i="2" s="1"/>
  <c r="BN249" i="2"/>
  <c r="CA249" i="2" s="1"/>
  <c r="CP249" i="2" s="1"/>
  <c r="BO249" i="2"/>
  <c r="CB249" i="2" s="1"/>
  <c r="CQ249" i="2" s="1"/>
  <c r="BP249" i="2"/>
  <c r="CC249" i="2" s="1"/>
  <c r="CR249" i="2" s="1"/>
  <c r="BQ249" i="2"/>
  <c r="CD249" i="2" s="1"/>
  <c r="CS249" i="2" s="1"/>
  <c r="BR249" i="2"/>
  <c r="CE249" i="2" s="1"/>
  <c r="CT249" i="2" s="1"/>
  <c r="BS249" i="2"/>
  <c r="CF249" i="2" s="1"/>
  <c r="CU249" i="2" s="1"/>
  <c r="BH250" i="2"/>
  <c r="BU250" i="2" s="1"/>
  <c r="CJ250" i="2" s="1"/>
  <c r="BI250" i="2"/>
  <c r="BV250" i="2" s="1"/>
  <c r="CK250" i="2" s="1"/>
  <c r="BJ250" i="2"/>
  <c r="BW250" i="2" s="1"/>
  <c r="CL250" i="2" s="1"/>
  <c r="BK250" i="2"/>
  <c r="BX250" i="2" s="1"/>
  <c r="CM250" i="2" s="1"/>
  <c r="BL250" i="2"/>
  <c r="BY250" i="2" s="1"/>
  <c r="CN250" i="2" s="1"/>
  <c r="BM250" i="2"/>
  <c r="BZ250" i="2" s="1"/>
  <c r="CO250" i="2" s="1"/>
  <c r="BN250" i="2"/>
  <c r="CA250" i="2" s="1"/>
  <c r="CP250" i="2" s="1"/>
  <c r="BO250" i="2"/>
  <c r="CB250" i="2" s="1"/>
  <c r="CQ250" i="2" s="1"/>
  <c r="BP250" i="2"/>
  <c r="CC250" i="2" s="1"/>
  <c r="CR250" i="2" s="1"/>
  <c r="BQ250" i="2"/>
  <c r="CD250" i="2" s="1"/>
  <c r="CS250" i="2" s="1"/>
  <c r="BR250" i="2"/>
  <c r="CE250" i="2" s="1"/>
  <c r="CT250" i="2" s="1"/>
  <c r="BS250" i="2"/>
  <c r="CF250" i="2" s="1"/>
  <c r="CU250" i="2" s="1"/>
  <c r="BH251" i="2"/>
  <c r="BU251" i="2" s="1"/>
  <c r="CJ251" i="2" s="1"/>
  <c r="BI251" i="2"/>
  <c r="BV251" i="2" s="1"/>
  <c r="CK251" i="2" s="1"/>
  <c r="BJ251" i="2"/>
  <c r="BW251" i="2" s="1"/>
  <c r="CL251" i="2" s="1"/>
  <c r="BK251" i="2"/>
  <c r="BX251" i="2" s="1"/>
  <c r="CM251" i="2" s="1"/>
  <c r="BL251" i="2"/>
  <c r="BY251" i="2" s="1"/>
  <c r="CN251" i="2" s="1"/>
  <c r="BM251" i="2"/>
  <c r="BZ251" i="2" s="1"/>
  <c r="CO251" i="2" s="1"/>
  <c r="BN251" i="2"/>
  <c r="CA251" i="2" s="1"/>
  <c r="CP251" i="2" s="1"/>
  <c r="BO251" i="2"/>
  <c r="CB251" i="2" s="1"/>
  <c r="CQ251" i="2" s="1"/>
  <c r="BP251" i="2"/>
  <c r="CC251" i="2" s="1"/>
  <c r="CR251" i="2" s="1"/>
  <c r="BQ251" i="2"/>
  <c r="CD251" i="2" s="1"/>
  <c r="CS251" i="2" s="1"/>
  <c r="BR251" i="2"/>
  <c r="CE251" i="2" s="1"/>
  <c r="CT251" i="2" s="1"/>
  <c r="BS251" i="2"/>
  <c r="CF251" i="2" s="1"/>
  <c r="CU251" i="2" s="1"/>
  <c r="BH252" i="2"/>
  <c r="BU252" i="2" s="1"/>
  <c r="CJ252" i="2" s="1"/>
  <c r="BI252" i="2"/>
  <c r="BV252" i="2" s="1"/>
  <c r="CK252" i="2" s="1"/>
  <c r="BJ252" i="2"/>
  <c r="BW252" i="2" s="1"/>
  <c r="CL252" i="2" s="1"/>
  <c r="BK252" i="2"/>
  <c r="BX252" i="2" s="1"/>
  <c r="CM252" i="2" s="1"/>
  <c r="BL252" i="2"/>
  <c r="BY252" i="2" s="1"/>
  <c r="CN252" i="2" s="1"/>
  <c r="BM252" i="2"/>
  <c r="BZ252" i="2" s="1"/>
  <c r="CO252" i="2" s="1"/>
  <c r="BN252" i="2"/>
  <c r="CA252" i="2" s="1"/>
  <c r="CP252" i="2" s="1"/>
  <c r="BO252" i="2"/>
  <c r="CB252" i="2" s="1"/>
  <c r="CQ252" i="2" s="1"/>
  <c r="BP252" i="2"/>
  <c r="CC252" i="2" s="1"/>
  <c r="CR252" i="2" s="1"/>
  <c r="BQ252" i="2"/>
  <c r="CD252" i="2" s="1"/>
  <c r="CS252" i="2" s="1"/>
  <c r="BR252" i="2"/>
  <c r="CE252" i="2" s="1"/>
  <c r="CT252" i="2" s="1"/>
  <c r="BS252" i="2"/>
  <c r="CF252" i="2" s="1"/>
  <c r="CU252" i="2" s="1"/>
  <c r="BH253" i="2"/>
  <c r="BU253" i="2" s="1"/>
  <c r="CJ253" i="2" s="1"/>
  <c r="BI253" i="2"/>
  <c r="BV253" i="2" s="1"/>
  <c r="CK253" i="2" s="1"/>
  <c r="BJ253" i="2"/>
  <c r="BW253" i="2" s="1"/>
  <c r="CL253" i="2" s="1"/>
  <c r="BK253" i="2"/>
  <c r="BX253" i="2" s="1"/>
  <c r="CM253" i="2" s="1"/>
  <c r="BL253" i="2"/>
  <c r="BY253" i="2" s="1"/>
  <c r="CN253" i="2" s="1"/>
  <c r="BM253" i="2"/>
  <c r="BZ253" i="2" s="1"/>
  <c r="CO253" i="2" s="1"/>
  <c r="BN253" i="2"/>
  <c r="CA253" i="2" s="1"/>
  <c r="CP253" i="2" s="1"/>
  <c r="BO253" i="2"/>
  <c r="CB253" i="2" s="1"/>
  <c r="CQ253" i="2" s="1"/>
  <c r="BP253" i="2"/>
  <c r="CC253" i="2" s="1"/>
  <c r="CR253" i="2" s="1"/>
  <c r="BQ253" i="2"/>
  <c r="CD253" i="2" s="1"/>
  <c r="CS253" i="2" s="1"/>
  <c r="BR253" i="2"/>
  <c r="CE253" i="2" s="1"/>
  <c r="CT253" i="2" s="1"/>
  <c r="BS253" i="2"/>
  <c r="CF253" i="2" s="1"/>
  <c r="CU253" i="2" s="1"/>
  <c r="BH254" i="2"/>
  <c r="BU254" i="2" s="1"/>
  <c r="CJ254" i="2" s="1"/>
  <c r="BI254" i="2"/>
  <c r="BV254" i="2" s="1"/>
  <c r="CK254" i="2" s="1"/>
  <c r="BJ254" i="2"/>
  <c r="BW254" i="2" s="1"/>
  <c r="CL254" i="2" s="1"/>
  <c r="BK254" i="2"/>
  <c r="BX254" i="2" s="1"/>
  <c r="CM254" i="2" s="1"/>
  <c r="BL254" i="2"/>
  <c r="BY254" i="2" s="1"/>
  <c r="CN254" i="2" s="1"/>
  <c r="BM254" i="2"/>
  <c r="BZ254" i="2" s="1"/>
  <c r="CO254" i="2" s="1"/>
  <c r="BN254" i="2"/>
  <c r="CA254" i="2" s="1"/>
  <c r="CP254" i="2" s="1"/>
  <c r="BO254" i="2"/>
  <c r="CB254" i="2" s="1"/>
  <c r="CQ254" i="2" s="1"/>
  <c r="BP254" i="2"/>
  <c r="CC254" i="2" s="1"/>
  <c r="CR254" i="2" s="1"/>
  <c r="BQ254" i="2"/>
  <c r="CD254" i="2" s="1"/>
  <c r="CS254" i="2" s="1"/>
  <c r="BR254" i="2"/>
  <c r="CE254" i="2" s="1"/>
  <c r="CT254" i="2" s="1"/>
  <c r="BS254" i="2"/>
  <c r="CF254" i="2" s="1"/>
  <c r="CU254" i="2" s="1"/>
  <c r="BH255" i="2"/>
  <c r="BU255" i="2" s="1"/>
  <c r="CJ255" i="2" s="1"/>
  <c r="BI255" i="2"/>
  <c r="BV255" i="2" s="1"/>
  <c r="CK255" i="2" s="1"/>
  <c r="BJ255" i="2"/>
  <c r="BW255" i="2" s="1"/>
  <c r="CL255" i="2" s="1"/>
  <c r="BK255" i="2"/>
  <c r="BX255" i="2" s="1"/>
  <c r="CM255" i="2" s="1"/>
  <c r="BL255" i="2"/>
  <c r="BY255" i="2" s="1"/>
  <c r="CN255" i="2" s="1"/>
  <c r="BM255" i="2"/>
  <c r="BZ255" i="2" s="1"/>
  <c r="CO255" i="2" s="1"/>
  <c r="BN255" i="2"/>
  <c r="CA255" i="2" s="1"/>
  <c r="CP255" i="2" s="1"/>
  <c r="BO255" i="2"/>
  <c r="CB255" i="2" s="1"/>
  <c r="CQ255" i="2" s="1"/>
  <c r="BP255" i="2"/>
  <c r="CC255" i="2" s="1"/>
  <c r="CR255" i="2" s="1"/>
  <c r="BQ255" i="2"/>
  <c r="CD255" i="2" s="1"/>
  <c r="CS255" i="2" s="1"/>
  <c r="BR255" i="2"/>
  <c r="CE255" i="2" s="1"/>
  <c r="CT255" i="2" s="1"/>
  <c r="BS255" i="2"/>
  <c r="CF255" i="2" s="1"/>
  <c r="CU255" i="2" s="1"/>
  <c r="BH256" i="2"/>
  <c r="BU256" i="2" s="1"/>
  <c r="CJ256" i="2" s="1"/>
  <c r="BI256" i="2"/>
  <c r="BV256" i="2" s="1"/>
  <c r="CK256" i="2" s="1"/>
  <c r="BJ256" i="2"/>
  <c r="BW256" i="2" s="1"/>
  <c r="CL256" i="2" s="1"/>
  <c r="BK256" i="2"/>
  <c r="BX256" i="2" s="1"/>
  <c r="CM256" i="2" s="1"/>
  <c r="BL256" i="2"/>
  <c r="BY256" i="2" s="1"/>
  <c r="CN256" i="2" s="1"/>
  <c r="BM256" i="2"/>
  <c r="BZ256" i="2" s="1"/>
  <c r="CO256" i="2" s="1"/>
  <c r="BN256" i="2"/>
  <c r="CA256" i="2" s="1"/>
  <c r="CP256" i="2" s="1"/>
  <c r="BO256" i="2"/>
  <c r="CB256" i="2" s="1"/>
  <c r="CQ256" i="2" s="1"/>
  <c r="BP256" i="2"/>
  <c r="CC256" i="2" s="1"/>
  <c r="CR256" i="2" s="1"/>
  <c r="BQ256" i="2"/>
  <c r="CD256" i="2" s="1"/>
  <c r="CS256" i="2" s="1"/>
  <c r="BR256" i="2"/>
  <c r="CE256" i="2" s="1"/>
  <c r="CT256" i="2" s="1"/>
  <c r="BS256" i="2"/>
  <c r="CF256" i="2" s="1"/>
  <c r="CU256" i="2" s="1"/>
  <c r="BH257" i="2"/>
  <c r="BU257" i="2" s="1"/>
  <c r="CJ257" i="2" s="1"/>
  <c r="BI257" i="2"/>
  <c r="BV257" i="2" s="1"/>
  <c r="CK257" i="2" s="1"/>
  <c r="BJ257" i="2"/>
  <c r="BW257" i="2" s="1"/>
  <c r="CL257" i="2" s="1"/>
  <c r="BK257" i="2"/>
  <c r="BX257" i="2" s="1"/>
  <c r="CM257" i="2" s="1"/>
  <c r="BL257" i="2"/>
  <c r="BY257" i="2" s="1"/>
  <c r="CN257" i="2" s="1"/>
  <c r="BM257" i="2"/>
  <c r="BZ257" i="2" s="1"/>
  <c r="CO257" i="2" s="1"/>
  <c r="BN257" i="2"/>
  <c r="CA257" i="2" s="1"/>
  <c r="CP257" i="2" s="1"/>
  <c r="BO257" i="2"/>
  <c r="CB257" i="2" s="1"/>
  <c r="CQ257" i="2" s="1"/>
  <c r="BP257" i="2"/>
  <c r="CC257" i="2" s="1"/>
  <c r="CR257" i="2" s="1"/>
  <c r="BQ257" i="2"/>
  <c r="CD257" i="2" s="1"/>
  <c r="CS257" i="2" s="1"/>
  <c r="BR257" i="2"/>
  <c r="CE257" i="2" s="1"/>
  <c r="CT257" i="2" s="1"/>
  <c r="BS257" i="2"/>
  <c r="CF257" i="2" s="1"/>
  <c r="CU257" i="2" s="1"/>
  <c r="BH258" i="2"/>
  <c r="BU258" i="2" s="1"/>
  <c r="CJ258" i="2" s="1"/>
  <c r="BI258" i="2"/>
  <c r="BV258" i="2" s="1"/>
  <c r="CK258" i="2" s="1"/>
  <c r="BJ258" i="2"/>
  <c r="BW258" i="2" s="1"/>
  <c r="CL258" i="2" s="1"/>
  <c r="BK258" i="2"/>
  <c r="BX258" i="2" s="1"/>
  <c r="CM258" i="2" s="1"/>
  <c r="BL258" i="2"/>
  <c r="BY258" i="2" s="1"/>
  <c r="CN258" i="2" s="1"/>
  <c r="BM258" i="2"/>
  <c r="BZ258" i="2" s="1"/>
  <c r="CO258" i="2" s="1"/>
  <c r="BN258" i="2"/>
  <c r="CA258" i="2" s="1"/>
  <c r="CP258" i="2" s="1"/>
  <c r="BO258" i="2"/>
  <c r="CB258" i="2" s="1"/>
  <c r="CQ258" i="2" s="1"/>
  <c r="BP258" i="2"/>
  <c r="CC258" i="2" s="1"/>
  <c r="CR258" i="2" s="1"/>
  <c r="BQ258" i="2"/>
  <c r="CD258" i="2" s="1"/>
  <c r="CS258" i="2" s="1"/>
  <c r="BR258" i="2"/>
  <c r="CE258" i="2" s="1"/>
  <c r="CT258" i="2" s="1"/>
  <c r="BS258" i="2"/>
  <c r="CF258" i="2" s="1"/>
  <c r="CU258" i="2" s="1"/>
  <c r="BH259" i="2"/>
  <c r="BU259" i="2" s="1"/>
  <c r="CJ259" i="2" s="1"/>
  <c r="BI259" i="2"/>
  <c r="BV259" i="2" s="1"/>
  <c r="CK259" i="2" s="1"/>
  <c r="BJ259" i="2"/>
  <c r="BW259" i="2" s="1"/>
  <c r="CL259" i="2" s="1"/>
  <c r="BK259" i="2"/>
  <c r="BX259" i="2" s="1"/>
  <c r="CM259" i="2" s="1"/>
  <c r="BL259" i="2"/>
  <c r="BY259" i="2" s="1"/>
  <c r="CN259" i="2" s="1"/>
  <c r="BM259" i="2"/>
  <c r="BZ259" i="2" s="1"/>
  <c r="CO259" i="2" s="1"/>
  <c r="BN259" i="2"/>
  <c r="CA259" i="2" s="1"/>
  <c r="CP259" i="2" s="1"/>
  <c r="BO259" i="2"/>
  <c r="CB259" i="2" s="1"/>
  <c r="CQ259" i="2" s="1"/>
  <c r="BP259" i="2"/>
  <c r="CC259" i="2" s="1"/>
  <c r="CR259" i="2" s="1"/>
  <c r="BQ259" i="2"/>
  <c r="CD259" i="2" s="1"/>
  <c r="CS259" i="2" s="1"/>
  <c r="BR259" i="2"/>
  <c r="CE259" i="2" s="1"/>
  <c r="CT259" i="2" s="1"/>
  <c r="BS259" i="2"/>
  <c r="CF259" i="2" s="1"/>
  <c r="CU259" i="2" s="1"/>
  <c r="BH260" i="2"/>
  <c r="BU260" i="2" s="1"/>
  <c r="CJ260" i="2" s="1"/>
  <c r="BI260" i="2"/>
  <c r="BV260" i="2" s="1"/>
  <c r="CK260" i="2" s="1"/>
  <c r="BJ260" i="2"/>
  <c r="BW260" i="2" s="1"/>
  <c r="CL260" i="2" s="1"/>
  <c r="BK260" i="2"/>
  <c r="BX260" i="2" s="1"/>
  <c r="CM260" i="2" s="1"/>
  <c r="BL260" i="2"/>
  <c r="BY260" i="2" s="1"/>
  <c r="CN260" i="2" s="1"/>
  <c r="BM260" i="2"/>
  <c r="BZ260" i="2" s="1"/>
  <c r="CO260" i="2" s="1"/>
  <c r="BN260" i="2"/>
  <c r="CA260" i="2" s="1"/>
  <c r="CP260" i="2" s="1"/>
  <c r="BO260" i="2"/>
  <c r="CB260" i="2" s="1"/>
  <c r="CQ260" i="2" s="1"/>
  <c r="BP260" i="2"/>
  <c r="CC260" i="2" s="1"/>
  <c r="CR260" i="2" s="1"/>
  <c r="BQ260" i="2"/>
  <c r="CD260" i="2" s="1"/>
  <c r="CS260" i="2" s="1"/>
  <c r="BR260" i="2"/>
  <c r="CE260" i="2" s="1"/>
  <c r="CT260" i="2" s="1"/>
  <c r="BS260" i="2"/>
  <c r="CF260" i="2" s="1"/>
  <c r="CU260" i="2" s="1"/>
  <c r="BH261" i="2"/>
  <c r="BU261" i="2" s="1"/>
  <c r="CJ261" i="2" s="1"/>
  <c r="BI261" i="2"/>
  <c r="BV261" i="2" s="1"/>
  <c r="CK261" i="2" s="1"/>
  <c r="BJ261" i="2"/>
  <c r="BW261" i="2" s="1"/>
  <c r="CL261" i="2" s="1"/>
  <c r="BK261" i="2"/>
  <c r="BX261" i="2" s="1"/>
  <c r="CM261" i="2" s="1"/>
  <c r="BL261" i="2"/>
  <c r="BY261" i="2" s="1"/>
  <c r="CN261" i="2" s="1"/>
  <c r="BM261" i="2"/>
  <c r="BZ261" i="2" s="1"/>
  <c r="CO261" i="2" s="1"/>
  <c r="BN261" i="2"/>
  <c r="CA261" i="2" s="1"/>
  <c r="CP261" i="2" s="1"/>
  <c r="BO261" i="2"/>
  <c r="CB261" i="2" s="1"/>
  <c r="CQ261" i="2" s="1"/>
  <c r="BP261" i="2"/>
  <c r="CC261" i="2" s="1"/>
  <c r="CR261" i="2" s="1"/>
  <c r="BQ261" i="2"/>
  <c r="CD261" i="2" s="1"/>
  <c r="CS261" i="2" s="1"/>
  <c r="BR261" i="2"/>
  <c r="CE261" i="2" s="1"/>
  <c r="CT261" i="2" s="1"/>
  <c r="BS261" i="2"/>
  <c r="CF261" i="2" s="1"/>
  <c r="CU261" i="2" s="1"/>
  <c r="BH262" i="2"/>
  <c r="BU262" i="2" s="1"/>
  <c r="CJ262" i="2" s="1"/>
  <c r="BI262" i="2"/>
  <c r="BV262" i="2" s="1"/>
  <c r="CK262" i="2" s="1"/>
  <c r="BJ262" i="2"/>
  <c r="BW262" i="2" s="1"/>
  <c r="CL262" i="2" s="1"/>
  <c r="BK262" i="2"/>
  <c r="BX262" i="2" s="1"/>
  <c r="CM262" i="2" s="1"/>
  <c r="BL262" i="2"/>
  <c r="BY262" i="2" s="1"/>
  <c r="CN262" i="2" s="1"/>
  <c r="BM262" i="2"/>
  <c r="BZ262" i="2" s="1"/>
  <c r="CO262" i="2" s="1"/>
  <c r="BN262" i="2"/>
  <c r="CA262" i="2" s="1"/>
  <c r="CP262" i="2" s="1"/>
  <c r="BO262" i="2"/>
  <c r="CB262" i="2" s="1"/>
  <c r="CQ262" i="2" s="1"/>
  <c r="BP262" i="2"/>
  <c r="CC262" i="2" s="1"/>
  <c r="CR262" i="2" s="1"/>
  <c r="BQ262" i="2"/>
  <c r="CD262" i="2" s="1"/>
  <c r="CS262" i="2" s="1"/>
  <c r="BR262" i="2"/>
  <c r="CE262" i="2" s="1"/>
  <c r="CT262" i="2" s="1"/>
  <c r="BS262" i="2"/>
  <c r="CF262" i="2" s="1"/>
  <c r="CU262" i="2" s="1"/>
  <c r="BH263" i="2"/>
  <c r="BU263" i="2" s="1"/>
  <c r="CJ263" i="2" s="1"/>
  <c r="BI263" i="2"/>
  <c r="BV263" i="2" s="1"/>
  <c r="CK263" i="2" s="1"/>
  <c r="BJ263" i="2"/>
  <c r="BW263" i="2" s="1"/>
  <c r="CL263" i="2" s="1"/>
  <c r="BK263" i="2"/>
  <c r="BX263" i="2" s="1"/>
  <c r="CM263" i="2" s="1"/>
  <c r="BL263" i="2"/>
  <c r="BY263" i="2" s="1"/>
  <c r="CN263" i="2" s="1"/>
  <c r="BM263" i="2"/>
  <c r="BZ263" i="2" s="1"/>
  <c r="CO263" i="2" s="1"/>
  <c r="BN263" i="2"/>
  <c r="CA263" i="2" s="1"/>
  <c r="CP263" i="2" s="1"/>
  <c r="BO263" i="2"/>
  <c r="CB263" i="2" s="1"/>
  <c r="CQ263" i="2" s="1"/>
  <c r="BP263" i="2"/>
  <c r="CC263" i="2" s="1"/>
  <c r="CR263" i="2" s="1"/>
  <c r="BQ263" i="2"/>
  <c r="CD263" i="2" s="1"/>
  <c r="CS263" i="2" s="1"/>
  <c r="BR263" i="2"/>
  <c r="CE263" i="2" s="1"/>
  <c r="CT263" i="2" s="1"/>
  <c r="BS263" i="2"/>
  <c r="CF263" i="2" s="1"/>
  <c r="CU263" i="2" s="1"/>
  <c r="BH264" i="2"/>
  <c r="BU264" i="2" s="1"/>
  <c r="CJ264" i="2" s="1"/>
  <c r="BI264" i="2"/>
  <c r="BV264" i="2" s="1"/>
  <c r="CK264" i="2" s="1"/>
  <c r="BJ264" i="2"/>
  <c r="BW264" i="2" s="1"/>
  <c r="CL264" i="2" s="1"/>
  <c r="BK264" i="2"/>
  <c r="BX264" i="2" s="1"/>
  <c r="CM264" i="2" s="1"/>
  <c r="BL264" i="2"/>
  <c r="BY264" i="2" s="1"/>
  <c r="CN264" i="2" s="1"/>
  <c r="BM264" i="2"/>
  <c r="BZ264" i="2" s="1"/>
  <c r="CO264" i="2" s="1"/>
  <c r="BN264" i="2"/>
  <c r="CA264" i="2" s="1"/>
  <c r="CP264" i="2" s="1"/>
  <c r="BO264" i="2"/>
  <c r="CB264" i="2" s="1"/>
  <c r="CQ264" i="2" s="1"/>
  <c r="BP264" i="2"/>
  <c r="CC264" i="2" s="1"/>
  <c r="CR264" i="2" s="1"/>
  <c r="BQ264" i="2"/>
  <c r="CD264" i="2" s="1"/>
  <c r="CS264" i="2" s="1"/>
  <c r="BR264" i="2"/>
  <c r="CE264" i="2" s="1"/>
  <c r="CT264" i="2" s="1"/>
  <c r="BS264" i="2"/>
  <c r="CF264" i="2" s="1"/>
  <c r="CU264" i="2" s="1"/>
  <c r="BH265" i="2"/>
  <c r="BU265" i="2" s="1"/>
  <c r="CJ265" i="2" s="1"/>
  <c r="BI265" i="2"/>
  <c r="BV265" i="2" s="1"/>
  <c r="CK265" i="2" s="1"/>
  <c r="BJ265" i="2"/>
  <c r="BW265" i="2" s="1"/>
  <c r="CL265" i="2" s="1"/>
  <c r="BK265" i="2"/>
  <c r="BX265" i="2" s="1"/>
  <c r="CM265" i="2" s="1"/>
  <c r="BL265" i="2"/>
  <c r="BY265" i="2" s="1"/>
  <c r="CN265" i="2" s="1"/>
  <c r="BM265" i="2"/>
  <c r="BZ265" i="2" s="1"/>
  <c r="CO265" i="2" s="1"/>
  <c r="BN265" i="2"/>
  <c r="CA265" i="2" s="1"/>
  <c r="CP265" i="2" s="1"/>
  <c r="BO265" i="2"/>
  <c r="CB265" i="2" s="1"/>
  <c r="CQ265" i="2" s="1"/>
  <c r="BP265" i="2"/>
  <c r="CC265" i="2" s="1"/>
  <c r="CR265" i="2" s="1"/>
  <c r="BQ265" i="2"/>
  <c r="CD265" i="2" s="1"/>
  <c r="CS265" i="2" s="1"/>
  <c r="BR265" i="2"/>
  <c r="CE265" i="2" s="1"/>
  <c r="CT265" i="2" s="1"/>
  <c r="BS265" i="2"/>
  <c r="CF265" i="2" s="1"/>
  <c r="CU265" i="2" s="1"/>
  <c r="BH266" i="2"/>
  <c r="BU266" i="2" s="1"/>
  <c r="CJ266" i="2" s="1"/>
  <c r="BI266" i="2"/>
  <c r="BV266" i="2" s="1"/>
  <c r="CK266" i="2" s="1"/>
  <c r="BJ266" i="2"/>
  <c r="BW266" i="2" s="1"/>
  <c r="CL266" i="2" s="1"/>
  <c r="BK266" i="2"/>
  <c r="BX266" i="2" s="1"/>
  <c r="CM266" i="2" s="1"/>
  <c r="BL266" i="2"/>
  <c r="BY266" i="2" s="1"/>
  <c r="CN266" i="2" s="1"/>
  <c r="BM266" i="2"/>
  <c r="BZ266" i="2" s="1"/>
  <c r="CO266" i="2" s="1"/>
  <c r="BN266" i="2"/>
  <c r="CA266" i="2" s="1"/>
  <c r="CP266" i="2" s="1"/>
  <c r="BO266" i="2"/>
  <c r="CB266" i="2" s="1"/>
  <c r="CQ266" i="2" s="1"/>
  <c r="BP266" i="2"/>
  <c r="CC266" i="2" s="1"/>
  <c r="CR266" i="2" s="1"/>
  <c r="BQ266" i="2"/>
  <c r="CD266" i="2" s="1"/>
  <c r="CS266" i="2" s="1"/>
  <c r="BR266" i="2"/>
  <c r="CE266" i="2" s="1"/>
  <c r="CT266" i="2" s="1"/>
  <c r="BS266" i="2"/>
  <c r="CF266" i="2" s="1"/>
  <c r="CU266" i="2" s="1"/>
  <c r="BH267" i="2"/>
  <c r="BU267" i="2" s="1"/>
  <c r="CJ267" i="2" s="1"/>
  <c r="BI267" i="2"/>
  <c r="BV267" i="2" s="1"/>
  <c r="CK267" i="2" s="1"/>
  <c r="BJ267" i="2"/>
  <c r="BW267" i="2" s="1"/>
  <c r="CL267" i="2" s="1"/>
  <c r="BK267" i="2"/>
  <c r="BX267" i="2" s="1"/>
  <c r="CM267" i="2" s="1"/>
  <c r="BL267" i="2"/>
  <c r="BY267" i="2" s="1"/>
  <c r="CN267" i="2" s="1"/>
  <c r="BM267" i="2"/>
  <c r="BZ267" i="2" s="1"/>
  <c r="CO267" i="2" s="1"/>
  <c r="BN267" i="2"/>
  <c r="CA267" i="2" s="1"/>
  <c r="CP267" i="2" s="1"/>
  <c r="BO267" i="2"/>
  <c r="CB267" i="2" s="1"/>
  <c r="CQ267" i="2" s="1"/>
  <c r="BP267" i="2"/>
  <c r="CC267" i="2" s="1"/>
  <c r="CR267" i="2" s="1"/>
  <c r="BQ267" i="2"/>
  <c r="CD267" i="2" s="1"/>
  <c r="CS267" i="2" s="1"/>
  <c r="BR267" i="2"/>
  <c r="CE267" i="2" s="1"/>
  <c r="CT267" i="2" s="1"/>
  <c r="BS267" i="2"/>
  <c r="CF267" i="2" s="1"/>
  <c r="CU267" i="2" s="1"/>
  <c r="BH268" i="2"/>
  <c r="BU268" i="2" s="1"/>
  <c r="CJ268" i="2" s="1"/>
  <c r="BI268" i="2"/>
  <c r="BV268" i="2" s="1"/>
  <c r="CK268" i="2" s="1"/>
  <c r="BJ268" i="2"/>
  <c r="BW268" i="2" s="1"/>
  <c r="CL268" i="2" s="1"/>
  <c r="BK268" i="2"/>
  <c r="BX268" i="2" s="1"/>
  <c r="CM268" i="2" s="1"/>
  <c r="BL268" i="2"/>
  <c r="BY268" i="2" s="1"/>
  <c r="CN268" i="2" s="1"/>
  <c r="BM268" i="2"/>
  <c r="BZ268" i="2" s="1"/>
  <c r="CO268" i="2" s="1"/>
  <c r="BN268" i="2"/>
  <c r="CA268" i="2" s="1"/>
  <c r="CP268" i="2" s="1"/>
  <c r="BO268" i="2"/>
  <c r="CB268" i="2" s="1"/>
  <c r="CQ268" i="2" s="1"/>
  <c r="BP268" i="2"/>
  <c r="CC268" i="2" s="1"/>
  <c r="CR268" i="2" s="1"/>
  <c r="BQ268" i="2"/>
  <c r="CD268" i="2" s="1"/>
  <c r="CS268" i="2" s="1"/>
  <c r="BR268" i="2"/>
  <c r="CE268" i="2" s="1"/>
  <c r="CT268" i="2" s="1"/>
  <c r="BS268" i="2"/>
  <c r="CF268" i="2" s="1"/>
  <c r="CU268" i="2" s="1"/>
  <c r="BH269" i="2"/>
  <c r="BU269" i="2" s="1"/>
  <c r="CJ269" i="2" s="1"/>
  <c r="BI269" i="2"/>
  <c r="BV269" i="2" s="1"/>
  <c r="CK269" i="2" s="1"/>
  <c r="BJ269" i="2"/>
  <c r="BW269" i="2" s="1"/>
  <c r="CL269" i="2" s="1"/>
  <c r="BK269" i="2"/>
  <c r="BX269" i="2" s="1"/>
  <c r="CM269" i="2" s="1"/>
  <c r="BL269" i="2"/>
  <c r="BY269" i="2" s="1"/>
  <c r="CN269" i="2" s="1"/>
  <c r="BM269" i="2"/>
  <c r="BZ269" i="2" s="1"/>
  <c r="CO269" i="2" s="1"/>
  <c r="BN269" i="2"/>
  <c r="CA269" i="2" s="1"/>
  <c r="CP269" i="2" s="1"/>
  <c r="BO269" i="2"/>
  <c r="CB269" i="2" s="1"/>
  <c r="CQ269" i="2" s="1"/>
  <c r="BP269" i="2"/>
  <c r="CC269" i="2" s="1"/>
  <c r="CR269" i="2" s="1"/>
  <c r="BQ269" i="2"/>
  <c r="CD269" i="2" s="1"/>
  <c r="CS269" i="2" s="1"/>
  <c r="BR269" i="2"/>
  <c r="CE269" i="2" s="1"/>
  <c r="CT269" i="2" s="1"/>
  <c r="BS269" i="2"/>
  <c r="CF269" i="2" s="1"/>
  <c r="CU269" i="2" s="1"/>
  <c r="BH270" i="2"/>
  <c r="BU270" i="2" s="1"/>
  <c r="CJ270" i="2" s="1"/>
  <c r="BI270" i="2"/>
  <c r="BV270" i="2" s="1"/>
  <c r="CK270" i="2" s="1"/>
  <c r="BJ270" i="2"/>
  <c r="BW270" i="2" s="1"/>
  <c r="CL270" i="2" s="1"/>
  <c r="BK270" i="2"/>
  <c r="BX270" i="2" s="1"/>
  <c r="CM270" i="2" s="1"/>
  <c r="BL270" i="2"/>
  <c r="BY270" i="2" s="1"/>
  <c r="CN270" i="2" s="1"/>
  <c r="BM270" i="2"/>
  <c r="BZ270" i="2" s="1"/>
  <c r="CO270" i="2" s="1"/>
  <c r="BN270" i="2"/>
  <c r="CA270" i="2" s="1"/>
  <c r="CP270" i="2" s="1"/>
  <c r="BO270" i="2"/>
  <c r="CB270" i="2" s="1"/>
  <c r="CQ270" i="2" s="1"/>
  <c r="BP270" i="2"/>
  <c r="CC270" i="2" s="1"/>
  <c r="CR270" i="2" s="1"/>
  <c r="BQ270" i="2"/>
  <c r="CD270" i="2" s="1"/>
  <c r="CS270" i="2" s="1"/>
  <c r="BR270" i="2"/>
  <c r="CE270" i="2" s="1"/>
  <c r="CT270" i="2" s="1"/>
  <c r="BS270" i="2"/>
  <c r="CF270" i="2" s="1"/>
  <c r="CU270" i="2" s="1"/>
  <c r="BH271" i="2"/>
  <c r="BU271" i="2" s="1"/>
  <c r="CJ271" i="2" s="1"/>
  <c r="BI271" i="2"/>
  <c r="BV271" i="2" s="1"/>
  <c r="CK271" i="2" s="1"/>
  <c r="BJ271" i="2"/>
  <c r="BW271" i="2" s="1"/>
  <c r="CL271" i="2" s="1"/>
  <c r="BK271" i="2"/>
  <c r="BX271" i="2" s="1"/>
  <c r="CM271" i="2" s="1"/>
  <c r="BL271" i="2"/>
  <c r="BY271" i="2" s="1"/>
  <c r="CN271" i="2" s="1"/>
  <c r="BM271" i="2"/>
  <c r="BZ271" i="2" s="1"/>
  <c r="CO271" i="2" s="1"/>
  <c r="BN271" i="2"/>
  <c r="CA271" i="2" s="1"/>
  <c r="CP271" i="2" s="1"/>
  <c r="BO271" i="2"/>
  <c r="CB271" i="2" s="1"/>
  <c r="CQ271" i="2" s="1"/>
  <c r="BP271" i="2"/>
  <c r="CC271" i="2" s="1"/>
  <c r="CR271" i="2" s="1"/>
  <c r="BQ271" i="2"/>
  <c r="CD271" i="2" s="1"/>
  <c r="CS271" i="2" s="1"/>
  <c r="BR271" i="2"/>
  <c r="CE271" i="2" s="1"/>
  <c r="CT271" i="2" s="1"/>
  <c r="BS271" i="2"/>
  <c r="CF271" i="2" s="1"/>
  <c r="CU271" i="2" s="1"/>
  <c r="BH272" i="2"/>
  <c r="BU272" i="2" s="1"/>
  <c r="CJ272" i="2" s="1"/>
  <c r="BI272" i="2"/>
  <c r="BV272" i="2" s="1"/>
  <c r="CK272" i="2" s="1"/>
  <c r="BJ272" i="2"/>
  <c r="BW272" i="2" s="1"/>
  <c r="CL272" i="2" s="1"/>
  <c r="BK272" i="2"/>
  <c r="BX272" i="2" s="1"/>
  <c r="CM272" i="2" s="1"/>
  <c r="BL272" i="2"/>
  <c r="BY272" i="2" s="1"/>
  <c r="CN272" i="2" s="1"/>
  <c r="BM272" i="2"/>
  <c r="BZ272" i="2" s="1"/>
  <c r="CO272" i="2" s="1"/>
  <c r="BN272" i="2"/>
  <c r="CA272" i="2" s="1"/>
  <c r="CP272" i="2" s="1"/>
  <c r="BO272" i="2"/>
  <c r="CB272" i="2" s="1"/>
  <c r="CQ272" i="2" s="1"/>
  <c r="BP272" i="2"/>
  <c r="CC272" i="2" s="1"/>
  <c r="CR272" i="2" s="1"/>
  <c r="BQ272" i="2"/>
  <c r="CD272" i="2" s="1"/>
  <c r="CS272" i="2" s="1"/>
  <c r="BR272" i="2"/>
  <c r="CE272" i="2" s="1"/>
  <c r="CT272" i="2" s="1"/>
  <c r="BS272" i="2"/>
  <c r="CF272" i="2" s="1"/>
  <c r="CU272" i="2" s="1"/>
  <c r="BH273" i="2"/>
  <c r="BU273" i="2" s="1"/>
  <c r="CJ273" i="2" s="1"/>
  <c r="BI273" i="2"/>
  <c r="BV273" i="2" s="1"/>
  <c r="CK273" i="2" s="1"/>
  <c r="BJ273" i="2"/>
  <c r="BW273" i="2" s="1"/>
  <c r="CL273" i="2" s="1"/>
  <c r="BK273" i="2"/>
  <c r="BX273" i="2" s="1"/>
  <c r="CM273" i="2" s="1"/>
  <c r="BL273" i="2"/>
  <c r="BY273" i="2" s="1"/>
  <c r="CN273" i="2" s="1"/>
  <c r="BM273" i="2"/>
  <c r="BZ273" i="2" s="1"/>
  <c r="CO273" i="2" s="1"/>
  <c r="BN273" i="2"/>
  <c r="CA273" i="2" s="1"/>
  <c r="CP273" i="2" s="1"/>
  <c r="BO273" i="2"/>
  <c r="CB273" i="2" s="1"/>
  <c r="CQ273" i="2" s="1"/>
  <c r="BP273" i="2"/>
  <c r="CC273" i="2" s="1"/>
  <c r="CR273" i="2" s="1"/>
  <c r="BQ273" i="2"/>
  <c r="CD273" i="2" s="1"/>
  <c r="CS273" i="2" s="1"/>
  <c r="BR273" i="2"/>
  <c r="CE273" i="2" s="1"/>
  <c r="CT273" i="2" s="1"/>
  <c r="BS273" i="2"/>
  <c r="CF273" i="2" s="1"/>
  <c r="CU273" i="2" s="1"/>
  <c r="BH274" i="2"/>
  <c r="BU274" i="2" s="1"/>
  <c r="CJ274" i="2" s="1"/>
  <c r="BI274" i="2"/>
  <c r="BV274" i="2" s="1"/>
  <c r="CK274" i="2" s="1"/>
  <c r="BJ274" i="2"/>
  <c r="BW274" i="2" s="1"/>
  <c r="CL274" i="2" s="1"/>
  <c r="BK274" i="2"/>
  <c r="BX274" i="2" s="1"/>
  <c r="CM274" i="2" s="1"/>
  <c r="BL274" i="2"/>
  <c r="BY274" i="2" s="1"/>
  <c r="CN274" i="2" s="1"/>
  <c r="BM274" i="2"/>
  <c r="BZ274" i="2" s="1"/>
  <c r="CO274" i="2" s="1"/>
  <c r="BN274" i="2"/>
  <c r="CA274" i="2" s="1"/>
  <c r="CP274" i="2" s="1"/>
  <c r="BO274" i="2"/>
  <c r="CB274" i="2" s="1"/>
  <c r="CQ274" i="2" s="1"/>
  <c r="BP274" i="2"/>
  <c r="CC274" i="2" s="1"/>
  <c r="CR274" i="2" s="1"/>
  <c r="BQ274" i="2"/>
  <c r="CD274" i="2" s="1"/>
  <c r="CS274" i="2" s="1"/>
  <c r="BR274" i="2"/>
  <c r="CE274" i="2" s="1"/>
  <c r="CT274" i="2" s="1"/>
  <c r="BS274" i="2"/>
  <c r="CF274" i="2" s="1"/>
  <c r="CU274" i="2" s="1"/>
  <c r="BH275" i="2"/>
  <c r="BU275" i="2" s="1"/>
  <c r="CJ275" i="2" s="1"/>
  <c r="BI275" i="2"/>
  <c r="BV275" i="2" s="1"/>
  <c r="CK275" i="2" s="1"/>
  <c r="BJ275" i="2"/>
  <c r="BW275" i="2" s="1"/>
  <c r="CL275" i="2" s="1"/>
  <c r="BK275" i="2"/>
  <c r="BX275" i="2" s="1"/>
  <c r="CM275" i="2" s="1"/>
  <c r="BL275" i="2"/>
  <c r="BY275" i="2" s="1"/>
  <c r="CN275" i="2" s="1"/>
  <c r="BM275" i="2"/>
  <c r="BZ275" i="2" s="1"/>
  <c r="CO275" i="2" s="1"/>
  <c r="BN275" i="2"/>
  <c r="CA275" i="2" s="1"/>
  <c r="CP275" i="2" s="1"/>
  <c r="BO275" i="2"/>
  <c r="CB275" i="2" s="1"/>
  <c r="CQ275" i="2" s="1"/>
  <c r="BP275" i="2"/>
  <c r="CC275" i="2" s="1"/>
  <c r="CR275" i="2" s="1"/>
  <c r="BQ275" i="2"/>
  <c r="CD275" i="2" s="1"/>
  <c r="CS275" i="2" s="1"/>
  <c r="BR275" i="2"/>
  <c r="CE275" i="2" s="1"/>
  <c r="CT275" i="2" s="1"/>
  <c r="BS275" i="2"/>
  <c r="CF275" i="2" s="1"/>
  <c r="CU275" i="2" s="1"/>
  <c r="BH276" i="2"/>
  <c r="BU276" i="2" s="1"/>
  <c r="CJ276" i="2" s="1"/>
  <c r="BI276" i="2"/>
  <c r="BV276" i="2" s="1"/>
  <c r="CK276" i="2" s="1"/>
  <c r="BJ276" i="2"/>
  <c r="BW276" i="2" s="1"/>
  <c r="CL276" i="2" s="1"/>
  <c r="BK276" i="2"/>
  <c r="BX276" i="2" s="1"/>
  <c r="CM276" i="2" s="1"/>
  <c r="BL276" i="2"/>
  <c r="BY276" i="2" s="1"/>
  <c r="CN276" i="2" s="1"/>
  <c r="BM276" i="2"/>
  <c r="BZ276" i="2" s="1"/>
  <c r="CO276" i="2" s="1"/>
  <c r="BN276" i="2"/>
  <c r="CA276" i="2" s="1"/>
  <c r="CP276" i="2" s="1"/>
  <c r="BO276" i="2"/>
  <c r="CB276" i="2" s="1"/>
  <c r="CQ276" i="2" s="1"/>
  <c r="BP276" i="2"/>
  <c r="CC276" i="2" s="1"/>
  <c r="CR276" i="2" s="1"/>
  <c r="BQ276" i="2"/>
  <c r="CD276" i="2" s="1"/>
  <c r="CS276" i="2" s="1"/>
  <c r="BR276" i="2"/>
  <c r="CE276" i="2" s="1"/>
  <c r="CT276" i="2" s="1"/>
  <c r="BS276" i="2"/>
  <c r="CF276" i="2" s="1"/>
  <c r="CU276" i="2" s="1"/>
  <c r="BH277" i="2"/>
  <c r="BU277" i="2" s="1"/>
  <c r="CJ277" i="2" s="1"/>
  <c r="BI277" i="2"/>
  <c r="BV277" i="2" s="1"/>
  <c r="CK277" i="2" s="1"/>
  <c r="BJ277" i="2"/>
  <c r="BW277" i="2" s="1"/>
  <c r="CL277" i="2" s="1"/>
  <c r="BK277" i="2"/>
  <c r="BX277" i="2" s="1"/>
  <c r="CM277" i="2" s="1"/>
  <c r="BL277" i="2"/>
  <c r="BY277" i="2" s="1"/>
  <c r="CN277" i="2" s="1"/>
  <c r="BM277" i="2"/>
  <c r="BZ277" i="2" s="1"/>
  <c r="CO277" i="2" s="1"/>
  <c r="BN277" i="2"/>
  <c r="CA277" i="2" s="1"/>
  <c r="CP277" i="2" s="1"/>
  <c r="BO277" i="2"/>
  <c r="CB277" i="2" s="1"/>
  <c r="CQ277" i="2" s="1"/>
  <c r="BP277" i="2"/>
  <c r="CC277" i="2" s="1"/>
  <c r="CR277" i="2" s="1"/>
  <c r="BQ277" i="2"/>
  <c r="CD277" i="2" s="1"/>
  <c r="CS277" i="2" s="1"/>
  <c r="BR277" i="2"/>
  <c r="CE277" i="2" s="1"/>
  <c r="CT277" i="2" s="1"/>
  <c r="BS277" i="2"/>
  <c r="CF277" i="2" s="1"/>
  <c r="CU277" i="2" s="1"/>
  <c r="BH278" i="2"/>
  <c r="BU278" i="2" s="1"/>
  <c r="CJ278" i="2" s="1"/>
  <c r="BI278" i="2"/>
  <c r="BV278" i="2" s="1"/>
  <c r="CK278" i="2" s="1"/>
  <c r="BJ278" i="2"/>
  <c r="BW278" i="2" s="1"/>
  <c r="CL278" i="2" s="1"/>
  <c r="BK278" i="2"/>
  <c r="BX278" i="2" s="1"/>
  <c r="CM278" i="2" s="1"/>
  <c r="BL278" i="2"/>
  <c r="BY278" i="2" s="1"/>
  <c r="CN278" i="2" s="1"/>
  <c r="BM278" i="2"/>
  <c r="BZ278" i="2" s="1"/>
  <c r="CO278" i="2" s="1"/>
  <c r="BN278" i="2"/>
  <c r="CA278" i="2" s="1"/>
  <c r="CP278" i="2" s="1"/>
  <c r="BO278" i="2"/>
  <c r="CB278" i="2" s="1"/>
  <c r="CQ278" i="2" s="1"/>
  <c r="BP278" i="2"/>
  <c r="CC278" i="2" s="1"/>
  <c r="CR278" i="2" s="1"/>
  <c r="BQ278" i="2"/>
  <c r="CD278" i="2" s="1"/>
  <c r="CS278" i="2" s="1"/>
  <c r="BR278" i="2"/>
  <c r="CE278" i="2" s="1"/>
  <c r="CT278" i="2" s="1"/>
  <c r="BS278" i="2"/>
  <c r="CF278" i="2" s="1"/>
  <c r="CU278" i="2" s="1"/>
  <c r="BH279" i="2"/>
  <c r="BU279" i="2" s="1"/>
  <c r="CJ279" i="2" s="1"/>
  <c r="BI279" i="2"/>
  <c r="BV279" i="2" s="1"/>
  <c r="CK279" i="2" s="1"/>
  <c r="BJ279" i="2"/>
  <c r="BW279" i="2" s="1"/>
  <c r="CL279" i="2" s="1"/>
  <c r="BK279" i="2"/>
  <c r="BX279" i="2" s="1"/>
  <c r="CM279" i="2" s="1"/>
  <c r="BL279" i="2"/>
  <c r="BY279" i="2" s="1"/>
  <c r="CN279" i="2" s="1"/>
  <c r="BM279" i="2"/>
  <c r="BZ279" i="2" s="1"/>
  <c r="CO279" i="2" s="1"/>
  <c r="BN279" i="2"/>
  <c r="CA279" i="2" s="1"/>
  <c r="CP279" i="2" s="1"/>
  <c r="BO279" i="2"/>
  <c r="CB279" i="2" s="1"/>
  <c r="CQ279" i="2" s="1"/>
  <c r="BP279" i="2"/>
  <c r="CC279" i="2" s="1"/>
  <c r="CR279" i="2" s="1"/>
  <c r="BQ279" i="2"/>
  <c r="CD279" i="2" s="1"/>
  <c r="CS279" i="2" s="1"/>
  <c r="BR279" i="2"/>
  <c r="CE279" i="2" s="1"/>
  <c r="CT279" i="2" s="1"/>
  <c r="BS279" i="2"/>
  <c r="CF279" i="2" s="1"/>
  <c r="CU279" i="2" s="1"/>
  <c r="BH280" i="2"/>
  <c r="BU280" i="2" s="1"/>
  <c r="CJ280" i="2" s="1"/>
  <c r="BI280" i="2"/>
  <c r="BV280" i="2" s="1"/>
  <c r="CK280" i="2" s="1"/>
  <c r="BJ280" i="2"/>
  <c r="BW280" i="2" s="1"/>
  <c r="CL280" i="2" s="1"/>
  <c r="BK280" i="2"/>
  <c r="BX280" i="2" s="1"/>
  <c r="CM280" i="2" s="1"/>
  <c r="BL280" i="2"/>
  <c r="BY280" i="2" s="1"/>
  <c r="CN280" i="2" s="1"/>
  <c r="BM280" i="2"/>
  <c r="BZ280" i="2" s="1"/>
  <c r="CO280" i="2" s="1"/>
  <c r="BN280" i="2"/>
  <c r="CA280" i="2" s="1"/>
  <c r="CP280" i="2" s="1"/>
  <c r="BO280" i="2"/>
  <c r="CB280" i="2" s="1"/>
  <c r="CQ280" i="2" s="1"/>
  <c r="BP280" i="2"/>
  <c r="CC280" i="2" s="1"/>
  <c r="CR280" i="2" s="1"/>
  <c r="BQ280" i="2"/>
  <c r="CD280" i="2" s="1"/>
  <c r="CS280" i="2" s="1"/>
  <c r="BR280" i="2"/>
  <c r="CE280" i="2" s="1"/>
  <c r="CT280" i="2" s="1"/>
  <c r="BS280" i="2"/>
  <c r="CF280" i="2" s="1"/>
  <c r="CU280" i="2" s="1"/>
  <c r="BH281" i="2"/>
  <c r="BU281" i="2" s="1"/>
  <c r="CJ281" i="2" s="1"/>
  <c r="BI281" i="2"/>
  <c r="BV281" i="2" s="1"/>
  <c r="CK281" i="2" s="1"/>
  <c r="BJ281" i="2"/>
  <c r="BW281" i="2" s="1"/>
  <c r="CL281" i="2" s="1"/>
  <c r="BK281" i="2"/>
  <c r="BX281" i="2" s="1"/>
  <c r="CM281" i="2" s="1"/>
  <c r="BL281" i="2"/>
  <c r="BY281" i="2" s="1"/>
  <c r="CN281" i="2" s="1"/>
  <c r="BM281" i="2"/>
  <c r="BZ281" i="2" s="1"/>
  <c r="CO281" i="2" s="1"/>
  <c r="BN281" i="2"/>
  <c r="CA281" i="2" s="1"/>
  <c r="CP281" i="2" s="1"/>
  <c r="BO281" i="2"/>
  <c r="CB281" i="2" s="1"/>
  <c r="CQ281" i="2" s="1"/>
  <c r="BP281" i="2"/>
  <c r="CC281" i="2" s="1"/>
  <c r="CR281" i="2" s="1"/>
  <c r="BQ281" i="2"/>
  <c r="CD281" i="2" s="1"/>
  <c r="CS281" i="2" s="1"/>
  <c r="BR281" i="2"/>
  <c r="CE281" i="2" s="1"/>
  <c r="CT281" i="2" s="1"/>
  <c r="BS281" i="2"/>
  <c r="CF281" i="2" s="1"/>
  <c r="CU281" i="2" s="1"/>
  <c r="BH282" i="2"/>
  <c r="BU282" i="2" s="1"/>
  <c r="CJ282" i="2" s="1"/>
  <c r="BI282" i="2"/>
  <c r="BV282" i="2" s="1"/>
  <c r="CK282" i="2" s="1"/>
  <c r="BJ282" i="2"/>
  <c r="BW282" i="2" s="1"/>
  <c r="CL282" i="2" s="1"/>
  <c r="BK282" i="2"/>
  <c r="BX282" i="2" s="1"/>
  <c r="CM282" i="2" s="1"/>
  <c r="BL282" i="2"/>
  <c r="BY282" i="2" s="1"/>
  <c r="CN282" i="2" s="1"/>
  <c r="BM282" i="2"/>
  <c r="BZ282" i="2" s="1"/>
  <c r="CO282" i="2" s="1"/>
  <c r="BN282" i="2"/>
  <c r="CA282" i="2" s="1"/>
  <c r="CP282" i="2" s="1"/>
  <c r="BO282" i="2"/>
  <c r="CB282" i="2" s="1"/>
  <c r="CQ282" i="2" s="1"/>
  <c r="BP282" i="2"/>
  <c r="CC282" i="2" s="1"/>
  <c r="CR282" i="2" s="1"/>
  <c r="BQ282" i="2"/>
  <c r="CD282" i="2" s="1"/>
  <c r="CS282" i="2" s="1"/>
  <c r="BR282" i="2"/>
  <c r="CE282" i="2" s="1"/>
  <c r="CT282" i="2" s="1"/>
  <c r="BS282" i="2"/>
  <c r="CF282" i="2" s="1"/>
  <c r="CU282" i="2" s="1"/>
  <c r="BH283" i="2"/>
  <c r="BU283" i="2" s="1"/>
  <c r="CJ283" i="2" s="1"/>
  <c r="BI283" i="2"/>
  <c r="BV283" i="2" s="1"/>
  <c r="CK283" i="2" s="1"/>
  <c r="BJ283" i="2"/>
  <c r="BW283" i="2" s="1"/>
  <c r="CL283" i="2" s="1"/>
  <c r="BK283" i="2"/>
  <c r="BX283" i="2" s="1"/>
  <c r="CM283" i="2" s="1"/>
  <c r="BL283" i="2"/>
  <c r="BY283" i="2" s="1"/>
  <c r="CN283" i="2" s="1"/>
  <c r="BM283" i="2"/>
  <c r="BZ283" i="2" s="1"/>
  <c r="CO283" i="2" s="1"/>
  <c r="BN283" i="2"/>
  <c r="CA283" i="2" s="1"/>
  <c r="CP283" i="2" s="1"/>
  <c r="BO283" i="2"/>
  <c r="CB283" i="2" s="1"/>
  <c r="CQ283" i="2" s="1"/>
  <c r="BP283" i="2"/>
  <c r="CC283" i="2" s="1"/>
  <c r="CR283" i="2" s="1"/>
  <c r="BQ283" i="2"/>
  <c r="CD283" i="2" s="1"/>
  <c r="CS283" i="2" s="1"/>
  <c r="BR283" i="2"/>
  <c r="CE283" i="2" s="1"/>
  <c r="CT283" i="2" s="1"/>
  <c r="BS283" i="2"/>
  <c r="CF283" i="2" s="1"/>
  <c r="CU283" i="2" s="1"/>
  <c r="BH284" i="2"/>
  <c r="BU284" i="2" s="1"/>
  <c r="CJ284" i="2" s="1"/>
  <c r="BI284" i="2"/>
  <c r="BV284" i="2" s="1"/>
  <c r="CK284" i="2" s="1"/>
  <c r="BJ284" i="2"/>
  <c r="BW284" i="2" s="1"/>
  <c r="CL284" i="2" s="1"/>
  <c r="BK284" i="2"/>
  <c r="BX284" i="2" s="1"/>
  <c r="CM284" i="2" s="1"/>
  <c r="BL284" i="2"/>
  <c r="BY284" i="2" s="1"/>
  <c r="CN284" i="2" s="1"/>
  <c r="BM284" i="2"/>
  <c r="BZ284" i="2" s="1"/>
  <c r="CO284" i="2" s="1"/>
  <c r="BN284" i="2"/>
  <c r="CA284" i="2" s="1"/>
  <c r="CP284" i="2" s="1"/>
  <c r="BO284" i="2"/>
  <c r="CB284" i="2" s="1"/>
  <c r="CQ284" i="2" s="1"/>
  <c r="BP284" i="2"/>
  <c r="CC284" i="2" s="1"/>
  <c r="CR284" i="2" s="1"/>
  <c r="BQ284" i="2"/>
  <c r="CD284" i="2" s="1"/>
  <c r="CS284" i="2" s="1"/>
  <c r="BR284" i="2"/>
  <c r="CE284" i="2" s="1"/>
  <c r="CT284" i="2" s="1"/>
  <c r="BS284" i="2"/>
  <c r="CF284" i="2" s="1"/>
  <c r="CU284" i="2" s="1"/>
  <c r="BH285" i="2"/>
  <c r="BU285" i="2" s="1"/>
  <c r="CJ285" i="2" s="1"/>
  <c r="BI285" i="2"/>
  <c r="BV285" i="2" s="1"/>
  <c r="CK285" i="2" s="1"/>
  <c r="BJ285" i="2"/>
  <c r="BW285" i="2" s="1"/>
  <c r="CL285" i="2" s="1"/>
  <c r="BK285" i="2"/>
  <c r="BX285" i="2" s="1"/>
  <c r="CM285" i="2" s="1"/>
  <c r="BL285" i="2"/>
  <c r="BY285" i="2" s="1"/>
  <c r="CN285" i="2" s="1"/>
  <c r="BM285" i="2"/>
  <c r="BZ285" i="2" s="1"/>
  <c r="CO285" i="2" s="1"/>
  <c r="BN285" i="2"/>
  <c r="CA285" i="2" s="1"/>
  <c r="CP285" i="2" s="1"/>
  <c r="BO285" i="2"/>
  <c r="CB285" i="2" s="1"/>
  <c r="CQ285" i="2" s="1"/>
  <c r="BP285" i="2"/>
  <c r="CC285" i="2" s="1"/>
  <c r="CR285" i="2" s="1"/>
  <c r="BQ285" i="2"/>
  <c r="CD285" i="2" s="1"/>
  <c r="CS285" i="2" s="1"/>
  <c r="BR285" i="2"/>
  <c r="CE285" i="2" s="1"/>
  <c r="CT285" i="2" s="1"/>
  <c r="BS285" i="2"/>
  <c r="CF285" i="2" s="1"/>
  <c r="CU285" i="2" s="1"/>
  <c r="BH286" i="2"/>
  <c r="BU286" i="2" s="1"/>
  <c r="CJ286" i="2" s="1"/>
  <c r="BI286" i="2"/>
  <c r="BV286" i="2" s="1"/>
  <c r="CK286" i="2" s="1"/>
  <c r="BJ286" i="2"/>
  <c r="BW286" i="2" s="1"/>
  <c r="CL286" i="2" s="1"/>
  <c r="BK286" i="2"/>
  <c r="BX286" i="2" s="1"/>
  <c r="CM286" i="2" s="1"/>
  <c r="BL286" i="2"/>
  <c r="BY286" i="2" s="1"/>
  <c r="CN286" i="2" s="1"/>
  <c r="BM286" i="2"/>
  <c r="BZ286" i="2" s="1"/>
  <c r="CO286" i="2" s="1"/>
  <c r="BN286" i="2"/>
  <c r="CA286" i="2" s="1"/>
  <c r="CP286" i="2" s="1"/>
  <c r="BO286" i="2"/>
  <c r="CB286" i="2" s="1"/>
  <c r="CQ286" i="2" s="1"/>
  <c r="BP286" i="2"/>
  <c r="CC286" i="2" s="1"/>
  <c r="CR286" i="2" s="1"/>
  <c r="BQ286" i="2"/>
  <c r="CD286" i="2" s="1"/>
  <c r="CS286" i="2" s="1"/>
  <c r="BR286" i="2"/>
  <c r="CE286" i="2" s="1"/>
  <c r="CT286" i="2" s="1"/>
  <c r="BS286" i="2"/>
  <c r="CF286" i="2" s="1"/>
  <c r="CU286" i="2" s="1"/>
  <c r="BH287" i="2"/>
  <c r="BU287" i="2" s="1"/>
  <c r="CJ287" i="2" s="1"/>
  <c r="BI287" i="2"/>
  <c r="BV287" i="2" s="1"/>
  <c r="CK287" i="2" s="1"/>
  <c r="BJ287" i="2"/>
  <c r="BW287" i="2" s="1"/>
  <c r="CL287" i="2" s="1"/>
  <c r="BK287" i="2"/>
  <c r="BX287" i="2" s="1"/>
  <c r="CM287" i="2" s="1"/>
  <c r="BL287" i="2"/>
  <c r="BY287" i="2" s="1"/>
  <c r="CN287" i="2" s="1"/>
  <c r="BM287" i="2"/>
  <c r="BZ287" i="2" s="1"/>
  <c r="CO287" i="2" s="1"/>
  <c r="BN287" i="2"/>
  <c r="CA287" i="2" s="1"/>
  <c r="CP287" i="2" s="1"/>
  <c r="BO287" i="2"/>
  <c r="CB287" i="2" s="1"/>
  <c r="CQ287" i="2" s="1"/>
  <c r="BP287" i="2"/>
  <c r="CC287" i="2" s="1"/>
  <c r="CR287" i="2" s="1"/>
  <c r="BQ287" i="2"/>
  <c r="CD287" i="2" s="1"/>
  <c r="CS287" i="2" s="1"/>
  <c r="BR287" i="2"/>
  <c r="CE287" i="2" s="1"/>
  <c r="CT287" i="2" s="1"/>
  <c r="BS287" i="2"/>
  <c r="CF287" i="2" s="1"/>
  <c r="CU287" i="2" s="1"/>
  <c r="BH288" i="2"/>
  <c r="BU288" i="2" s="1"/>
  <c r="CJ288" i="2" s="1"/>
  <c r="BI288" i="2"/>
  <c r="BV288" i="2" s="1"/>
  <c r="CK288" i="2" s="1"/>
  <c r="BJ288" i="2"/>
  <c r="BW288" i="2" s="1"/>
  <c r="CL288" i="2" s="1"/>
  <c r="BK288" i="2"/>
  <c r="BX288" i="2" s="1"/>
  <c r="CM288" i="2" s="1"/>
  <c r="BL288" i="2"/>
  <c r="BY288" i="2" s="1"/>
  <c r="CN288" i="2" s="1"/>
  <c r="BM288" i="2"/>
  <c r="BZ288" i="2" s="1"/>
  <c r="CO288" i="2" s="1"/>
  <c r="BN288" i="2"/>
  <c r="CA288" i="2" s="1"/>
  <c r="CP288" i="2" s="1"/>
  <c r="BO288" i="2"/>
  <c r="CB288" i="2" s="1"/>
  <c r="CQ288" i="2" s="1"/>
  <c r="BP288" i="2"/>
  <c r="CC288" i="2" s="1"/>
  <c r="CR288" i="2" s="1"/>
  <c r="BQ288" i="2"/>
  <c r="CD288" i="2" s="1"/>
  <c r="CS288" i="2" s="1"/>
  <c r="BR288" i="2"/>
  <c r="CE288" i="2" s="1"/>
  <c r="CT288" i="2" s="1"/>
  <c r="BS288" i="2"/>
  <c r="CF288" i="2" s="1"/>
  <c r="CU288" i="2" s="1"/>
  <c r="BH289" i="2"/>
  <c r="BU289" i="2" s="1"/>
  <c r="CJ289" i="2" s="1"/>
  <c r="BI289" i="2"/>
  <c r="BV289" i="2" s="1"/>
  <c r="CK289" i="2" s="1"/>
  <c r="BJ289" i="2"/>
  <c r="BW289" i="2" s="1"/>
  <c r="CL289" i="2" s="1"/>
  <c r="BK289" i="2"/>
  <c r="BX289" i="2" s="1"/>
  <c r="CM289" i="2" s="1"/>
  <c r="BL289" i="2"/>
  <c r="BY289" i="2" s="1"/>
  <c r="CN289" i="2" s="1"/>
  <c r="BM289" i="2"/>
  <c r="BZ289" i="2" s="1"/>
  <c r="CO289" i="2" s="1"/>
  <c r="BN289" i="2"/>
  <c r="CA289" i="2" s="1"/>
  <c r="CP289" i="2" s="1"/>
  <c r="BO289" i="2"/>
  <c r="CB289" i="2" s="1"/>
  <c r="CQ289" i="2" s="1"/>
  <c r="BP289" i="2"/>
  <c r="CC289" i="2" s="1"/>
  <c r="CR289" i="2" s="1"/>
  <c r="BQ289" i="2"/>
  <c r="CD289" i="2" s="1"/>
  <c r="CS289" i="2" s="1"/>
  <c r="BR289" i="2"/>
  <c r="CE289" i="2" s="1"/>
  <c r="CT289" i="2" s="1"/>
  <c r="BS289" i="2"/>
  <c r="CF289" i="2" s="1"/>
  <c r="CU289" i="2" s="1"/>
  <c r="BH290" i="2"/>
  <c r="BU290" i="2" s="1"/>
  <c r="CJ290" i="2" s="1"/>
  <c r="BI290" i="2"/>
  <c r="BV290" i="2" s="1"/>
  <c r="CK290" i="2" s="1"/>
  <c r="BJ290" i="2"/>
  <c r="BW290" i="2" s="1"/>
  <c r="CL290" i="2" s="1"/>
  <c r="BK290" i="2"/>
  <c r="BX290" i="2" s="1"/>
  <c r="CM290" i="2" s="1"/>
  <c r="BL290" i="2"/>
  <c r="BY290" i="2" s="1"/>
  <c r="CN290" i="2" s="1"/>
  <c r="BM290" i="2"/>
  <c r="BZ290" i="2" s="1"/>
  <c r="CO290" i="2" s="1"/>
  <c r="BN290" i="2"/>
  <c r="CA290" i="2" s="1"/>
  <c r="CP290" i="2" s="1"/>
  <c r="BO290" i="2"/>
  <c r="CB290" i="2" s="1"/>
  <c r="CQ290" i="2" s="1"/>
  <c r="BP290" i="2"/>
  <c r="CC290" i="2" s="1"/>
  <c r="CR290" i="2" s="1"/>
  <c r="BQ290" i="2"/>
  <c r="CD290" i="2" s="1"/>
  <c r="CS290" i="2" s="1"/>
  <c r="BR290" i="2"/>
  <c r="CE290" i="2" s="1"/>
  <c r="CT290" i="2" s="1"/>
  <c r="BS290" i="2"/>
  <c r="CF290" i="2" s="1"/>
  <c r="CU290" i="2" s="1"/>
  <c r="BH291" i="2"/>
  <c r="BU291" i="2" s="1"/>
  <c r="CJ291" i="2" s="1"/>
  <c r="BI291" i="2"/>
  <c r="BV291" i="2" s="1"/>
  <c r="CK291" i="2" s="1"/>
  <c r="BJ291" i="2"/>
  <c r="BW291" i="2" s="1"/>
  <c r="CL291" i="2" s="1"/>
  <c r="BK291" i="2"/>
  <c r="BX291" i="2" s="1"/>
  <c r="CM291" i="2" s="1"/>
  <c r="BL291" i="2"/>
  <c r="BY291" i="2" s="1"/>
  <c r="CN291" i="2" s="1"/>
  <c r="BM291" i="2"/>
  <c r="BZ291" i="2" s="1"/>
  <c r="CO291" i="2" s="1"/>
  <c r="BN291" i="2"/>
  <c r="CA291" i="2" s="1"/>
  <c r="CP291" i="2" s="1"/>
  <c r="BO291" i="2"/>
  <c r="CB291" i="2" s="1"/>
  <c r="CQ291" i="2" s="1"/>
  <c r="BP291" i="2"/>
  <c r="CC291" i="2" s="1"/>
  <c r="CR291" i="2" s="1"/>
  <c r="BQ291" i="2"/>
  <c r="CD291" i="2" s="1"/>
  <c r="CS291" i="2" s="1"/>
  <c r="BR291" i="2"/>
  <c r="CE291" i="2" s="1"/>
  <c r="CT291" i="2" s="1"/>
  <c r="BS291" i="2"/>
  <c r="CF291" i="2" s="1"/>
  <c r="CU291" i="2" s="1"/>
  <c r="BH292" i="2"/>
  <c r="BU292" i="2" s="1"/>
  <c r="CJ292" i="2" s="1"/>
  <c r="BI292" i="2"/>
  <c r="BV292" i="2" s="1"/>
  <c r="CK292" i="2" s="1"/>
  <c r="BJ292" i="2"/>
  <c r="BW292" i="2" s="1"/>
  <c r="CL292" i="2" s="1"/>
  <c r="BK292" i="2"/>
  <c r="BX292" i="2" s="1"/>
  <c r="CM292" i="2" s="1"/>
  <c r="BL292" i="2"/>
  <c r="BY292" i="2" s="1"/>
  <c r="CN292" i="2" s="1"/>
  <c r="BM292" i="2"/>
  <c r="BZ292" i="2" s="1"/>
  <c r="CO292" i="2" s="1"/>
  <c r="BN292" i="2"/>
  <c r="CA292" i="2" s="1"/>
  <c r="CP292" i="2" s="1"/>
  <c r="BO292" i="2"/>
  <c r="CB292" i="2" s="1"/>
  <c r="CQ292" i="2" s="1"/>
  <c r="BP292" i="2"/>
  <c r="CC292" i="2" s="1"/>
  <c r="CR292" i="2" s="1"/>
  <c r="BQ292" i="2"/>
  <c r="CD292" i="2" s="1"/>
  <c r="CS292" i="2" s="1"/>
  <c r="BR292" i="2"/>
  <c r="CE292" i="2" s="1"/>
  <c r="CT292" i="2" s="1"/>
  <c r="BS292" i="2"/>
  <c r="CF292" i="2" s="1"/>
  <c r="CU292" i="2" s="1"/>
  <c r="BH293" i="2"/>
  <c r="BU293" i="2" s="1"/>
  <c r="CJ293" i="2" s="1"/>
  <c r="BI293" i="2"/>
  <c r="BV293" i="2" s="1"/>
  <c r="CK293" i="2" s="1"/>
  <c r="BJ293" i="2"/>
  <c r="BW293" i="2" s="1"/>
  <c r="CL293" i="2" s="1"/>
  <c r="BK293" i="2"/>
  <c r="BX293" i="2" s="1"/>
  <c r="CM293" i="2" s="1"/>
  <c r="BL293" i="2"/>
  <c r="BY293" i="2" s="1"/>
  <c r="CN293" i="2" s="1"/>
  <c r="BM293" i="2"/>
  <c r="BZ293" i="2" s="1"/>
  <c r="CO293" i="2" s="1"/>
  <c r="BN293" i="2"/>
  <c r="CA293" i="2" s="1"/>
  <c r="CP293" i="2" s="1"/>
  <c r="BO293" i="2"/>
  <c r="CB293" i="2" s="1"/>
  <c r="CQ293" i="2" s="1"/>
  <c r="BP293" i="2"/>
  <c r="CC293" i="2" s="1"/>
  <c r="CR293" i="2" s="1"/>
  <c r="BQ293" i="2"/>
  <c r="CD293" i="2" s="1"/>
  <c r="CS293" i="2" s="1"/>
  <c r="BR293" i="2"/>
  <c r="CE293" i="2" s="1"/>
  <c r="CT293" i="2" s="1"/>
  <c r="BS293" i="2"/>
  <c r="CF293" i="2" s="1"/>
  <c r="CU293" i="2" s="1"/>
  <c r="BH294" i="2"/>
  <c r="BU294" i="2" s="1"/>
  <c r="CJ294" i="2" s="1"/>
  <c r="BI294" i="2"/>
  <c r="BV294" i="2" s="1"/>
  <c r="CK294" i="2" s="1"/>
  <c r="BJ294" i="2"/>
  <c r="BW294" i="2" s="1"/>
  <c r="CL294" i="2" s="1"/>
  <c r="BK294" i="2"/>
  <c r="BX294" i="2" s="1"/>
  <c r="CM294" i="2" s="1"/>
  <c r="BL294" i="2"/>
  <c r="BY294" i="2" s="1"/>
  <c r="CN294" i="2" s="1"/>
  <c r="BM294" i="2"/>
  <c r="BZ294" i="2" s="1"/>
  <c r="CO294" i="2" s="1"/>
  <c r="BN294" i="2"/>
  <c r="CA294" i="2" s="1"/>
  <c r="CP294" i="2" s="1"/>
  <c r="BO294" i="2"/>
  <c r="CB294" i="2" s="1"/>
  <c r="CQ294" i="2" s="1"/>
  <c r="BP294" i="2"/>
  <c r="CC294" i="2" s="1"/>
  <c r="CR294" i="2" s="1"/>
  <c r="BQ294" i="2"/>
  <c r="CD294" i="2" s="1"/>
  <c r="CS294" i="2" s="1"/>
  <c r="BR294" i="2"/>
  <c r="CE294" i="2" s="1"/>
  <c r="CT294" i="2" s="1"/>
  <c r="BS294" i="2"/>
  <c r="CF294" i="2" s="1"/>
  <c r="CU294" i="2" s="1"/>
  <c r="BH295" i="2"/>
  <c r="BU295" i="2" s="1"/>
  <c r="CJ295" i="2" s="1"/>
  <c r="BI295" i="2"/>
  <c r="BV295" i="2" s="1"/>
  <c r="CK295" i="2" s="1"/>
  <c r="BJ295" i="2"/>
  <c r="BW295" i="2" s="1"/>
  <c r="CL295" i="2" s="1"/>
  <c r="BK295" i="2"/>
  <c r="BX295" i="2" s="1"/>
  <c r="CM295" i="2" s="1"/>
  <c r="BL295" i="2"/>
  <c r="BY295" i="2" s="1"/>
  <c r="CN295" i="2" s="1"/>
  <c r="BM295" i="2"/>
  <c r="BZ295" i="2" s="1"/>
  <c r="CO295" i="2" s="1"/>
  <c r="BN295" i="2"/>
  <c r="CA295" i="2" s="1"/>
  <c r="CP295" i="2" s="1"/>
  <c r="BO295" i="2"/>
  <c r="CB295" i="2" s="1"/>
  <c r="CQ295" i="2" s="1"/>
  <c r="BP295" i="2"/>
  <c r="CC295" i="2" s="1"/>
  <c r="CR295" i="2" s="1"/>
  <c r="BQ295" i="2"/>
  <c r="CD295" i="2" s="1"/>
  <c r="CS295" i="2" s="1"/>
  <c r="BR295" i="2"/>
  <c r="CE295" i="2" s="1"/>
  <c r="CT295" i="2" s="1"/>
  <c r="BS295" i="2"/>
  <c r="CF295" i="2" s="1"/>
  <c r="CU295" i="2" s="1"/>
  <c r="BH296" i="2"/>
  <c r="BU296" i="2" s="1"/>
  <c r="CJ296" i="2" s="1"/>
  <c r="BI296" i="2"/>
  <c r="BV296" i="2" s="1"/>
  <c r="CK296" i="2" s="1"/>
  <c r="BJ296" i="2"/>
  <c r="BW296" i="2" s="1"/>
  <c r="CL296" i="2" s="1"/>
  <c r="BK296" i="2"/>
  <c r="BX296" i="2" s="1"/>
  <c r="CM296" i="2" s="1"/>
  <c r="BL296" i="2"/>
  <c r="BY296" i="2" s="1"/>
  <c r="CN296" i="2" s="1"/>
  <c r="BM296" i="2"/>
  <c r="BZ296" i="2" s="1"/>
  <c r="CO296" i="2" s="1"/>
  <c r="BN296" i="2"/>
  <c r="CA296" i="2" s="1"/>
  <c r="CP296" i="2" s="1"/>
  <c r="BO296" i="2"/>
  <c r="CB296" i="2" s="1"/>
  <c r="CQ296" i="2" s="1"/>
  <c r="BP296" i="2"/>
  <c r="CC296" i="2" s="1"/>
  <c r="CR296" i="2" s="1"/>
  <c r="BQ296" i="2"/>
  <c r="CD296" i="2" s="1"/>
  <c r="CS296" i="2" s="1"/>
  <c r="BR296" i="2"/>
  <c r="CE296" i="2" s="1"/>
  <c r="CT296" i="2" s="1"/>
  <c r="BS296" i="2"/>
  <c r="CF296" i="2" s="1"/>
  <c r="CU296" i="2" s="1"/>
  <c r="BH297" i="2"/>
  <c r="BU297" i="2" s="1"/>
  <c r="CJ297" i="2" s="1"/>
  <c r="BI297" i="2"/>
  <c r="BV297" i="2" s="1"/>
  <c r="CK297" i="2" s="1"/>
  <c r="BJ297" i="2"/>
  <c r="BW297" i="2" s="1"/>
  <c r="CL297" i="2" s="1"/>
  <c r="BK297" i="2"/>
  <c r="BX297" i="2" s="1"/>
  <c r="CM297" i="2" s="1"/>
  <c r="BL297" i="2"/>
  <c r="BY297" i="2" s="1"/>
  <c r="CN297" i="2" s="1"/>
  <c r="BM297" i="2"/>
  <c r="BZ297" i="2" s="1"/>
  <c r="CO297" i="2" s="1"/>
  <c r="BN297" i="2"/>
  <c r="CA297" i="2" s="1"/>
  <c r="CP297" i="2" s="1"/>
  <c r="BO297" i="2"/>
  <c r="CB297" i="2" s="1"/>
  <c r="CQ297" i="2" s="1"/>
  <c r="BP297" i="2"/>
  <c r="CC297" i="2" s="1"/>
  <c r="CR297" i="2" s="1"/>
  <c r="BQ297" i="2"/>
  <c r="CD297" i="2" s="1"/>
  <c r="CS297" i="2" s="1"/>
  <c r="BR297" i="2"/>
  <c r="CE297" i="2" s="1"/>
  <c r="CT297" i="2" s="1"/>
  <c r="BS297" i="2"/>
  <c r="CF297" i="2" s="1"/>
  <c r="CU297" i="2" s="1"/>
  <c r="BH298" i="2"/>
  <c r="BU298" i="2" s="1"/>
  <c r="CJ298" i="2" s="1"/>
  <c r="BI298" i="2"/>
  <c r="BV298" i="2" s="1"/>
  <c r="CK298" i="2" s="1"/>
  <c r="BJ298" i="2"/>
  <c r="BW298" i="2" s="1"/>
  <c r="CL298" i="2" s="1"/>
  <c r="BK298" i="2"/>
  <c r="BX298" i="2" s="1"/>
  <c r="CM298" i="2" s="1"/>
  <c r="BL298" i="2"/>
  <c r="BY298" i="2" s="1"/>
  <c r="CN298" i="2" s="1"/>
  <c r="BM298" i="2"/>
  <c r="BZ298" i="2" s="1"/>
  <c r="CO298" i="2" s="1"/>
  <c r="BN298" i="2"/>
  <c r="CA298" i="2" s="1"/>
  <c r="CP298" i="2" s="1"/>
  <c r="BO298" i="2"/>
  <c r="CB298" i="2" s="1"/>
  <c r="CQ298" i="2" s="1"/>
  <c r="BP298" i="2"/>
  <c r="CC298" i="2" s="1"/>
  <c r="CR298" i="2" s="1"/>
  <c r="BQ298" i="2"/>
  <c r="CD298" i="2" s="1"/>
  <c r="CS298" i="2" s="1"/>
  <c r="BR298" i="2"/>
  <c r="CE298" i="2" s="1"/>
  <c r="CT298" i="2" s="1"/>
  <c r="BS298" i="2"/>
  <c r="CF298" i="2" s="1"/>
  <c r="CU298" i="2" s="1"/>
  <c r="BH299" i="2"/>
  <c r="BU299" i="2" s="1"/>
  <c r="CJ299" i="2" s="1"/>
  <c r="BI299" i="2"/>
  <c r="BV299" i="2" s="1"/>
  <c r="CK299" i="2" s="1"/>
  <c r="BJ299" i="2"/>
  <c r="BW299" i="2" s="1"/>
  <c r="CL299" i="2" s="1"/>
  <c r="BK299" i="2"/>
  <c r="BX299" i="2" s="1"/>
  <c r="CM299" i="2" s="1"/>
  <c r="BL299" i="2"/>
  <c r="BY299" i="2" s="1"/>
  <c r="CN299" i="2" s="1"/>
  <c r="BM299" i="2"/>
  <c r="BZ299" i="2" s="1"/>
  <c r="CO299" i="2" s="1"/>
  <c r="BN299" i="2"/>
  <c r="CA299" i="2" s="1"/>
  <c r="CP299" i="2" s="1"/>
  <c r="BO299" i="2"/>
  <c r="CB299" i="2" s="1"/>
  <c r="CQ299" i="2" s="1"/>
  <c r="BP299" i="2"/>
  <c r="CC299" i="2" s="1"/>
  <c r="CR299" i="2" s="1"/>
  <c r="BQ299" i="2"/>
  <c r="CD299" i="2" s="1"/>
  <c r="CS299" i="2" s="1"/>
  <c r="BR299" i="2"/>
  <c r="CE299" i="2" s="1"/>
  <c r="CT299" i="2" s="1"/>
  <c r="BS299" i="2"/>
  <c r="CF299" i="2" s="1"/>
  <c r="CU299" i="2" s="1"/>
  <c r="BH300" i="2"/>
  <c r="BU300" i="2" s="1"/>
  <c r="CJ300" i="2" s="1"/>
  <c r="BI300" i="2"/>
  <c r="BV300" i="2" s="1"/>
  <c r="CK300" i="2" s="1"/>
  <c r="BJ300" i="2"/>
  <c r="BW300" i="2" s="1"/>
  <c r="CL300" i="2" s="1"/>
  <c r="BK300" i="2"/>
  <c r="BX300" i="2" s="1"/>
  <c r="CM300" i="2" s="1"/>
  <c r="BL300" i="2"/>
  <c r="BY300" i="2" s="1"/>
  <c r="CN300" i="2" s="1"/>
  <c r="BM300" i="2"/>
  <c r="BZ300" i="2" s="1"/>
  <c r="CO300" i="2" s="1"/>
  <c r="BN300" i="2"/>
  <c r="CA300" i="2" s="1"/>
  <c r="CP300" i="2" s="1"/>
  <c r="BO300" i="2"/>
  <c r="CB300" i="2" s="1"/>
  <c r="CQ300" i="2" s="1"/>
  <c r="BP300" i="2"/>
  <c r="CC300" i="2" s="1"/>
  <c r="CR300" i="2" s="1"/>
  <c r="BQ300" i="2"/>
  <c r="CD300" i="2" s="1"/>
  <c r="CS300" i="2" s="1"/>
  <c r="BR300" i="2"/>
  <c r="CE300" i="2" s="1"/>
  <c r="CT300" i="2" s="1"/>
  <c r="BS300" i="2"/>
  <c r="CF300" i="2" s="1"/>
  <c r="CU300" i="2" s="1"/>
  <c r="BH301" i="2"/>
  <c r="BU301" i="2" s="1"/>
  <c r="CJ301" i="2" s="1"/>
  <c r="BI301" i="2"/>
  <c r="BV301" i="2" s="1"/>
  <c r="CK301" i="2" s="1"/>
  <c r="BJ301" i="2"/>
  <c r="BW301" i="2" s="1"/>
  <c r="CL301" i="2" s="1"/>
  <c r="BK301" i="2"/>
  <c r="BX301" i="2" s="1"/>
  <c r="CM301" i="2" s="1"/>
  <c r="BL301" i="2"/>
  <c r="BY301" i="2" s="1"/>
  <c r="CN301" i="2" s="1"/>
  <c r="BM301" i="2"/>
  <c r="BZ301" i="2" s="1"/>
  <c r="CO301" i="2" s="1"/>
  <c r="BN301" i="2"/>
  <c r="CA301" i="2" s="1"/>
  <c r="CP301" i="2" s="1"/>
  <c r="BO301" i="2"/>
  <c r="CB301" i="2" s="1"/>
  <c r="CQ301" i="2" s="1"/>
  <c r="BP301" i="2"/>
  <c r="CC301" i="2" s="1"/>
  <c r="CR301" i="2" s="1"/>
  <c r="BQ301" i="2"/>
  <c r="CD301" i="2" s="1"/>
  <c r="CS301" i="2" s="1"/>
  <c r="BR301" i="2"/>
  <c r="CE301" i="2" s="1"/>
  <c r="CT301" i="2" s="1"/>
  <c r="BS301" i="2"/>
  <c r="CF301" i="2" s="1"/>
  <c r="CU301" i="2" s="1"/>
  <c r="BH302" i="2"/>
  <c r="BU302" i="2" s="1"/>
  <c r="CJ302" i="2" s="1"/>
  <c r="BI302" i="2"/>
  <c r="BV302" i="2" s="1"/>
  <c r="CK302" i="2" s="1"/>
  <c r="BJ302" i="2"/>
  <c r="BW302" i="2" s="1"/>
  <c r="CL302" i="2" s="1"/>
  <c r="BK302" i="2"/>
  <c r="BX302" i="2" s="1"/>
  <c r="CM302" i="2" s="1"/>
  <c r="BL302" i="2"/>
  <c r="BY302" i="2" s="1"/>
  <c r="CN302" i="2" s="1"/>
  <c r="BM302" i="2"/>
  <c r="BZ302" i="2" s="1"/>
  <c r="CO302" i="2" s="1"/>
  <c r="BN302" i="2"/>
  <c r="CA302" i="2" s="1"/>
  <c r="CP302" i="2" s="1"/>
  <c r="BO302" i="2"/>
  <c r="CB302" i="2" s="1"/>
  <c r="CQ302" i="2" s="1"/>
  <c r="BP302" i="2"/>
  <c r="CC302" i="2" s="1"/>
  <c r="CR302" i="2" s="1"/>
  <c r="BQ302" i="2"/>
  <c r="CD302" i="2" s="1"/>
  <c r="CS302" i="2" s="1"/>
  <c r="BR302" i="2"/>
  <c r="CE302" i="2" s="1"/>
  <c r="CT302" i="2" s="1"/>
  <c r="BS302" i="2"/>
  <c r="CF302" i="2" s="1"/>
  <c r="CU302" i="2" s="1"/>
  <c r="BH303" i="2"/>
  <c r="BU303" i="2" s="1"/>
  <c r="CJ303" i="2" s="1"/>
  <c r="BI303" i="2"/>
  <c r="BV303" i="2" s="1"/>
  <c r="CK303" i="2" s="1"/>
  <c r="BJ303" i="2"/>
  <c r="BW303" i="2" s="1"/>
  <c r="CL303" i="2" s="1"/>
  <c r="BK303" i="2"/>
  <c r="BX303" i="2" s="1"/>
  <c r="CM303" i="2" s="1"/>
  <c r="BL303" i="2"/>
  <c r="BY303" i="2" s="1"/>
  <c r="CN303" i="2" s="1"/>
  <c r="BM303" i="2"/>
  <c r="BZ303" i="2" s="1"/>
  <c r="CO303" i="2" s="1"/>
  <c r="BN303" i="2"/>
  <c r="CA303" i="2" s="1"/>
  <c r="CP303" i="2" s="1"/>
  <c r="BO303" i="2"/>
  <c r="CB303" i="2" s="1"/>
  <c r="CQ303" i="2" s="1"/>
  <c r="BP303" i="2"/>
  <c r="CC303" i="2" s="1"/>
  <c r="CR303" i="2" s="1"/>
  <c r="BQ303" i="2"/>
  <c r="CD303" i="2" s="1"/>
  <c r="CS303" i="2" s="1"/>
  <c r="BR303" i="2"/>
  <c r="CE303" i="2" s="1"/>
  <c r="CT303" i="2" s="1"/>
  <c r="BS303" i="2"/>
  <c r="CF303" i="2" s="1"/>
  <c r="CU303" i="2" s="1"/>
  <c r="BH304" i="2"/>
  <c r="BU304" i="2" s="1"/>
  <c r="CJ304" i="2" s="1"/>
  <c r="BI304" i="2"/>
  <c r="BV304" i="2" s="1"/>
  <c r="CK304" i="2" s="1"/>
  <c r="BJ304" i="2"/>
  <c r="BW304" i="2" s="1"/>
  <c r="CL304" i="2" s="1"/>
  <c r="BK304" i="2"/>
  <c r="BX304" i="2" s="1"/>
  <c r="CM304" i="2" s="1"/>
  <c r="BL304" i="2"/>
  <c r="BY304" i="2" s="1"/>
  <c r="CN304" i="2" s="1"/>
  <c r="BM304" i="2"/>
  <c r="BZ304" i="2" s="1"/>
  <c r="CO304" i="2" s="1"/>
  <c r="BN304" i="2"/>
  <c r="CA304" i="2" s="1"/>
  <c r="CP304" i="2" s="1"/>
  <c r="BO304" i="2"/>
  <c r="CB304" i="2" s="1"/>
  <c r="CQ304" i="2" s="1"/>
  <c r="BP304" i="2"/>
  <c r="CC304" i="2" s="1"/>
  <c r="CR304" i="2" s="1"/>
  <c r="BQ304" i="2"/>
  <c r="CD304" i="2" s="1"/>
  <c r="CS304" i="2" s="1"/>
  <c r="BR304" i="2"/>
  <c r="CE304" i="2" s="1"/>
  <c r="CT304" i="2" s="1"/>
  <c r="BS304" i="2"/>
  <c r="CF304" i="2" s="1"/>
  <c r="CU304" i="2" s="1"/>
  <c r="BH305" i="2"/>
  <c r="BU305" i="2" s="1"/>
  <c r="CJ305" i="2" s="1"/>
  <c r="BI305" i="2"/>
  <c r="BV305" i="2" s="1"/>
  <c r="CK305" i="2" s="1"/>
  <c r="BJ305" i="2"/>
  <c r="BW305" i="2" s="1"/>
  <c r="CL305" i="2" s="1"/>
  <c r="BK305" i="2"/>
  <c r="BX305" i="2" s="1"/>
  <c r="CM305" i="2" s="1"/>
  <c r="BL305" i="2"/>
  <c r="BY305" i="2" s="1"/>
  <c r="CN305" i="2" s="1"/>
  <c r="BM305" i="2"/>
  <c r="BZ305" i="2" s="1"/>
  <c r="CO305" i="2" s="1"/>
  <c r="BN305" i="2"/>
  <c r="CA305" i="2" s="1"/>
  <c r="CP305" i="2" s="1"/>
  <c r="BO305" i="2"/>
  <c r="CB305" i="2" s="1"/>
  <c r="CQ305" i="2" s="1"/>
  <c r="BP305" i="2"/>
  <c r="CC305" i="2" s="1"/>
  <c r="CR305" i="2" s="1"/>
  <c r="BQ305" i="2"/>
  <c r="CD305" i="2" s="1"/>
  <c r="CS305" i="2" s="1"/>
  <c r="BR305" i="2"/>
  <c r="CE305" i="2" s="1"/>
  <c r="CT305" i="2" s="1"/>
  <c r="BS305" i="2"/>
  <c r="CF305" i="2" s="1"/>
  <c r="CU305" i="2" s="1"/>
  <c r="BH306" i="2"/>
  <c r="BU306" i="2" s="1"/>
  <c r="CJ306" i="2" s="1"/>
  <c r="BI306" i="2"/>
  <c r="BV306" i="2" s="1"/>
  <c r="CK306" i="2" s="1"/>
  <c r="BJ306" i="2"/>
  <c r="BW306" i="2" s="1"/>
  <c r="CL306" i="2" s="1"/>
  <c r="BK306" i="2"/>
  <c r="BX306" i="2" s="1"/>
  <c r="CM306" i="2" s="1"/>
  <c r="BL306" i="2"/>
  <c r="BY306" i="2" s="1"/>
  <c r="CN306" i="2" s="1"/>
  <c r="BM306" i="2"/>
  <c r="BZ306" i="2" s="1"/>
  <c r="CO306" i="2" s="1"/>
  <c r="BN306" i="2"/>
  <c r="CA306" i="2" s="1"/>
  <c r="CP306" i="2" s="1"/>
  <c r="BO306" i="2"/>
  <c r="CB306" i="2" s="1"/>
  <c r="CQ306" i="2" s="1"/>
  <c r="BP306" i="2"/>
  <c r="CC306" i="2" s="1"/>
  <c r="CR306" i="2" s="1"/>
  <c r="BQ306" i="2"/>
  <c r="CD306" i="2" s="1"/>
  <c r="CS306" i="2" s="1"/>
  <c r="BR306" i="2"/>
  <c r="CE306" i="2" s="1"/>
  <c r="CT306" i="2" s="1"/>
  <c r="BS306" i="2"/>
  <c r="CF306" i="2" s="1"/>
  <c r="CU306" i="2" s="1"/>
  <c r="BH307" i="2"/>
  <c r="BU307" i="2" s="1"/>
  <c r="CJ307" i="2" s="1"/>
  <c r="BI307" i="2"/>
  <c r="BV307" i="2" s="1"/>
  <c r="CK307" i="2" s="1"/>
  <c r="BJ307" i="2"/>
  <c r="BW307" i="2" s="1"/>
  <c r="CL307" i="2" s="1"/>
  <c r="BK307" i="2"/>
  <c r="BX307" i="2" s="1"/>
  <c r="CM307" i="2" s="1"/>
  <c r="BL307" i="2"/>
  <c r="BY307" i="2" s="1"/>
  <c r="CN307" i="2" s="1"/>
  <c r="BM307" i="2"/>
  <c r="BZ307" i="2" s="1"/>
  <c r="CO307" i="2" s="1"/>
  <c r="BN307" i="2"/>
  <c r="CA307" i="2" s="1"/>
  <c r="CP307" i="2" s="1"/>
  <c r="BO307" i="2"/>
  <c r="CB307" i="2" s="1"/>
  <c r="CQ307" i="2" s="1"/>
  <c r="BP307" i="2"/>
  <c r="CC307" i="2" s="1"/>
  <c r="CR307" i="2" s="1"/>
  <c r="BQ307" i="2"/>
  <c r="CD307" i="2" s="1"/>
  <c r="CS307" i="2" s="1"/>
  <c r="BR307" i="2"/>
  <c r="CE307" i="2" s="1"/>
  <c r="CT307" i="2" s="1"/>
  <c r="BS307" i="2"/>
  <c r="CF307" i="2" s="1"/>
  <c r="CU307" i="2" s="1"/>
  <c r="BH308" i="2"/>
  <c r="BU308" i="2" s="1"/>
  <c r="CJ308" i="2" s="1"/>
  <c r="BI308" i="2"/>
  <c r="BV308" i="2" s="1"/>
  <c r="CK308" i="2" s="1"/>
  <c r="BJ308" i="2"/>
  <c r="BW308" i="2" s="1"/>
  <c r="CL308" i="2" s="1"/>
  <c r="BK308" i="2"/>
  <c r="BX308" i="2" s="1"/>
  <c r="CM308" i="2" s="1"/>
  <c r="BL308" i="2"/>
  <c r="BY308" i="2" s="1"/>
  <c r="CN308" i="2" s="1"/>
  <c r="BM308" i="2"/>
  <c r="BZ308" i="2" s="1"/>
  <c r="CO308" i="2" s="1"/>
  <c r="BN308" i="2"/>
  <c r="CA308" i="2" s="1"/>
  <c r="CP308" i="2" s="1"/>
  <c r="BO308" i="2"/>
  <c r="CB308" i="2" s="1"/>
  <c r="CQ308" i="2" s="1"/>
  <c r="BP308" i="2"/>
  <c r="CC308" i="2" s="1"/>
  <c r="CR308" i="2" s="1"/>
  <c r="BQ308" i="2"/>
  <c r="CD308" i="2" s="1"/>
  <c r="CS308" i="2" s="1"/>
  <c r="BR308" i="2"/>
  <c r="CE308" i="2" s="1"/>
  <c r="CT308" i="2" s="1"/>
  <c r="BS308" i="2"/>
  <c r="CF308" i="2" s="1"/>
  <c r="CU308" i="2" s="1"/>
  <c r="BH309" i="2"/>
  <c r="BU309" i="2" s="1"/>
  <c r="CJ309" i="2" s="1"/>
  <c r="BI309" i="2"/>
  <c r="BV309" i="2" s="1"/>
  <c r="CK309" i="2" s="1"/>
  <c r="BJ309" i="2"/>
  <c r="BW309" i="2" s="1"/>
  <c r="CL309" i="2" s="1"/>
  <c r="BK309" i="2"/>
  <c r="BX309" i="2" s="1"/>
  <c r="CM309" i="2" s="1"/>
  <c r="BL309" i="2"/>
  <c r="BY309" i="2" s="1"/>
  <c r="CN309" i="2" s="1"/>
  <c r="BM309" i="2"/>
  <c r="BZ309" i="2" s="1"/>
  <c r="CO309" i="2" s="1"/>
  <c r="BN309" i="2"/>
  <c r="CA309" i="2" s="1"/>
  <c r="CP309" i="2" s="1"/>
  <c r="BO309" i="2"/>
  <c r="CB309" i="2" s="1"/>
  <c r="CQ309" i="2" s="1"/>
  <c r="BP309" i="2"/>
  <c r="CC309" i="2" s="1"/>
  <c r="CR309" i="2" s="1"/>
  <c r="BQ309" i="2"/>
  <c r="CD309" i="2" s="1"/>
  <c r="CS309" i="2" s="1"/>
  <c r="BR309" i="2"/>
  <c r="CE309" i="2" s="1"/>
  <c r="CT309" i="2" s="1"/>
  <c r="BS309" i="2"/>
  <c r="CF309" i="2" s="1"/>
  <c r="CU309" i="2" s="1"/>
  <c r="BH310" i="2"/>
  <c r="BU310" i="2" s="1"/>
  <c r="CJ310" i="2" s="1"/>
  <c r="BI310" i="2"/>
  <c r="BV310" i="2" s="1"/>
  <c r="CK310" i="2" s="1"/>
  <c r="BJ310" i="2"/>
  <c r="BW310" i="2" s="1"/>
  <c r="CL310" i="2" s="1"/>
  <c r="BK310" i="2"/>
  <c r="BX310" i="2" s="1"/>
  <c r="CM310" i="2" s="1"/>
  <c r="BL310" i="2"/>
  <c r="BY310" i="2" s="1"/>
  <c r="CN310" i="2" s="1"/>
  <c r="BM310" i="2"/>
  <c r="BZ310" i="2" s="1"/>
  <c r="CO310" i="2" s="1"/>
  <c r="BN310" i="2"/>
  <c r="CA310" i="2" s="1"/>
  <c r="CP310" i="2" s="1"/>
  <c r="BO310" i="2"/>
  <c r="CB310" i="2" s="1"/>
  <c r="CQ310" i="2" s="1"/>
  <c r="BP310" i="2"/>
  <c r="CC310" i="2" s="1"/>
  <c r="CR310" i="2" s="1"/>
  <c r="BQ310" i="2"/>
  <c r="CD310" i="2" s="1"/>
  <c r="CS310" i="2" s="1"/>
  <c r="BR310" i="2"/>
  <c r="CE310" i="2" s="1"/>
  <c r="CT310" i="2" s="1"/>
  <c r="BS310" i="2"/>
  <c r="CF310" i="2" s="1"/>
  <c r="CU310" i="2" s="1"/>
  <c r="BH311" i="2"/>
  <c r="BU311" i="2" s="1"/>
  <c r="CJ311" i="2" s="1"/>
  <c r="BI311" i="2"/>
  <c r="BV311" i="2" s="1"/>
  <c r="CK311" i="2" s="1"/>
  <c r="BJ311" i="2"/>
  <c r="BW311" i="2" s="1"/>
  <c r="CL311" i="2" s="1"/>
  <c r="BK311" i="2"/>
  <c r="BX311" i="2" s="1"/>
  <c r="CM311" i="2" s="1"/>
  <c r="BL311" i="2"/>
  <c r="BY311" i="2" s="1"/>
  <c r="CN311" i="2" s="1"/>
  <c r="BM311" i="2"/>
  <c r="BZ311" i="2" s="1"/>
  <c r="CO311" i="2" s="1"/>
  <c r="BN311" i="2"/>
  <c r="CA311" i="2" s="1"/>
  <c r="CP311" i="2" s="1"/>
  <c r="BO311" i="2"/>
  <c r="CB311" i="2" s="1"/>
  <c r="CQ311" i="2" s="1"/>
  <c r="BP311" i="2"/>
  <c r="CC311" i="2" s="1"/>
  <c r="CR311" i="2" s="1"/>
  <c r="BQ311" i="2"/>
  <c r="CD311" i="2" s="1"/>
  <c r="CS311" i="2" s="1"/>
  <c r="BR311" i="2"/>
  <c r="CE311" i="2" s="1"/>
  <c r="CT311" i="2" s="1"/>
  <c r="BS311" i="2"/>
  <c r="CF311" i="2" s="1"/>
  <c r="CU311" i="2" s="1"/>
  <c r="BH312" i="2"/>
  <c r="BU312" i="2" s="1"/>
  <c r="CJ312" i="2" s="1"/>
  <c r="BI312" i="2"/>
  <c r="BV312" i="2" s="1"/>
  <c r="CK312" i="2" s="1"/>
  <c r="BJ312" i="2"/>
  <c r="BW312" i="2" s="1"/>
  <c r="CL312" i="2" s="1"/>
  <c r="BK312" i="2"/>
  <c r="BX312" i="2" s="1"/>
  <c r="CM312" i="2" s="1"/>
  <c r="BL312" i="2"/>
  <c r="BY312" i="2" s="1"/>
  <c r="CN312" i="2" s="1"/>
  <c r="BM312" i="2"/>
  <c r="BZ312" i="2" s="1"/>
  <c r="CO312" i="2" s="1"/>
  <c r="BN312" i="2"/>
  <c r="CA312" i="2" s="1"/>
  <c r="CP312" i="2" s="1"/>
  <c r="BO312" i="2"/>
  <c r="CB312" i="2" s="1"/>
  <c r="CQ312" i="2" s="1"/>
  <c r="BP312" i="2"/>
  <c r="CC312" i="2" s="1"/>
  <c r="CR312" i="2" s="1"/>
  <c r="BQ312" i="2"/>
  <c r="CD312" i="2" s="1"/>
  <c r="CS312" i="2" s="1"/>
  <c r="BR312" i="2"/>
  <c r="CE312" i="2" s="1"/>
  <c r="CT312" i="2" s="1"/>
  <c r="BS312" i="2"/>
  <c r="CF312" i="2" s="1"/>
  <c r="CU312" i="2" s="1"/>
  <c r="BH313" i="2"/>
  <c r="BU313" i="2" s="1"/>
  <c r="CJ313" i="2" s="1"/>
  <c r="BI313" i="2"/>
  <c r="BV313" i="2" s="1"/>
  <c r="CK313" i="2" s="1"/>
  <c r="BJ313" i="2"/>
  <c r="BW313" i="2" s="1"/>
  <c r="CL313" i="2" s="1"/>
  <c r="BK313" i="2"/>
  <c r="BX313" i="2" s="1"/>
  <c r="CM313" i="2" s="1"/>
  <c r="BL313" i="2"/>
  <c r="BY313" i="2" s="1"/>
  <c r="CN313" i="2" s="1"/>
  <c r="BM313" i="2"/>
  <c r="BZ313" i="2" s="1"/>
  <c r="CO313" i="2" s="1"/>
  <c r="BN313" i="2"/>
  <c r="CA313" i="2" s="1"/>
  <c r="CP313" i="2" s="1"/>
  <c r="BO313" i="2"/>
  <c r="CB313" i="2" s="1"/>
  <c r="CQ313" i="2" s="1"/>
  <c r="BP313" i="2"/>
  <c r="CC313" i="2" s="1"/>
  <c r="CR313" i="2" s="1"/>
  <c r="BQ313" i="2"/>
  <c r="CD313" i="2" s="1"/>
  <c r="CS313" i="2" s="1"/>
  <c r="BR313" i="2"/>
  <c r="CE313" i="2" s="1"/>
  <c r="CT313" i="2" s="1"/>
  <c r="BS313" i="2"/>
  <c r="CF313" i="2" s="1"/>
  <c r="CU313" i="2" s="1"/>
  <c r="BH314" i="2"/>
  <c r="BU314" i="2" s="1"/>
  <c r="CJ314" i="2" s="1"/>
  <c r="BI314" i="2"/>
  <c r="BV314" i="2" s="1"/>
  <c r="CK314" i="2" s="1"/>
  <c r="BJ314" i="2"/>
  <c r="BW314" i="2" s="1"/>
  <c r="CL314" i="2" s="1"/>
  <c r="BK314" i="2"/>
  <c r="BX314" i="2" s="1"/>
  <c r="CM314" i="2" s="1"/>
  <c r="BL314" i="2"/>
  <c r="BY314" i="2" s="1"/>
  <c r="CN314" i="2" s="1"/>
  <c r="BM314" i="2"/>
  <c r="BZ314" i="2" s="1"/>
  <c r="CO314" i="2" s="1"/>
  <c r="BN314" i="2"/>
  <c r="CA314" i="2" s="1"/>
  <c r="CP314" i="2" s="1"/>
  <c r="BO314" i="2"/>
  <c r="CB314" i="2" s="1"/>
  <c r="CQ314" i="2" s="1"/>
  <c r="BP314" i="2"/>
  <c r="CC314" i="2" s="1"/>
  <c r="CR314" i="2" s="1"/>
  <c r="BQ314" i="2"/>
  <c r="CD314" i="2" s="1"/>
  <c r="CS314" i="2" s="1"/>
  <c r="BR314" i="2"/>
  <c r="CE314" i="2" s="1"/>
  <c r="CT314" i="2" s="1"/>
  <c r="BS314" i="2"/>
  <c r="CF314" i="2" s="1"/>
  <c r="CU314" i="2" s="1"/>
  <c r="BH315" i="2"/>
  <c r="BU315" i="2" s="1"/>
  <c r="CJ315" i="2" s="1"/>
  <c r="BI315" i="2"/>
  <c r="BV315" i="2" s="1"/>
  <c r="CK315" i="2" s="1"/>
  <c r="BJ315" i="2"/>
  <c r="BW315" i="2" s="1"/>
  <c r="CL315" i="2" s="1"/>
  <c r="BK315" i="2"/>
  <c r="BX315" i="2" s="1"/>
  <c r="CM315" i="2" s="1"/>
  <c r="BL315" i="2"/>
  <c r="BY315" i="2" s="1"/>
  <c r="CN315" i="2" s="1"/>
  <c r="BM315" i="2"/>
  <c r="BZ315" i="2" s="1"/>
  <c r="CO315" i="2" s="1"/>
  <c r="BN315" i="2"/>
  <c r="CA315" i="2" s="1"/>
  <c r="CP315" i="2" s="1"/>
  <c r="BO315" i="2"/>
  <c r="CB315" i="2" s="1"/>
  <c r="CQ315" i="2" s="1"/>
  <c r="BP315" i="2"/>
  <c r="CC315" i="2" s="1"/>
  <c r="CR315" i="2" s="1"/>
  <c r="BQ315" i="2"/>
  <c r="CD315" i="2" s="1"/>
  <c r="CS315" i="2" s="1"/>
  <c r="BR315" i="2"/>
  <c r="CE315" i="2" s="1"/>
  <c r="CT315" i="2" s="1"/>
  <c r="BS315" i="2"/>
  <c r="CF315" i="2" s="1"/>
  <c r="CU315" i="2" s="1"/>
  <c r="BH316" i="2"/>
  <c r="BU316" i="2" s="1"/>
  <c r="CJ316" i="2" s="1"/>
  <c r="BI316" i="2"/>
  <c r="BV316" i="2" s="1"/>
  <c r="CK316" i="2" s="1"/>
  <c r="BJ316" i="2"/>
  <c r="BW316" i="2" s="1"/>
  <c r="CL316" i="2" s="1"/>
  <c r="BK316" i="2"/>
  <c r="BX316" i="2" s="1"/>
  <c r="CM316" i="2" s="1"/>
  <c r="BL316" i="2"/>
  <c r="BY316" i="2" s="1"/>
  <c r="CN316" i="2" s="1"/>
  <c r="BM316" i="2"/>
  <c r="BZ316" i="2" s="1"/>
  <c r="CO316" i="2" s="1"/>
  <c r="BN316" i="2"/>
  <c r="CA316" i="2" s="1"/>
  <c r="CP316" i="2" s="1"/>
  <c r="BO316" i="2"/>
  <c r="CB316" i="2" s="1"/>
  <c r="CQ316" i="2" s="1"/>
  <c r="BP316" i="2"/>
  <c r="CC316" i="2" s="1"/>
  <c r="CR316" i="2" s="1"/>
  <c r="BQ316" i="2"/>
  <c r="CD316" i="2" s="1"/>
  <c r="CS316" i="2" s="1"/>
  <c r="BR316" i="2"/>
  <c r="CE316" i="2" s="1"/>
  <c r="CT316" i="2" s="1"/>
  <c r="BS316" i="2"/>
  <c r="CF316" i="2" s="1"/>
  <c r="CU316" i="2" s="1"/>
  <c r="BH317" i="2"/>
  <c r="BU317" i="2" s="1"/>
  <c r="CJ317" i="2" s="1"/>
  <c r="BI317" i="2"/>
  <c r="BV317" i="2" s="1"/>
  <c r="CK317" i="2" s="1"/>
  <c r="BJ317" i="2"/>
  <c r="BW317" i="2" s="1"/>
  <c r="CL317" i="2" s="1"/>
  <c r="BK317" i="2"/>
  <c r="BX317" i="2" s="1"/>
  <c r="CM317" i="2" s="1"/>
  <c r="BL317" i="2"/>
  <c r="BY317" i="2" s="1"/>
  <c r="CN317" i="2" s="1"/>
  <c r="BM317" i="2"/>
  <c r="BZ317" i="2" s="1"/>
  <c r="CO317" i="2" s="1"/>
  <c r="BN317" i="2"/>
  <c r="CA317" i="2" s="1"/>
  <c r="CP317" i="2" s="1"/>
  <c r="BO317" i="2"/>
  <c r="CB317" i="2" s="1"/>
  <c r="CQ317" i="2" s="1"/>
  <c r="BP317" i="2"/>
  <c r="CC317" i="2" s="1"/>
  <c r="CR317" i="2" s="1"/>
  <c r="BQ317" i="2"/>
  <c r="CD317" i="2" s="1"/>
  <c r="CS317" i="2" s="1"/>
  <c r="BR317" i="2"/>
  <c r="CE317" i="2" s="1"/>
  <c r="CT317" i="2" s="1"/>
  <c r="BS317" i="2"/>
  <c r="CF317" i="2" s="1"/>
  <c r="CU317" i="2" s="1"/>
  <c r="BH318" i="2"/>
  <c r="BU318" i="2" s="1"/>
  <c r="CJ318" i="2" s="1"/>
  <c r="BI318" i="2"/>
  <c r="BV318" i="2" s="1"/>
  <c r="CK318" i="2" s="1"/>
  <c r="BJ318" i="2"/>
  <c r="BW318" i="2" s="1"/>
  <c r="CL318" i="2" s="1"/>
  <c r="BK318" i="2"/>
  <c r="BX318" i="2" s="1"/>
  <c r="CM318" i="2" s="1"/>
  <c r="BL318" i="2"/>
  <c r="BY318" i="2" s="1"/>
  <c r="CN318" i="2" s="1"/>
  <c r="BM318" i="2"/>
  <c r="BZ318" i="2" s="1"/>
  <c r="CO318" i="2" s="1"/>
  <c r="BN318" i="2"/>
  <c r="CA318" i="2" s="1"/>
  <c r="CP318" i="2" s="1"/>
  <c r="BO318" i="2"/>
  <c r="CB318" i="2" s="1"/>
  <c r="CQ318" i="2" s="1"/>
  <c r="BP318" i="2"/>
  <c r="CC318" i="2" s="1"/>
  <c r="CR318" i="2" s="1"/>
  <c r="BQ318" i="2"/>
  <c r="CD318" i="2" s="1"/>
  <c r="CS318" i="2" s="1"/>
  <c r="BR318" i="2"/>
  <c r="CE318" i="2" s="1"/>
  <c r="CT318" i="2" s="1"/>
  <c r="BS318" i="2"/>
  <c r="CF318" i="2" s="1"/>
  <c r="CU318" i="2" s="1"/>
  <c r="BH319" i="2"/>
  <c r="BU319" i="2" s="1"/>
  <c r="CJ319" i="2" s="1"/>
  <c r="BI319" i="2"/>
  <c r="BV319" i="2" s="1"/>
  <c r="CK319" i="2" s="1"/>
  <c r="BJ319" i="2"/>
  <c r="BW319" i="2" s="1"/>
  <c r="CL319" i="2" s="1"/>
  <c r="BK319" i="2"/>
  <c r="BX319" i="2" s="1"/>
  <c r="CM319" i="2" s="1"/>
  <c r="BL319" i="2"/>
  <c r="BY319" i="2" s="1"/>
  <c r="CN319" i="2" s="1"/>
  <c r="BM319" i="2"/>
  <c r="BZ319" i="2" s="1"/>
  <c r="CO319" i="2" s="1"/>
  <c r="BN319" i="2"/>
  <c r="CA319" i="2" s="1"/>
  <c r="CP319" i="2" s="1"/>
  <c r="BO319" i="2"/>
  <c r="CB319" i="2" s="1"/>
  <c r="CQ319" i="2" s="1"/>
  <c r="BP319" i="2"/>
  <c r="CC319" i="2" s="1"/>
  <c r="CR319" i="2" s="1"/>
  <c r="BQ319" i="2"/>
  <c r="CD319" i="2" s="1"/>
  <c r="CS319" i="2" s="1"/>
  <c r="BR319" i="2"/>
  <c r="CE319" i="2" s="1"/>
  <c r="CT319" i="2" s="1"/>
  <c r="BS319" i="2"/>
  <c r="CF319" i="2" s="1"/>
  <c r="CU319" i="2" s="1"/>
  <c r="BH320" i="2"/>
  <c r="BU320" i="2" s="1"/>
  <c r="CJ320" i="2" s="1"/>
  <c r="BI320" i="2"/>
  <c r="BV320" i="2" s="1"/>
  <c r="CK320" i="2" s="1"/>
  <c r="BJ320" i="2"/>
  <c r="BW320" i="2" s="1"/>
  <c r="CL320" i="2" s="1"/>
  <c r="BK320" i="2"/>
  <c r="BX320" i="2" s="1"/>
  <c r="CM320" i="2" s="1"/>
  <c r="BL320" i="2"/>
  <c r="BY320" i="2" s="1"/>
  <c r="CN320" i="2" s="1"/>
  <c r="BM320" i="2"/>
  <c r="BZ320" i="2" s="1"/>
  <c r="CO320" i="2" s="1"/>
  <c r="BN320" i="2"/>
  <c r="CA320" i="2" s="1"/>
  <c r="CP320" i="2" s="1"/>
  <c r="BO320" i="2"/>
  <c r="CB320" i="2" s="1"/>
  <c r="CQ320" i="2" s="1"/>
  <c r="BP320" i="2"/>
  <c r="CC320" i="2" s="1"/>
  <c r="CR320" i="2" s="1"/>
  <c r="BQ320" i="2"/>
  <c r="CD320" i="2" s="1"/>
  <c r="CS320" i="2" s="1"/>
  <c r="BR320" i="2"/>
  <c r="CE320" i="2" s="1"/>
  <c r="CT320" i="2" s="1"/>
  <c r="BS320" i="2"/>
  <c r="CF320" i="2" s="1"/>
  <c r="CU320" i="2" s="1"/>
  <c r="BH321" i="2"/>
  <c r="BU321" i="2" s="1"/>
  <c r="CJ321" i="2" s="1"/>
  <c r="BI321" i="2"/>
  <c r="BV321" i="2" s="1"/>
  <c r="CK321" i="2" s="1"/>
  <c r="BJ321" i="2"/>
  <c r="BW321" i="2" s="1"/>
  <c r="CL321" i="2" s="1"/>
  <c r="BK321" i="2"/>
  <c r="BX321" i="2" s="1"/>
  <c r="CM321" i="2" s="1"/>
  <c r="BL321" i="2"/>
  <c r="BY321" i="2" s="1"/>
  <c r="CN321" i="2" s="1"/>
  <c r="BM321" i="2"/>
  <c r="BZ321" i="2" s="1"/>
  <c r="CO321" i="2" s="1"/>
  <c r="BN321" i="2"/>
  <c r="CA321" i="2" s="1"/>
  <c r="CP321" i="2" s="1"/>
  <c r="BO321" i="2"/>
  <c r="CB321" i="2" s="1"/>
  <c r="CQ321" i="2" s="1"/>
  <c r="BP321" i="2"/>
  <c r="CC321" i="2" s="1"/>
  <c r="CR321" i="2" s="1"/>
  <c r="BQ321" i="2"/>
  <c r="CD321" i="2" s="1"/>
  <c r="CS321" i="2" s="1"/>
  <c r="BR321" i="2"/>
  <c r="CE321" i="2" s="1"/>
  <c r="CT321" i="2" s="1"/>
  <c r="BS321" i="2"/>
  <c r="CF321" i="2" s="1"/>
  <c r="CU321" i="2" s="1"/>
  <c r="BH322" i="2"/>
  <c r="BU322" i="2" s="1"/>
  <c r="CJ322" i="2" s="1"/>
  <c r="BI322" i="2"/>
  <c r="BV322" i="2" s="1"/>
  <c r="CK322" i="2" s="1"/>
  <c r="BJ322" i="2"/>
  <c r="BW322" i="2" s="1"/>
  <c r="CL322" i="2" s="1"/>
  <c r="BK322" i="2"/>
  <c r="BX322" i="2" s="1"/>
  <c r="CM322" i="2" s="1"/>
  <c r="BL322" i="2"/>
  <c r="BY322" i="2" s="1"/>
  <c r="CN322" i="2" s="1"/>
  <c r="BM322" i="2"/>
  <c r="BZ322" i="2" s="1"/>
  <c r="CO322" i="2" s="1"/>
  <c r="BN322" i="2"/>
  <c r="CA322" i="2" s="1"/>
  <c r="CP322" i="2" s="1"/>
  <c r="BO322" i="2"/>
  <c r="CB322" i="2" s="1"/>
  <c r="CQ322" i="2" s="1"/>
  <c r="BP322" i="2"/>
  <c r="CC322" i="2" s="1"/>
  <c r="CR322" i="2" s="1"/>
  <c r="BQ322" i="2"/>
  <c r="CD322" i="2" s="1"/>
  <c r="CS322" i="2" s="1"/>
  <c r="BR322" i="2"/>
  <c r="CE322" i="2" s="1"/>
  <c r="CT322" i="2" s="1"/>
  <c r="BS322" i="2"/>
  <c r="CF322" i="2" s="1"/>
  <c r="CU322" i="2" s="1"/>
  <c r="BH323" i="2"/>
  <c r="BU323" i="2" s="1"/>
  <c r="CJ323" i="2" s="1"/>
  <c r="BI323" i="2"/>
  <c r="BV323" i="2" s="1"/>
  <c r="CK323" i="2" s="1"/>
  <c r="BJ323" i="2"/>
  <c r="BW323" i="2" s="1"/>
  <c r="CL323" i="2" s="1"/>
  <c r="BK323" i="2"/>
  <c r="BX323" i="2" s="1"/>
  <c r="CM323" i="2" s="1"/>
  <c r="BL323" i="2"/>
  <c r="BY323" i="2" s="1"/>
  <c r="CN323" i="2" s="1"/>
  <c r="BM323" i="2"/>
  <c r="BZ323" i="2" s="1"/>
  <c r="CO323" i="2" s="1"/>
  <c r="BN323" i="2"/>
  <c r="CA323" i="2" s="1"/>
  <c r="CP323" i="2" s="1"/>
  <c r="BO323" i="2"/>
  <c r="CB323" i="2" s="1"/>
  <c r="CQ323" i="2" s="1"/>
  <c r="BP323" i="2"/>
  <c r="CC323" i="2" s="1"/>
  <c r="CR323" i="2" s="1"/>
  <c r="BQ323" i="2"/>
  <c r="CD323" i="2" s="1"/>
  <c r="CS323" i="2" s="1"/>
  <c r="BR323" i="2"/>
  <c r="CE323" i="2" s="1"/>
  <c r="CT323" i="2" s="1"/>
  <c r="BS323" i="2"/>
  <c r="CF323" i="2" s="1"/>
  <c r="CU323" i="2" s="1"/>
  <c r="BH324" i="2"/>
  <c r="BU324" i="2" s="1"/>
  <c r="CJ324" i="2" s="1"/>
  <c r="BI324" i="2"/>
  <c r="BV324" i="2" s="1"/>
  <c r="CK324" i="2" s="1"/>
  <c r="BJ324" i="2"/>
  <c r="BW324" i="2" s="1"/>
  <c r="CL324" i="2" s="1"/>
  <c r="BK324" i="2"/>
  <c r="BX324" i="2" s="1"/>
  <c r="CM324" i="2" s="1"/>
  <c r="BL324" i="2"/>
  <c r="BY324" i="2" s="1"/>
  <c r="CN324" i="2" s="1"/>
  <c r="BM324" i="2"/>
  <c r="BZ324" i="2" s="1"/>
  <c r="CO324" i="2" s="1"/>
  <c r="BN324" i="2"/>
  <c r="CA324" i="2" s="1"/>
  <c r="CP324" i="2" s="1"/>
  <c r="BO324" i="2"/>
  <c r="CB324" i="2" s="1"/>
  <c r="CQ324" i="2" s="1"/>
  <c r="BP324" i="2"/>
  <c r="CC324" i="2" s="1"/>
  <c r="CR324" i="2" s="1"/>
  <c r="BQ324" i="2"/>
  <c r="CD324" i="2" s="1"/>
  <c r="CS324" i="2" s="1"/>
  <c r="BR324" i="2"/>
  <c r="CE324" i="2" s="1"/>
  <c r="CT324" i="2" s="1"/>
  <c r="BS324" i="2"/>
  <c r="CF324" i="2" s="1"/>
  <c r="CU324" i="2" s="1"/>
  <c r="BH325" i="2"/>
  <c r="BU325" i="2" s="1"/>
  <c r="CJ325" i="2" s="1"/>
  <c r="BI325" i="2"/>
  <c r="BV325" i="2" s="1"/>
  <c r="CK325" i="2" s="1"/>
  <c r="BJ325" i="2"/>
  <c r="BW325" i="2" s="1"/>
  <c r="CL325" i="2" s="1"/>
  <c r="BK325" i="2"/>
  <c r="BX325" i="2" s="1"/>
  <c r="CM325" i="2" s="1"/>
  <c r="BL325" i="2"/>
  <c r="BY325" i="2" s="1"/>
  <c r="CN325" i="2" s="1"/>
  <c r="BM325" i="2"/>
  <c r="BZ325" i="2" s="1"/>
  <c r="CO325" i="2" s="1"/>
  <c r="BN325" i="2"/>
  <c r="CA325" i="2" s="1"/>
  <c r="CP325" i="2" s="1"/>
  <c r="BO325" i="2"/>
  <c r="CB325" i="2" s="1"/>
  <c r="CQ325" i="2" s="1"/>
  <c r="BP325" i="2"/>
  <c r="CC325" i="2" s="1"/>
  <c r="CR325" i="2" s="1"/>
  <c r="BQ325" i="2"/>
  <c r="CD325" i="2" s="1"/>
  <c r="CS325" i="2" s="1"/>
  <c r="BR325" i="2"/>
  <c r="CE325" i="2" s="1"/>
  <c r="CT325" i="2" s="1"/>
  <c r="BS325" i="2"/>
  <c r="CF325" i="2" s="1"/>
  <c r="CU325" i="2" s="1"/>
  <c r="BH326" i="2"/>
  <c r="BU326" i="2" s="1"/>
  <c r="CJ326" i="2" s="1"/>
  <c r="BI326" i="2"/>
  <c r="BV326" i="2" s="1"/>
  <c r="CK326" i="2" s="1"/>
  <c r="BJ326" i="2"/>
  <c r="BW326" i="2" s="1"/>
  <c r="CL326" i="2" s="1"/>
  <c r="BK326" i="2"/>
  <c r="BX326" i="2" s="1"/>
  <c r="CM326" i="2" s="1"/>
  <c r="BL326" i="2"/>
  <c r="BY326" i="2" s="1"/>
  <c r="CN326" i="2" s="1"/>
  <c r="BM326" i="2"/>
  <c r="BZ326" i="2" s="1"/>
  <c r="CO326" i="2" s="1"/>
  <c r="BN326" i="2"/>
  <c r="CA326" i="2" s="1"/>
  <c r="CP326" i="2" s="1"/>
  <c r="BO326" i="2"/>
  <c r="CB326" i="2" s="1"/>
  <c r="CQ326" i="2" s="1"/>
  <c r="BP326" i="2"/>
  <c r="CC326" i="2" s="1"/>
  <c r="CR326" i="2" s="1"/>
  <c r="BQ326" i="2"/>
  <c r="CD326" i="2" s="1"/>
  <c r="CS326" i="2" s="1"/>
  <c r="BR326" i="2"/>
  <c r="CE326" i="2" s="1"/>
  <c r="CT326" i="2" s="1"/>
  <c r="BS326" i="2"/>
  <c r="CF326" i="2" s="1"/>
  <c r="CU326" i="2" s="1"/>
  <c r="BH327" i="2"/>
  <c r="BU327" i="2" s="1"/>
  <c r="CJ327" i="2" s="1"/>
  <c r="BI327" i="2"/>
  <c r="BV327" i="2" s="1"/>
  <c r="CK327" i="2" s="1"/>
  <c r="BJ327" i="2"/>
  <c r="BW327" i="2" s="1"/>
  <c r="CL327" i="2" s="1"/>
  <c r="BK327" i="2"/>
  <c r="BX327" i="2" s="1"/>
  <c r="CM327" i="2" s="1"/>
  <c r="BL327" i="2"/>
  <c r="BY327" i="2" s="1"/>
  <c r="CN327" i="2" s="1"/>
  <c r="BM327" i="2"/>
  <c r="BZ327" i="2" s="1"/>
  <c r="CO327" i="2" s="1"/>
  <c r="BN327" i="2"/>
  <c r="CA327" i="2" s="1"/>
  <c r="CP327" i="2" s="1"/>
  <c r="BO327" i="2"/>
  <c r="CB327" i="2" s="1"/>
  <c r="CQ327" i="2" s="1"/>
  <c r="BP327" i="2"/>
  <c r="CC327" i="2" s="1"/>
  <c r="CR327" i="2" s="1"/>
  <c r="BQ327" i="2"/>
  <c r="CD327" i="2" s="1"/>
  <c r="CS327" i="2" s="1"/>
  <c r="BR327" i="2"/>
  <c r="CE327" i="2" s="1"/>
  <c r="CT327" i="2" s="1"/>
  <c r="BS327" i="2"/>
  <c r="CF327" i="2" s="1"/>
  <c r="CU327" i="2" s="1"/>
  <c r="BH328" i="2"/>
  <c r="BU328" i="2" s="1"/>
  <c r="CJ328" i="2" s="1"/>
  <c r="BI328" i="2"/>
  <c r="BV328" i="2" s="1"/>
  <c r="CK328" i="2" s="1"/>
  <c r="BJ328" i="2"/>
  <c r="BW328" i="2" s="1"/>
  <c r="CL328" i="2" s="1"/>
  <c r="BK328" i="2"/>
  <c r="BX328" i="2" s="1"/>
  <c r="CM328" i="2" s="1"/>
  <c r="BL328" i="2"/>
  <c r="BY328" i="2" s="1"/>
  <c r="CN328" i="2" s="1"/>
  <c r="BM328" i="2"/>
  <c r="BZ328" i="2" s="1"/>
  <c r="CO328" i="2" s="1"/>
  <c r="BN328" i="2"/>
  <c r="CA328" i="2" s="1"/>
  <c r="CP328" i="2" s="1"/>
  <c r="BO328" i="2"/>
  <c r="CB328" i="2" s="1"/>
  <c r="CQ328" i="2" s="1"/>
  <c r="BP328" i="2"/>
  <c r="CC328" i="2" s="1"/>
  <c r="CR328" i="2" s="1"/>
  <c r="BQ328" i="2"/>
  <c r="CD328" i="2" s="1"/>
  <c r="CS328" i="2" s="1"/>
  <c r="BR328" i="2"/>
  <c r="CE328" i="2" s="1"/>
  <c r="CT328" i="2" s="1"/>
  <c r="BS328" i="2"/>
  <c r="CF328" i="2" s="1"/>
  <c r="CU328" i="2" s="1"/>
  <c r="BH329" i="2"/>
  <c r="BU329" i="2" s="1"/>
  <c r="CJ329" i="2" s="1"/>
  <c r="BI329" i="2"/>
  <c r="BV329" i="2" s="1"/>
  <c r="CK329" i="2" s="1"/>
  <c r="BJ329" i="2"/>
  <c r="BW329" i="2" s="1"/>
  <c r="CL329" i="2" s="1"/>
  <c r="BK329" i="2"/>
  <c r="BX329" i="2" s="1"/>
  <c r="CM329" i="2" s="1"/>
  <c r="BL329" i="2"/>
  <c r="BY329" i="2" s="1"/>
  <c r="CN329" i="2" s="1"/>
  <c r="BM329" i="2"/>
  <c r="BZ329" i="2" s="1"/>
  <c r="CO329" i="2" s="1"/>
  <c r="BN329" i="2"/>
  <c r="CA329" i="2" s="1"/>
  <c r="CP329" i="2" s="1"/>
  <c r="BO329" i="2"/>
  <c r="CB329" i="2" s="1"/>
  <c r="CQ329" i="2" s="1"/>
  <c r="BP329" i="2"/>
  <c r="CC329" i="2" s="1"/>
  <c r="CR329" i="2" s="1"/>
  <c r="BQ329" i="2"/>
  <c r="CD329" i="2" s="1"/>
  <c r="CS329" i="2" s="1"/>
  <c r="BR329" i="2"/>
  <c r="CE329" i="2" s="1"/>
  <c r="CT329" i="2" s="1"/>
  <c r="BS329" i="2"/>
  <c r="CF329" i="2" s="1"/>
  <c r="CU329" i="2" s="1"/>
  <c r="BH330" i="2"/>
  <c r="BU330" i="2" s="1"/>
  <c r="CJ330" i="2" s="1"/>
  <c r="BI330" i="2"/>
  <c r="BV330" i="2" s="1"/>
  <c r="CK330" i="2" s="1"/>
  <c r="BJ330" i="2"/>
  <c r="BW330" i="2" s="1"/>
  <c r="CL330" i="2" s="1"/>
  <c r="BK330" i="2"/>
  <c r="BX330" i="2" s="1"/>
  <c r="CM330" i="2" s="1"/>
  <c r="BL330" i="2"/>
  <c r="BY330" i="2" s="1"/>
  <c r="CN330" i="2" s="1"/>
  <c r="BM330" i="2"/>
  <c r="BZ330" i="2" s="1"/>
  <c r="CO330" i="2" s="1"/>
  <c r="BN330" i="2"/>
  <c r="CA330" i="2" s="1"/>
  <c r="CP330" i="2" s="1"/>
  <c r="BO330" i="2"/>
  <c r="CB330" i="2" s="1"/>
  <c r="CQ330" i="2" s="1"/>
  <c r="BP330" i="2"/>
  <c r="CC330" i="2" s="1"/>
  <c r="CR330" i="2" s="1"/>
  <c r="BQ330" i="2"/>
  <c r="CD330" i="2" s="1"/>
  <c r="CS330" i="2" s="1"/>
  <c r="BR330" i="2"/>
  <c r="CE330" i="2" s="1"/>
  <c r="CT330" i="2" s="1"/>
  <c r="BS330" i="2"/>
  <c r="CF330" i="2" s="1"/>
  <c r="CU330" i="2" s="1"/>
  <c r="BH331" i="2"/>
  <c r="BU331" i="2" s="1"/>
  <c r="CJ331" i="2" s="1"/>
  <c r="BI331" i="2"/>
  <c r="BV331" i="2" s="1"/>
  <c r="CK331" i="2" s="1"/>
  <c r="BJ331" i="2"/>
  <c r="BW331" i="2" s="1"/>
  <c r="CL331" i="2" s="1"/>
  <c r="BK331" i="2"/>
  <c r="BX331" i="2" s="1"/>
  <c r="CM331" i="2" s="1"/>
  <c r="BL331" i="2"/>
  <c r="BY331" i="2" s="1"/>
  <c r="CN331" i="2" s="1"/>
  <c r="BM331" i="2"/>
  <c r="BZ331" i="2" s="1"/>
  <c r="CO331" i="2" s="1"/>
  <c r="BN331" i="2"/>
  <c r="CA331" i="2" s="1"/>
  <c r="CP331" i="2" s="1"/>
  <c r="BO331" i="2"/>
  <c r="CB331" i="2" s="1"/>
  <c r="CQ331" i="2" s="1"/>
  <c r="BP331" i="2"/>
  <c r="CC331" i="2" s="1"/>
  <c r="CR331" i="2" s="1"/>
  <c r="BQ331" i="2"/>
  <c r="CD331" i="2" s="1"/>
  <c r="CS331" i="2" s="1"/>
  <c r="BR331" i="2"/>
  <c r="CE331" i="2" s="1"/>
  <c r="CT331" i="2" s="1"/>
  <c r="BS331" i="2"/>
  <c r="CF331" i="2" s="1"/>
  <c r="CU331" i="2" s="1"/>
  <c r="BH332" i="2"/>
  <c r="BU332" i="2" s="1"/>
  <c r="CJ332" i="2" s="1"/>
  <c r="BI332" i="2"/>
  <c r="BV332" i="2" s="1"/>
  <c r="CK332" i="2" s="1"/>
  <c r="BJ332" i="2"/>
  <c r="BW332" i="2" s="1"/>
  <c r="CL332" i="2" s="1"/>
  <c r="BK332" i="2"/>
  <c r="BX332" i="2" s="1"/>
  <c r="CM332" i="2" s="1"/>
  <c r="BL332" i="2"/>
  <c r="BY332" i="2" s="1"/>
  <c r="CN332" i="2" s="1"/>
  <c r="BM332" i="2"/>
  <c r="BZ332" i="2" s="1"/>
  <c r="CO332" i="2" s="1"/>
  <c r="BN332" i="2"/>
  <c r="CA332" i="2" s="1"/>
  <c r="CP332" i="2" s="1"/>
  <c r="BO332" i="2"/>
  <c r="CB332" i="2" s="1"/>
  <c r="CQ332" i="2" s="1"/>
  <c r="BP332" i="2"/>
  <c r="CC332" i="2" s="1"/>
  <c r="CR332" i="2" s="1"/>
  <c r="BQ332" i="2"/>
  <c r="CD332" i="2" s="1"/>
  <c r="CS332" i="2" s="1"/>
  <c r="BR332" i="2"/>
  <c r="CE332" i="2" s="1"/>
  <c r="CT332" i="2" s="1"/>
  <c r="BS332" i="2"/>
  <c r="CF332" i="2" s="1"/>
  <c r="CU332" i="2" s="1"/>
  <c r="BH333" i="2"/>
  <c r="BU333" i="2" s="1"/>
  <c r="CJ333" i="2" s="1"/>
  <c r="BI333" i="2"/>
  <c r="BV333" i="2" s="1"/>
  <c r="CK333" i="2" s="1"/>
  <c r="BJ333" i="2"/>
  <c r="BW333" i="2" s="1"/>
  <c r="CL333" i="2" s="1"/>
  <c r="BK333" i="2"/>
  <c r="BX333" i="2" s="1"/>
  <c r="CM333" i="2" s="1"/>
  <c r="BL333" i="2"/>
  <c r="BY333" i="2" s="1"/>
  <c r="CN333" i="2" s="1"/>
  <c r="BM333" i="2"/>
  <c r="BZ333" i="2" s="1"/>
  <c r="CO333" i="2" s="1"/>
  <c r="BN333" i="2"/>
  <c r="CA333" i="2" s="1"/>
  <c r="CP333" i="2" s="1"/>
  <c r="BO333" i="2"/>
  <c r="CB333" i="2" s="1"/>
  <c r="CQ333" i="2" s="1"/>
  <c r="BP333" i="2"/>
  <c r="CC333" i="2" s="1"/>
  <c r="CR333" i="2" s="1"/>
  <c r="BQ333" i="2"/>
  <c r="CD333" i="2" s="1"/>
  <c r="CS333" i="2" s="1"/>
  <c r="BR333" i="2"/>
  <c r="CE333" i="2" s="1"/>
  <c r="CT333" i="2" s="1"/>
  <c r="BS333" i="2"/>
  <c r="CF333" i="2" s="1"/>
  <c r="CU333" i="2" s="1"/>
  <c r="BH334" i="2"/>
  <c r="BU334" i="2" s="1"/>
  <c r="CJ334" i="2" s="1"/>
  <c r="BI334" i="2"/>
  <c r="BV334" i="2" s="1"/>
  <c r="CK334" i="2" s="1"/>
  <c r="BJ334" i="2"/>
  <c r="BW334" i="2" s="1"/>
  <c r="CL334" i="2" s="1"/>
  <c r="BK334" i="2"/>
  <c r="BX334" i="2" s="1"/>
  <c r="CM334" i="2" s="1"/>
  <c r="BL334" i="2"/>
  <c r="BY334" i="2" s="1"/>
  <c r="CN334" i="2" s="1"/>
  <c r="BM334" i="2"/>
  <c r="BZ334" i="2" s="1"/>
  <c r="CO334" i="2" s="1"/>
  <c r="BN334" i="2"/>
  <c r="CA334" i="2" s="1"/>
  <c r="CP334" i="2" s="1"/>
  <c r="BO334" i="2"/>
  <c r="CB334" i="2" s="1"/>
  <c r="CQ334" i="2" s="1"/>
  <c r="BP334" i="2"/>
  <c r="CC334" i="2" s="1"/>
  <c r="CR334" i="2" s="1"/>
  <c r="BQ334" i="2"/>
  <c r="CD334" i="2" s="1"/>
  <c r="CS334" i="2" s="1"/>
  <c r="BR334" i="2"/>
  <c r="CE334" i="2" s="1"/>
  <c r="CT334" i="2" s="1"/>
  <c r="BS334" i="2"/>
  <c r="CF334" i="2" s="1"/>
  <c r="CU334" i="2" s="1"/>
  <c r="BH335" i="2"/>
  <c r="BU335" i="2" s="1"/>
  <c r="CJ335" i="2" s="1"/>
  <c r="BI335" i="2"/>
  <c r="BV335" i="2" s="1"/>
  <c r="CK335" i="2" s="1"/>
  <c r="BJ335" i="2"/>
  <c r="BW335" i="2" s="1"/>
  <c r="CL335" i="2" s="1"/>
  <c r="BK335" i="2"/>
  <c r="BX335" i="2" s="1"/>
  <c r="CM335" i="2" s="1"/>
  <c r="BL335" i="2"/>
  <c r="BY335" i="2" s="1"/>
  <c r="CN335" i="2" s="1"/>
  <c r="BM335" i="2"/>
  <c r="BZ335" i="2" s="1"/>
  <c r="CO335" i="2" s="1"/>
  <c r="BN335" i="2"/>
  <c r="CA335" i="2" s="1"/>
  <c r="CP335" i="2" s="1"/>
  <c r="BO335" i="2"/>
  <c r="CB335" i="2" s="1"/>
  <c r="CQ335" i="2" s="1"/>
  <c r="BP335" i="2"/>
  <c r="CC335" i="2" s="1"/>
  <c r="CR335" i="2" s="1"/>
  <c r="BQ335" i="2"/>
  <c r="CD335" i="2" s="1"/>
  <c r="CS335" i="2" s="1"/>
  <c r="BR335" i="2"/>
  <c r="CE335" i="2" s="1"/>
  <c r="CT335" i="2" s="1"/>
  <c r="BS335" i="2"/>
  <c r="CF335" i="2" s="1"/>
  <c r="CU335" i="2" s="1"/>
  <c r="BH336" i="2"/>
  <c r="BU336" i="2" s="1"/>
  <c r="CJ336" i="2" s="1"/>
  <c r="BI336" i="2"/>
  <c r="BV336" i="2" s="1"/>
  <c r="CK336" i="2" s="1"/>
  <c r="BJ336" i="2"/>
  <c r="BW336" i="2" s="1"/>
  <c r="CL336" i="2" s="1"/>
  <c r="BK336" i="2"/>
  <c r="BX336" i="2" s="1"/>
  <c r="CM336" i="2" s="1"/>
  <c r="BL336" i="2"/>
  <c r="BY336" i="2" s="1"/>
  <c r="CN336" i="2" s="1"/>
  <c r="BM336" i="2"/>
  <c r="BZ336" i="2" s="1"/>
  <c r="CO336" i="2" s="1"/>
  <c r="BN336" i="2"/>
  <c r="CA336" i="2" s="1"/>
  <c r="CP336" i="2" s="1"/>
  <c r="BO336" i="2"/>
  <c r="CB336" i="2" s="1"/>
  <c r="CQ336" i="2" s="1"/>
  <c r="BP336" i="2"/>
  <c r="CC336" i="2" s="1"/>
  <c r="CR336" i="2" s="1"/>
  <c r="BQ336" i="2"/>
  <c r="CD336" i="2" s="1"/>
  <c r="CS336" i="2" s="1"/>
  <c r="BR336" i="2"/>
  <c r="CE336" i="2" s="1"/>
  <c r="CT336" i="2" s="1"/>
  <c r="BS336" i="2"/>
  <c r="CF336" i="2" s="1"/>
  <c r="CU336" i="2" s="1"/>
  <c r="BH337" i="2"/>
  <c r="BU337" i="2" s="1"/>
  <c r="CJ337" i="2" s="1"/>
  <c r="BI337" i="2"/>
  <c r="BV337" i="2" s="1"/>
  <c r="CK337" i="2" s="1"/>
  <c r="BJ337" i="2"/>
  <c r="BW337" i="2" s="1"/>
  <c r="CL337" i="2" s="1"/>
  <c r="BK337" i="2"/>
  <c r="BX337" i="2" s="1"/>
  <c r="CM337" i="2" s="1"/>
  <c r="BL337" i="2"/>
  <c r="BY337" i="2" s="1"/>
  <c r="CN337" i="2" s="1"/>
  <c r="BM337" i="2"/>
  <c r="BZ337" i="2" s="1"/>
  <c r="CO337" i="2" s="1"/>
  <c r="BN337" i="2"/>
  <c r="CA337" i="2" s="1"/>
  <c r="CP337" i="2" s="1"/>
  <c r="BO337" i="2"/>
  <c r="CB337" i="2" s="1"/>
  <c r="CQ337" i="2" s="1"/>
  <c r="BP337" i="2"/>
  <c r="CC337" i="2" s="1"/>
  <c r="CR337" i="2" s="1"/>
  <c r="BQ337" i="2"/>
  <c r="CD337" i="2" s="1"/>
  <c r="CS337" i="2" s="1"/>
  <c r="BR337" i="2"/>
  <c r="CE337" i="2" s="1"/>
  <c r="CT337" i="2" s="1"/>
  <c r="BS337" i="2"/>
  <c r="CF337" i="2" s="1"/>
  <c r="CU337" i="2" s="1"/>
  <c r="BH338" i="2"/>
  <c r="BU338" i="2" s="1"/>
  <c r="CJ338" i="2" s="1"/>
  <c r="BI338" i="2"/>
  <c r="BV338" i="2" s="1"/>
  <c r="CK338" i="2" s="1"/>
  <c r="BJ338" i="2"/>
  <c r="BW338" i="2" s="1"/>
  <c r="CL338" i="2" s="1"/>
  <c r="BK338" i="2"/>
  <c r="BX338" i="2" s="1"/>
  <c r="CM338" i="2" s="1"/>
  <c r="BL338" i="2"/>
  <c r="BY338" i="2" s="1"/>
  <c r="CN338" i="2" s="1"/>
  <c r="BM338" i="2"/>
  <c r="BZ338" i="2" s="1"/>
  <c r="CO338" i="2" s="1"/>
  <c r="BN338" i="2"/>
  <c r="CA338" i="2" s="1"/>
  <c r="CP338" i="2" s="1"/>
  <c r="BO338" i="2"/>
  <c r="CB338" i="2" s="1"/>
  <c r="CQ338" i="2" s="1"/>
  <c r="BP338" i="2"/>
  <c r="CC338" i="2" s="1"/>
  <c r="CR338" i="2" s="1"/>
  <c r="BQ338" i="2"/>
  <c r="CD338" i="2" s="1"/>
  <c r="CS338" i="2" s="1"/>
  <c r="BR338" i="2"/>
  <c r="CE338" i="2" s="1"/>
  <c r="CT338" i="2" s="1"/>
  <c r="BS338" i="2"/>
  <c r="CF338" i="2" s="1"/>
  <c r="CU338" i="2" s="1"/>
  <c r="BH339" i="2"/>
  <c r="BU339" i="2" s="1"/>
  <c r="CJ339" i="2" s="1"/>
  <c r="BI339" i="2"/>
  <c r="BV339" i="2" s="1"/>
  <c r="CK339" i="2" s="1"/>
  <c r="BJ339" i="2"/>
  <c r="BW339" i="2" s="1"/>
  <c r="CL339" i="2" s="1"/>
  <c r="BK339" i="2"/>
  <c r="BX339" i="2" s="1"/>
  <c r="CM339" i="2" s="1"/>
  <c r="BL339" i="2"/>
  <c r="BY339" i="2" s="1"/>
  <c r="CN339" i="2" s="1"/>
  <c r="BM339" i="2"/>
  <c r="BZ339" i="2" s="1"/>
  <c r="CO339" i="2" s="1"/>
  <c r="BN339" i="2"/>
  <c r="CA339" i="2" s="1"/>
  <c r="CP339" i="2" s="1"/>
  <c r="BO339" i="2"/>
  <c r="CB339" i="2" s="1"/>
  <c r="CQ339" i="2" s="1"/>
  <c r="BP339" i="2"/>
  <c r="CC339" i="2" s="1"/>
  <c r="CR339" i="2" s="1"/>
  <c r="BQ339" i="2"/>
  <c r="CD339" i="2" s="1"/>
  <c r="CS339" i="2" s="1"/>
  <c r="BR339" i="2"/>
  <c r="CE339" i="2" s="1"/>
  <c r="CT339" i="2" s="1"/>
  <c r="BS339" i="2"/>
  <c r="CF339" i="2" s="1"/>
  <c r="CU339" i="2" s="1"/>
  <c r="BH340" i="2"/>
  <c r="BU340" i="2" s="1"/>
  <c r="CJ340" i="2" s="1"/>
  <c r="BI340" i="2"/>
  <c r="BV340" i="2" s="1"/>
  <c r="CK340" i="2" s="1"/>
  <c r="BJ340" i="2"/>
  <c r="BW340" i="2" s="1"/>
  <c r="CL340" i="2" s="1"/>
  <c r="BK340" i="2"/>
  <c r="BX340" i="2" s="1"/>
  <c r="CM340" i="2" s="1"/>
  <c r="BL340" i="2"/>
  <c r="BY340" i="2" s="1"/>
  <c r="CN340" i="2" s="1"/>
  <c r="BM340" i="2"/>
  <c r="BZ340" i="2" s="1"/>
  <c r="CO340" i="2" s="1"/>
  <c r="BN340" i="2"/>
  <c r="CA340" i="2" s="1"/>
  <c r="CP340" i="2" s="1"/>
  <c r="BO340" i="2"/>
  <c r="CB340" i="2" s="1"/>
  <c r="CQ340" i="2" s="1"/>
  <c r="BP340" i="2"/>
  <c r="CC340" i="2" s="1"/>
  <c r="CR340" i="2" s="1"/>
  <c r="BQ340" i="2"/>
  <c r="CD340" i="2" s="1"/>
  <c r="CS340" i="2" s="1"/>
  <c r="BR340" i="2"/>
  <c r="CE340" i="2" s="1"/>
  <c r="CT340" i="2" s="1"/>
  <c r="BS340" i="2"/>
  <c r="CF340" i="2" s="1"/>
  <c r="CU340" i="2" s="1"/>
  <c r="BH341" i="2"/>
  <c r="BU341" i="2" s="1"/>
  <c r="CJ341" i="2" s="1"/>
  <c r="BI341" i="2"/>
  <c r="BV341" i="2" s="1"/>
  <c r="CK341" i="2" s="1"/>
  <c r="BJ341" i="2"/>
  <c r="BW341" i="2" s="1"/>
  <c r="CL341" i="2" s="1"/>
  <c r="BK341" i="2"/>
  <c r="BX341" i="2" s="1"/>
  <c r="CM341" i="2" s="1"/>
  <c r="BL341" i="2"/>
  <c r="BY341" i="2" s="1"/>
  <c r="CN341" i="2" s="1"/>
  <c r="BM341" i="2"/>
  <c r="BZ341" i="2" s="1"/>
  <c r="CO341" i="2" s="1"/>
  <c r="BN341" i="2"/>
  <c r="CA341" i="2" s="1"/>
  <c r="CP341" i="2" s="1"/>
  <c r="BO341" i="2"/>
  <c r="CB341" i="2" s="1"/>
  <c r="CQ341" i="2" s="1"/>
  <c r="BP341" i="2"/>
  <c r="CC341" i="2" s="1"/>
  <c r="CR341" i="2" s="1"/>
  <c r="BQ341" i="2"/>
  <c r="CD341" i="2" s="1"/>
  <c r="CS341" i="2" s="1"/>
  <c r="BR341" i="2"/>
  <c r="CE341" i="2" s="1"/>
  <c r="CT341" i="2" s="1"/>
  <c r="BS341" i="2"/>
  <c r="CF341" i="2" s="1"/>
  <c r="CU341" i="2" s="1"/>
  <c r="BH342" i="2"/>
  <c r="BU342" i="2" s="1"/>
  <c r="CJ342" i="2" s="1"/>
  <c r="BI342" i="2"/>
  <c r="BV342" i="2" s="1"/>
  <c r="CK342" i="2" s="1"/>
  <c r="BJ342" i="2"/>
  <c r="BW342" i="2" s="1"/>
  <c r="CL342" i="2" s="1"/>
  <c r="BK342" i="2"/>
  <c r="BX342" i="2" s="1"/>
  <c r="CM342" i="2" s="1"/>
  <c r="BL342" i="2"/>
  <c r="BY342" i="2" s="1"/>
  <c r="CN342" i="2" s="1"/>
  <c r="BM342" i="2"/>
  <c r="BZ342" i="2" s="1"/>
  <c r="CO342" i="2" s="1"/>
  <c r="BN342" i="2"/>
  <c r="CA342" i="2" s="1"/>
  <c r="CP342" i="2" s="1"/>
  <c r="BO342" i="2"/>
  <c r="CB342" i="2" s="1"/>
  <c r="CQ342" i="2" s="1"/>
  <c r="BP342" i="2"/>
  <c r="CC342" i="2" s="1"/>
  <c r="CR342" i="2" s="1"/>
  <c r="BQ342" i="2"/>
  <c r="CD342" i="2" s="1"/>
  <c r="CS342" i="2" s="1"/>
  <c r="BR342" i="2"/>
  <c r="CE342" i="2" s="1"/>
  <c r="CT342" i="2" s="1"/>
  <c r="BS342" i="2"/>
  <c r="CF342" i="2" s="1"/>
  <c r="CU342" i="2" s="1"/>
  <c r="BH343" i="2"/>
  <c r="BU343" i="2" s="1"/>
  <c r="CJ343" i="2" s="1"/>
  <c r="BI343" i="2"/>
  <c r="BV343" i="2" s="1"/>
  <c r="CK343" i="2" s="1"/>
  <c r="BJ343" i="2"/>
  <c r="BW343" i="2" s="1"/>
  <c r="CL343" i="2" s="1"/>
  <c r="BK343" i="2"/>
  <c r="BX343" i="2" s="1"/>
  <c r="CM343" i="2" s="1"/>
  <c r="BL343" i="2"/>
  <c r="BY343" i="2" s="1"/>
  <c r="CN343" i="2" s="1"/>
  <c r="BM343" i="2"/>
  <c r="BZ343" i="2" s="1"/>
  <c r="CO343" i="2" s="1"/>
  <c r="BN343" i="2"/>
  <c r="CA343" i="2" s="1"/>
  <c r="CP343" i="2" s="1"/>
  <c r="BO343" i="2"/>
  <c r="CB343" i="2" s="1"/>
  <c r="CQ343" i="2" s="1"/>
  <c r="BP343" i="2"/>
  <c r="CC343" i="2" s="1"/>
  <c r="CR343" i="2" s="1"/>
  <c r="BQ343" i="2"/>
  <c r="CD343" i="2" s="1"/>
  <c r="CS343" i="2" s="1"/>
  <c r="BR343" i="2"/>
  <c r="CE343" i="2" s="1"/>
  <c r="CT343" i="2" s="1"/>
  <c r="BS343" i="2"/>
  <c r="CF343" i="2" s="1"/>
  <c r="CU343" i="2" s="1"/>
  <c r="BH344" i="2"/>
  <c r="BU344" i="2" s="1"/>
  <c r="CJ344" i="2" s="1"/>
  <c r="BI344" i="2"/>
  <c r="BV344" i="2" s="1"/>
  <c r="CK344" i="2" s="1"/>
  <c r="BJ344" i="2"/>
  <c r="BW344" i="2" s="1"/>
  <c r="CL344" i="2" s="1"/>
  <c r="BK344" i="2"/>
  <c r="BX344" i="2" s="1"/>
  <c r="CM344" i="2" s="1"/>
  <c r="BL344" i="2"/>
  <c r="BY344" i="2" s="1"/>
  <c r="CN344" i="2" s="1"/>
  <c r="BM344" i="2"/>
  <c r="BZ344" i="2" s="1"/>
  <c r="CO344" i="2" s="1"/>
  <c r="BN344" i="2"/>
  <c r="CA344" i="2" s="1"/>
  <c r="CP344" i="2" s="1"/>
  <c r="BO344" i="2"/>
  <c r="CB344" i="2" s="1"/>
  <c r="CQ344" i="2" s="1"/>
  <c r="BP344" i="2"/>
  <c r="CC344" i="2" s="1"/>
  <c r="CR344" i="2" s="1"/>
  <c r="BQ344" i="2"/>
  <c r="CD344" i="2" s="1"/>
  <c r="CS344" i="2" s="1"/>
  <c r="BR344" i="2"/>
  <c r="CE344" i="2" s="1"/>
  <c r="CT344" i="2" s="1"/>
  <c r="BS344" i="2"/>
  <c r="CF344" i="2" s="1"/>
  <c r="CU344" i="2" s="1"/>
  <c r="BH345" i="2"/>
  <c r="BU345" i="2" s="1"/>
  <c r="CJ345" i="2" s="1"/>
  <c r="BI345" i="2"/>
  <c r="BV345" i="2" s="1"/>
  <c r="CK345" i="2" s="1"/>
  <c r="BJ345" i="2"/>
  <c r="BW345" i="2" s="1"/>
  <c r="CL345" i="2" s="1"/>
  <c r="BK345" i="2"/>
  <c r="BX345" i="2" s="1"/>
  <c r="CM345" i="2" s="1"/>
  <c r="BL345" i="2"/>
  <c r="BY345" i="2" s="1"/>
  <c r="CN345" i="2" s="1"/>
  <c r="BM345" i="2"/>
  <c r="BZ345" i="2" s="1"/>
  <c r="CO345" i="2" s="1"/>
  <c r="BN345" i="2"/>
  <c r="CA345" i="2" s="1"/>
  <c r="CP345" i="2" s="1"/>
  <c r="BO345" i="2"/>
  <c r="CB345" i="2" s="1"/>
  <c r="CQ345" i="2" s="1"/>
  <c r="BP345" i="2"/>
  <c r="CC345" i="2" s="1"/>
  <c r="CR345" i="2" s="1"/>
  <c r="BQ345" i="2"/>
  <c r="CD345" i="2" s="1"/>
  <c r="CS345" i="2" s="1"/>
  <c r="BR345" i="2"/>
  <c r="CE345" i="2" s="1"/>
  <c r="CT345" i="2" s="1"/>
  <c r="BS345" i="2"/>
  <c r="CF345" i="2" s="1"/>
  <c r="CU345" i="2" s="1"/>
  <c r="BH346" i="2"/>
  <c r="BU346" i="2" s="1"/>
  <c r="CJ346" i="2" s="1"/>
  <c r="BI346" i="2"/>
  <c r="BV346" i="2" s="1"/>
  <c r="CK346" i="2" s="1"/>
  <c r="BJ346" i="2"/>
  <c r="BW346" i="2" s="1"/>
  <c r="CL346" i="2" s="1"/>
  <c r="BK346" i="2"/>
  <c r="BX346" i="2" s="1"/>
  <c r="CM346" i="2" s="1"/>
  <c r="BL346" i="2"/>
  <c r="BY346" i="2" s="1"/>
  <c r="CN346" i="2" s="1"/>
  <c r="BM346" i="2"/>
  <c r="BZ346" i="2" s="1"/>
  <c r="CO346" i="2" s="1"/>
  <c r="BN346" i="2"/>
  <c r="CA346" i="2" s="1"/>
  <c r="CP346" i="2" s="1"/>
  <c r="BO346" i="2"/>
  <c r="CB346" i="2" s="1"/>
  <c r="CQ346" i="2" s="1"/>
  <c r="BP346" i="2"/>
  <c r="CC346" i="2" s="1"/>
  <c r="CR346" i="2" s="1"/>
  <c r="BQ346" i="2"/>
  <c r="CD346" i="2" s="1"/>
  <c r="CS346" i="2" s="1"/>
  <c r="BR346" i="2"/>
  <c r="CE346" i="2" s="1"/>
  <c r="CT346" i="2" s="1"/>
  <c r="BS346" i="2"/>
  <c r="CF346" i="2" s="1"/>
  <c r="CU346" i="2" s="1"/>
  <c r="BH347" i="2"/>
  <c r="BU347" i="2" s="1"/>
  <c r="CJ347" i="2" s="1"/>
  <c r="BI347" i="2"/>
  <c r="BV347" i="2" s="1"/>
  <c r="CK347" i="2" s="1"/>
  <c r="BJ347" i="2"/>
  <c r="BW347" i="2" s="1"/>
  <c r="CL347" i="2" s="1"/>
  <c r="BK347" i="2"/>
  <c r="BX347" i="2" s="1"/>
  <c r="CM347" i="2" s="1"/>
  <c r="BL347" i="2"/>
  <c r="BY347" i="2" s="1"/>
  <c r="CN347" i="2" s="1"/>
  <c r="BM347" i="2"/>
  <c r="BZ347" i="2" s="1"/>
  <c r="CO347" i="2" s="1"/>
  <c r="BN347" i="2"/>
  <c r="CA347" i="2" s="1"/>
  <c r="CP347" i="2" s="1"/>
  <c r="BO347" i="2"/>
  <c r="CB347" i="2" s="1"/>
  <c r="CQ347" i="2" s="1"/>
  <c r="BP347" i="2"/>
  <c r="CC347" i="2" s="1"/>
  <c r="CR347" i="2" s="1"/>
  <c r="BQ347" i="2"/>
  <c r="CD347" i="2" s="1"/>
  <c r="CS347" i="2" s="1"/>
  <c r="BR347" i="2"/>
  <c r="CE347" i="2" s="1"/>
  <c r="CT347" i="2" s="1"/>
  <c r="BS347" i="2"/>
  <c r="CF347" i="2" s="1"/>
  <c r="CU347" i="2" s="1"/>
  <c r="BH348" i="2"/>
  <c r="BU348" i="2" s="1"/>
  <c r="CJ348" i="2" s="1"/>
  <c r="BI348" i="2"/>
  <c r="BV348" i="2" s="1"/>
  <c r="CK348" i="2" s="1"/>
  <c r="BJ348" i="2"/>
  <c r="BW348" i="2" s="1"/>
  <c r="CL348" i="2" s="1"/>
  <c r="BK348" i="2"/>
  <c r="BX348" i="2" s="1"/>
  <c r="CM348" i="2" s="1"/>
  <c r="BL348" i="2"/>
  <c r="BY348" i="2" s="1"/>
  <c r="CN348" i="2" s="1"/>
  <c r="BM348" i="2"/>
  <c r="BZ348" i="2" s="1"/>
  <c r="CO348" i="2" s="1"/>
  <c r="BN348" i="2"/>
  <c r="CA348" i="2" s="1"/>
  <c r="CP348" i="2" s="1"/>
  <c r="BO348" i="2"/>
  <c r="CB348" i="2" s="1"/>
  <c r="CQ348" i="2" s="1"/>
  <c r="BP348" i="2"/>
  <c r="CC348" i="2" s="1"/>
  <c r="CR348" i="2" s="1"/>
  <c r="BQ348" i="2"/>
  <c r="CD348" i="2" s="1"/>
  <c r="CS348" i="2" s="1"/>
  <c r="BR348" i="2"/>
  <c r="CE348" i="2" s="1"/>
  <c r="CT348" i="2" s="1"/>
  <c r="BS348" i="2"/>
  <c r="CF348" i="2" s="1"/>
  <c r="CU348" i="2" s="1"/>
  <c r="BH349" i="2"/>
  <c r="BU349" i="2" s="1"/>
  <c r="CJ349" i="2" s="1"/>
  <c r="BI349" i="2"/>
  <c r="BV349" i="2" s="1"/>
  <c r="CK349" i="2" s="1"/>
  <c r="BJ349" i="2"/>
  <c r="BW349" i="2" s="1"/>
  <c r="CL349" i="2" s="1"/>
  <c r="BK349" i="2"/>
  <c r="BX349" i="2" s="1"/>
  <c r="CM349" i="2" s="1"/>
  <c r="BL349" i="2"/>
  <c r="BY349" i="2" s="1"/>
  <c r="CN349" i="2" s="1"/>
  <c r="BM349" i="2"/>
  <c r="BZ349" i="2" s="1"/>
  <c r="CO349" i="2" s="1"/>
  <c r="BN349" i="2"/>
  <c r="CA349" i="2" s="1"/>
  <c r="CP349" i="2" s="1"/>
  <c r="BO349" i="2"/>
  <c r="CB349" i="2" s="1"/>
  <c r="CQ349" i="2" s="1"/>
  <c r="BP349" i="2"/>
  <c r="CC349" i="2" s="1"/>
  <c r="CR349" i="2" s="1"/>
  <c r="BQ349" i="2"/>
  <c r="CD349" i="2" s="1"/>
  <c r="CS349" i="2" s="1"/>
  <c r="BR349" i="2"/>
  <c r="CE349" i="2" s="1"/>
  <c r="CT349" i="2" s="1"/>
  <c r="BS349" i="2"/>
  <c r="CF349" i="2" s="1"/>
  <c r="CU349" i="2" s="1"/>
  <c r="BH350" i="2"/>
  <c r="BU350" i="2" s="1"/>
  <c r="CJ350" i="2" s="1"/>
  <c r="BI350" i="2"/>
  <c r="BV350" i="2" s="1"/>
  <c r="CK350" i="2" s="1"/>
  <c r="BJ350" i="2"/>
  <c r="BW350" i="2" s="1"/>
  <c r="CL350" i="2" s="1"/>
  <c r="BK350" i="2"/>
  <c r="BX350" i="2" s="1"/>
  <c r="CM350" i="2" s="1"/>
  <c r="BL350" i="2"/>
  <c r="BY350" i="2" s="1"/>
  <c r="CN350" i="2" s="1"/>
  <c r="BM350" i="2"/>
  <c r="BZ350" i="2" s="1"/>
  <c r="CO350" i="2" s="1"/>
  <c r="BN350" i="2"/>
  <c r="CA350" i="2" s="1"/>
  <c r="CP350" i="2" s="1"/>
  <c r="BO350" i="2"/>
  <c r="CB350" i="2" s="1"/>
  <c r="CQ350" i="2" s="1"/>
  <c r="BP350" i="2"/>
  <c r="CC350" i="2" s="1"/>
  <c r="CR350" i="2" s="1"/>
  <c r="BQ350" i="2"/>
  <c r="CD350" i="2" s="1"/>
  <c r="CS350" i="2" s="1"/>
  <c r="BR350" i="2"/>
  <c r="CE350" i="2" s="1"/>
  <c r="CT350" i="2" s="1"/>
  <c r="BS350" i="2"/>
  <c r="CF350" i="2" s="1"/>
  <c r="CU350" i="2" s="1"/>
  <c r="BH351" i="2"/>
  <c r="BU351" i="2" s="1"/>
  <c r="CJ351" i="2" s="1"/>
  <c r="BI351" i="2"/>
  <c r="BV351" i="2" s="1"/>
  <c r="CK351" i="2" s="1"/>
  <c r="BJ351" i="2"/>
  <c r="BW351" i="2" s="1"/>
  <c r="CL351" i="2" s="1"/>
  <c r="BK351" i="2"/>
  <c r="BX351" i="2" s="1"/>
  <c r="CM351" i="2" s="1"/>
  <c r="BL351" i="2"/>
  <c r="BY351" i="2" s="1"/>
  <c r="CN351" i="2" s="1"/>
  <c r="BM351" i="2"/>
  <c r="BZ351" i="2" s="1"/>
  <c r="CO351" i="2" s="1"/>
  <c r="BN351" i="2"/>
  <c r="CA351" i="2" s="1"/>
  <c r="CP351" i="2" s="1"/>
  <c r="BO351" i="2"/>
  <c r="CB351" i="2" s="1"/>
  <c r="CQ351" i="2" s="1"/>
  <c r="BP351" i="2"/>
  <c r="CC351" i="2" s="1"/>
  <c r="CR351" i="2" s="1"/>
  <c r="BQ351" i="2"/>
  <c r="CD351" i="2" s="1"/>
  <c r="CS351" i="2" s="1"/>
  <c r="BR351" i="2"/>
  <c r="CE351" i="2" s="1"/>
  <c r="CT351" i="2" s="1"/>
  <c r="BS351" i="2"/>
  <c r="CF351" i="2" s="1"/>
  <c r="CU351" i="2" s="1"/>
  <c r="BH352" i="2"/>
  <c r="BU352" i="2" s="1"/>
  <c r="CJ352" i="2" s="1"/>
  <c r="BI352" i="2"/>
  <c r="BV352" i="2" s="1"/>
  <c r="CK352" i="2" s="1"/>
  <c r="BJ352" i="2"/>
  <c r="BW352" i="2" s="1"/>
  <c r="CL352" i="2" s="1"/>
  <c r="BK352" i="2"/>
  <c r="BX352" i="2" s="1"/>
  <c r="CM352" i="2" s="1"/>
  <c r="BL352" i="2"/>
  <c r="BY352" i="2" s="1"/>
  <c r="CN352" i="2" s="1"/>
  <c r="BM352" i="2"/>
  <c r="BZ352" i="2" s="1"/>
  <c r="CO352" i="2" s="1"/>
  <c r="BN352" i="2"/>
  <c r="CA352" i="2" s="1"/>
  <c r="CP352" i="2" s="1"/>
  <c r="BO352" i="2"/>
  <c r="CB352" i="2" s="1"/>
  <c r="CQ352" i="2" s="1"/>
  <c r="BP352" i="2"/>
  <c r="CC352" i="2" s="1"/>
  <c r="CR352" i="2" s="1"/>
  <c r="BQ352" i="2"/>
  <c r="CD352" i="2" s="1"/>
  <c r="CS352" i="2" s="1"/>
  <c r="BR352" i="2"/>
  <c r="CE352" i="2" s="1"/>
  <c r="CT352" i="2" s="1"/>
  <c r="BS352" i="2"/>
  <c r="CF352" i="2" s="1"/>
  <c r="CU352" i="2" s="1"/>
  <c r="BH353" i="2"/>
  <c r="BU353" i="2" s="1"/>
  <c r="CJ353" i="2" s="1"/>
  <c r="BI353" i="2"/>
  <c r="BV353" i="2" s="1"/>
  <c r="CK353" i="2" s="1"/>
  <c r="BJ353" i="2"/>
  <c r="BW353" i="2" s="1"/>
  <c r="CL353" i="2" s="1"/>
  <c r="BK353" i="2"/>
  <c r="BX353" i="2" s="1"/>
  <c r="CM353" i="2" s="1"/>
  <c r="BL353" i="2"/>
  <c r="BY353" i="2" s="1"/>
  <c r="CN353" i="2" s="1"/>
  <c r="BM353" i="2"/>
  <c r="BZ353" i="2" s="1"/>
  <c r="CO353" i="2" s="1"/>
  <c r="BN353" i="2"/>
  <c r="CA353" i="2" s="1"/>
  <c r="CP353" i="2" s="1"/>
  <c r="BO353" i="2"/>
  <c r="CB353" i="2" s="1"/>
  <c r="CQ353" i="2" s="1"/>
  <c r="BP353" i="2"/>
  <c r="CC353" i="2" s="1"/>
  <c r="CR353" i="2" s="1"/>
  <c r="BQ353" i="2"/>
  <c r="CD353" i="2" s="1"/>
  <c r="CS353" i="2" s="1"/>
  <c r="BR353" i="2"/>
  <c r="CE353" i="2" s="1"/>
  <c r="CT353" i="2" s="1"/>
  <c r="BS353" i="2"/>
  <c r="CF353" i="2" s="1"/>
  <c r="CU353" i="2" s="1"/>
  <c r="BH354" i="2"/>
  <c r="BU354" i="2" s="1"/>
  <c r="CJ354" i="2" s="1"/>
  <c r="BI354" i="2"/>
  <c r="BV354" i="2" s="1"/>
  <c r="CK354" i="2" s="1"/>
  <c r="BJ354" i="2"/>
  <c r="BW354" i="2" s="1"/>
  <c r="CL354" i="2" s="1"/>
  <c r="BK354" i="2"/>
  <c r="BX354" i="2" s="1"/>
  <c r="CM354" i="2" s="1"/>
  <c r="BL354" i="2"/>
  <c r="BY354" i="2" s="1"/>
  <c r="CN354" i="2" s="1"/>
  <c r="BM354" i="2"/>
  <c r="BZ354" i="2" s="1"/>
  <c r="CO354" i="2" s="1"/>
  <c r="BN354" i="2"/>
  <c r="CA354" i="2" s="1"/>
  <c r="CP354" i="2" s="1"/>
  <c r="BO354" i="2"/>
  <c r="CB354" i="2" s="1"/>
  <c r="CQ354" i="2" s="1"/>
  <c r="BP354" i="2"/>
  <c r="CC354" i="2" s="1"/>
  <c r="CR354" i="2" s="1"/>
  <c r="BQ354" i="2"/>
  <c r="CD354" i="2" s="1"/>
  <c r="CS354" i="2" s="1"/>
  <c r="BR354" i="2"/>
  <c r="CE354" i="2" s="1"/>
  <c r="CT354" i="2" s="1"/>
  <c r="BS354" i="2"/>
  <c r="CF354" i="2" s="1"/>
  <c r="CU354" i="2" s="1"/>
  <c r="BH355" i="2"/>
  <c r="BU355" i="2" s="1"/>
  <c r="CJ355" i="2" s="1"/>
  <c r="BI355" i="2"/>
  <c r="BV355" i="2" s="1"/>
  <c r="CK355" i="2" s="1"/>
  <c r="BJ355" i="2"/>
  <c r="BW355" i="2" s="1"/>
  <c r="CL355" i="2" s="1"/>
  <c r="BK355" i="2"/>
  <c r="BX355" i="2" s="1"/>
  <c r="CM355" i="2" s="1"/>
  <c r="BL355" i="2"/>
  <c r="BY355" i="2" s="1"/>
  <c r="CN355" i="2" s="1"/>
  <c r="BM355" i="2"/>
  <c r="BZ355" i="2" s="1"/>
  <c r="CO355" i="2" s="1"/>
  <c r="BN355" i="2"/>
  <c r="CA355" i="2" s="1"/>
  <c r="CP355" i="2" s="1"/>
  <c r="BO355" i="2"/>
  <c r="CB355" i="2" s="1"/>
  <c r="CQ355" i="2" s="1"/>
  <c r="BP355" i="2"/>
  <c r="CC355" i="2" s="1"/>
  <c r="CR355" i="2" s="1"/>
  <c r="BQ355" i="2"/>
  <c r="CD355" i="2" s="1"/>
  <c r="CS355" i="2" s="1"/>
  <c r="BR355" i="2"/>
  <c r="CE355" i="2" s="1"/>
  <c r="CT355" i="2" s="1"/>
  <c r="BS355" i="2"/>
  <c r="CF355" i="2" s="1"/>
  <c r="CU355" i="2" s="1"/>
  <c r="BH356" i="2"/>
  <c r="BU356" i="2" s="1"/>
  <c r="CJ356" i="2" s="1"/>
  <c r="BI356" i="2"/>
  <c r="BV356" i="2" s="1"/>
  <c r="CK356" i="2" s="1"/>
  <c r="BJ356" i="2"/>
  <c r="BW356" i="2" s="1"/>
  <c r="CL356" i="2" s="1"/>
  <c r="BK356" i="2"/>
  <c r="BX356" i="2" s="1"/>
  <c r="CM356" i="2" s="1"/>
  <c r="BL356" i="2"/>
  <c r="BY356" i="2" s="1"/>
  <c r="CN356" i="2" s="1"/>
  <c r="BM356" i="2"/>
  <c r="BZ356" i="2" s="1"/>
  <c r="CO356" i="2" s="1"/>
  <c r="BN356" i="2"/>
  <c r="CA356" i="2" s="1"/>
  <c r="CP356" i="2" s="1"/>
  <c r="BO356" i="2"/>
  <c r="CB356" i="2" s="1"/>
  <c r="CQ356" i="2" s="1"/>
  <c r="BP356" i="2"/>
  <c r="CC356" i="2" s="1"/>
  <c r="CR356" i="2" s="1"/>
  <c r="BQ356" i="2"/>
  <c r="CD356" i="2" s="1"/>
  <c r="CS356" i="2" s="1"/>
  <c r="BR356" i="2"/>
  <c r="CE356" i="2" s="1"/>
  <c r="CT356" i="2" s="1"/>
  <c r="BS356" i="2"/>
  <c r="CF356" i="2" s="1"/>
  <c r="CU356" i="2" s="1"/>
  <c r="BH357" i="2"/>
  <c r="BU357" i="2" s="1"/>
  <c r="CJ357" i="2" s="1"/>
  <c r="BI357" i="2"/>
  <c r="BV357" i="2" s="1"/>
  <c r="CK357" i="2" s="1"/>
  <c r="BJ357" i="2"/>
  <c r="BW357" i="2" s="1"/>
  <c r="CL357" i="2" s="1"/>
  <c r="BK357" i="2"/>
  <c r="BX357" i="2" s="1"/>
  <c r="CM357" i="2" s="1"/>
  <c r="BL357" i="2"/>
  <c r="BY357" i="2" s="1"/>
  <c r="CN357" i="2" s="1"/>
  <c r="BM357" i="2"/>
  <c r="BZ357" i="2" s="1"/>
  <c r="CO357" i="2" s="1"/>
  <c r="BN357" i="2"/>
  <c r="CA357" i="2" s="1"/>
  <c r="CP357" i="2" s="1"/>
  <c r="BO357" i="2"/>
  <c r="CB357" i="2" s="1"/>
  <c r="CQ357" i="2" s="1"/>
  <c r="BP357" i="2"/>
  <c r="CC357" i="2" s="1"/>
  <c r="CR357" i="2" s="1"/>
  <c r="BQ357" i="2"/>
  <c r="CD357" i="2" s="1"/>
  <c r="CS357" i="2" s="1"/>
  <c r="BR357" i="2"/>
  <c r="CE357" i="2" s="1"/>
  <c r="CT357" i="2" s="1"/>
  <c r="BS357" i="2"/>
  <c r="CF357" i="2" s="1"/>
  <c r="CU357" i="2" s="1"/>
  <c r="BH358" i="2"/>
  <c r="BU358" i="2" s="1"/>
  <c r="CJ358" i="2" s="1"/>
  <c r="BI358" i="2"/>
  <c r="BV358" i="2" s="1"/>
  <c r="CK358" i="2" s="1"/>
  <c r="BJ358" i="2"/>
  <c r="BW358" i="2" s="1"/>
  <c r="CL358" i="2" s="1"/>
  <c r="BK358" i="2"/>
  <c r="BX358" i="2" s="1"/>
  <c r="CM358" i="2" s="1"/>
  <c r="BL358" i="2"/>
  <c r="BY358" i="2" s="1"/>
  <c r="CN358" i="2" s="1"/>
  <c r="BM358" i="2"/>
  <c r="BZ358" i="2" s="1"/>
  <c r="CO358" i="2" s="1"/>
  <c r="BN358" i="2"/>
  <c r="CA358" i="2" s="1"/>
  <c r="CP358" i="2" s="1"/>
  <c r="BO358" i="2"/>
  <c r="CB358" i="2" s="1"/>
  <c r="CQ358" i="2" s="1"/>
  <c r="BP358" i="2"/>
  <c r="CC358" i="2" s="1"/>
  <c r="CR358" i="2" s="1"/>
  <c r="BQ358" i="2"/>
  <c r="CD358" i="2" s="1"/>
  <c r="CS358" i="2" s="1"/>
  <c r="BR358" i="2"/>
  <c r="CE358" i="2" s="1"/>
  <c r="CT358" i="2" s="1"/>
  <c r="BS358" i="2"/>
  <c r="CF358" i="2" s="1"/>
  <c r="CU358" i="2" s="1"/>
  <c r="BH359" i="2"/>
  <c r="BU359" i="2" s="1"/>
  <c r="CJ359" i="2" s="1"/>
  <c r="BI359" i="2"/>
  <c r="BV359" i="2" s="1"/>
  <c r="CK359" i="2" s="1"/>
  <c r="BJ359" i="2"/>
  <c r="BW359" i="2" s="1"/>
  <c r="CL359" i="2" s="1"/>
  <c r="BK359" i="2"/>
  <c r="BX359" i="2" s="1"/>
  <c r="CM359" i="2" s="1"/>
  <c r="BL359" i="2"/>
  <c r="BY359" i="2" s="1"/>
  <c r="CN359" i="2" s="1"/>
  <c r="BM359" i="2"/>
  <c r="BZ359" i="2" s="1"/>
  <c r="CO359" i="2" s="1"/>
  <c r="BN359" i="2"/>
  <c r="CA359" i="2" s="1"/>
  <c r="CP359" i="2" s="1"/>
  <c r="BO359" i="2"/>
  <c r="CB359" i="2" s="1"/>
  <c r="CQ359" i="2" s="1"/>
  <c r="BP359" i="2"/>
  <c r="CC359" i="2" s="1"/>
  <c r="CR359" i="2" s="1"/>
  <c r="BQ359" i="2"/>
  <c r="CD359" i="2" s="1"/>
  <c r="CS359" i="2" s="1"/>
  <c r="BR359" i="2"/>
  <c r="CE359" i="2" s="1"/>
  <c r="CT359" i="2" s="1"/>
  <c r="BS359" i="2"/>
  <c r="CF359" i="2" s="1"/>
  <c r="CU359" i="2" s="1"/>
  <c r="BH360" i="2"/>
  <c r="BU360" i="2" s="1"/>
  <c r="CJ360" i="2" s="1"/>
  <c r="BI360" i="2"/>
  <c r="BV360" i="2" s="1"/>
  <c r="CK360" i="2" s="1"/>
  <c r="BJ360" i="2"/>
  <c r="BW360" i="2" s="1"/>
  <c r="CL360" i="2" s="1"/>
  <c r="BK360" i="2"/>
  <c r="BX360" i="2" s="1"/>
  <c r="CM360" i="2" s="1"/>
  <c r="BL360" i="2"/>
  <c r="BY360" i="2" s="1"/>
  <c r="CN360" i="2" s="1"/>
  <c r="BM360" i="2"/>
  <c r="BZ360" i="2" s="1"/>
  <c r="CO360" i="2" s="1"/>
  <c r="BN360" i="2"/>
  <c r="CA360" i="2" s="1"/>
  <c r="CP360" i="2" s="1"/>
  <c r="BO360" i="2"/>
  <c r="CB360" i="2" s="1"/>
  <c r="CQ360" i="2" s="1"/>
  <c r="BP360" i="2"/>
  <c r="CC360" i="2" s="1"/>
  <c r="CR360" i="2" s="1"/>
  <c r="BQ360" i="2"/>
  <c r="CD360" i="2" s="1"/>
  <c r="CS360" i="2" s="1"/>
  <c r="BR360" i="2"/>
  <c r="CE360" i="2" s="1"/>
  <c r="CT360" i="2" s="1"/>
  <c r="BS360" i="2"/>
  <c r="CF360" i="2" s="1"/>
  <c r="CU360" i="2" s="1"/>
  <c r="BH361" i="2"/>
  <c r="BU361" i="2" s="1"/>
  <c r="CJ361" i="2" s="1"/>
  <c r="BI361" i="2"/>
  <c r="BV361" i="2" s="1"/>
  <c r="CK361" i="2" s="1"/>
  <c r="BJ361" i="2"/>
  <c r="BW361" i="2" s="1"/>
  <c r="CL361" i="2" s="1"/>
  <c r="BK361" i="2"/>
  <c r="BX361" i="2" s="1"/>
  <c r="CM361" i="2" s="1"/>
  <c r="BL361" i="2"/>
  <c r="BY361" i="2" s="1"/>
  <c r="CN361" i="2" s="1"/>
  <c r="BM361" i="2"/>
  <c r="BZ361" i="2" s="1"/>
  <c r="CO361" i="2" s="1"/>
  <c r="BN361" i="2"/>
  <c r="CA361" i="2" s="1"/>
  <c r="CP361" i="2" s="1"/>
  <c r="BO361" i="2"/>
  <c r="CB361" i="2" s="1"/>
  <c r="CQ361" i="2" s="1"/>
  <c r="BP361" i="2"/>
  <c r="CC361" i="2" s="1"/>
  <c r="CR361" i="2" s="1"/>
  <c r="BQ361" i="2"/>
  <c r="CD361" i="2" s="1"/>
  <c r="CS361" i="2" s="1"/>
  <c r="BR361" i="2"/>
  <c r="CE361" i="2" s="1"/>
  <c r="CT361" i="2" s="1"/>
  <c r="BS361" i="2"/>
  <c r="CF361" i="2" s="1"/>
  <c r="CU361" i="2" s="1"/>
  <c r="BH362" i="2"/>
  <c r="BU362" i="2" s="1"/>
  <c r="CJ362" i="2" s="1"/>
  <c r="BI362" i="2"/>
  <c r="BV362" i="2" s="1"/>
  <c r="CK362" i="2" s="1"/>
  <c r="BJ362" i="2"/>
  <c r="BW362" i="2" s="1"/>
  <c r="CL362" i="2" s="1"/>
  <c r="BK362" i="2"/>
  <c r="BX362" i="2" s="1"/>
  <c r="CM362" i="2" s="1"/>
  <c r="BL362" i="2"/>
  <c r="BY362" i="2" s="1"/>
  <c r="CN362" i="2" s="1"/>
  <c r="BM362" i="2"/>
  <c r="BZ362" i="2" s="1"/>
  <c r="CO362" i="2" s="1"/>
  <c r="BN362" i="2"/>
  <c r="CA362" i="2" s="1"/>
  <c r="CP362" i="2" s="1"/>
  <c r="BO362" i="2"/>
  <c r="CB362" i="2" s="1"/>
  <c r="CQ362" i="2" s="1"/>
  <c r="BP362" i="2"/>
  <c r="CC362" i="2" s="1"/>
  <c r="CR362" i="2" s="1"/>
  <c r="BQ362" i="2"/>
  <c r="CD362" i="2" s="1"/>
  <c r="CS362" i="2" s="1"/>
  <c r="BR362" i="2"/>
  <c r="CE362" i="2" s="1"/>
  <c r="CT362" i="2" s="1"/>
  <c r="BS362" i="2"/>
  <c r="CF362" i="2" s="1"/>
  <c r="CU362" i="2" s="1"/>
  <c r="BH363" i="2"/>
  <c r="BU363" i="2" s="1"/>
  <c r="CJ363" i="2" s="1"/>
  <c r="BI363" i="2"/>
  <c r="BV363" i="2" s="1"/>
  <c r="CK363" i="2" s="1"/>
  <c r="BJ363" i="2"/>
  <c r="BW363" i="2" s="1"/>
  <c r="CL363" i="2" s="1"/>
  <c r="BK363" i="2"/>
  <c r="BX363" i="2" s="1"/>
  <c r="CM363" i="2" s="1"/>
  <c r="BL363" i="2"/>
  <c r="BY363" i="2" s="1"/>
  <c r="CN363" i="2" s="1"/>
  <c r="BM363" i="2"/>
  <c r="BZ363" i="2" s="1"/>
  <c r="CO363" i="2" s="1"/>
  <c r="BN363" i="2"/>
  <c r="CA363" i="2" s="1"/>
  <c r="CP363" i="2" s="1"/>
  <c r="BO363" i="2"/>
  <c r="CB363" i="2" s="1"/>
  <c r="CQ363" i="2" s="1"/>
  <c r="BP363" i="2"/>
  <c r="CC363" i="2" s="1"/>
  <c r="CR363" i="2" s="1"/>
  <c r="BQ363" i="2"/>
  <c r="CD363" i="2" s="1"/>
  <c r="CS363" i="2" s="1"/>
  <c r="BR363" i="2"/>
  <c r="CE363" i="2" s="1"/>
  <c r="CT363" i="2" s="1"/>
  <c r="BS363" i="2"/>
  <c r="CF363" i="2" s="1"/>
  <c r="CU363" i="2" s="1"/>
  <c r="BH364" i="2"/>
  <c r="BU364" i="2" s="1"/>
  <c r="CJ364" i="2" s="1"/>
  <c r="BI364" i="2"/>
  <c r="BV364" i="2" s="1"/>
  <c r="CK364" i="2" s="1"/>
  <c r="BJ364" i="2"/>
  <c r="BW364" i="2" s="1"/>
  <c r="CL364" i="2" s="1"/>
  <c r="BK364" i="2"/>
  <c r="BX364" i="2" s="1"/>
  <c r="CM364" i="2" s="1"/>
  <c r="BL364" i="2"/>
  <c r="BY364" i="2" s="1"/>
  <c r="CN364" i="2" s="1"/>
  <c r="BM364" i="2"/>
  <c r="BZ364" i="2" s="1"/>
  <c r="CO364" i="2" s="1"/>
  <c r="BN364" i="2"/>
  <c r="CA364" i="2" s="1"/>
  <c r="CP364" i="2" s="1"/>
  <c r="BO364" i="2"/>
  <c r="CB364" i="2" s="1"/>
  <c r="CQ364" i="2" s="1"/>
  <c r="BP364" i="2"/>
  <c r="CC364" i="2" s="1"/>
  <c r="CR364" i="2" s="1"/>
  <c r="BQ364" i="2"/>
  <c r="CD364" i="2" s="1"/>
  <c r="CS364" i="2" s="1"/>
  <c r="BR364" i="2"/>
  <c r="CE364" i="2" s="1"/>
  <c r="CT364" i="2" s="1"/>
  <c r="BS364" i="2"/>
  <c r="CF364" i="2" s="1"/>
  <c r="CU364" i="2" s="1"/>
  <c r="BH365" i="2"/>
  <c r="BU365" i="2" s="1"/>
  <c r="CJ365" i="2" s="1"/>
  <c r="BI365" i="2"/>
  <c r="BV365" i="2" s="1"/>
  <c r="CK365" i="2" s="1"/>
  <c r="BJ365" i="2"/>
  <c r="BW365" i="2" s="1"/>
  <c r="CL365" i="2" s="1"/>
  <c r="BK365" i="2"/>
  <c r="BX365" i="2" s="1"/>
  <c r="CM365" i="2" s="1"/>
  <c r="BL365" i="2"/>
  <c r="BY365" i="2" s="1"/>
  <c r="CN365" i="2" s="1"/>
  <c r="BM365" i="2"/>
  <c r="BZ365" i="2" s="1"/>
  <c r="CO365" i="2" s="1"/>
  <c r="BN365" i="2"/>
  <c r="CA365" i="2" s="1"/>
  <c r="CP365" i="2" s="1"/>
  <c r="BO365" i="2"/>
  <c r="CB365" i="2" s="1"/>
  <c r="CQ365" i="2" s="1"/>
  <c r="BP365" i="2"/>
  <c r="CC365" i="2" s="1"/>
  <c r="CR365" i="2" s="1"/>
  <c r="BQ365" i="2"/>
  <c r="CD365" i="2" s="1"/>
  <c r="CS365" i="2" s="1"/>
  <c r="BR365" i="2"/>
  <c r="CE365" i="2" s="1"/>
  <c r="CT365" i="2" s="1"/>
  <c r="BS365" i="2"/>
  <c r="CF365" i="2" s="1"/>
  <c r="CU365" i="2" s="1"/>
  <c r="BH366" i="2"/>
  <c r="BU366" i="2" s="1"/>
  <c r="CJ366" i="2" s="1"/>
  <c r="BI366" i="2"/>
  <c r="BV366" i="2" s="1"/>
  <c r="CK366" i="2" s="1"/>
  <c r="BJ366" i="2"/>
  <c r="BW366" i="2" s="1"/>
  <c r="CL366" i="2" s="1"/>
  <c r="BK366" i="2"/>
  <c r="BX366" i="2" s="1"/>
  <c r="CM366" i="2" s="1"/>
  <c r="BL366" i="2"/>
  <c r="BY366" i="2" s="1"/>
  <c r="CN366" i="2" s="1"/>
  <c r="BM366" i="2"/>
  <c r="BZ366" i="2" s="1"/>
  <c r="CO366" i="2" s="1"/>
  <c r="BN366" i="2"/>
  <c r="CA366" i="2" s="1"/>
  <c r="CP366" i="2" s="1"/>
  <c r="BO366" i="2"/>
  <c r="CB366" i="2" s="1"/>
  <c r="CQ366" i="2" s="1"/>
  <c r="BP366" i="2"/>
  <c r="CC366" i="2" s="1"/>
  <c r="CR366" i="2" s="1"/>
  <c r="BQ366" i="2"/>
  <c r="CD366" i="2" s="1"/>
  <c r="CS366" i="2" s="1"/>
  <c r="BR366" i="2"/>
  <c r="CE366" i="2" s="1"/>
  <c r="CT366" i="2" s="1"/>
  <c r="BS366" i="2"/>
  <c r="CF366" i="2" s="1"/>
  <c r="CU366" i="2" s="1"/>
  <c r="BI17" i="2"/>
  <c r="BJ17" i="2"/>
  <c r="BK17" i="2"/>
  <c r="BX17" i="2" s="1"/>
  <c r="CM17" i="2" s="1"/>
  <c r="BL17" i="2"/>
  <c r="BY17" i="2" s="1"/>
  <c r="CN17" i="2" s="1"/>
  <c r="BM17" i="2"/>
  <c r="BZ17" i="2" s="1"/>
  <c r="CO17" i="2" s="1"/>
  <c r="BN17" i="2"/>
  <c r="CA17" i="2" s="1"/>
  <c r="CP17" i="2" s="1"/>
  <c r="BO17" i="2"/>
  <c r="CB17" i="2" s="1"/>
  <c r="CQ17" i="2" s="1"/>
  <c r="BP17" i="2"/>
  <c r="CC17" i="2" s="1"/>
  <c r="CR17" i="2" s="1"/>
  <c r="BQ17" i="2"/>
  <c r="CD17" i="2" s="1"/>
  <c r="CS17" i="2" s="1"/>
  <c r="BR17" i="2"/>
  <c r="CE17" i="2" s="1"/>
  <c r="CT17" i="2" s="1"/>
  <c r="BS17" i="2"/>
  <c r="CF17" i="2" s="1"/>
  <c r="CU17" i="2" s="1"/>
  <c r="BH17" i="2"/>
  <c r="B14" i="2"/>
  <c r="U2" i="2" l="1"/>
  <c r="U1" i="2"/>
  <c r="DB14" i="2"/>
  <c r="DB13" i="2"/>
  <c r="DD11" i="2"/>
  <c r="DD10" i="2"/>
  <c r="DC11" i="2"/>
  <c r="DB10" i="2"/>
  <c r="DC10" i="2"/>
  <c r="U5" i="2"/>
  <c r="U3" i="2"/>
  <c r="U4" i="2"/>
  <c r="BU17" i="2"/>
  <c r="CJ17" i="2" s="1"/>
  <c r="BW17" i="2"/>
  <c r="CL17" i="2" s="1"/>
  <c r="BV17" i="2"/>
  <c r="CK17" i="2" s="1"/>
  <c r="CZ7" i="2" a="1"/>
  <c r="DB11" i="2" s="1"/>
  <c r="CV197" i="2"/>
  <c r="V197" i="2" s="1"/>
  <c r="CV189" i="2"/>
  <c r="V189" i="2" s="1"/>
  <c r="CV181" i="2"/>
  <c r="V181" i="2" s="1"/>
  <c r="CV173" i="2"/>
  <c r="V173" i="2" s="1"/>
  <c r="CV165" i="2"/>
  <c r="V165" i="2" s="1"/>
  <c r="CV157" i="2"/>
  <c r="V157" i="2" s="1"/>
  <c r="CV149" i="2"/>
  <c r="V149" i="2" s="1"/>
  <c r="CV141" i="2"/>
  <c r="V141" i="2" s="1"/>
  <c r="CV133" i="2"/>
  <c r="V133" i="2" s="1"/>
  <c r="CV125" i="2"/>
  <c r="V125" i="2" s="1"/>
  <c r="CV117" i="2"/>
  <c r="V117" i="2" s="1"/>
  <c r="CV109" i="2"/>
  <c r="V109" i="2" s="1"/>
  <c r="CV101" i="2"/>
  <c r="V101" i="2" s="1"/>
  <c r="CV366" i="2"/>
  <c r="V366" i="2" s="1"/>
  <c r="CV358" i="2"/>
  <c r="V358" i="2" s="1"/>
  <c r="CV350" i="2"/>
  <c r="V350" i="2" s="1"/>
  <c r="CV342" i="2"/>
  <c r="V342" i="2" s="1"/>
  <c r="CV334" i="2"/>
  <c r="V334" i="2" s="1"/>
  <c r="CV326" i="2"/>
  <c r="V326" i="2" s="1"/>
  <c r="CV318" i="2"/>
  <c r="V318" i="2" s="1"/>
  <c r="CV310" i="2"/>
  <c r="V310" i="2" s="1"/>
  <c r="CV302" i="2"/>
  <c r="V302" i="2" s="1"/>
  <c r="CV294" i="2"/>
  <c r="V294" i="2" s="1"/>
  <c r="CV286" i="2"/>
  <c r="V286" i="2" s="1"/>
  <c r="CV278" i="2"/>
  <c r="V278" i="2" s="1"/>
  <c r="CV237" i="2"/>
  <c r="V237" i="2" s="1"/>
  <c r="CV333" i="2"/>
  <c r="V333" i="2" s="1"/>
  <c r="CV213" i="2"/>
  <c r="V213" i="2" s="1"/>
  <c r="CV364" i="2"/>
  <c r="V364" i="2" s="1"/>
  <c r="CV332" i="2"/>
  <c r="V332" i="2" s="1"/>
  <c r="CV308" i="2"/>
  <c r="V308" i="2" s="1"/>
  <c r="CV300" i="2"/>
  <c r="V300" i="2" s="1"/>
  <c r="CV284" i="2"/>
  <c r="V284" i="2" s="1"/>
  <c r="CV260" i="2"/>
  <c r="V260" i="2" s="1"/>
  <c r="CV236" i="2"/>
  <c r="V236" i="2" s="1"/>
  <c r="CV212" i="2"/>
  <c r="V212" i="2" s="1"/>
  <c r="CV172" i="2"/>
  <c r="V172" i="2" s="1"/>
  <c r="CV140" i="2"/>
  <c r="V140" i="2" s="1"/>
  <c r="CV100" i="2"/>
  <c r="V100" i="2" s="1"/>
  <c r="CV344" i="2"/>
  <c r="V344" i="2" s="1"/>
  <c r="CV272" i="2"/>
  <c r="V272" i="2" s="1"/>
  <c r="CV67" i="2"/>
  <c r="V67" i="2" s="1"/>
  <c r="CV34" i="2"/>
  <c r="V34" i="2" s="1"/>
  <c r="CV365" i="2"/>
  <c r="V365" i="2" s="1"/>
  <c r="CV325" i="2"/>
  <c r="V325" i="2" s="1"/>
  <c r="CV261" i="2"/>
  <c r="V261" i="2" s="1"/>
  <c r="CV229" i="2"/>
  <c r="V229" i="2" s="1"/>
  <c r="CV356" i="2"/>
  <c r="V356" i="2" s="1"/>
  <c r="CV348" i="2"/>
  <c r="V348" i="2" s="1"/>
  <c r="CV340" i="2"/>
  <c r="V340" i="2" s="1"/>
  <c r="CV324" i="2"/>
  <c r="V324" i="2" s="1"/>
  <c r="CV316" i="2"/>
  <c r="V316" i="2" s="1"/>
  <c r="CV292" i="2"/>
  <c r="V292" i="2" s="1"/>
  <c r="CV276" i="2"/>
  <c r="V276" i="2" s="1"/>
  <c r="CV252" i="2"/>
  <c r="V252" i="2" s="1"/>
  <c r="CV244" i="2"/>
  <c r="V244" i="2" s="1"/>
  <c r="CV228" i="2"/>
  <c r="V228" i="2" s="1"/>
  <c r="CV220" i="2"/>
  <c r="V220" i="2" s="1"/>
  <c r="CV204" i="2"/>
  <c r="V204" i="2" s="1"/>
  <c r="CV196" i="2"/>
  <c r="V196" i="2" s="1"/>
  <c r="CV188" i="2"/>
  <c r="V188" i="2" s="1"/>
  <c r="CV180" i="2"/>
  <c r="V180" i="2" s="1"/>
  <c r="CV164" i="2"/>
  <c r="V164" i="2" s="1"/>
  <c r="CV156" i="2"/>
  <c r="V156" i="2" s="1"/>
  <c r="CV148" i="2"/>
  <c r="V148" i="2" s="1"/>
  <c r="CV132" i="2"/>
  <c r="V132" i="2" s="1"/>
  <c r="CV124" i="2"/>
  <c r="V124" i="2" s="1"/>
  <c r="CV116" i="2"/>
  <c r="V116" i="2" s="1"/>
  <c r="CV108" i="2"/>
  <c r="V108" i="2" s="1"/>
  <c r="CV360" i="2"/>
  <c r="V360" i="2" s="1"/>
  <c r="CV352" i="2"/>
  <c r="V352" i="2" s="1"/>
  <c r="CV33" i="2"/>
  <c r="V33" i="2" s="1"/>
  <c r="CV363" i="2"/>
  <c r="V363" i="2" s="1"/>
  <c r="CV355" i="2"/>
  <c r="V355" i="2" s="1"/>
  <c r="CV347" i="2"/>
  <c r="V347" i="2" s="1"/>
  <c r="CV339" i="2"/>
  <c r="V339" i="2" s="1"/>
  <c r="CV331" i="2"/>
  <c r="V331" i="2" s="1"/>
  <c r="CV323" i="2"/>
  <c r="V323" i="2" s="1"/>
  <c r="CV259" i="2"/>
  <c r="V259" i="2" s="1"/>
  <c r="CV251" i="2"/>
  <c r="V251" i="2" s="1"/>
  <c r="CV243" i="2"/>
  <c r="V243" i="2" s="1"/>
  <c r="CV235" i="2"/>
  <c r="V235" i="2" s="1"/>
  <c r="CV227" i="2"/>
  <c r="V227" i="2" s="1"/>
  <c r="CV219" i="2"/>
  <c r="V219" i="2" s="1"/>
  <c r="CV211" i="2"/>
  <c r="V211" i="2" s="1"/>
  <c r="CV203" i="2"/>
  <c r="V203" i="2" s="1"/>
  <c r="CV195" i="2"/>
  <c r="V195" i="2" s="1"/>
  <c r="CV187" i="2"/>
  <c r="V187" i="2" s="1"/>
  <c r="CV179" i="2"/>
  <c r="V179" i="2" s="1"/>
  <c r="CV171" i="2"/>
  <c r="V171" i="2" s="1"/>
  <c r="CV163" i="2"/>
  <c r="V163" i="2" s="1"/>
  <c r="CV155" i="2"/>
  <c r="V155" i="2" s="1"/>
  <c r="CV147" i="2"/>
  <c r="V147" i="2" s="1"/>
  <c r="CV139" i="2"/>
  <c r="V139" i="2" s="1"/>
  <c r="CV131" i="2"/>
  <c r="V131" i="2" s="1"/>
  <c r="CV123" i="2"/>
  <c r="V123" i="2" s="1"/>
  <c r="CV115" i="2"/>
  <c r="V115" i="2" s="1"/>
  <c r="CV107" i="2"/>
  <c r="V107" i="2" s="1"/>
  <c r="CV349" i="2"/>
  <c r="V349" i="2" s="1"/>
  <c r="CV205" i="2"/>
  <c r="V205" i="2" s="1"/>
  <c r="CV258" i="2"/>
  <c r="V258" i="2" s="1"/>
  <c r="CV234" i="2"/>
  <c r="V234" i="2" s="1"/>
  <c r="CV357" i="2"/>
  <c r="V357" i="2" s="1"/>
  <c r="CV253" i="2"/>
  <c r="V253" i="2" s="1"/>
  <c r="CV362" i="2"/>
  <c r="V362" i="2" s="1"/>
  <c r="CV346" i="2"/>
  <c r="V346" i="2" s="1"/>
  <c r="CV250" i="2"/>
  <c r="V250" i="2" s="1"/>
  <c r="CV226" i="2"/>
  <c r="V226" i="2" s="1"/>
  <c r="CV341" i="2"/>
  <c r="V341" i="2" s="1"/>
  <c r="CV245" i="2"/>
  <c r="V245" i="2" s="1"/>
  <c r="CV221" i="2"/>
  <c r="V221" i="2" s="1"/>
  <c r="CV359" i="2"/>
  <c r="V359" i="2" s="1"/>
  <c r="CV351" i="2"/>
  <c r="V351" i="2" s="1"/>
  <c r="CV343" i="2"/>
  <c r="V343" i="2" s="1"/>
  <c r="CV335" i="2"/>
  <c r="V335" i="2" s="1"/>
  <c r="CV327" i="2"/>
  <c r="V327" i="2" s="1"/>
  <c r="CV319" i="2"/>
  <c r="V319" i="2" s="1"/>
  <c r="CV311" i="2"/>
  <c r="V311" i="2" s="1"/>
  <c r="CV354" i="2"/>
  <c r="V354" i="2" s="1"/>
  <c r="CV338" i="2"/>
  <c r="V338" i="2" s="1"/>
  <c r="CV330" i="2"/>
  <c r="V330" i="2" s="1"/>
  <c r="CV322" i="2"/>
  <c r="V322" i="2" s="1"/>
  <c r="CV361" i="2"/>
  <c r="V361" i="2" s="1"/>
  <c r="CV353" i="2"/>
  <c r="V353" i="2" s="1"/>
  <c r="CV345" i="2"/>
  <c r="V345" i="2" s="1"/>
  <c r="CV337" i="2"/>
  <c r="V337" i="2" s="1"/>
  <c r="CV329" i="2"/>
  <c r="V329" i="2" s="1"/>
  <c r="CV321" i="2"/>
  <c r="V321" i="2" s="1"/>
  <c r="CV336" i="2"/>
  <c r="V336" i="2" s="1"/>
  <c r="CV328" i="2"/>
  <c r="V328" i="2" s="1"/>
  <c r="CV320" i="2"/>
  <c r="V320" i="2" s="1"/>
  <c r="CV312" i="2"/>
  <c r="V312" i="2" s="1"/>
  <c r="CV304" i="2"/>
  <c r="V304" i="2" s="1"/>
  <c r="CV296" i="2"/>
  <c r="V296" i="2" s="1"/>
  <c r="CV288" i="2"/>
  <c r="V288" i="2" s="1"/>
  <c r="CV280" i="2"/>
  <c r="V280" i="2" s="1"/>
  <c r="CV94" i="2"/>
  <c r="V94" i="2" s="1"/>
  <c r="CV74" i="2"/>
  <c r="V74" i="2" s="1"/>
  <c r="CV70" i="2"/>
  <c r="V70" i="2" s="1"/>
  <c r="CV35" i="2"/>
  <c r="V35" i="2" s="1"/>
  <c r="CV29" i="2"/>
  <c r="V29" i="2" s="1"/>
  <c r="CV97" i="2"/>
  <c r="V97" i="2" s="1"/>
  <c r="CV89" i="2"/>
  <c r="V89" i="2" s="1"/>
  <c r="CV92" i="2"/>
  <c r="V92" i="2" s="1"/>
  <c r="CV84" i="2"/>
  <c r="V84" i="2" s="1"/>
  <c r="CV37" i="2"/>
  <c r="V37" i="2" s="1"/>
  <c r="CV98" i="2"/>
  <c r="V98" i="2" s="1"/>
  <c r="CV93" i="2"/>
  <c r="V93" i="2" s="1"/>
  <c r="CV91" i="2"/>
  <c r="V91" i="2" s="1"/>
  <c r="CV90" i="2"/>
  <c r="V90" i="2" s="1"/>
  <c r="CV83" i="2"/>
  <c r="V83" i="2" s="1"/>
  <c r="CV82" i="2"/>
  <c r="V82" i="2" s="1"/>
  <c r="CV81" i="2"/>
  <c r="V81" i="2" s="1"/>
  <c r="CV75" i="2"/>
  <c r="V75" i="2" s="1"/>
  <c r="CV73" i="2"/>
  <c r="V73" i="2" s="1"/>
  <c r="CV40" i="2"/>
  <c r="V40" i="2" s="1"/>
  <c r="CV38" i="2"/>
  <c r="V38" i="2" s="1"/>
  <c r="CV32" i="2"/>
  <c r="V32" i="2" s="1"/>
  <c r="CV30" i="2"/>
  <c r="V30" i="2" s="1"/>
  <c r="CV24" i="2"/>
  <c r="V24" i="2" s="1"/>
  <c r="CV22" i="2"/>
  <c r="V22" i="2" s="1"/>
  <c r="CV303" i="2"/>
  <c r="V303" i="2" s="1"/>
  <c r="CV295" i="2"/>
  <c r="V295" i="2" s="1"/>
  <c r="CV287" i="2"/>
  <c r="V287" i="2" s="1"/>
  <c r="CV279" i="2"/>
  <c r="V279" i="2" s="1"/>
  <c r="CV271" i="2"/>
  <c r="V271" i="2" s="1"/>
  <c r="CV263" i="2"/>
  <c r="V263" i="2" s="1"/>
  <c r="CV255" i="2"/>
  <c r="V255" i="2" s="1"/>
  <c r="CV247" i="2"/>
  <c r="V247" i="2" s="1"/>
  <c r="CV239" i="2"/>
  <c r="V239" i="2" s="1"/>
  <c r="CV231" i="2"/>
  <c r="V231" i="2" s="1"/>
  <c r="CV223" i="2"/>
  <c r="V223" i="2" s="1"/>
  <c r="CV215" i="2"/>
  <c r="V215" i="2" s="1"/>
  <c r="CV207" i="2"/>
  <c r="V207" i="2" s="1"/>
  <c r="CV199" i="2"/>
  <c r="V199" i="2" s="1"/>
  <c r="CV191" i="2"/>
  <c r="V191" i="2" s="1"/>
  <c r="CV183" i="2"/>
  <c r="V183" i="2" s="1"/>
  <c r="CV175" i="2"/>
  <c r="V175" i="2" s="1"/>
  <c r="CV167" i="2"/>
  <c r="V167" i="2" s="1"/>
  <c r="CV159" i="2"/>
  <c r="V159" i="2" s="1"/>
  <c r="CV151" i="2"/>
  <c r="V151" i="2" s="1"/>
  <c r="CV143" i="2"/>
  <c r="V143" i="2" s="1"/>
  <c r="CV135" i="2"/>
  <c r="V135" i="2" s="1"/>
  <c r="CV127" i="2"/>
  <c r="V127" i="2" s="1"/>
  <c r="CV119" i="2"/>
  <c r="V119" i="2" s="1"/>
  <c r="CV111" i="2"/>
  <c r="V111" i="2" s="1"/>
  <c r="CV103" i="2"/>
  <c r="V103" i="2" s="1"/>
  <c r="CV76" i="2"/>
  <c r="V76" i="2" s="1"/>
  <c r="CV68" i="2"/>
  <c r="V68" i="2" s="1"/>
  <c r="CV95" i="2"/>
  <c r="V95" i="2" s="1"/>
  <c r="CV79" i="2"/>
  <c r="V79" i="2" s="1"/>
  <c r="CV39" i="2"/>
  <c r="V39" i="2" s="1"/>
  <c r="CV31" i="2"/>
  <c r="V31" i="2" s="1"/>
  <c r="CV23" i="2"/>
  <c r="V23" i="2" s="1"/>
  <c r="CV270" i="2"/>
  <c r="V270" i="2" s="1"/>
  <c r="CV262" i="2"/>
  <c r="V262" i="2" s="1"/>
  <c r="CV254" i="2"/>
  <c r="V254" i="2" s="1"/>
  <c r="CV246" i="2"/>
  <c r="V246" i="2" s="1"/>
  <c r="CV238" i="2"/>
  <c r="V238" i="2" s="1"/>
  <c r="CV230" i="2"/>
  <c r="V230" i="2" s="1"/>
  <c r="CV222" i="2"/>
  <c r="V222" i="2" s="1"/>
  <c r="CV214" i="2"/>
  <c r="V214" i="2" s="1"/>
  <c r="CV206" i="2"/>
  <c r="V206" i="2" s="1"/>
  <c r="CV198" i="2"/>
  <c r="V198" i="2" s="1"/>
  <c r="CV190" i="2"/>
  <c r="V190" i="2" s="1"/>
  <c r="CV182" i="2"/>
  <c r="V182" i="2" s="1"/>
  <c r="CV174" i="2"/>
  <c r="V174" i="2" s="1"/>
  <c r="CV166" i="2"/>
  <c r="V166" i="2" s="1"/>
  <c r="CV158" i="2"/>
  <c r="V158" i="2" s="1"/>
  <c r="CV150" i="2"/>
  <c r="V150" i="2" s="1"/>
  <c r="CV142" i="2"/>
  <c r="V142" i="2" s="1"/>
  <c r="CV134" i="2"/>
  <c r="V134" i="2" s="1"/>
  <c r="CV126" i="2"/>
  <c r="V126" i="2" s="1"/>
  <c r="CV118" i="2"/>
  <c r="V118" i="2" s="1"/>
  <c r="CV110" i="2"/>
  <c r="V110" i="2" s="1"/>
  <c r="CV102" i="2"/>
  <c r="V102" i="2" s="1"/>
  <c r="CV314" i="2"/>
  <c r="V314" i="2" s="1"/>
  <c r="CV306" i="2"/>
  <c r="V306" i="2" s="1"/>
  <c r="CV298" i="2"/>
  <c r="V298" i="2" s="1"/>
  <c r="CV290" i="2"/>
  <c r="V290" i="2" s="1"/>
  <c r="CV282" i="2"/>
  <c r="V282" i="2" s="1"/>
  <c r="CV274" i="2"/>
  <c r="V274" i="2" s="1"/>
  <c r="CV266" i="2"/>
  <c r="V266" i="2" s="1"/>
  <c r="CV242" i="2"/>
  <c r="V242" i="2" s="1"/>
  <c r="CV218" i="2"/>
  <c r="V218" i="2" s="1"/>
  <c r="CV210" i="2"/>
  <c r="V210" i="2" s="1"/>
  <c r="CV202" i="2"/>
  <c r="V202" i="2" s="1"/>
  <c r="CV194" i="2"/>
  <c r="V194" i="2" s="1"/>
  <c r="CV186" i="2"/>
  <c r="V186" i="2" s="1"/>
  <c r="CV178" i="2"/>
  <c r="V178" i="2" s="1"/>
  <c r="CV170" i="2"/>
  <c r="V170" i="2" s="1"/>
  <c r="CV162" i="2"/>
  <c r="V162" i="2" s="1"/>
  <c r="CV154" i="2"/>
  <c r="V154" i="2" s="1"/>
  <c r="CV146" i="2"/>
  <c r="V146" i="2" s="1"/>
  <c r="CV138" i="2"/>
  <c r="V138" i="2" s="1"/>
  <c r="CV130" i="2"/>
  <c r="V130" i="2" s="1"/>
  <c r="CV122" i="2"/>
  <c r="V122" i="2" s="1"/>
  <c r="CV114" i="2"/>
  <c r="V114" i="2" s="1"/>
  <c r="CV106" i="2"/>
  <c r="V106" i="2" s="1"/>
  <c r="CV26" i="2"/>
  <c r="V26" i="2" s="1"/>
  <c r="CV18" i="2"/>
  <c r="V18" i="2" s="1"/>
  <c r="CV317" i="2"/>
  <c r="V317" i="2" s="1"/>
  <c r="CV309" i="2"/>
  <c r="V309" i="2" s="1"/>
  <c r="CV301" i="2"/>
  <c r="V301" i="2" s="1"/>
  <c r="CV293" i="2"/>
  <c r="V293" i="2" s="1"/>
  <c r="CV285" i="2"/>
  <c r="V285" i="2" s="1"/>
  <c r="CV277" i="2"/>
  <c r="V277" i="2" s="1"/>
  <c r="CV269" i="2"/>
  <c r="V269" i="2" s="1"/>
  <c r="CV313" i="2"/>
  <c r="V313" i="2" s="1"/>
  <c r="CV305" i="2"/>
  <c r="V305" i="2" s="1"/>
  <c r="CV297" i="2"/>
  <c r="V297" i="2" s="1"/>
  <c r="CV289" i="2"/>
  <c r="V289" i="2" s="1"/>
  <c r="CV281" i="2"/>
  <c r="V281" i="2" s="1"/>
  <c r="CV273" i="2"/>
  <c r="V273" i="2" s="1"/>
  <c r="CV265" i="2"/>
  <c r="V265" i="2" s="1"/>
  <c r="CV257" i="2"/>
  <c r="V257" i="2" s="1"/>
  <c r="CV249" i="2"/>
  <c r="V249" i="2" s="1"/>
  <c r="CV241" i="2"/>
  <c r="V241" i="2" s="1"/>
  <c r="CV233" i="2"/>
  <c r="V233" i="2" s="1"/>
  <c r="CV225" i="2"/>
  <c r="V225" i="2" s="1"/>
  <c r="CV217" i="2"/>
  <c r="V217" i="2" s="1"/>
  <c r="CV209" i="2"/>
  <c r="V209" i="2" s="1"/>
  <c r="CV201" i="2"/>
  <c r="V201" i="2" s="1"/>
  <c r="CV193" i="2"/>
  <c r="V193" i="2" s="1"/>
  <c r="CV185" i="2"/>
  <c r="V185" i="2" s="1"/>
  <c r="CV177" i="2"/>
  <c r="V177" i="2" s="1"/>
  <c r="CV169" i="2"/>
  <c r="V169" i="2" s="1"/>
  <c r="CV161" i="2"/>
  <c r="V161" i="2" s="1"/>
  <c r="CV153" i="2"/>
  <c r="V153" i="2" s="1"/>
  <c r="CV145" i="2"/>
  <c r="V145" i="2" s="1"/>
  <c r="CV137" i="2"/>
  <c r="V137" i="2" s="1"/>
  <c r="CV129" i="2"/>
  <c r="V129" i="2" s="1"/>
  <c r="CV121" i="2"/>
  <c r="V121" i="2" s="1"/>
  <c r="CV113" i="2"/>
  <c r="V113" i="2" s="1"/>
  <c r="CV105" i="2"/>
  <c r="V105" i="2" s="1"/>
  <c r="CV96" i="2"/>
  <c r="V96" i="2" s="1"/>
  <c r="CV88" i="2"/>
  <c r="V88" i="2" s="1"/>
  <c r="CV85" i="2"/>
  <c r="V85" i="2" s="1"/>
  <c r="CV80" i="2"/>
  <c r="V80" i="2" s="1"/>
  <c r="CV77" i="2"/>
  <c r="V77" i="2" s="1"/>
  <c r="CV72" i="2"/>
  <c r="V72" i="2" s="1"/>
  <c r="CV69" i="2"/>
  <c r="V69" i="2" s="1"/>
  <c r="CV36" i="2"/>
  <c r="V36" i="2" s="1"/>
  <c r="CV28" i="2"/>
  <c r="V28" i="2" s="1"/>
  <c r="CV20" i="2"/>
  <c r="V20" i="2" s="1"/>
  <c r="CV268" i="2"/>
  <c r="V268" i="2" s="1"/>
  <c r="CV264" i="2"/>
  <c r="V264" i="2" s="1"/>
  <c r="CV256" i="2"/>
  <c r="V256" i="2" s="1"/>
  <c r="CV248" i="2"/>
  <c r="V248" i="2" s="1"/>
  <c r="CV240" i="2"/>
  <c r="V240" i="2" s="1"/>
  <c r="CV232" i="2"/>
  <c r="V232" i="2" s="1"/>
  <c r="CV224" i="2"/>
  <c r="V224" i="2" s="1"/>
  <c r="CV216" i="2"/>
  <c r="V216" i="2" s="1"/>
  <c r="CV208" i="2"/>
  <c r="V208" i="2" s="1"/>
  <c r="CV200" i="2"/>
  <c r="V200" i="2" s="1"/>
  <c r="CV192" i="2"/>
  <c r="V192" i="2" s="1"/>
  <c r="CV184" i="2"/>
  <c r="V184" i="2" s="1"/>
  <c r="CV176" i="2"/>
  <c r="V176" i="2" s="1"/>
  <c r="CV168" i="2"/>
  <c r="V168" i="2" s="1"/>
  <c r="CV160" i="2"/>
  <c r="V160" i="2" s="1"/>
  <c r="CV152" i="2"/>
  <c r="V152" i="2" s="1"/>
  <c r="CV144" i="2"/>
  <c r="V144" i="2" s="1"/>
  <c r="CV136" i="2"/>
  <c r="V136" i="2" s="1"/>
  <c r="CV128" i="2"/>
  <c r="V128" i="2" s="1"/>
  <c r="CV120" i="2"/>
  <c r="V120" i="2" s="1"/>
  <c r="CV112" i="2"/>
  <c r="V112" i="2" s="1"/>
  <c r="CV104" i="2"/>
  <c r="V104" i="2" s="1"/>
  <c r="CV27" i="2"/>
  <c r="V27" i="2" s="1"/>
  <c r="CV25" i="2"/>
  <c r="V25" i="2" s="1"/>
  <c r="CV21" i="2"/>
  <c r="V21" i="2" s="1"/>
  <c r="CV19" i="2"/>
  <c r="V19" i="2" s="1"/>
  <c r="CV315" i="2"/>
  <c r="V315" i="2" s="1"/>
  <c r="CV307" i="2"/>
  <c r="V307" i="2" s="1"/>
  <c r="CV299" i="2"/>
  <c r="V299" i="2" s="1"/>
  <c r="CV291" i="2"/>
  <c r="V291" i="2" s="1"/>
  <c r="CV283" i="2"/>
  <c r="V283" i="2" s="1"/>
  <c r="CV275" i="2"/>
  <c r="V275" i="2" s="1"/>
  <c r="CV267" i="2"/>
  <c r="V267" i="2" s="1"/>
  <c r="CV99" i="2"/>
  <c r="V99" i="2" s="1"/>
  <c r="CV78" i="2"/>
  <c r="V78" i="2" s="1"/>
  <c r="CV86" i="2"/>
  <c r="V86" i="2" s="1"/>
  <c r="CV41" i="2"/>
  <c r="V41" i="2" s="1"/>
  <c r="CV87" i="2"/>
  <c r="V87" i="2" s="1"/>
  <c r="CV71" i="2"/>
  <c r="V71" i="2" s="1"/>
  <c r="CZ7" i="2" l="1"/>
  <c r="DL7" i="2" s="1"/>
  <c r="CV17" i="2"/>
  <c r="V17" i="2" s="1"/>
  <c r="C14" i="2"/>
  <c r="S366" i="2"/>
  <c r="S341" i="2"/>
  <c r="S316" i="2"/>
  <c r="S291" i="2"/>
  <c r="S266" i="2"/>
  <c r="S241" i="2"/>
  <c r="S216" i="2"/>
  <c r="S191" i="2"/>
  <c r="S166" i="2"/>
  <c r="S141" i="2"/>
  <c r="S116" i="2"/>
  <c r="S91" i="2"/>
  <c r="S41" i="2"/>
  <c r="T41" i="2" s="1"/>
  <c r="S92" i="2"/>
  <c r="S72" i="2"/>
  <c r="S71" i="2"/>
  <c r="S70" i="2"/>
  <c r="S69" i="2"/>
  <c r="T91" i="2" l="1"/>
  <c r="T116" i="2"/>
  <c r="T291" i="2"/>
  <c r="T191" i="2"/>
  <c r="T141" i="2"/>
  <c r="S242" i="2"/>
  <c r="S142" i="2"/>
  <c r="S342" i="2"/>
  <c r="S17" i="2" l="1"/>
  <c r="T17" i="2" s="1"/>
  <c r="T92" i="2" l="1"/>
  <c r="S317" i="2"/>
  <c r="S318" i="2"/>
  <c r="S319" i="2"/>
  <c r="S320" i="2"/>
  <c r="S321" i="2"/>
  <c r="S322" i="2"/>
  <c r="S323" i="2"/>
  <c r="S324" i="2"/>
  <c r="S325" i="2"/>
  <c r="S326" i="2"/>
  <c r="S327" i="2"/>
  <c r="S328" i="2"/>
  <c r="S329" i="2"/>
  <c r="S330" i="2"/>
  <c r="S331" i="2"/>
  <c r="S332" i="2"/>
  <c r="S333" i="2"/>
  <c r="S334" i="2"/>
  <c r="S335" i="2"/>
  <c r="S336" i="2"/>
  <c r="S337" i="2"/>
  <c r="S338" i="2"/>
  <c r="S339" i="2"/>
  <c r="S340" i="2"/>
  <c r="S365" i="2" l="1"/>
  <c r="S67" i="2"/>
  <c r="T67" i="2" s="1"/>
  <c r="S68" i="2"/>
  <c r="S73" i="2"/>
  <c r="S74" i="2"/>
  <c r="S75" i="2"/>
  <c r="S76" i="2"/>
  <c r="S77" i="2"/>
  <c r="S78" i="2"/>
  <c r="S79" i="2"/>
  <c r="S80" i="2"/>
  <c r="S81" i="2"/>
  <c r="S82" i="2"/>
  <c r="S83" i="2"/>
  <c r="S84" i="2"/>
  <c r="S85" i="2"/>
  <c r="S86" i="2"/>
  <c r="S87" i="2"/>
  <c r="S88" i="2"/>
  <c r="S89" i="2"/>
  <c r="S90" i="2"/>
  <c r="S93" i="2"/>
  <c r="S94" i="2"/>
  <c r="S95" i="2"/>
  <c r="S96" i="2"/>
  <c r="S97" i="2"/>
  <c r="S98" i="2"/>
  <c r="S99" i="2"/>
  <c r="S100" i="2"/>
  <c r="S101" i="2"/>
  <c r="S102" i="2"/>
  <c r="S103" i="2"/>
  <c r="S104" i="2"/>
  <c r="S105" i="2"/>
  <c r="S106" i="2"/>
  <c r="S107" i="2"/>
  <c r="S108" i="2"/>
  <c r="S109" i="2"/>
  <c r="S110" i="2"/>
  <c r="S111" i="2"/>
  <c r="S112" i="2"/>
  <c r="S113" i="2"/>
  <c r="S114" i="2"/>
  <c r="S115" i="2"/>
  <c r="S117" i="2"/>
  <c r="S118" i="2"/>
  <c r="S119" i="2"/>
  <c r="S120" i="2"/>
  <c r="S121" i="2"/>
  <c r="S122" i="2"/>
  <c r="S123" i="2"/>
  <c r="S124" i="2"/>
  <c r="S125" i="2"/>
  <c r="S126" i="2"/>
  <c r="S127" i="2"/>
  <c r="S128" i="2"/>
  <c r="S129" i="2"/>
  <c r="S130" i="2"/>
  <c r="S131" i="2"/>
  <c r="S132" i="2"/>
  <c r="S133" i="2"/>
  <c r="S134" i="2"/>
  <c r="S135" i="2"/>
  <c r="S136" i="2"/>
  <c r="S137" i="2"/>
  <c r="S138" i="2"/>
  <c r="S139" i="2"/>
  <c r="S140" i="2"/>
  <c r="S143" i="2"/>
  <c r="S144" i="2"/>
  <c r="S145" i="2"/>
  <c r="S146" i="2"/>
  <c r="S147" i="2"/>
  <c r="S148" i="2"/>
  <c r="S149" i="2"/>
  <c r="S150" i="2"/>
  <c r="S151" i="2"/>
  <c r="S152" i="2"/>
  <c r="S153" i="2"/>
  <c r="S154" i="2"/>
  <c r="S155" i="2"/>
  <c r="S156" i="2"/>
  <c r="S157" i="2"/>
  <c r="S158" i="2"/>
  <c r="S159" i="2"/>
  <c r="S160" i="2"/>
  <c r="S161" i="2"/>
  <c r="S162" i="2"/>
  <c r="S163" i="2"/>
  <c r="S164" i="2"/>
  <c r="S165" i="2"/>
  <c r="S167" i="2"/>
  <c r="S168" i="2"/>
  <c r="S169" i="2"/>
  <c r="S170" i="2"/>
  <c r="S171" i="2"/>
  <c r="S172" i="2"/>
  <c r="S173" i="2"/>
  <c r="S174" i="2"/>
  <c r="S175" i="2"/>
  <c r="S176" i="2"/>
  <c r="S177" i="2"/>
  <c r="S178" i="2"/>
  <c r="S179" i="2"/>
  <c r="S180" i="2"/>
  <c r="S181" i="2"/>
  <c r="S182" i="2"/>
  <c r="S183" i="2"/>
  <c r="S184" i="2"/>
  <c r="S185" i="2"/>
  <c r="S186" i="2"/>
  <c r="S187" i="2"/>
  <c r="S188" i="2"/>
  <c r="S189" i="2"/>
  <c r="S190" i="2"/>
  <c r="S192" i="2"/>
  <c r="S193" i="2"/>
  <c r="S194" i="2"/>
  <c r="S195" i="2"/>
  <c r="S196" i="2"/>
  <c r="S197" i="2"/>
  <c r="S198" i="2"/>
  <c r="S199" i="2"/>
  <c r="S200" i="2"/>
  <c r="S201" i="2"/>
  <c r="S202" i="2"/>
  <c r="S203" i="2"/>
  <c r="S204" i="2"/>
  <c r="S205" i="2"/>
  <c r="S206" i="2"/>
  <c r="S207" i="2"/>
  <c r="S208" i="2"/>
  <c r="S209" i="2"/>
  <c r="S210" i="2"/>
  <c r="S211" i="2"/>
  <c r="S212" i="2"/>
  <c r="S213" i="2"/>
  <c r="S214" i="2"/>
  <c r="S215" i="2"/>
  <c r="S217" i="2"/>
  <c r="S218" i="2"/>
  <c r="S219" i="2"/>
  <c r="S220" i="2"/>
  <c r="S221" i="2"/>
  <c r="S222" i="2"/>
  <c r="S223" i="2"/>
  <c r="S224" i="2"/>
  <c r="S225" i="2"/>
  <c r="S226" i="2"/>
  <c r="S227" i="2"/>
  <c r="S228" i="2"/>
  <c r="S229" i="2"/>
  <c r="S230" i="2"/>
  <c r="S231" i="2"/>
  <c r="S232" i="2"/>
  <c r="S233" i="2"/>
  <c r="S234" i="2"/>
  <c r="S235" i="2"/>
  <c r="S236" i="2"/>
  <c r="S237" i="2"/>
  <c r="S238" i="2"/>
  <c r="S239" i="2"/>
  <c r="S240" i="2"/>
  <c r="S243" i="2"/>
  <c r="S244" i="2"/>
  <c r="S245" i="2"/>
  <c r="S246" i="2"/>
  <c r="S247" i="2"/>
  <c r="S248" i="2"/>
  <c r="S249" i="2"/>
  <c r="S250" i="2"/>
  <c r="S251" i="2"/>
  <c r="S252" i="2"/>
  <c r="S253" i="2"/>
  <c r="S254" i="2"/>
  <c r="S255" i="2"/>
  <c r="S256" i="2"/>
  <c r="S257" i="2"/>
  <c r="S258" i="2"/>
  <c r="S259" i="2"/>
  <c r="S260" i="2"/>
  <c r="S261" i="2"/>
  <c r="S262" i="2"/>
  <c r="S263" i="2"/>
  <c r="S264" i="2"/>
  <c r="S265" i="2"/>
  <c r="S267" i="2"/>
  <c r="S268" i="2"/>
  <c r="S269" i="2"/>
  <c r="S270" i="2"/>
  <c r="S271" i="2"/>
  <c r="S272" i="2"/>
  <c r="S273" i="2"/>
  <c r="S274" i="2"/>
  <c r="S275" i="2"/>
  <c r="S276" i="2"/>
  <c r="S277" i="2"/>
  <c r="S278" i="2"/>
  <c r="S279" i="2"/>
  <c r="S280" i="2"/>
  <c r="S281" i="2"/>
  <c r="S282" i="2"/>
  <c r="S283" i="2"/>
  <c r="S284" i="2"/>
  <c r="S285" i="2"/>
  <c r="S286" i="2"/>
  <c r="S287" i="2"/>
  <c r="S288" i="2"/>
  <c r="S289" i="2"/>
  <c r="S290" i="2"/>
  <c r="S292" i="2"/>
  <c r="S293" i="2"/>
  <c r="S294" i="2"/>
  <c r="S295" i="2"/>
  <c r="S296" i="2"/>
  <c r="S297" i="2"/>
  <c r="S298" i="2"/>
  <c r="S299" i="2"/>
  <c r="S300" i="2"/>
  <c r="S301" i="2"/>
  <c r="S302" i="2"/>
  <c r="S303" i="2"/>
  <c r="S304" i="2"/>
  <c r="S305" i="2"/>
  <c r="S306" i="2"/>
  <c r="S307" i="2"/>
  <c r="S308" i="2"/>
  <c r="S309" i="2"/>
  <c r="S310" i="2"/>
  <c r="S311" i="2"/>
  <c r="S312" i="2"/>
  <c r="S313" i="2"/>
  <c r="S314" i="2"/>
  <c r="S315" i="2"/>
  <c r="S343" i="2"/>
  <c r="S344" i="2"/>
  <c r="S345" i="2"/>
  <c r="S346" i="2"/>
  <c r="S347" i="2"/>
  <c r="S348" i="2"/>
  <c r="S349" i="2"/>
  <c r="S350" i="2"/>
  <c r="S351" i="2"/>
  <c r="S352" i="2"/>
  <c r="S353" i="2"/>
  <c r="S354" i="2"/>
  <c r="S355" i="2"/>
  <c r="S356" i="2"/>
  <c r="S357" i="2"/>
  <c r="S358" i="2"/>
  <c r="S359" i="2"/>
  <c r="S360" i="2"/>
  <c r="S361" i="2"/>
  <c r="S362" i="2"/>
  <c r="S363" i="2"/>
  <c r="S364" i="2"/>
  <c r="S18" i="2"/>
  <c r="T18" i="2" s="1"/>
  <c r="S19" i="2"/>
  <c r="T19" i="2" s="1"/>
  <c r="S20" i="2"/>
  <c r="T20" i="2" s="1"/>
  <c r="S21" i="2"/>
  <c r="T21" i="2" s="1"/>
  <c r="S22" i="2"/>
  <c r="T22" i="2" s="1"/>
  <c r="S23" i="2"/>
  <c r="T23" i="2" s="1"/>
  <c r="S24" i="2"/>
  <c r="T24" i="2" s="1"/>
  <c r="S25" i="2"/>
  <c r="T25" i="2" s="1"/>
  <c r="S26" i="2"/>
  <c r="T26" i="2" s="1"/>
  <c r="S27" i="2"/>
  <c r="T27" i="2" s="1"/>
  <c r="S28" i="2"/>
  <c r="T28" i="2" s="1"/>
  <c r="S29" i="2"/>
  <c r="T29" i="2" s="1"/>
  <c r="S30" i="2"/>
  <c r="T30" i="2" s="1"/>
  <c r="S31" i="2"/>
  <c r="T31" i="2" s="1"/>
  <c r="S32" i="2"/>
  <c r="T32" i="2" s="1"/>
  <c r="S33" i="2"/>
  <c r="T33" i="2" s="1"/>
  <c r="S34" i="2"/>
  <c r="T34" i="2" s="1"/>
  <c r="S35" i="2"/>
  <c r="T35" i="2" s="1"/>
  <c r="S36" i="2"/>
  <c r="T36" i="2" s="1"/>
  <c r="S37" i="2"/>
  <c r="T37" i="2" s="1"/>
  <c r="S38" i="2"/>
  <c r="T38" i="2" s="1"/>
  <c r="S39" i="2"/>
  <c r="T39" i="2" s="1"/>
  <c r="S40" i="2"/>
  <c r="T40" i="2" s="1"/>
  <c r="T99" i="2" l="1"/>
  <c r="T74" i="2"/>
  <c r="T98" i="2"/>
  <c r="T73" i="2"/>
  <c r="T89" i="2"/>
  <c r="T114" i="2"/>
  <c r="T88" i="2"/>
  <c r="T113" i="2"/>
  <c r="T96" i="2"/>
  <c r="T71" i="2"/>
  <c r="T83" i="2"/>
  <c r="T108" i="2"/>
  <c r="T107" i="2"/>
  <c r="T82" i="2"/>
  <c r="T112" i="2"/>
  <c r="T87" i="2"/>
  <c r="T111" i="2"/>
  <c r="T86" i="2"/>
  <c r="T103" i="2"/>
  <c r="T78" i="2"/>
  <c r="T95" i="2"/>
  <c r="T70" i="2"/>
  <c r="T75" i="2"/>
  <c r="T100" i="2"/>
  <c r="T115" i="2"/>
  <c r="T90" i="2"/>
  <c r="T80" i="2"/>
  <c r="T105" i="2"/>
  <c r="T104" i="2"/>
  <c r="T79" i="2"/>
  <c r="T102" i="2"/>
  <c r="T77" i="2"/>
  <c r="T94" i="2"/>
  <c r="T69" i="2"/>
  <c r="T106" i="2"/>
  <c r="T81" i="2"/>
  <c r="T97" i="2"/>
  <c r="T72" i="2"/>
  <c r="T110" i="2"/>
  <c r="T85" i="2"/>
  <c r="T109" i="2"/>
  <c r="T84" i="2"/>
  <c r="T101" i="2"/>
  <c r="T76" i="2"/>
  <c r="T93" i="2"/>
  <c r="T68" i="2"/>
  <c r="T117" i="2"/>
  <c r="T167" i="2"/>
  <c r="T135" i="2"/>
  <c r="T127" i="2"/>
  <c r="T133" i="2"/>
  <c r="T125" i="2"/>
  <c r="T119" i="2"/>
  <c r="T134" i="2"/>
  <c r="T140" i="2"/>
  <c r="T132" i="2"/>
  <c r="T124" i="2"/>
  <c r="T126" i="2"/>
  <c r="T118" i="2"/>
  <c r="T282" i="2"/>
  <c r="T274" i="2"/>
  <c r="T290" i="2"/>
  <c r="T131" i="2"/>
  <c r="T139" i="2"/>
  <c r="T123" i="2"/>
  <c r="T136" i="2"/>
  <c r="T128" i="2"/>
  <c r="T120" i="2"/>
  <c r="T130" i="2"/>
  <c r="T138" i="2"/>
  <c r="T122" i="2"/>
  <c r="T137" i="2"/>
  <c r="T129" i="2"/>
  <c r="T121" i="2"/>
  <c r="T283" i="2"/>
  <c r="T275" i="2"/>
  <c r="T285" i="2"/>
  <c r="T277" i="2"/>
  <c r="T267" i="2"/>
  <c r="T269" i="2"/>
  <c r="T284" i="2"/>
  <c r="T276" i="2"/>
  <c r="T268" i="2"/>
  <c r="T271" i="2"/>
  <c r="T287" i="2"/>
  <c r="T279" i="2"/>
  <c r="T288" i="2"/>
  <c r="T273" i="2"/>
  <c r="T289" i="2"/>
  <c r="T272" i="2"/>
  <c r="T286" i="2"/>
  <c r="T278" i="2"/>
  <c r="T270" i="2"/>
  <c r="T281" i="2"/>
  <c r="T280" i="2"/>
  <c r="T186" i="2"/>
  <c r="T187" i="2"/>
  <c r="T179" i="2"/>
  <c r="T188" i="2"/>
  <c r="T180" i="2"/>
  <c r="T172" i="2"/>
  <c r="T171" i="2"/>
  <c r="T170" i="2"/>
  <c r="T178" i="2"/>
  <c r="T185" i="2"/>
  <c r="T177" i="2"/>
  <c r="T169" i="2"/>
  <c r="T184" i="2"/>
  <c r="T176" i="2"/>
  <c r="T168" i="2"/>
  <c r="T183" i="2"/>
  <c r="T175" i="2"/>
  <c r="T190" i="2"/>
  <c r="T182" i="2"/>
  <c r="T174" i="2"/>
  <c r="T189" i="2"/>
  <c r="T181" i="2"/>
  <c r="T173" i="2"/>
  <c r="CZ4" i="2" l="1" a="1"/>
  <c r="CZ4" i="2" s="1"/>
  <c r="DL4" i="2" s="1"/>
  <c r="CZ6" i="2" a="1"/>
  <c r="CZ6" i="2" s="1"/>
  <c r="DL6" i="2" s="1"/>
  <c r="CZ5" i="2" a="1"/>
  <c r="CZ5" i="2" s="1"/>
  <c r="DL5" i="2"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<sst xmlns="http://schemas.openxmlformats.org/spreadsheetml/2006/main" count="5569" uniqueCount="3963">
  <si>
    <t>Jan</t>
  </si>
  <si>
    <t>Fév</t>
  </si>
  <si>
    <t>Mar</t>
  </si>
  <si>
    <t>Avr</t>
  </si>
  <si>
    <t>Mai</t>
  </si>
  <si>
    <t>Jun</t>
  </si>
  <si>
    <t>Jul</t>
  </si>
  <si>
    <t>Aou</t>
  </si>
  <si>
    <t>Sep</t>
  </si>
  <si>
    <t>Oct</t>
  </si>
  <si>
    <t>Nov</t>
  </si>
  <si>
    <t>Déc</t>
  </si>
  <si>
    <t>Tot</t>
  </si>
  <si>
    <t>A20</t>
  </si>
  <si>
    <t>A21</t>
  </si>
  <si>
    <t>A22</t>
  </si>
  <si>
    <t>Family</t>
  </si>
  <si>
    <t>UF.24</t>
  </si>
  <si>
    <t>B.24</t>
  </si>
  <si>
    <t>IBP.24</t>
  </si>
  <si>
    <t>UF.25</t>
  </si>
  <si>
    <t>IBP.25</t>
  </si>
  <si>
    <t>UF.25 / UF.24</t>
  </si>
  <si>
    <t>UF.24 / B.24</t>
  </si>
  <si>
    <t>S.LB</t>
  </si>
  <si>
    <t>Var %</t>
  </si>
  <si>
    <t>Concat</t>
  </si>
  <si>
    <t>NAME</t>
  </si>
  <si>
    <t>GMID</t>
  </si>
  <si>
    <t>DESCRIP</t>
  </si>
  <si>
    <t>Type</t>
  </si>
  <si>
    <t>Fcst KX 24</t>
  </si>
  <si>
    <t>Fcst KX 25</t>
  </si>
  <si>
    <t>Volume</t>
  </si>
  <si>
    <t>S.SC</t>
  </si>
  <si>
    <t>TM</t>
  </si>
  <si>
    <t>SO</t>
  </si>
  <si>
    <t>M-2</t>
  </si>
  <si>
    <t>M-1</t>
  </si>
  <si>
    <t>M</t>
  </si>
  <si>
    <t>SI</t>
  </si>
  <si>
    <t>SPA</t>
  </si>
  <si>
    <t>MAPE</t>
  </si>
  <si>
    <t>Value</t>
  </si>
  <si>
    <t>CA Brut</t>
  </si>
  <si>
    <t>GTN Commercial Discount</t>
  </si>
  <si>
    <t>GTN Financial Discount</t>
  </si>
  <si>
    <t>janvier</t>
  </si>
  <si>
    <t>février</t>
  </si>
  <si>
    <t>mars</t>
  </si>
  <si>
    <t>avril</t>
  </si>
  <si>
    <t>mai</t>
  </si>
  <si>
    <t>juin</t>
  </si>
  <si>
    <t>juillet</t>
  </si>
  <si>
    <t>août</t>
  </si>
  <si>
    <t>septembre</t>
  </si>
  <si>
    <t>octobre</t>
  </si>
  <si>
    <t>novembre</t>
  </si>
  <si>
    <t>décembre</t>
  </si>
  <si>
    <t>Price</t>
  </si>
  <si>
    <t>CA NET</t>
  </si>
  <si>
    <t>Taux d'echange</t>
  </si>
  <si>
    <t>CA £</t>
  </si>
  <si>
    <t>SUM</t>
  </si>
  <si>
    <t>$G$18</t>
  </si>
  <si>
    <t>$G$19</t>
  </si>
  <si>
    <t>$H$19</t>
  </si>
  <si>
    <t>$I$19</t>
  </si>
  <si>
    <t>$J$19</t>
  </si>
  <si>
    <t>$G$20</t>
  </si>
  <si>
    <t>$H$20</t>
  </si>
  <si>
    <t>$I$20</t>
  </si>
  <si>
    <t>$J$20</t>
  </si>
  <si>
    <t>$G$21</t>
  </si>
  <si>
    <t>CA TND</t>
  </si>
  <si>
    <t>CA TND NET</t>
  </si>
  <si>
    <t>QTE UNT</t>
  </si>
  <si>
    <t>$H$17</t>
  </si>
  <si>
    <t>$I$17</t>
  </si>
  <si>
    <t>$J$17</t>
  </si>
  <si>
    <t>$K$17</t>
  </si>
  <si>
    <t>$L$17</t>
  </si>
  <si>
    <t>$M$17</t>
  </si>
  <si>
    <t>$N$17</t>
  </si>
  <si>
    <t>$O$17</t>
  </si>
  <si>
    <t>$P$17</t>
  </si>
  <si>
    <t>$Q$17</t>
  </si>
  <si>
    <t>$R$17</t>
  </si>
  <si>
    <t>$J$18</t>
  </si>
  <si>
    <t>$K$18</t>
  </si>
  <si>
    <t>$L$18</t>
  </si>
  <si>
    <t>$M$18</t>
  </si>
  <si>
    <t>$N$18</t>
  </si>
  <si>
    <t>$O$18</t>
  </si>
  <si>
    <t>$P$18</t>
  </si>
  <si>
    <t>$Q$18</t>
  </si>
  <si>
    <t>$R$18</t>
  </si>
  <si>
    <t>$K$19</t>
  </si>
  <si>
    <t>$L$19</t>
  </si>
  <si>
    <t>$M$19</t>
  </si>
  <si>
    <t>$N$19</t>
  </si>
  <si>
    <t>$O$19</t>
  </si>
  <si>
    <t>$P$19</t>
  </si>
  <si>
    <t>$Q$19</t>
  </si>
  <si>
    <t>$R$19</t>
  </si>
  <si>
    <t>$K$20</t>
  </si>
  <si>
    <t>$L$20</t>
  </si>
  <si>
    <t>$M$20</t>
  </si>
  <si>
    <t>$N$20</t>
  </si>
  <si>
    <t>$O$20</t>
  </si>
  <si>
    <t>$P$20</t>
  </si>
  <si>
    <t>$Q$20</t>
  </si>
  <si>
    <t>$R$20</t>
  </si>
  <si>
    <t>$H$21</t>
  </si>
  <si>
    <t>$I$21</t>
  </si>
  <si>
    <t>$J$21</t>
  </si>
  <si>
    <t>$K$21</t>
  </si>
  <si>
    <t>$L$21</t>
  </si>
  <si>
    <t>$M$21</t>
  </si>
  <si>
    <t>$G$17</t>
  </si>
  <si>
    <t>$H$18</t>
  </si>
  <si>
    <t>$I$18</t>
  </si>
  <si>
    <t>$G$24</t>
  </si>
  <si>
    <t>$G$27</t>
  </si>
  <si>
    <t>$H$27</t>
  </si>
  <si>
    <t>$I$27</t>
  </si>
  <si>
    <t>$G$29</t>
  </si>
  <si>
    <t>$N$21</t>
  </si>
  <si>
    <t>$O$21</t>
  </si>
  <si>
    <t>$P$21</t>
  </si>
  <si>
    <t>$Q$21</t>
  </si>
  <si>
    <t>$R$21</t>
  </si>
  <si>
    <t>$G$22</t>
  </si>
  <si>
    <t>$H$22</t>
  </si>
  <si>
    <t>$I$22</t>
  </si>
  <si>
    <t>$J$22</t>
  </si>
  <si>
    <t>$K$22</t>
  </si>
  <si>
    <t>$L$22</t>
  </si>
  <si>
    <t>$M$22</t>
  </si>
  <si>
    <t>$N$22</t>
  </si>
  <si>
    <t>$O$22</t>
  </si>
  <si>
    <t>$P$22</t>
  </si>
  <si>
    <t>$Q$22</t>
  </si>
  <si>
    <t>$R$22</t>
  </si>
  <si>
    <t>$G$23</t>
  </si>
  <si>
    <t>$H$23</t>
  </si>
  <si>
    <t>$I$23</t>
  </si>
  <si>
    <t>$J$23</t>
  </si>
  <si>
    <t>$K$23</t>
  </si>
  <si>
    <t>$L$23</t>
  </si>
  <si>
    <t>$M$23</t>
  </si>
  <si>
    <t>$N$23</t>
  </si>
  <si>
    <t>$O$23</t>
  </si>
  <si>
    <t>$P$23</t>
  </si>
  <si>
    <t>$Q$23</t>
  </si>
  <si>
    <t>$R$23</t>
  </si>
  <si>
    <t>$H$24</t>
  </si>
  <si>
    <t>$I$24</t>
  </si>
  <si>
    <t>$J$24</t>
  </si>
  <si>
    <t>$K$24</t>
  </si>
  <si>
    <t>$L$24</t>
  </si>
  <si>
    <t>$M$24</t>
  </si>
  <si>
    <t>$N$24</t>
  </si>
  <si>
    <t>$O$24</t>
  </si>
  <si>
    <t>$P$24</t>
  </si>
  <si>
    <t>$Q$24</t>
  </si>
  <si>
    <t>$R$24</t>
  </si>
  <si>
    <t>$G$25</t>
  </si>
  <si>
    <t>$H$25</t>
  </si>
  <si>
    <t>$I$25</t>
  </si>
  <si>
    <t>$J$25</t>
  </si>
  <si>
    <t>$K$25</t>
  </si>
  <si>
    <t>$L$25</t>
  </si>
  <si>
    <t>$M$25</t>
  </si>
  <si>
    <t>$N$25</t>
  </si>
  <si>
    <t>$O$25</t>
  </si>
  <si>
    <t>$P$25</t>
  </si>
  <si>
    <t>$Q$25</t>
  </si>
  <si>
    <t>$R$25</t>
  </si>
  <si>
    <t>$G$26</t>
  </si>
  <si>
    <t>$H$26</t>
  </si>
  <si>
    <t>$I$26</t>
  </si>
  <si>
    <t>$J$26</t>
  </si>
  <si>
    <t>$K$26</t>
  </si>
  <si>
    <t>$L$26</t>
  </si>
  <si>
    <t>$M$26</t>
  </si>
  <si>
    <t>$N$26</t>
  </si>
  <si>
    <t>$O$26</t>
  </si>
  <si>
    <t>$P$26</t>
  </si>
  <si>
    <t>$Q$26</t>
  </si>
  <si>
    <t>$R$26</t>
  </si>
  <si>
    <t>$J$27</t>
  </si>
  <si>
    <t>$K$27</t>
  </si>
  <si>
    <t>$L$27</t>
  </si>
  <si>
    <t>$M$27</t>
  </si>
  <si>
    <t>$N$27</t>
  </si>
  <si>
    <t>$O$27</t>
  </si>
  <si>
    <t>$P$27</t>
  </si>
  <si>
    <t>$Q$27</t>
  </si>
  <si>
    <t>$R$27</t>
  </si>
  <si>
    <t>$G$28</t>
  </si>
  <si>
    <t>$H$28</t>
  </si>
  <si>
    <t>$I$28</t>
  </si>
  <si>
    <t>$J$28</t>
  </si>
  <si>
    <t>$K$28</t>
  </si>
  <si>
    <t>$L$28</t>
  </si>
  <si>
    <t>$M$28</t>
  </si>
  <si>
    <t>$N$28</t>
  </si>
  <si>
    <t>$O$28</t>
  </si>
  <si>
    <t>$P$28</t>
  </si>
  <si>
    <t>$Q$28</t>
  </si>
  <si>
    <t>$R$28</t>
  </si>
  <si>
    <t>$H$29</t>
  </si>
  <si>
    <t>$I$29</t>
  </si>
  <si>
    <t>$J$29</t>
  </si>
  <si>
    <t>$K$29</t>
  </si>
  <si>
    <t>$L$29</t>
  </si>
  <si>
    <t>$M$29</t>
  </si>
  <si>
    <t>$N$29</t>
  </si>
  <si>
    <t>$O$29</t>
  </si>
  <si>
    <t>$P$29</t>
  </si>
  <si>
    <t>$Q$29</t>
  </si>
  <si>
    <t>$R$29</t>
  </si>
  <si>
    <t>$G$30</t>
  </si>
  <si>
    <t>$H$30</t>
  </si>
  <si>
    <t>$I$30</t>
  </si>
  <si>
    <t>$J$30</t>
  </si>
  <si>
    <t>$K$30</t>
  </si>
  <si>
    <t>$L$30</t>
  </si>
  <si>
    <t>$M$30</t>
  </si>
  <si>
    <t>$N$30</t>
  </si>
  <si>
    <t>$O$30</t>
  </si>
  <si>
    <t>$P$30</t>
  </si>
  <si>
    <t>$Q$30</t>
  </si>
  <si>
    <t>$R$30</t>
  </si>
  <si>
    <t>$G$31</t>
  </si>
  <si>
    <t>$H$31</t>
  </si>
  <si>
    <t>$I$31</t>
  </si>
  <si>
    <t>$J$31</t>
  </si>
  <si>
    <t>$K$31</t>
  </si>
  <si>
    <t>$L$31</t>
  </si>
  <si>
    <t>$M$31</t>
  </si>
  <si>
    <t>$N$31</t>
  </si>
  <si>
    <t>$O$31</t>
  </si>
  <si>
    <t>$P$31</t>
  </si>
  <si>
    <t>$Q$31</t>
  </si>
  <si>
    <t>$R$31</t>
  </si>
  <si>
    <t>$G$32</t>
  </si>
  <si>
    <t>$H$32</t>
  </si>
  <si>
    <t>$I$32</t>
  </si>
  <si>
    <t>$J$32</t>
  </si>
  <si>
    <t>$K$32</t>
  </si>
  <si>
    <t>$L$32</t>
  </si>
  <si>
    <t>$M$32</t>
  </si>
  <si>
    <t>$N$32</t>
  </si>
  <si>
    <t>$O$32</t>
  </si>
  <si>
    <t>$P$32</t>
  </si>
  <si>
    <t>$Q$32</t>
  </si>
  <si>
    <t>$R$32</t>
  </si>
  <si>
    <t>$G$33</t>
  </si>
  <si>
    <t>$H$33</t>
  </si>
  <si>
    <t>$I$33</t>
  </si>
  <si>
    <t>$J$33</t>
  </si>
  <si>
    <t>$K$33</t>
  </si>
  <si>
    <t>$L$33</t>
  </si>
  <si>
    <t>$M$33</t>
  </si>
  <si>
    <t>$N$33</t>
  </si>
  <si>
    <t>$O$33</t>
  </si>
  <si>
    <t>$P$33</t>
  </si>
  <si>
    <t>$Q$33</t>
  </si>
  <si>
    <t>$R$33</t>
  </si>
  <si>
    <t>$G$34</t>
  </si>
  <si>
    <t>$H$34</t>
  </si>
  <si>
    <t>$I$34</t>
  </si>
  <si>
    <t>$J$34</t>
  </si>
  <si>
    <t>$K$34</t>
  </si>
  <si>
    <t>$L$34</t>
  </si>
  <si>
    <t>$M$34</t>
  </si>
  <si>
    <t>$N$34</t>
  </si>
  <si>
    <t>$O$34</t>
  </si>
  <si>
    <t>$P$34</t>
  </si>
  <si>
    <t>$Q$34</t>
  </si>
  <si>
    <t>$R$34</t>
  </si>
  <si>
    <t>$G$35</t>
  </si>
  <si>
    <t>$H$35</t>
  </si>
  <si>
    <t>$I$35</t>
  </si>
  <si>
    <t>$J$35</t>
  </si>
  <si>
    <t>$K$35</t>
  </si>
  <si>
    <t>$L$35</t>
  </si>
  <si>
    <t>$M$35</t>
  </si>
  <si>
    <t>$N$35</t>
  </si>
  <si>
    <t>$O$35</t>
  </si>
  <si>
    <t>$P$35</t>
  </si>
  <si>
    <t>$Q$35</t>
  </si>
  <si>
    <t>$R$35</t>
  </si>
  <si>
    <t>$G$36</t>
  </si>
  <si>
    <t>$H$36</t>
  </si>
  <si>
    <t>$I$36</t>
  </si>
  <si>
    <t>$J$36</t>
  </si>
  <si>
    <t>$K$36</t>
  </si>
  <si>
    <t>$L$36</t>
  </si>
  <si>
    <t>$M$36</t>
  </si>
  <si>
    <t>$N$36</t>
  </si>
  <si>
    <t>$O$36</t>
  </si>
  <si>
    <t>$P$36</t>
  </si>
  <si>
    <t>$Q$36</t>
  </si>
  <si>
    <t>$R$36</t>
  </si>
  <si>
    <t>$G$37</t>
  </si>
  <si>
    <t>$H$37</t>
  </si>
  <si>
    <t>$I$37</t>
  </si>
  <si>
    <t>$J$37</t>
  </si>
  <si>
    <t>$K$37</t>
  </si>
  <si>
    <t>$L$37</t>
  </si>
  <si>
    <t>$M$37</t>
  </si>
  <si>
    <t>$N$37</t>
  </si>
  <si>
    <t>$O$37</t>
  </si>
  <si>
    <t>$P$37</t>
  </si>
  <si>
    <t>$Q$37</t>
  </si>
  <si>
    <t>$R$37</t>
  </si>
  <si>
    <t>$G$38</t>
  </si>
  <si>
    <t>$H$38</t>
  </si>
  <si>
    <t>$I$38</t>
  </si>
  <si>
    <t>$J$38</t>
  </si>
  <si>
    <t>$K$38</t>
  </si>
  <si>
    <t>$L$38</t>
  </si>
  <si>
    <t>$M$38</t>
  </si>
  <si>
    <t>$N$38</t>
  </si>
  <si>
    <t>$O$38</t>
  </si>
  <si>
    <t>$P$38</t>
  </si>
  <si>
    <t>$Q$38</t>
  </si>
  <si>
    <t>$R$38</t>
  </si>
  <si>
    <t>$G$39</t>
  </si>
  <si>
    <t>$H$39</t>
  </si>
  <si>
    <t>$I$39</t>
  </si>
  <si>
    <t>$J$39</t>
  </si>
  <si>
    <t>$K$39</t>
  </si>
  <si>
    <t>$L$39</t>
  </si>
  <si>
    <t>$M$39</t>
  </si>
  <si>
    <t>$N$39</t>
  </si>
  <si>
    <t>$O$39</t>
  </si>
  <si>
    <t>$P$39</t>
  </si>
  <si>
    <t>$Q$39</t>
  </si>
  <si>
    <t>$R$39</t>
  </si>
  <si>
    <t>$G$40</t>
  </si>
  <si>
    <t>$H$40</t>
  </si>
  <si>
    <t>$I$40</t>
  </si>
  <si>
    <t>$J$40</t>
  </si>
  <si>
    <t>$K$40</t>
  </si>
  <si>
    <t>$L$40</t>
  </si>
  <si>
    <t>$M$40</t>
  </si>
  <si>
    <t>$N$40</t>
  </si>
  <si>
    <t>$O$40</t>
  </si>
  <si>
    <t>$P$40</t>
  </si>
  <si>
    <t>$Q$40</t>
  </si>
  <si>
    <t>$R$40</t>
  </si>
  <si>
    <t>$G$41</t>
  </si>
  <si>
    <t>$H$41</t>
  </si>
  <si>
    <t>$I$41</t>
  </si>
  <si>
    <t>$J$41</t>
  </si>
  <si>
    <t>$K$41</t>
  </si>
  <si>
    <t>$L$41</t>
  </si>
  <si>
    <t>$M$41</t>
  </si>
  <si>
    <t>$N$41</t>
  </si>
  <si>
    <t>$O$41</t>
  </si>
  <si>
    <t>$P$41</t>
  </si>
  <si>
    <t>$Q$41</t>
  </si>
  <si>
    <t>$R$41</t>
  </si>
  <si>
    <t>$G$42</t>
  </si>
  <si>
    <t>$H$42</t>
  </si>
  <si>
    <t>$I$42</t>
  </si>
  <si>
    <t>$J$42</t>
  </si>
  <si>
    <t>$K$42</t>
  </si>
  <si>
    <t>$L$42</t>
  </si>
  <si>
    <t>$M$42</t>
  </si>
  <si>
    <t>$N$42</t>
  </si>
  <si>
    <t>$O$42</t>
  </si>
  <si>
    <t>$P$42</t>
  </si>
  <si>
    <t>$Q$42</t>
  </si>
  <si>
    <t>$R$42</t>
  </si>
  <si>
    <t>$G$43</t>
  </si>
  <si>
    <t>$H$43</t>
  </si>
  <si>
    <t>$I$43</t>
  </si>
  <si>
    <t>$J$43</t>
  </si>
  <si>
    <t>$K$43</t>
  </si>
  <si>
    <t>$L$43</t>
  </si>
  <si>
    <t>$M$43</t>
  </si>
  <si>
    <t>$N$43</t>
  </si>
  <si>
    <t>$O$43</t>
  </si>
  <si>
    <t>$P$43</t>
  </si>
  <si>
    <t>$Q$43</t>
  </si>
  <si>
    <t>$R$43</t>
  </si>
  <si>
    <t>$G$44</t>
  </si>
  <si>
    <t>$H$44</t>
  </si>
  <si>
    <t>$I$44</t>
  </si>
  <si>
    <t>$J$44</t>
  </si>
  <si>
    <t>$K$44</t>
  </si>
  <si>
    <t>$L$44</t>
  </si>
  <si>
    <t>$M$44</t>
  </si>
  <si>
    <t>$N$44</t>
  </si>
  <si>
    <t>$O$44</t>
  </si>
  <si>
    <t>$P$44</t>
  </si>
  <si>
    <t>$Q$44</t>
  </si>
  <si>
    <t>$R$44</t>
  </si>
  <si>
    <t>$G$45</t>
  </si>
  <si>
    <t>$H$45</t>
  </si>
  <si>
    <t>$I$45</t>
  </si>
  <si>
    <t>$J$45</t>
  </si>
  <si>
    <t>$K$45</t>
  </si>
  <si>
    <t>$L$45</t>
  </si>
  <si>
    <t>$M$45</t>
  </si>
  <si>
    <t>$N$45</t>
  </si>
  <si>
    <t>$O$45</t>
  </si>
  <si>
    <t>$P$45</t>
  </si>
  <si>
    <t>$Q$45</t>
  </si>
  <si>
    <t>$R$45</t>
  </si>
  <si>
    <t>$G$46</t>
  </si>
  <si>
    <t>$H$46</t>
  </si>
  <si>
    <t>$I$46</t>
  </si>
  <si>
    <t>$J$46</t>
  </si>
  <si>
    <t>$K$46</t>
  </si>
  <si>
    <t>$L$46</t>
  </si>
  <si>
    <t>$M$46</t>
  </si>
  <si>
    <t>$N$46</t>
  </si>
  <si>
    <t>$O$46</t>
  </si>
  <si>
    <t>$P$46</t>
  </si>
  <si>
    <t>$Q$46</t>
  </si>
  <si>
    <t>$R$46</t>
  </si>
  <si>
    <t>$G$47</t>
  </si>
  <si>
    <t>$H$47</t>
  </si>
  <si>
    <t>$I$47</t>
  </si>
  <si>
    <t>$J$47</t>
  </si>
  <si>
    <t>$K$47</t>
  </si>
  <si>
    <t>$L$47</t>
  </si>
  <si>
    <t>$M$47</t>
  </si>
  <si>
    <t>$N$47</t>
  </si>
  <si>
    <t>$O$47</t>
  </si>
  <si>
    <t>$P$47</t>
  </si>
  <si>
    <t>$Q$47</t>
  </si>
  <si>
    <t>$R$47</t>
  </si>
  <si>
    <t>$G$48</t>
  </si>
  <si>
    <t>$H$48</t>
  </si>
  <si>
    <t>$I$48</t>
  </si>
  <si>
    <t>$J$48</t>
  </si>
  <si>
    <t>$K$48</t>
  </si>
  <si>
    <t>$L$48</t>
  </si>
  <si>
    <t>$M$48</t>
  </si>
  <si>
    <t>$N$48</t>
  </si>
  <si>
    <t>$O$48</t>
  </si>
  <si>
    <t>$P$48</t>
  </si>
  <si>
    <t>$Q$48</t>
  </si>
  <si>
    <t>$R$48</t>
  </si>
  <si>
    <t>$G$49</t>
  </si>
  <si>
    <t>$H$49</t>
  </si>
  <si>
    <t>$I$49</t>
  </si>
  <si>
    <t>$J$49</t>
  </si>
  <si>
    <t>$K$49</t>
  </si>
  <si>
    <t>$L$49</t>
  </si>
  <si>
    <t>$M$49</t>
  </si>
  <si>
    <t>$N$49</t>
  </si>
  <si>
    <t>$O$49</t>
  </si>
  <si>
    <t>$P$49</t>
  </si>
  <si>
    <t>$Q$49</t>
  </si>
  <si>
    <t>$R$49</t>
  </si>
  <si>
    <t>$G$50</t>
  </si>
  <si>
    <t>$H$50</t>
  </si>
  <si>
    <t>$I$50</t>
  </si>
  <si>
    <t>$J$50</t>
  </si>
  <si>
    <t>$K$50</t>
  </si>
  <si>
    <t>$L$50</t>
  </si>
  <si>
    <t>$M$50</t>
  </si>
  <si>
    <t>$N$50</t>
  </si>
  <si>
    <t>$O$50</t>
  </si>
  <si>
    <t>$P$50</t>
  </si>
  <si>
    <t>$Q$50</t>
  </si>
  <si>
    <t>$R$50</t>
  </si>
  <si>
    <t>$G$51</t>
  </si>
  <si>
    <t>$H$51</t>
  </si>
  <si>
    <t>$I$51</t>
  </si>
  <si>
    <t>$J$51</t>
  </si>
  <si>
    <t>$K$51</t>
  </si>
  <si>
    <t>$L$51</t>
  </si>
  <si>
    <t>$M$51</t>
  </si>
  <si>
    <t>$N$51</t>
  </si>
  <si>
    <t>$O$51</t>
  </si>
  <si>
    <t>$P$51</t>
  </si>
  <si>
    <t>$Q$51</t>
  </si>
  <si>
    <t>$R$51</t>
  </si>
  <si>
    <t>$G$52</t>
  </si>
  <si>
    <t>$H$52</t>
  </si>
  <si>
    <t>$I$52</t>
  </si>
  <si>
    <t>$J$52</t>
  </si>
  <si>
    <t>$K$52</t>
  </si>
  <si>
    <t>$L$52</t>
  </si>
  <si>
    <t>$M$52</t>
  </si>
  <si>
    <t>$N$52</t>
  </si>
  <si>
    <t>$O$52</t>
  </si>
  <si>
    <t>$P$52</t>
  </si>
  <si>
    <t>$Q$52</t>
  </si>
  <si>
    <t>$R$52</t>
  </si>
  <si>
    <t>$G$53</t>
  </si>
  <si>
    <t>$H$53</t>
  </si>
  <si>
    <t>$I$53</t>
  </si>
  <si>
    <t>$J$53</t>
  </si>
  <si>
    <t>$K$53</t>
  </si>
  <si>
    <t>$L$53</t>
  </si>
  <si>
    <t>$M$53</t>
  </si>
  <si>
    <t>$N$53</t>
  </si>
  <si>
    <t>$O$53</t>
  </si>
  <si>
    <t>$P$53</t>
  </si>
  <si>
    <t>$Q$53</t>
  </si>
  <si>
    <t>$R$53</t>
  </si>
  <si>
    <t>$G$54</t>
  </si>
  <si>
    <t>$H$54</t>
  </si>
  <si>
    <t>$I$54</t>
  </si>
  <si>
    <t>$J$54</t>
  </si>
  <si>
    <t>$K$54</t>
  </si>
  <si>
    <t>$L$54</t>
  </si>
  <si>
    <t>$M$54</t>
  </si>
  <si>
    <t>$N$54</t>
  </si>
  <si>
    <t>$O$54</t>
  </si>
  <si>
    <t>$P$54</t>
  </si>
  <si>
    <t>$Q$54</t>
  </si>
  <si>
    <t>$R$54</t>
  </si>
  <si>
    <t>$G$55</t>
  </si>
  <si>
    <t>$H$55</t>
  </si>
  <si>
    <t>$I$55</t>
  </si>
  <si>
    <t>$J$55</t>
  </si>
  <si>
    <t>$K$55</t>
  </si>
  <si>
    <t>$L$55</t>
  </si>
  <si>
    <t>$M$55</t>
  </si>
  <si>
    <t>$N$55</t>
  </si>
  <si>
    <t>$O$55</t>
  </si>
  <si>
    <t>$P$55</t>
  </si>
  <si>
    <t>$Q$55</t>
  </si>
  <si>
    <t>$R$55</t>
  </si>
  <si>
    <t>$G$56</t>
  </si>
  <si>
    <t>$H$56</t>
  </si>
  <si>
    <t>$I$56</t>
  </si>
  <si>
    <t>$J$56</t>
  </si>
  <si>
    <t>$K$56</t>
  </si>
  <si>
    <t>$L$56</t>
  </si>
  <si>
    <t>$M$56</t>
  </si>
  <si>
    <t>$N$56</t>
  </si>
  <si>
    <t>$O$56</t>
  </si>
  <si>
    <t>$P$56</t>
  </si>
  <si>
    <t>$Q$56</t>
  </si>
  <si>
    <t>$R$56</t>
  </si>
  <si>
    <t>$G$57</t>
  </si>
  <si>
    <t>$H$57</t>
  </si>
  <si>
    <t>$I$57</t>
  </si>
  <si>
    <t>$J$57</t>
  </si>
  <si>
    <t>$K$57</t>
  </si>
  <si>
    <t>$L$57</t>
  </si>
  <si>
    <t>$M$57</t>
  </si>
  <si>
    <t>$N$57</t>
  </si>
  <si>
    <t>$O$57</t>
  </si>
  <si>
    <t>$P$57</t>
  </si>
  <si>
    <t>$Q$57</t>
  </si>
  <si>
    <t>$R$57</t>
  </si>
  <si>
    <t>$G$58</t>
  </si>
  <si>
    <t>$H$58</t>
  </si>
  <si>
    <t>$I$58</t>
  </si>
  <si>
    <t>$J$58</t>
  </si>
  <si>
    <t>$K$58</t>
  </si>
  <si>
    <t>$L$58</t>
  </si>
  <si>
    <t>$M$58</t>
  </si>
  <si>
    <t>$N$58</t>
  </si>
  <si>
    <t>$O$58</t>
  </si>
  <si>
    <t>$P$58</t>
  </si>
  <si>
    <t>$Q$58</t>
  </si>
  <si>
    <t>$R$58</t>
  </si>
  <si>
    <t>$G$59</t>
  </si>
  <si>
    <t>$H$59</t>
  </si>
  <si>
    <t>$I$59</t>
  </si>
  <si>
    <t>$J$59</t>
  </si>
  <si>
    <t>$K$59</t>
  </si>
  <si>
    <t>$L$59</t>
  </si>
  <si>
    <t>$M$59</t>
  </si>
  <si>
    <t>$N$59</t>
  </si>
  <si>
    <t>$O$59</t>
  </si>
  <si>
    <t>$P$59</t>
  </si>
  <si>
    <t>$Q$59</t>
  </si>
  <si>
    <t>$R$59</t>
  </si>
  <si>
    <t>$G$60</t>
  </si>
  <si>
    <t>$H$60</t>
  </si>
  <si>
    <t>$I$60</t>
  </si>
  <si>
    <t>$J$60</t>
  </si>
  <si>
    <t>$K$60</t>
  </si>
  <si>
    <t>$L$60</t>
  </si>
  <si>
    <t>$M$60</t>
  </si>
  <si>
    <t>$N$60</t>
  </si>
  <si>
    <t>$O$60</t>
  </si>
  <si>
    <t>$P$60</t>
  </si>
  <si>
    <t>$Q$60</t>
  </si>
  <si>
    <t>$R$60</t>
  </si>
  <si>
    <t>$G$61</t>
  </si>
  <si>
    <t>$H$61</t>
  </si>
  <si>
    <t>$I$61</t>
  </si>
  <si>
    <t>$J$61</t>
  </si>
  <si>
    <t>$K$61</t>
  </si>
  <si>
    <t>$L$61</t>
  </si>
  <si>
    <t>$M$61</t>
  </si>
  <si>
    <t>$N$61</t>
  </si>
  <si>
    <t>$O$61</t>
  </si>
  <si>
    <t>$P$61</t>
  </si>
  <si>
    <t>$Q$61</t>
  </si>
  <si>
    <t>$R$61</t>
  </si>
  <si>
    <t>$G$62</t>
  </si>
  <si>
    <t>$H$62</t>
  </si>
  <si>
    <t>$I$62</t>
  </si>
  <si>
    <t>$J$62</t>
  </si>
  <si>
    <t>$K$62</t>
  </si>
  <si>
    <t>$L$62</t>
  </si>
  <si>
    <t>$M$62</t>
  </si>
  <si>
    <t>$N$62</t>
  </si>
  <si>
    <t>$O$62</t>
  </si>
  <si>
    <t>$P$62</t>
  </si>
  <si>
    <t>$Q$62</t>
  </si>
  <si>
    <t>$R$62</t>
  </si>
  <si>
    <t>$G$63</t>
  </si>
  <si>
    <t>$H$63</t>
  </si>
  <si>
    <t>$I$63</t>
  </si>
  <si>
    <t>$J$63</t>
  </si>
  <si>
    <t>$K$63</t>
  </si>
  <si>
    <t>$L$63</t>
  </si>
  <si>
    <t>$M$63</t>
  </si>
  <si>
    <t>$N$63</t>
  </si>
  <si>
    <t>$O$63</t>
  </si>
  <si>
    <t>$P$63</t>
  </si>
  <si>
    <t>$Q$63</t>
  </si>
  <si>
    <t>$R$63</t>
  </si>
  <si>
    <t>$G$64</t>
  </si>
  <si>
    <t>$H$64</t>
  </si>
  <si>
    <t>$I$64</t>
  </si>
  <si>
    <t>$J$64</t>
  </si>
  <si>
    <t>$K$64</t>
  </si>
  <si>
    <t>$L$64</t>
  </si>
  <si>
    <t>$M$64</t>
  </si>
  <si>
    <t>$N$64</t>
  </si>
  <si>
    <t>$O$64</t>
  </si>
  <si>
    <t>$P$64</t>
  </si>
  <si>
    <t>$Q$64</t>
  </si>
  <si>
    <t>$R$64</t>
  </si>
  <si>
    <t>$G$65</t>
  </si>
  <si>
    <t>$H$65</t>
  </si>
  <si>
    <t>$I$65</t>
  </si>
  <si>
    <t>$J$65</t>
  </si>
  <si>
    <t>$K$65</t>
  </si>
  <si>
    <t>$L$65</t>
  </si>
  <si>
    <t>$M$65</t>
  </si>
  <si>
    <t>$N$65</t>
  </si>
  <si>
    <t>$O$65</t>
  </si>
  <si>
    <t>$P$65</t>
  </si>
  <si>
    <t>$Q$65</t>
  </si>
  <si>
    <t>$R$65</t>
  </si>
  <si>
    <t>$G$66</t>
  </si>
  <si>
    <t>$H$66</t>
  </si>
  <si>
    <t>$I$66</t>
  </si>
  <si>
    <t>$J$66</t>
  </si>
  <si>
    <t>$K$66</t>
  </si>
  <si>
    <t>$L$66</t>
  </si>
  <si>
    <t>$M$66</t>
  </si>
  <si>
    <t>$N$66</t>
  </si>
  <si>
    <t>$O$66</t>
  </si>
  <si>
    <t>$P$66</t>
  </si>
  <si>
    <t>$Q$66</t>
  </si>
  <si>
    <t>$R$66</t>
  </si>
  <si>
    <t>$G$67</t>
  </si>
  <si>
    <t>$H$67</t>
  </si>
  <si>
    <t>$I$67</t>
  </si>
  <si>
    <t>$J$67</t>
  </si>
  <si>
    <t>$K$67</t>
  </si>
  <si>
    <t>$L$67</t>
  </si>
  <si>
    <t>$M$67</t>
  </si>
  <si>
    <t>$N$67</t>
  </si>
  <si>
    <t>$O$67</t>
  </si>
  <si>
    <t>$P$67</t>
  </si>
  <si>
    <t>$Q$67</t>
  </si>
  <si>
    <t>$R$67</t>
  </si>
  <si>
    <t>$G$68</t>
  </si>
  <si>
    <t>$H$68</t>
  </si>
  <si>
    <t>$I$68</t>
  </si>
  <si>
    <t>$J$68</t>
  </si>
  <si>
    <t>$K$68</t>
  </si>
  <si>
    <t>$L$68</t>
  </si>
  <si>
    <t>$M$68</t>
  </si>
  <si>
    <t>$N$68</t>
  </si>
  <si>
    <t>$O$68</t>
  </si>
  <si>
    <t>$P$68</t>
  </si>
  <si>
    <t>$Q$68</t>
  </si>
  <si>
    <t>$R$68</t>
  </si>
  <si>
    <t>$G$69</t>
  </si>
  <si>
    <t>$H$69</t>
  </si>
  <si>
    <t>$I$69</t>
  </si>
  <si>
    <t>$J$69</t>
  </si>
  <si>
    <t>$K$69</t>
  </si>
  <si>
    <t>$L$69</t>
  </si>
  <si>
    <t>$M$69</t>
  </si>
  <si>
    <t>$N$69</t>
  </si>
  <si>
    <t>$O$69</t>
  </si>
  <si>
    <t>$P$69</t>
  </si>
  <si>
    <t>$Q$69</t>
  </si>
  <si>
    <t>$R$69</t>
  </si>
  <si>
    <t>$G$70</t>
  </si>
  <si>
    <t>$H$70</t>
  </si>
  <si>
    <t>$I$70</t>
  </si>
  <si>
    <t>$J$70</t>
  </si>
  <si>
    <t>$K$70</t>
  </si>
  <si>
    <t>$L$70</t>
  </si>
  <si>
    <t>$M$70</t>
  </si>
  <si>
    <t>$N$70</t>
  </si>
  <si>
    <t>$O$70</t>
  </si>
  <si>
    <t>$P$70</t>
  </si>
  <si>
    <t>$Q$70</t>
  </si>
  <si>
    <t>$R$70</t>
  </si>
  <si>
    <t>$G$71</t>
  </si>
  <si>
    <t>$H$71</t>
  </si>
  <si>
    <t>$I$71</t>
  </si>
  <si>
    <t>$J$71</t>
  </si>
  <si>
    <t>$K$71</t>
  </si>
  <si>
    <t>$L$71</t>
  </si>
  <si>
    <t>$M$71</t>
  </si>
  <si>
    <t>$N$71</t>
  </si>
  <si>
    <t>$O$71</t>
  </si>
  <si>
    <t>$P$71</t>
  </si>
  <si>
    <t>$Q$71</t>
  </si>
  <si>
    <t>$R$71</t>
  </si>
  <si>
    <t>$G$72</t>
  </si>
  <si>
    <t>$H$72</t>
  </si>
  <si>
    <t>$I$72</t>
  </si>
  <si>
    <t>$J$72</t>
  </si>
  <si>
    <t>$K$72</t>
  </si>
  <si>
    <t>$L$72</t>
  </si>
  <si>
    <t>$M$72</t>
  </si>
  <si>
    <t>$N$72</t>
  </si>
  <si>
    <t>$O$72</t>
  </si>
  <si>
    <t>$P$72</t>
  </si>
  <si>
    <t>$Q$72</t>
  </si>
  <si>
    <t>$R$72</t>
  </si>
  <si>
    <t>$G$73</t>
  </si>
  <si>
    <t>$H$73</t>
  </si>
  <si>
    <t>$I$73</t>
  </si>
  <si>
    <t>$J$73</t>
  </si>
  <si>
    <t>$K$73</t>
  </si>
  <si>
    <t>$L$73</t>
  </si>
  <si>
    <t>$M$73</t>
  </si>
  <si>
    <t>$N$73</t>
  </si>
  <si>
    <t>$O$73</t>
  </si>
  <si>
    <t>$P$73</t>
  </si>
  <si>
    <t>$Q$73</t>
  </si>
  <si>
    <t>$R$73</t>
  </si>
  <si>
    <t>$G$74</t>
  </si>
  <si>
    <t>$H$74</t>
  </si>
  <si>
    <t>$I$74</t>
  </si>
  <si>
    <t>$J$74</t>
  </si>
  <si>
    <t>$K$74</t>
  </si>
  <si>
    <t>$L$74</t>
  </si>
  <si>
    <t>$M$74</t>
  </si>
  <si>
    <t>$N$74</t>
  </si>
  <si>
    <t>$O$74</t>
  </si>
  <si>
    <t>$P$74</t>
  </si>
  <si>
    <t>$Q$74</t>
  </si>
  <si>
    <t>$R$74</t>
  </si>
  <si>
    <t>$G$75</t>
  </si>
  <si>
    <t>$H$75</t>
  </si>
  <si>
    <t>$I$75</t>
  </si>
  <si>
    <t>$J$75</t>
  </si>
  <si>
    <t>$K$75</t>
  </si>
  <si>
    <t>$L$75</t>
  </si>
  <si>
    <t>$M$75</t>
  </si>
  <si>
    <t>$N$75</t>
  </si>
  <si>
    <t>$O$75</t>
  </si>
  <si>
    <t>$P$75</t>
  </si>
  <si>
    <t>$Q$75</t>
  </si>
  <si>
    <t>$R$75</t>
  </si>
  <si>
    <t>$G$76</t>
  </si>
  <si>
    <t>$H$76</t>
  </si>
  <si>
    <t>$I$76</t>
  </si>
  <si>
    <t>$J$76</t>
  </si>
  <si>
    <t>$K$76</t>
  </si>
  <si>
    <t>$L$76</t>
  </si>
  <si>
    <t>$M$76</t>
  </si>
  <si>
    <t>$N$76</t>
  </si>
  <si>
    <t>$O$76</t>
  </si>
  <si>
    <t>$P$76</t>
  </si>
  <si>
    <t>$Q$76</t>
  </si>
  <si>
    <t>$R$76</t>
  </si>
  <si>
    <t>$G$77</t>
  </si>
  <si>
    <t>$H$77</t>
  </si>
  <si>
    <t>$I$77</t>
  </si>
  <si>
    <t>$J$77</t>
  </si>
  <si>
    <t>$K$77</t>
  </si>
  <si>
    <t>$L$77</t>
  </si>
  <si>
    <t>$M$77</t>
  </si>
  <si>
    <t>$N$77</t>
  </si>
  <si>
    <t>$O$77</t>
  </si>
  <si>
    <t>$P$77</t>
  </si>
  <si>
    <t>$Q$77</t>
  </si>
  <si>
    <t>$R$77</t>
  </si>
  <si>
    <t>$G$78</t>
  </si>
  <si>
    <t>$H$78</t>
  </si>
  <si>
    <t>$I$78</t>
  </si>
  <si>
    <t>$J$78</t>
  </si>
  <si>
    <t>$K$78</t>
  </si>
  <si>
    <t>$L$78</t>
  </si>
  <si>
    <t>$M$78</t>
  </si>
  <si>
    <t>$N$78</t>
  </si>
  <si>
    <t>$O$78</t>
  </si>
  <si>
    <t>$P$78</t>
  </si>
  <si>
    <t>$Q$78</t>
  </si>
  <si>
    <t>$R$78</t>
  </si>
  <si>
    <t>$G$79</t>
  </si>
  <si>
    <t>$H$79</t>
  </si>
  <si>
    <t>$I$79</t>
  </si>
  <si>
    <t>$J$79</t>
  </si>
  <si>
    <t>$K$79</t>
  </si>
  <si>
    <t>$L$79</t>
  </si>
  <si>
    <t>$M$79</t>
  </si>
  <si>
    <t>$N$79</t>
  </si>
  <si>
    <t>$O$79</t>
  </si>
  <si>
    <t>$P$79</t>
  </si>
  <si>
    <t>$Q$79</t>
  </si>
  <si>
    <t>$R$79</t>
  </si>
  <si>
    <t>$G$80</t>
  </si>
  <si>
    <t>$H$80</t>
  </si>
  <si>
    <t>$I$80</t>
  </si>
  <si>
    <t>$J$80</t>
  </si>
  <si>
    <t>$K$80</t>
  </si>
  <si>
    <t>$L$80</t>
  </si>
  <si>
    <t>$M$80</t>
  </si>
  <si>
    <t>$N$80</t>
  </si>
  <si>
    <t>$O$80</t>
  </si>
  <si>
    <t>$P$80</t>
  </si>
  <si>
    <t>$Q$80</t>
  </si>
  <si>
    <t>$R$80</t>
  </si>
  <si>
    <t>$G$81</t>
  </si>
  <si>
    <t>$H$81</t>
  </si>
  <si>
    <t>$I$81</t>
  </si>
  <si>
    <t>$J$81</t>
  </si>
  <si>
    <t>$K$81</t>
  </si>
  <si>
    <t>$L$81</t>
  </si>
  <si>
    <t>$M$81</t>
  </si>
  <si>
    <t>$N$81</t>
  </si>
  <si>
    <t>$O$81</t>
  </si>
  <si>
    <t>$P$81</t>
  </si>
  <si>
    <t>$Q$81</t>
  </si>
  <si>
    <t>$R$81</t>
  </si>
  <si>
    <t>$G$82</t>
  </si>
  <si>
    <t>$H$82</t>
  </si>
  <si>
    <t>$I$82</t>
  </si>
  <si>
    <t>$J$82</t>
  </si>
  <si>
    <t>$K$82</t>
  </si>
  <si>
    <t>$L$82</t>
  </si>
  <si>
    <t>$M$82</t>
  </si>
  <si>
    <t>$N$82</t>
  </si>
  <si>
    <t>$O$82</t>
  </si>
  <si>
    <t>$P$82</t>
  </si>
  <si>
    <t>$Q$82</t>
  </si>
  <si>
    <t>$R$82</t>
  </si>
  <si>
    <t>$G$83</t>
  </si>
  <si>
    <t>$H$83</t>
  </si>
  <si>
    <t>$I$83</t>
  </si>
  <si>
    <t>$J$83</t>
  </si>
  <si>
    <t>$K$83</t>
  </si>
  <si>
    <t>$L$83</t>
  </si>
  <si>
    <t>$M$83</t>
  </si>
  <si>
    <t>$N$83</t>
  </si>
  <si>
    <t>$O$83</t>
  </si>
  <si>
    <t>$P$83</t>
  </si>
  <si>
    <t>$Q$83</t>
  </si>
  <si>
    <t>$R$83</t>
  </si>
  <si>
    <t>$G$84</t>
  </si>
  <si>
    <t>$H$84</t>
  </si>
  <si>
    <t>$I$84</t>
  </si>
  <si>
    <t>$J$84</t>
  </si>
  <si>
    <t>$K$84</t>
  </si>
  <si>
    <t>$L$84</t>
  </si>
  <si>
    <t>$M$84</t>
  </si>
  <si>
    <t>$N$84</t>
  </si>
  <si>
    <t>$O$84</t>
  </si>
  <si>
    <t>$P$84</t>
  </si>
  <si>
    <t>$Q$84</t>
  </si>
  <si>
    <t>$R$84</t>
  </si>
  <si>
    <t>$G$85</t>
  </si>
  <si>
    <t>$H$85</t>
  </si>
  <si>
    <t>$I$85</t>
  </si>
  <si>
    <t>$J$85</t>
  </si>
  <si>
    <t>$K$85</t>
  </si>
  <si>
    <t>$L$85</t>
  </si>
  <si>
    <t>$M$85</t>
  </si>
  <si>
    <t>$N$85</t>
  </si>
  <si>
    <t>$O$85</t>
  </si>
  <si>
    <t>$P$85</t>
  </si>
  <si>
    <t>$Q$85</t>
  </si>
  <si>
    <t>$R$85</t>
  </si>
  <si>
    <t>$G$86</t>
  </si>
  <si>
    <t>$H$86</t>
  </si>
  <si>
    <t>$I$86</t>
  </si>
  <si>
    <t>$J$86</t>
  </si>
  <si>
    <t>$K$86</t>
  </si>
  <si>
    <t>$L$86</t>
  </si>
  <si>
    <t>$M$86</t>
  </si>
  <si>
    <t>$N$86</t>
  </si>
  <si>
    <t>$O$86</t>
  </si>
  <si>
    <t>$P$86</t>
  </si>
  <si>
    <t>$Q$86</t>
  </si>
  <si>
    <t>$R$86</t>
  </si>
  <si>
    <t>$G$87</t>
  </si>
  <si>
    <t>$H$87</t>
  </si>
  <si>
    <t>$I$87</t>
  </si>
  <si>
    <t>$J$87</t>
  </si>
  <si>
    <t>$K$87</t>
  </si>
  <si>
    <t>$L$87</t>
  </si>
  <si>
    <t>$M$87</t>
  </si>
  <si>
    <t>$N$87</t>
  </si>
  <si>
    <t>$O$87</t>
  </si>
  <si>
    <t>$P$87</t>
  </si>
  <si>
    <t>$Q$87</t>
  </si>
  <si>
    <t>$R$87</t>
  </si>
  <si>
    <t>$G$88</t>
  </si>
  <si>
    <t>$H$88</t>
  </si>
  <si>
    <t>$I$88</t>
  </si>
  <si>
    <t>$J$88</t>
  </si>
  <si>
    <t>$K$88</t>
  </si>
  <si>
    <t>$L$88</t>
  </si>
  <si>
    <t>$M$88</t>
  </si>
  <si>
    <t>$N$88</t>
  </si>
  <si>
    <t>$O$88</t>
  </si>
  <si>
    <t>$P$88</t>
  </si>
  <si>
    <t>$Q$88</t>
  </si>
  <si>
    <t>$R$88</t>
  </si>
  <si>
    <t>$G$89</t>
  </si>
  <si>
    <t>$H$89</t>
  </si>
  <si>
    <t>$I$89</t>
  </si>
  <si>
    <t>$J$89</t>
  </si>
  <si>
    <t>$K$89</t>
  </si>
  <si>
    <t>$L$89</t>
  </si>
  <si>
    <t>$M$89</t>
  </si>
  <si>
    <t>$N$89</t>
  </si>
  <si>
    <t>$O$89</t>
  </si>
  <si>
    <t>$P$89</t>
  </si>
  <si>
    <t>$Q$89</t>
  </si>
  <si>
    <t>$R$89</t>
  </si>
  <si>
    <t>$G$90</t>
  </si>
  <si>
    <t>$H$90</t>
  </si>
  <si>
    <t>$I$90</t>
  </si>
  <si>
    <t>$J$90</t>
  </si>
  <si>
    <t>$K$90</t>
  </si>
  <si>
    <t>$L$90</t>
  </si>
  <si>
    <t>$M$90</t>
  </si>
  <si>
    <t>$N$90</t>
  </si>
  <si>
    <t>$O$90</t>
  </si>
  <si>
    <t>$P$90</t>
  </si>
  <si>
    <t>$Q$90</t>
  </si>
  <si>
    <t>$R$90</t>
  </si>
  <si>
    <t>$G$91</t>
  </si>
  <si>
    <t>$H$91</t>
  </si>
  <si>
    <t>$I$91</t>
  </si>
  <si>
    <t>$J$91</t>
  </si>
  <si>
    <t>$K$91</t>
  </si>
  <si>
    <t>$L$91</t>
  </si>
  <si>
    <t>$M$91</t>
  </si>
  <si>
    <t>$N$91</t>
  </si>
  <si>
    <t>$O$91</t>
  </si>
  <si>
    <t>$P$91</t>
  </si>
  <si>
    <t>$Q$91</t>
  </si>
  <si>
    <t>$R$91</t>
  </si>
  <si>
    <t>$G$92</t>
  </si>
  <si>
    <t>$H$92</t>
  </si>
  <si>
    <t>$I$92</t>
  </si>
  <si>
    <t>$J$92</t>
  </si>
  <si>
    <t>$K$92</t>
  </si>
  <si>
    <t>$L$92</t>
  </si>
  <si>
    <t>$M$92</t>
  </si>
  <si>
    <t>$N$92</t>
  </si>
  <si>
    <t>$O$92</t>
  </si>
  <si>
    <t>$P$92</t>
  </si>
  <si>
    <t>$Q$92</t>
  </si>
  <si>
    <t>$R$92</t>
  </si>
  <si>
    <t>$G$93</t>
  </si>
  <si>
    <t>$H$93</t>
  </si>
  <si>
    <t>$I$93</t>
  </si>
  <si>
    <t>$J$93</t>
  </si>
  <si>
    <t>$K$93</t>
  </si>
  <si>
    <t>$L$93</t>
  </si>
  <si>
    <t>$M$93</t>
  </si>
  <si>
    <t>$N$93</t>
  </si>
  <si>
    <t>$O$93</t>
  </si>
  <si>
    <t>$P$93</t>
  </si>
  <si>
    <t>$Q$93</t>
  </si>
  <si>
    <t>$R$93</t>
  </si>
  <si>
    <t>$G$94</t>
  </si>
  <si>
    <t>$H$94</t>
  </si>
  <si>
    <t>$I$94</t>
  </si>
  <si>
    <t>$J$94</t>
  </si>
  <si>
    <t>$K$94</t>
  </si>
  <si>
    <t>$L$94</t>
  </si>
  <si>
    <t>$M$94</t>
  </si>
  <si>
    <t>$N$94</t>
  </si>
  <si>
    <t>$O$94</t>
  </si>
  <si>
    <t>$P$94</t>
  </si>
  <si>
    <t>$Q$94</t>
  </si>
  <si>
    <t>$R$94</t>
  </si>
  <si>
    <t>$G$95</t>
  </si>
  <si>
    <t>$H$95</t>
  </si>
  <si>
    <t>$I$95</t>
  </si>
  <si>
    <t>$J$95</t>
  </si>
  <si>
    <t>$K$95</t>
  </si>
  <si>
    <t>$L$95</t>
  </si>
  <si>
    <t>$M$95</t>
  </si>
  <si>
    <t>$N$95</t>
  </si>
  <si>
    <t>$O$95</t>
  </si>
  <si>
    <t>$P$95</t>
  </si>
  <si>
    <t>$Q$95</t>
  </si>
  <si>
    <t>$R$95</t>
  </si>
  <si>
    <t>$G$96</t>
  </si>
  <si>
    <t>$H$96</t>
  </si>
  <si>
    <t>$I$96</t>
  </si>
  <si>
    <t>$J$96</t>
  </si>
  <si>
    <t>$K$96</t>
  </si>
  <si>
    <t>$L$96</t>
  </si>
  <si>
    <t>$M$96</t>
  </si>
  <si>
    <t>$N$96</t>
  </si>
  <si>
    <t>$O$96</t>
  </si>
  <si>
    <t>$P$96</t>
  </si>
  <si>
    <t>$Q$96</t>
  </si>
  <si>
    <t>$R$96</t>
  </si>
  <si>
    <t>$G$97</t>
  </si>
  <si>
    <t>$H$97</t>
  </si>
  <si>
    <t>$I$97</t>
  </si>
  <si>
    <t>$J$97</t>
  </si>
  <si>
    <t>$K$97</t>
  </si>
  <si>
    <t>$L$97</t>
  </si>
  <si>
    <t>$M$97</t>
  </si>
  <si>
    <t>$N$97</t>
  </si>
  <si>
    <t>$O$97</t>
  </si>
  <si>
    <t>$P$97</t>
  </si>
  <si>
    <t>$Q$97</t>
  </si>
  <si>
    <t>$R$97</t>
  </si>
  <si>
    <t>$G$98</t>
  </si>
  <si>
    <t>$H$98</t>
  </si>
  <si>
    <t>$I$98</t>
  </si>
  <si>
    <t>$J$98</t>
  </si>
  <si>
    <t>$K$98</t>
  </si>
  <si>
    <t>$L$98</t>
  </si>
  <si>
    <t>$M$98</t>
  </si>
  <si>
    <t>$N$98</t>
  </si>
  <si>
    <t>$O$98</t>
  </si>
  <si>
    <t>$P$98</t>
  </si>
  <si>
    <t>$Q$98</t>
  </si>
  <si>
    <t>$R$98</t>
  </si>
  <si>
    <t>$G$99</t>
  </si>
  <si>
    <t>$H$99</t>
  </si>
  <si>
    <t>$I$99</t>
  </si>
  <si>
    <t>$J$99</t>
  </si>
  <si>
    <t>$K$99</t>
  </si>
  <si>
    <t>$L$99</t>
  </si>
  <si>
    <t>$M$99</t>
  </si>
  <si>
    <t>$N$99</t>
  </si>
  <si>
    <t>$O$99</t>
  </si>
  <si>
    <t>$P$99</t>
  </si>
  <si>
    <t>$Q$99</t>
  </si>
  <si>
    <t>$R$99</t>
  </si>
  <si>
    <t>$G$100</t>
  </si>
  <si>
    <t>$H$100</t>
  </si>
  <si>
    <t>$I$100</t>
  </si>
  <si>
    <t>$J$100</t>
  </si>
  <si>
    <t>$K$100</t>
  </si>
  <si>
    <t>$L$100</t>
  </si>
  <si>
    <t>$M$100</t>
  </si>
  <si>
    <t>$N$100</t>
  </si>
  <si>
    <t>$O$100</t>
  </si>
  <si>
    <t>$P$100</t>
  </si>
  <si>
    <t>$Q$100</t>
  </si>
  <si>
    <t>$R$100</t>
  </si>
  <si>
    <t>$G$101</t>
  </si>
  <si>
    <t>$H$101</t>
  </si>
  <si>
    <t>$I$101</t>
  </si>
  <si>
    <t>$J$101</t>
  </si>
  <si>
    <t>$K$101</t>
  </si>
  <si>
    <t>$L$101</t>
  </si>
  <si>
    <t>$M$101</t>
  </si>
  <si>
    <t>$N$101</t>
  </si>
  <si>
    <t>$O$101</t>
  </si>
  <si>
    <t>$P$101</t>
  </si>
  <si>
    <t>$Q$101</t>
  </si>
  <si>
    <t>$R$101</t>
  </si>
  <si>
    <t>$G$102</t>
  </si>
  <si>
    <t>$H$102</t>
  </si>
  <si>
    <t>$I$102</t>
  </si>
  <si>
    <t>$J$102</t>
  </si>
  <si>
    <t>$K$102</t>
  </si>
  <si>
    <t>$L$102</t>
  </si>
  <si>
    <t>$M$102</t>
  </si>
  <si>
    <t>$N$102</t>
  </si>
  <si>
    <t>$O$102</t>
  </si>
  <si>
    <t>$P$102</t>
  </si>
  <si>
    <t>$Q$102</t>
  </si>
  <si>
    <t>$R$102</t>
  </si>
  <si>
    <t>$G$103</t>
  </si>
  <si>
    <t>$H$103</t>
  </si>
  <si>
    <t>$I$103</t>
  </si>
  <si>
    <t>$J$103</t>
  </si>
  <si>
    <t>$K$103</t>
  </si>
  <si>
    <t>$L$103</t>
  </si>
  <si>
    <t>$M$103</t>
  </si>
  <si>
    <t>$N$103</t>
  </si>
  <si>
    <t>$O$103</t>
  </si>
  <si>
    <t>$P$103</t>
  </si>
  <si>
    <t>$Q$103</t>
  </si>
  <si>
    <t>$R$103</t>
  </si>
  <si>
    <t>$G$104</t>
  </si>
  <si>
    <t>$H$104</t>
  </si>
  <si>
    <t>$I$104</t>
  </si>
  <si>
    <t>$J$104</t>
  </si>
  <si>
    <t>$K$104</t>
  </si>
  <si>
    <t>$L$104</t>
  </si>
  <si>
    <t>$M$104</t>
  </si>
  <si>
    <t>$N$104</t>
  </si>
  <si>
    <t>$O$104</t>
  </si>
  <si>
    <t>$P$104</t>
  </si>
  <si>
    <t>$Q$104</t>
  </si>
  <si>
    <t>$R$104</t>
  </si>
  <si>
    <t>$G$105</t>
  </si>
  <si>
    <t>$H$105</t>
  </si>
  <si>
    <t>$I$105</t>
  </si>
  <si>
    <t>$J$105</t>
  </si>
  <si>
    <t>$K$105</t>
  </si>
  <si>
    <t>$L$105</t>
  </si>
  <si>
    <t>$M$105</t>
  </si>
  <si>
    <t>$N$105</t>
  </si>
  <si>
    <t>$O$105</t>
  </si>
  <si>
    <t>$P$105</t>
  </si>
  <si>
    <t>$Q$105</t>
  </si>
  <si>
    <t>$R$105</t>
  </si>
  <si>
    <t>$G$106</t>
  </si>
  <si>
    <t>$H$106</t>
  </si>
  <si>
    <t>$I$106</t>
  </si>
  <si>
    <t>$J$106</t>
  </si>
  <si>
    <t>$K$106</t>
  </si>
  <si>
    <t>$L$106</t>
  </si>
  <si>
    <t>$M$106</t>
  </si>
  <si>
    <t>$N$106</t>
  </si>
  <si>
    <t>$O$106</t>
  </si>
  <si>
    <t>$P$106</t>
  </si>
  <si>
    <t>$Q$106</t>
  </si>
  <si>
    <t>$R$106</t>
  </si>
  <si>
    <t>$G$107</t>
  </si>
  <si>
    <t>$H$107</t>
  </si>
  <si>
    <t>$I$107</t>
  </si>
  <si>
    <t>$J$107</t>
  </si>
  <si>
    <t>$K$107</t>
  </si>
  <si>
    <t>$L$107</t>
  </si>
  <si>
    <t>$M$107</t>
  </si>
  <si>
    <t>$N$107</t>
  </si>
  <si>
    <t>$O$107</t>
  </si>
  <si>
    <t>$P$107</t>
  </si>
  <si>
    <t>$Q$107</t>
  </si>
  <si>
    <t>$R$107</t>
  </si>
  <si>
    <t>$G$108</t>
  </si>
  <si>
    <t>$H$108</t>
  </si>
  <si>
    <t>$I$108</t>
  </si>
  <si>
    <t>$J$108</t>
  </si>
  <si>
    <t>$K$108</t>
  </si>
  <si>
    <t>$L$108</t>
  </si>
  <si>
    <t>$M$108</t>
  </si>
  <si>
    <t>$N$108</t>
  </si>
  <si>
    <t>$O$108</t>
  </si>
  <si>
    <t>$P$108</t>
  </si>
  <si>
    <t>$Q$108</t>
  </si>
  <si>
    <t>$R$108</t>
  </si>
  <si>
    <t>$G$109</t>
  </si>
  <si>
    <t>$H$109</t>
  </si>
  <si>
    <t>$I$109</t>
  </si>
  <si>
    <t>$J$109</t>
  </si>
  <si>
    <t>$K$109</t>
  </si>
  <si>
    <t>$L$109</t>
  </si>
  <si>
    <t>$M$109</t>
  </si>
  <si>
    <t>$N$109</t>
  </si>
  <si>
    <t>$O$109</t>
  </si>
  <si>
    <t>$P$109</t>
  </si>
  <si>
    <t>$Q$109</t>
  </si>
  <si>
    <t>$R$109</t>
  </si>
  <si>
    <t>$G$110</t>
  </si>
  <si>
    <t>$H$110</t>
  </si>
  <si>
    <t>$I$110</t>
  </si>
  <si>
    <t>$J$110</t>
  </si>
  <si>
    <t>$K$110</t>
  </si>
  <si>
    <t>$L$110</t>
  </si>
  <si>
    <t>$M$110</t>
  </si>
  <si>
    <t>$N$110</t>
  </si>
  <si>
    <t>$O$110</t>
  </si>
  <si>
    <t>$P$110</t>
  </si>
  <si>
    <t>$Q$110</t>
  </si>
  <si>
    <t>$R$110</t>
  </si>
  <si>
    <t>$G$111</t>
  </si>
  <si>
    <t>$H$111</t>
  </si>
  <si>
    <t>$I$111</t>
  </si>
  <si>
    <t>$J$111</t>
  </si>
  <si>
    <t>$K$111</t>
  </si>
  <si>
    <t>$L$111</t>
  </si>
  <si>
    <t>$M$111</t>
  </si>
  <si>
    <t>$N$111</t>
  </si>
  <si>
    <t>$O$111</t>
  </si>
  <si>
    <t>$P$111</t>
  </si>
  <si>
    <t>$Q$111</t>
  </si>
  <si>
    <t>$R$111</t>
  </si>
  <si>
    <t>$G$112</t>
  </si>
  <si>
    <t>$H$112</t>
  </si>
  <si>
    <t>$I$112</t>
  </si>
  <si>
    <t>$J$112</t>
  </si>
  <si>
    <t>$K$112</t>
  </si>
  <si>
    <t>$L$112</t>
  </si>
  <si>
    <t>$M$112</t>
  </si>
  <si>
    <t>$N$112</t>
  </si>
  <si>
    <t>$O$112</t>
  </si>
  <si>
    <t>$P$112</t>
  </si>
  <si>
    <t>$Q$112</t>
  </si>
  <si>
    <t>$R$112</t>
  </si>
  <si>
    <t>$G$113</t>
  </si>
  <si>
    <t>$H$113</t>
  </si>
  <si>
    <t>$I$113</t>
  </si>
  <si>
    <t>$J$113</t>
  </si>
  <si>
    <t>$K$113</t>
  </si>
  <si>
    <t>$L$113</t>
  </si>
  <si>
    <t>$M$113</t>
  </si>
  <si>
    <t>$N$113</t>
  </si>
  <si>
    <t>$O$113</t>
  </si>
  <si>
    <t>$P$113</t>
  </si>
  <si>
    <t>$Q$113</t>
  </si>
  <si>
    <t>$R$113</t>
  </si>
  <si>
    <t>$G$114</t>
  </si>
  <si>
    <t>$H$114</t>
  </si>
  <si>
    <t>$I$114</t>
  </si>
  <si>
    <t>$J$114</t>
  </si>
  <si>
    <t>$K$114</t>
  </si>
  <si>
    <t>$L$114</t>
  </si>
  <si>
    <t>$M$114</t>
  </si>
  <si>
    <t>$N$114</t>
  </si>
  <si>
    <t>$O$114</t>
  </si>
  <si>
    <t>$P$114</t>
  </si>
  <si>
    <t>$Q$114</t>
  </si>
  <si>
    <t>$R$114</t>
  </si>
  <si>
    <t>$G$115</t>
  </si>
  <si>
    <t>$H$115</t>
  </si>
  <si>
    <t>$I$115</t>
  </si>
  <si>
    <t>$J$115</t>
  </si>
  <si>
    <t>$K$115</t>
  </si>
  <si>
    <t>$L$115</t>
  </si>
  <si>
    <t>$M$115</t>
  </si>
  <si>
    <t>$N$115</t>
  </si>
  <si>
    <t>$O$115</t>
  </si>
  <si>
    <t>$P$115</t>
  </si>
  <si>
    <t>$Q$115</t>
  </si>
  <si>
    <t>$R$115</t>
  </si>
  <si>
    <t>$G$116</t>
  </si>
  <si>
    <t>$H$116</t>
  </si>
  <si>
    <t>$I$116</t>
  </si>
  <si>
    <t>$J$116</t>
  </si>
  <si>
    <t>$K$116</t>
  </si>
  <si>
    <t>$L$116</t>
  </si>
  <si>
    <t>$M$116</t>
  </si>
  <si>
    <t>$N$116</t>
  </si>
  <si>
    <t>$O$116</t>
  </si>
  <si>
    <t>$P$116</t>
  </si>
  <si>
    <t>$Q$116</t>
  </si>
  <si>
    <t>$R$116</t>
  </si>
  <si>
    <t>$G$117</t>
  </si>
  <si>
    <t>$H$117</t>
  </si>
  <si>
    <t>$I$117</t>
  </si>
  <si>
    <t>$J$117</t>
  </si>
  <si>
    <t>$K$117</t>
  </si>
  <si>
    <t>$L$117</t>
  </si>
  <si>
    <t>$M$117</t>
  </si>
  <si>
    <t>$N$117</t>
  </si>
  <si>
    <t>$O$117</t>
  </si>
  <si>
    <t>$P$117</t>
  </si>
  <si>
    <t>$Q$117</t>
  </si>
  <si>
    <t>$R$117</t>
  </si>
  <si>
    <t>$G$118</t>
  </si>
  <si>
    <t>$H$118</t>
  </si>
  <si>
    <t>$I$118</t>
  </si>
  <si>
    <t>$J$118</t>
  </si>
  <si>
    <t>$K$118</t>
  </si>
  <si>
    <t>$L$118</t>
  </si>
  <si>
    <t>$M$118</t>
  </si>
  <si>
    <t>$N$118</t>
  </si>
  <si>
    <t>$O$118</t>
  </si>
  <si>
    <t>$P$118</t>
  </si>
  <si>
    <t>$Q$118</t>
  </si>
  <si>
    <t>$R$118</t>
  </si>
  <si>
    <t>$G$119</t>
  </si>
  <si>
    <t>$H$119</t>
  </si>
  <si>
    <t>$I$119</t>
  </si>
  <si>
    <t>$J$119</t>
  </si>
  <si>
    <t>$K$119</t>
  </si>
  <si>
    <t>$L$119</t>
  </si>
  <si>
    <t>$M$119</t>
  </si>
  <si>
    <t>$N$119</t>
  </si>
  <si>
    <t>$O$119</t>
  </si>
  <si>
    <t>$P$119</t>
  </si>
  <si>
    <t>$Q$119</t>
  </si>
  <si>
    <t>$R$119</t>
  </si>
  <si>
    <t>$G$120</t>
  </si>
  <si>
    <t>$H$120</t>
  </si>
  <si>
    <t>$I$120</t>
  </si>
  <si>
    <t>$J$120</t>
  </si>
  <si>
    <t>$K$120</t>
  </si>
  <si>
    <t>$L$120</t>
  </si>
  <si>
    <t>$M$120</t>
  </si>
  <si>
    <t>$N$120</t>
  </si>
  <si>
    <t>$O$120</t>
  </si>
  <si>
    <t>$P$120</t>
  </si>
  <si>
    <t>$Q$120</t>
  </si>
  <si>
    <t>$R$120</t>
  </si>
  <si>
    <t>$G$121</t>
  </si>
  <si>
    <t>$H$121</t>
  </si>
  <si>
    <t>$I$121</t>
  </si>
  <si>
    <t>$J$121</t>
  </si>
  <si>
    <t>$K$121</t>
  </si>
  <si>
    <t>$L$121</t>
  </si>
  <si>
    <t>$M$121</t>
  </si>
  <si>
    <t>$N$121</t>
  </si>
  <si>
    <t>$O$121</t>
  </si>
  <si>
    <t>$P$121</t>
  </si>
  <si>
    <t>$Q$121</t>
  </si>
  <si>
    <t>$R$121</t>
  </si>
  <si>
    <t>$G$122</t>
  </si>
  <si>
    <t>$H$122</t>
  </si>
  <si>
    <t>$I$122</t>
  </si>
  <si>
    <t>$J$122</t>
  </si>
  <si>
    <t>$K$122</t>
  </si>
  <si>
    <t>$L$122</t>
  </si>
  <si>
    <t>$M$122</t>
  </si>
  <si>
    <t>$N$122</t>
  </si>
  <si>
    <t>$O$122</t>
  </si>
  <si>
    <t>$P$122</t>
  </si>
  <si>
    <t>$Q$122</t>
  </si>
  <si>
    <t>$R$122</t>
  </si>
  <si>
    <t>$G$123</t>
  </si>
  <si>
    <t>$H$123</t>
  </si>
  <si>
    <t>$I$123</t>
  </si>
  <si>
    <t>$J$123</t>
  </si>
  <si>
    <t>$K$123</t>
  </si>
  <si>
    <t>$L$123</t>
  </si>
  <si>
    <t>$M$123</t>
  </si>
  <si>
    <t>$N$123</t>
  </si>
  <si>
    <t>$O$123</t>
  </si>
  <si>
    <t>$P$123</t>
  </si>
  <si>
    <t>$Q$123</t>
  </si>
  <si>
    <t>$R$123</t>
  </si>
  <si>
    <t>$G$124</t>
  </si>
  <si>
    <t>$H$124</t>
  </si>
  <si>
    <t>$I$124</t>
  </si>
  <si>
    <t>$J$124</t>
  </si>
  <si>
    <t>$K$124</t>
  </si>
  <si>
    <t>$L$124</t>
  </si>
  <si>
    <t>$M$124</t>
  </si>
  <si>
    <t>$N$124</t>
  </si>
  <si>
    <t>$O$124</t>
  </si>
  <si>
    <t>$P$124</t>
  </si>
  <si>
    <t>$Q$124</t>
  </si>
  <si>
    <t>$R$124</t>
  </si>
  <si>
    <t>$G$125</t>
  </si>
  <si>
    <t>$H$125</t>
  </si>
  <si>
    <t>$I$125</t>
  </si>
  <si>
    <t>$J$125</t>
  </si>
  <si>
    <t>$K$125</t>
  </si>
  <si>
    <t>$L$125</t>
  </si>
  <si>
    <t>$M$125</t>
  </si>
  <si>
    <t>$N$125</t>
  </si>
  <si>
    <t>$O$125</t>
  </si>
  <si>
    <t>$P$125</t>
  </si>
  <si>
    <t>$Q$125</t>
  </si>
  <si>
    <t>$R$125</t>
  </si>
  <si>
    <t>$G$126</t>
  </si>
  <si>
    <t>$H$126</t>
  </si>
  <si>
    <t>$I$126</t>
  </si>
  <si>
    <t>$J$126</t>
  </si>
  <si>
    <t>$K$126</t>
  </si>
  <si>
    <t>$L$126</t>
  </si>
  <si>
    <t>$M$126</t>
  </si>
  <si>
    <t>$N$126</t>
  </si>
  <si>
    <t>$O$126</t>
  </si>
  <si>
    <t>$P$126</t>
  </si>
  <si>
    <t>$Q$126</t>
  </si>
  <si>
    <t>$R$126</t>
  </si>
  <si>
    <t>$G$127</t>
  </si>
  <si>
    <t>$H$127</t>
  </si>
  <si>
    <t>$I$127</t>
  </si>
  <si>
    <t>$J$127</t>
  </si>
  <si>
    <t>$K$127</t>
  </si>
  <si>
    <t>$L$127</t>
  </si>
  <si>
    <t>$M$127</t>
  </si>
  <si>
    <t>$N$127</t>
  </si>
  <si>
    <t>$O$127</t>
  </si>
  <si>
    <t>$P$127</t>
  </si>
  <si>
    <t>$Q$127</t>
  </si>
  <si>
    <t>$R$127</t>
  </si>
  <si>
    <t>$G$128</t>
  </si>
  <si>
    <t>$H$128</t>
  </si>
  <si>
    <t>$I$128</t>
  </si>
  <si>
    <t>$J$128</t>
  </si>
  <si>
    <t>$K$128</t>
  </si>
  <si>
    <t>$L$128</t>
  </si>
  <si>
    <t>$M$128</t>
  </si>
  <si>
    <t>$N$128</t>
  </si>
  <si>
    <t>$O$128</t>
  </si>
  <si>
    <t>$P$128</t>
  </si>
  <si>
    <t>$Q$128</t>
  </si>
  <si>
    <t>$R$128</t>
  </si>
  <si>
    <t>$G$129</t>
  </si>
  <si>
    <t>$H$129</t>
  </si>
  <si>
    <t>$I$129</t>
  </si>
  <si>
    <t>$J$129</t>
  </si>
  <si>
    <t>$K$129</t>
  </si>
  <si>
    <t>$L$129</t>
  </si>
  <si>
    <t>$M$129</t>
  </si>
  <si>
    <t>$N$129</t>
  </si>
  <si>
    <t>$O$129</t>
  </si>
  <si>
    <t>$P$129</t>
  </si>
  <si>
    <t>$Q$129</t>
  </si>
  <si>
    <t>$R$129</t>
  </si>
  <si>
    <t>$G$130</t>
  </si>
  <si>
    <t>$H$130</t>
  </si>
  <si>
    <t>$I$130</t>
  </si>
  <si>
    <t>$J$130</t>
  </si>
  <si>
    <t>$K$130</t>
  </si>
  <si>
    <t>$L$130</t>
  </si>
  <si>
    <t>$M$130</t>
  </si>
  <si>
    <t>$N$130</t>
  </si>
  <si>
    <t>$O$130</t>
  </si>
  <si>
    <t>$P$130</t>
  </si>
  <si>
    <t>$Q$130</t>
  </si>
  <si>
    <t>$R$130</t>
  </si>
  <si>
    <t>$G$131</t>
  </si>
  <si>
    <t>$H$131</t>
  </si>
  <si>
    <t>$I$131</t>
  </si>
  <si>
    <t>$J$131</t>
  </si>
  <si>
    <t>$K$131</t>
  </si>
  <si>
    <t>$L$131</t>
  </si>
  <si>
    <t>$M$131</t>
  </si>
  <si>
    <t>$N$131</t>
  </si>
  <si>
    <t>$O$131</t>
  </si>
  <si>
    <t>$P$131</t>
  </si>
  <si>
    <t>$Q$131</t>
  </si>
  <si>
    <t>$R$131</t>
  </si>
  <si>
    <t>$G$132</t>
  </si>
  <si>
    <t>$H$132</t>
  </si>
  <si>
    <t>$I$132</t>
  </si>
  <si>
    <t>$J$132</t>
  </si>
  <si>
    <t>$K$132</t>
  </si>
  <si>
    <t>$L$132</t>
  </si>
  <si>
    <t>$M$132</t>
  </si>
  <si>
    <t>$N$132</t>
  </si>
  <si>
    <t>$O$132</t>
  </si>
  <si>
    <t>$P$132</t>
  </si>
  <si>
    <t>$Q$132</t>
  </si>
  <si>
    <t>$R$132</t>
  </si>
  <si>
    <t>$G$133</t>
  </si>
  <si>
    <t>$H$133</t>
  </si>
  <si>
    <t>$I$133</t>
  </si>
  <si>
    <t>$J$133</t>
  </si>
  <si>
    <t>$K$133</t>
  </si>
  <si>
    <t>$L$133</t>
  </si>
  <si>
    <t>$M$133</t>
  </si>
  <si>
    <t>$N$133</t>
  </si>
  <si>
    <t>$O$133</t>
  </si>
  <si>
    <t>$P$133</t>
  </si>
  <si>
    <t>$Q$133</t>
  </si>
  <si>
    <t>$R$133</t>
  </si>
  <si>
    <t>$G$134</t>
  </si>
  <si>
    <t>$H$134</t>
  </si>
  <si>
    <t>$I$134</t>
  </si>
  <si>
    <t>$J$134</t>
  </si>
  <si>
    <t>$K$134</t>
  </si>
  <si>
    <t>$L$134</t>
  </si>
  <si>
    <t>$M$134</t>
  </si>
  <si>
    <t>$N$134</t>
  </si>
  <si>
    <t>$O$134</t>
  </si>
  <si>
    <t>$P$134</t>
  </si>
  <si>
    <t>$Q$134</t>
  </si>
  <si>
    <t>$R$134</t>
  </si>
  <si>
    <t>$G$135</t>
  </si>
  <si>
    <t>$H$135</t>
  </si>
  <si>
    <t>$I$135</t>
  </si>
  <si>
    <t>$J$135</t>
  </si>
  <si>
    <t>$K$135</t>
  </si>
  <si>
    <t>$L$135</t>
  </si>
  <si>
    <t>$M$135</t>
  </si>
  <si>
    <t>$N$135</t>
  </si>
  <si>
    <t>$O$135</t>
  </si>
  <si>
    <t>$P$135</t>
  </si>
  <si>
    <t>$Q$135</t>
  </si>
  <si>
    <t>$R$135</t>
  </si>
  <si>
    <t>$G$136</t>
  </si>
  <si>
    <t>$H$136</t>
  </si>
  <si>
    <t>$I$136</t>
  </si>
  <si>
    <t>$J$136</t>
  </si>
  <si>
    <t>$K$136</t>
  </si>
  <si>
    <t>$L$136</t>
  </si>
  <si>
    <t>$M$136</t>
  </si>
  <si>
    <t>$N$136</t>
  </si>
  <si>
    <t>$O$136</t>
  </si>
  <si>
    <t>$P$136</t>
  </si>
  <si>
    <t>$Q$136</t>
  </si>
  <si>
    <t>$R$136</t>
  </si>
  <si>
    <t>$G$137</t>
  </si>
  <si>
    <t>$H$137</t>
  </si>
  <si>
    <t>$I$137</t>
  </si>
  <si>
    <t>$J$137</t>
  </si>
  <si>
    <t>$K$137</t>
  </si>
  <si>
    <t>$L$137</t>
  </si>
  <si>
    <t>$M$137</t>
  </si>
  <si>
    <t>$N$137</t>
  </si>
  <si>
    <t>$O$137</t>
  </si>
  <si>
    <t>$P$137</t>
  </si>
  <si>
    <t>$Q$137</t>
  </si>
  <si>
    <t>$R$137</t>
  </si>
  <si>
    <t>$G$138</t>
  </si>
  <si>
    <t>$H$138</t>
  </si>
  <si>
    <t>$I$138</t>
  </si>
  <si>
    <t>$J$138</t>
  </si>
  <si>
    <t>$K$138</t>
  </si>
  <si>
    <t>$L$138</t>
  </si>
  <si>
    <t>$M$138</t>
  </si>
  <si>
    <t>$N$138</t>
  </si>
  <si>
    <t>$O$138</t>
  </si>
  <si>
    <t>$P$138</t>
  </si>
  <si>
    <t>$Q$138</t>
  </si>
  <si>
    <t>$R$138</t>
  </si>
  <si>
    <t>$G$139</t>
  </si>
  <si>
    <t>$H$139</t>
  </si>
  <si>
    <t>$I$139</t>
  </si>
  <si>
    <t>$J$139</t>
  </si>
  <si>
    <t>$K$139</t>
  </si>
  <si>
    <t>$L$139</t>
  </si>
  <si>
    <t>$M$139</t>
  </si>
  <si>
    <t>$N$139</t>
  </si>
  <si>
    <t>$O$139</t>
  </si>
  <si>
    <t>$P$139</t>
  </si>
  <si>
    <t>$Q$139</t>
  </si>
  <si>
    <t>$R$139</t>
  </si>
  <si>
    <t>$G$140</t>
  </si>
  <si>
    <t>$H$140</t>
  </si>
  <si>
    <t>$I$140</t>
  </si>
  <si>
    <t>$J$140</t>
  </si>
  <si>
    <t>$K$140</t>
  </si>
  <si>
    <t>$L$140</t>
  </si>
  <si>
    <t>$M$140</t>
  </si>
  <si>
    <t>$N$140</t>
  </si>
  <si>
    <t>$O$140</t>
  </si>
  <si>
    <t>$P$140</t>
  </si>
  <si>
    <t>$Q$140</t>
  </si>
  <si>
    <t>$R$140</t>
  </si>
  <si>
    <t>$G$141</t>
  </si>
  <si>
    <t>$H$141</t>
  </si>
  <si>
    <t>$I$141</t>
  </si>
  <si>
    <t>$J$141</t>
  </si>
  <si>
    <t>$K$141</t>
  </si>
  <si>
    <t>$L$141</t>
  </si>
  <si>
    <t>$M$141</t>
  </si>
  <si>
    <t>$N$141</t>
  </si>
  <si>
    <t>$O$141</t>
  </si>
  <si>
    <t>$P$141</t>
  </si>
  <si>
    <t>$Q$141</t>
  </si>
  <si>
    <t>$R$141</t>
  </si>
  <si>
    <t>$G$142</t>
  </si>
  <si>
    <t>$H$142</t>
  </si>
  <si>
    <t>$I$142</t>
  </si>
  <si>
    <t>$J$142</t>
  </si>
  <si>
    <t>$K$142</t>
  </si>
  <si>
    <t>$L$142</t>
  </si>
  <si>
    <t>$M$142</t>
  </si>
  <si>
    <t>$N$142</t>
  </si>
  <si>
    <t>$O$142</t>
  </si>
  <si>
    <t>$P$142</t>
  </si>
  <si>
    <t>$Q$142</t>
  </si>
  <si>
    <t>$R$142</t>
  </si>
  <si>
    <t>$G$143</t>
  </si>
  <si>
    <t>$H$143</t>
  </si>
  <si>
    <t>$I$143</t>
  </si>
  <si>
    <t>$J$143</t>
  </si>
  <si>
    <t>$K$143</t>
  </si>
  <si>
    <t>$L$143</t>
  </si>
  <si>
    <t>$M$143</t>
  </si>
  <si>
    <t>$N$143</t>
  </si>
  <si>
    <t>$O$143</t>
  </si>
  <si>
    <t>$P$143</t>
  </si>
  <si>
    <t>$Q$143</t>
  </si>
  <si>
    <t>$R$143</t>
  </si>
  <si>
    <t>$G$144</t>
  </si>
  <si>
    <t>$H$144</t>
  </si>
  <si>
    <t>$I$144</t>
  </si>
  <si>
    <t>$J$144</t>
  </si>
  <si>
    <t>$K$144</t>
  </si>
  <si>
    <t>$L$144</t>
  </si>
  <si>
    <t>$M$144</t>
  </si>
  <si>
    <t>$N$144</t>
  </si>
  <si>
    <t>$O$144</t>
  </si>
  <si>
    <t>$P$144</t>
  </si>
  <si>
    <t>$Q$144</t>
  </si>
  <si>
    <t>$R$144</t>
  </si>
  <si>
    <t>$G$145</t>
  </si>
  <si>
    <t>$H$145</t>
  </si>
  <si>
    <t>$I$145</t>
  </si>
  <si>
    <t>$J$145</t>
  </si>
  <si>
    <t>$K$145</t>
  </si>
  <si>
    <t>$L$145</t>
  </si>
  <si>
    <t>$M$145</t>
  </si>
  <si>
    <t>$N$145</t>
  </si>
  <si>
    <t>$O$145</t>
  </si>
  <si>
    <t>$P$145</t>
  </si>
  <si>
    <t>$Q$145</t>
  </si>
  <si>
    <t>$R$145</t>
  </si>
  <si>
    <t>$G$146</t>
  </si>
  <si>
    <t>$H$146</t>
  </si>
  <si>
    <t>$I$146</t>
  </si>
  <si>
    <t>$J$146</t>
  </si>
  <si>
    <t>$K$146</t>
  </si>
  <si>
    <t>$L$146</t>
  </si>
  <si>
    <t>$M$146</t>
  </si>
  <si>
    <t>$N$146</t>
  </si>
  <si>
    <t>$O$146</t>
  </si>
  <si>
    <t>$P$146</t>
  </si>
  <si>
    <t>$Q$146</t>
  </si>
  <si>
    <t>$R$146</t>
  </si>
  <si>
    <t>$G$147</t>
  </si>
  <si>
    <t>$H$147</t>
  </si>
  <si>
    <t>$I$147</t>
  </si>
  <si>
    <t>$J$147</t>
  </si>
  <si>
    <t>$K$147</t>
  </si>
  <si>
    <t>$L$147</t>
  </si>
  <si>
    <t>$M$147</t>
  </si>
  <si>
    <t>$N$147</t>
  </si>
  <si>
    <t>$O$147</t>
  </si>
  <si>
    <t>$P$147</t>
  </si>
  <si>
    <t>$Q$147</t>
  </si>
  <si>
    <t>$R$147</t>
  </si>
  <si>
    <t>$G$148</t>
  </si>
  <si>
    <t>$H$148</t>
  </si>
  <si>
    <t>$I$148</t>
  </si>
  <si>
    <t>$J$148</t>
  </si>
  <si>
    <t>$K$148</t>
  </si>
  <si>
    <t>$L$148</t>
  </si>
  <si>
    <t>$M$148</t>
  </si>
  <si>
    <t>$N$148</t>
  </si>
  <si>
    <t>$O$148</t>
  </si>
  <si>
    <t>$P$148</t>
  </si>
  <si>
    <t>$Q$148</t>
  </si>
  <si>
    <t>$R$148</t>
  </si>
  <si>
    <t>$G$149</t>
  </si>
  <si>
    <t>$H$149</t>
  </si>
  <si>
    <t>$I$149</t>
  </si>
  <si>
    <t>$J$149</t>
  </si>
  <si>
    <t>$K$149</t>
  </si>
  <si>
    <t>$L$149</t>
  </si>
  <si>
    <t>$M$149</t>
  </si>
  <si>
    <t>$N$149</t>
  </si>
  <si>
    <t>$O$149</t>
  </si>
  <si>
    <t>$P$149</t>
  </si>
  <si>
    <t>$Q$149</t>
  </si>
  <si>
    <t>$R$149</t>
  </si>
  <si>
    <t>$G$150</t>
  </si>
  <si>
    <t>$H$150</t>
  </si>
  <si>
    <t>$I$150</t>
  </si>
  <si>
    <t>$J$150</t>
  </si>
  <si>
    <t>$K$150</t>
  </si>
  <si>
    <t>$L$150</t>
  </si>
  <si>
    <t>$M$150</t>
  </si>
  <si>
    <t>$N$150</t>
  </si>
  <si>
    <t>$O$150</t>
  </si>
  <si>
    <t>$P$150</t>
  </si>
  <si>
    <t>$Q$150</t>
  </si>
  <si>
    <t>$R$150</t>
  </si>
  <si>
    <t>$G$151</t>
  </si>
  <si>
    <t>$H$151</t>
  </si>
  <si>
    <t>$I$151</t>
  </si>
  <si>
    <t>$J$151</t>
  </si>
  <si>
    <t>$K$151</t>
  </si>
  <si>
    <t>$L$151</t>
  </si>
  <si>
    <t>$M$151</t>
  </si>
  <si>
    <t>$N$151</t>
  </si>
  <si>
    <t>$O$151</t>
  </si>
  <si>
    <t>$P$151</t>
  </si>
  <si>
    <t>$Q$151</t>
  </si>
  <si>
    <t>$R$151</t>
  </si>
  <si>
    <t>$G$152</t>
  </si>
  <si>
    <t>$H$152</t>
  </si>
  <si>
    <t>$I$152</t>
  </si>
  <si>
    <t>$J$152</t>
  </si>
  <si>
    <t>$K$152</t>
  </si>
  <si>
    <t>$L$152</t>
  </si>
  <si>
    <t>$M$152</t>
  </si>
  <si>
    <t>$N$152</t>
  </si>
  <si>
    <t>$O$152</t>
  </si>
  <si>
    <t>$P$152</t>
  </si>
  <si>
    <t>$Q$152</t>
  </si>
  <si>
    <t>$R$152</t>
  </si>
  <si>
    <t>$G$153</t>
  </si>
  <si>
    <t>$H$153</t>
  </si>
  <si>
    <t>$I$153</t>
  </si>
  <si>
    <t>$J$153</t>
  </si>
  <si>
    <t>$K$153</t>
  </si>
  <si>
    <t>$L$153</t>
  </si>
  <si>
    <t>$M$153</t>
  </si>
  <si>
    <t>$N$153</t>
  </si>
  <si>
    <t>$O$153</t>
  </si>
  <si>
    <t>$P$153</t>
  </si>
  <si>
    <t>$Q$153</t>
  </si>
  <si>
    <t>$R$153</t>
  </si>
  <si>
    <t>$G$154</t>
  </si>
  <si>
    <t>$H$154</t>
  </si>
  <si>
    <t>$I$154</t>
  </si>
  <si>
    <t>$J$154</t>
  </si>
  <si>
    <t>$K$154</t>
  </si>
  <si>
    <t>$L$154</t>
  </si>
  <si>
    <t>$M$154</t>
  </si>
  <si>
    <t>$N$154</t>
  </si>
  <si>
    <t>$O$154</t>
  </si>
  <si>
    <t>$P$154</t>
  </si>
  <si>
    <t>$Q$154</t>
  </si>
  <si>
    <t>$R$154</t>
  </si>
  <si>
    <t>$G$155</t>
  </si>
  <si>
    <t>$H$155</t>
  </si>
  <si>
    <t>$I$155</t>
  </si>
  <si>
    <t>$J$155</t>
  </si>
  <si>
    <t>$K$155</t>
  </si>
  <si>
    <t>$L$155</t>
  </si>
  <si>
    <t>$M$155</t>
  </si>
  <si>
    <t>$N$155</t>
  </si>
  <si>
    <t>$O$155</t>
  </si>
  <si>
    <t>$P$155</t>
  </si>
  <si>
    <t>$Q$155</t>
  </si>
  <si>
    <t>$R$155</t>
  </si>
  <si>
    <t>$G$156</t>
  </si>
  <si>
    <t>$H$156</t>
  </si>
  <si>
    <t>$I$156</t>
  </si>
  <si>
    <t>$J$156</t>
  </si>
  <si>
    <t>$K$156</t>
  </si>
  <si>
    <t>$L$156</t>
  </si>
  <si>
    <t>$M$156</t>
  </si>
  <si>
    <t>$N$156</t>
  </si>
  <si>
    <t>$O$156</t>
  </si>
  <si>
    <t>$P$156</t>
  </si>
  <si>
    <t>$Q$156</t>
  </si>
  <si>
    <t>$R$156</t>
  </si>
  <si>
    <t>$G$157</t>
  </si>
  <si>
    <t>$H$157</t>
  </si>
  <si>
    <t>$I$157</t>
  </si>
  <si>
    <t>$J$157</t>
  </si>
  <si>
    <t>$K$157</t>
  </si>
  <si>
    <t>$L$157</t>
  </si>
  <si>
    <t>$M$157</t>
  </si>
  <si>
    <t>$N$157</t>
  </si>
  <si>
    <t>$O$157</t>
  </si>
  <si>
    <t>$P$157</t>
  </si>
  <si>
    <t>$Q$157</t>
  </si>
  <si>
    <t>$R$157</t>
  </si>
  <si>
    <t>$G$158</t>
  </si>
  <si>
    <t>$H$158</t>
  </si>
  <si>
    <t>$I$158</t>
  </si>
  <si>
    <t>$J$158</t>
  </si>
  <si>
    <t>$K$158</t>
  </si>
  <si>
    <t>$L$158</t>
  </si>
  <si>
    <t>$M$158</t>
  </si>
  <si>
    <t>$N$158</t>
  </si>
  <si>
    <t>$O$158</t>
  </si>
  <si>
    <t>$P$158</t>
  </si>
  <si>
    <t>$Q$158</t>
  </si>
  <si>
    <t>$R$158</t>
  </si>
  <si>
    <t>$G$159</t>
  </si>
  <si>
    <t>$H$159</t>
  </si>
  <si>
    <t>$I$159</t>
  </si>
  <si>
    <t>$J$159</t>
  </si>
  <si>
    <t>$K$159</t>
  </si>
  <si>
    <t>$L$159</t>
  </si>
  <si>
    <t>$M$159</t>
  </si>
  <si>
    <t>$N$159</t>
  </si>
  <si>
    <t>$O$159</t>
  </si>
  <si>
    <t>$P$159</t>
  </si>
  <si>
    <t>$Q$159</t>
  </si>
  <si>
    <t>$R$159</t>
  </si>
  <si>
    <t>$G$160</t>
  </si>
  <si>
    <t>$H$160</t>
  </si>
  <si>
    <t>$I$160</t>
  </si>
  <si>
    <t>$J$160</t>
  </si>
  <si>
    <t>$K$160</t>
  </si>
  <si>
    <t>$L$160</t>
  </si>
  <si>
    <t>$M$160</t>
  </si>
  <si>
    <t>$N$160</t>
  </si>
  <si>
    <t>$O$160</t>
  </si>
  <si>
    <t>$P$160</t>
  </si>
  <si>
    <t>$Q$160</t>
  </si>
  <si>
    <t>$R$160</t>
  </si>
  <si>
    <t>$G$161</t>
  </si>
  <si>
    <t>$H$161</t>
  </si>
  <si>
    <t>$I$161</t>
  </si>
  <si>
    <t>$J$161</t>
  </si>
  <si>
    <t>$K$161</t>
  </si>
  <si>
    <t>$L$161</t>
  </si>
  <si>
    <t>$M$161</t>
  </si>
  <si>
    <t>$N$161</t>
  </si>
  <si>
    <t>$O$161</t>
  </si>
  <si>
    <t>$P$161</t>
  </si>
  <si>
    <t>$Q$161</t>
  </si>
  <si>
    <t>$R$161</t>
  </si>
  <si>
    <t>$G$162</t>
  </si>
  <si>
    <t>$H$162</t>
  </si>
  <si>
    <t>$I$162</t>
  </si>
  <si>
    <t>$J$162</t>
  </si>
  <si>
    <t>$K$162</t>
  </si>
  <si>
    <t>$L$162</t>
  </si>
  <si>
    <t>$M$162</t>
  </si>
  <si>
    <t>$N$162</t>
  </si>
  <si>
    <t>$O$162</t>
  </si>
  <si>
    <t>$P$162</t>
  </si>
  <si>
    <t>$Q$162</t>
  </si>
  <si>
    <t>$R$162</t>
  </si>
  <si>
    <t>$G$163</t>
  </si>
  <si>
    <t>$H$163</t>
  </si>
  <si>
    <t>$I$163</t>
  </si>
  <si>
    <t>$J$163</t>
  </si>
  <si>
    <t>$K$163</t>
  </si>
  <si>
    <t>$L$163</t>
  </si>
  <si>
    <t>$M$163</t>
  </si>
  <si>
    <t>$N$163</t>
  </si>
  <si>
    <t>$O$163</t>
  </si>
  <si>
    <t>$P$163</t>
  </si>
  <si>
    <t>$Q$163</t>
  </si>
  <si>
    <t>$R$163</t>
  </si>
  <si>
    <t>$G$164</t>
  </si>
  <si>
    <t>$H$164</t>
  </si>
  <si>
    <t>$I$164</t>
  </si>
  <si>
    <t>$J$164</t>
  </si>
  <si>
    <t>$K$164</t>
  </si>
  <si>
    <t>$L$164</t>
  </si>
  <si>
    <t>$M$164</t>
  </si>
  <si>
    <t>$N$164</t>
  </si>
  <si>
    <t>$O$164</t>
  </si>
  <si>
    <t>$P$164</t>
  </si>
  <si>
    <t>$Q$164</t>
  </si>
  <si>
    <t>$R$164</t>
  </si>
  <si>
    <t>$G$165</t>
  </si>
  <si>
    <t>$H$165</t>
  </si>
  <si>
    <t>$I$165</t>
  </si>
  <si>
    <t>$J$165</t>
  </si>
  <si>
    <t>$K$165</t>
  </si>
  <si>
    <t>$L$165</t>
  </si>
  <si>
    <t>$M$165</t>
  </si>
  <si>
    <t>$N$165</t>
  </si>
  <si>
    <t>$O$165</t>
  </si>
  <si>
    <t>$P$165</t>
  </si>
  <si>
    <t>$Q$165</t>
  </si>
  <si>
    <t>$R$165</t>
  </si>
  <si>
    <t>$G$166</t>
  </si>
  <si>
    <t>$H$166</t>
  </si>
  <si>
    <t>$I$166</t>
  </si>
  <si>
    <t>$J$166</t>
  </si>
  <si>
    <t>$K$166</t>
  </si>
  <si>
    <t>$L$166</t>
  </si>
  <si>
    <t>$M$166</t>
  </si>
  <si>
    <t>$N$166</t>
  </si>
  <si>
    <t>$O$166</t>
  </si>
  <si>
    <t>$P$166</t>
  </si>
  <si>
    <t>$Q$166</t>
  </si>
  <si>
    <t>$R$166</t>
  </si>
  <si>
    <t>$G$167</t>
  </si>
  <si>
    <t>$H$167</t>
  </si>
  <si>
    <t>$I$167</t>
  </si>
  <si>
    <t>$J$167</t>
  </si>
  <si>
    <t>$K$167</t>
  </si>
  <si>
    <t>$L$167</t>
  </si>
  <si>
    <t>$M$167</t>
  </si>
  <si>
    <t>$N$167</t>
  </si>
  <si>
    <t>$O$167</t>
  </si>
  <si>
    <t>$P$167</t>
  </si>
  <si>
    <t>$Q$167</t>
  </si>
  <si>
    <t>$R$167</t>
  </si>
  <si>
    <t>$G$168</t>
  </si>
  <si>
    <t>$H$168</t>
  </si>
  <si>
    <t>$I$168</t>
  </si>
  <si>
    <t>$J$168</t>
  </si>
  <si>
    <t>$K$168</t>
  </si>
  <si>
    <t>$L$168</t>
  </si>
  <si>
    <t>$M$168</t>
  </si>
  <si>
    <t>$N$168</t>
  </si>
  <si>
    <t>$O$168</t>
  </si>
  <si>
    <t>$P$168</t>
  </si>
  <si>
    <t>$Q$168</t>
  </si>
  <si>
    <t>$R$168</t>
  </si>
  <si>
    <t>$G$169</t>
  </si>
  <si>
    <t>$H$169</t>
  </si>
  <si>
    <t>$I$169</t>
  </si>
  <si>
    <t>$J$169</t>
  </si>
  <si>
    <t>$K$169</t>
  </si>
  <si>
    <t>$L$169</t>
  </si>
  <si>
    <t>$M$169</t>
  </si>
  <si>
    <t>$N$169</t>
  </si>
  <si>
    <t>$O$169</t>
  </si>
  <si>
    <t>$P$169</t>
  </si>
  <si>
    <t>$Q$169</t>
  </si>
  <si>
    <t>$R$169</t>
  </si>
  <si>
    <t>$G$170</t>
  </si>
  <si>
    <t>$H$170</t>
  </si>
  <si>
    <t>$I$170</t>
  </si>
  <si>
    <t>$J$170</t>
  </si>
  <si>
    <t>$K$170</t>
  </si>
  <si>
    <t>$L$170</t>
  </si>
  <si>
    <t>$M$170</t>
  </si>
  <si>
    <t>$N$170</t>
  </si>
  <si>
    <t>$O$170</t>
  </si>
  <si>
    <t>$P$170</t>
  </si>
  <si>
    <t>$Q$170</t>
  </si>
  <si>
    <t>$R$170</t>
  </si>
  <si>
    <t>$G$171</t>
  </si>
  <si>
    <t>$H$171</t>
  </si>
  <si>
    <t>$I$171</t>
  </si>
  <si>
    <t>$J$171</t>
  </si>
  <si>
    <t>$K$171</t>
  </si>
  <si>
    <t>$L$171</t>
  </si>
  <si>
    <t>$M$171</t>
  </si>
  <si>
    <t>$N$171</t>
  </si>
  <si>
    <t>$O$171</t>
  </si>
  <si>
    <t>$P$171</t>
  </si>
  <si>
    <t>$Q$171</t>
  </si>
  <si>
    <t>$R$171</t>
  </si>
  <si>
    <t>$G$172</t>
  </si>
  <si>
    <t>$H$172</t>
  </si>
  <si>
    <t>$I$172</t>
  </si>
  <si>
    <t>$J$172</t>
  </si>
  <si>
    <t>$K$172</t>
  </si>
  <si>
    <t>$L$172</t>
  </si>
  <si>
    <t>$M$172</t>
  </si>
  <si>
    <t>$N$172</t>
  </si>
  <si>
    <t>$O$172</t>
  </si>
  <si>
    <t>$P$172</t>
  </si>
  <si>
    <t>$Q$172</t>
  </si>
  <si>
    <t>$R$172</t>
  </si>
  <si>
    <t>$G$173</t>
  </si>
  <si>
    <t>$H$173</t>
  </si>
  <si>
    <t>$I$173</t>
  </si>
  <si>
    <t>$J$173</t>
  </si>
  <si>
    <t>$K$173</t>
  </si>
  <si>
    <t>$L$173</t>
  </si>
  <si>
    <t>$M$173</t>
  </si>
  <si>
    <t>$N$173</t>
  </si>
  <si>
    <t>$O$173</t>
  </si>
  <si>
    <t>$P$173</t>
  </si>
  <si>
    <t>$Q$173</t>
  </si>
  <si>
    <t>$R$173</t>
  </si>
  <si>
    <t>$G$174</t>
  </si>
  <si>
    <t>$H$174</t>
  </si>
  <si>
    <t>$I$174</t>
  </si>
  <si>
    <t>$J$174</t>
  </si>
  <si>
    <t>$K$174</t>
  </si>
  <si>
    <t>$L$174</t>
  </si>
  <si>
    <t>$M$174</t>
  </si>
  <si>
    <t>$N$174</t>
  </si>
  <si>
    <t>$O$174</t>
  </si>
  <si>
    <t>$P$174</t>
  </si>
  <si>
    <t>$Q$174</t>
  </si>
  <si>
    <t>$R$174</t>
  </si>
  <si>
    <t>$G$175</t>
  </si>
  <si>
    <t>$H$175</t>
  </si>
  <si>
    <t>$I$175</t>
  </si>
  <si>
    <t>$J$175</t>
  </si>
  <si>
    <t>$K$175</t>
  </si>
  <si>
    <t>$L$175</t>
  </si>
  <si>
    <t>$M$175</t>
  </si>
  <si>
    <t>$N$175</t>
  </si>
  <si>
    <t>$O$175</t>
  </si>
  <si>
    <t>$P$175</t>
  </si>
  <si>
    <t>$Q$175</t>
  </si>
  <si>
    <t>$R$175</t>
  </si>
  <si>
    <t>$G$176</t>
  </si>
  <si>
    <t>$H$176</t>
  </si>
  <si>
    <t>$I$176</t>
  </si>
  <si>
    <t>$J$176</t>
  </si>
  <si>
    <t>$K$176</t>
  </si>
  <si>
    <t>$L$176</t>
  </si>
  <si>
    <t>$M$176</t>
  </si>
  <si>
    <t>$N$176</t>
  </si>
  <si>
    <t>$O$176</t>
  </si>
  <si>
    <t>$P$176</t>
  </si>
  <si>
    <t>$Q$176</t>
  </si>
  <si>
    <t>$R$176</t>
  </si>
  <si>
    <t>$G$177</t>
  </si>
  <si>
    <t>$H$177</t>
  </si>
  <si>
    <t>$I$177</t>
  </si>
  <si>
    <t>$J$177</t>
  </si>
  <si>
    <t>$K$177</t>
  </si>
  <si>
    <t>$L$177</t>
  </si>
  <si>
    <t>$M$177</t>
  </si>
  <si>
    <t>$N$177</t>
  </si>
  <si>
    <t>$O$177</t>
  </si>
  <si>
    <t>$P$177</t>
  </si>
  <si>
    <t>$Q$177</t>
  </si>
  <si>
    <t>$R$177</t>
  </si>
  <si>
    <t>$G$178</t>
  </si>
  <si>
    <t>$H$178</t>
  </si>
  <si>
    <t>$I$178</t>
  </si>
  <si>
    <t>$J$178</t>
  </si>
  <si>
    <t>$K$178</t>
  </si>
  <si>
    <t>$L$178</t>
  </si>
  <si>
    <t>$M$178</t>
  </si>
  <si>
    <t>$N$178</t>
  </si>
  <si>
    <t>$O$178</t>
  </si>
  <si>
    <t>$P$178</t>
  </si>
  <si>
    <t>$Q$178</t>
  </si>
  <si>
    <t>$R$178</t>
  </si>
  <si>
    <t>$G$179</t>
  </si>
  <si>
    <t>$H$179</t>
  </si>
  <si>
    <t>$I$179</t>
  </si>
  <si>
    <t>$J$179</t>
  </si>
  <si>
    <t>$K$179</t>
  </si>
  <si>
    <t>$L$179</t>
  </si>
  <si>
    <t>$M$179</t>
  </si>
  <si>
    <t>$N$179</t>
  </si>
  <si>
    <t>$O$179</t>
  </si>
  <si>
    <t>$P$179</t>
  </si>
  <si>
    <t>$Q$179</t>
  </si>
  <si>
    <t>$R$179</t>
  </si>
  <si>
    <t>$G$180</t>
  </si>
  <si>
    <t>$H$180</t>
  </si>
  <si>
    <t>$I$180</t>
  </si>
  <si>
    <t>$J$180</t>
  </si>
  <si>
    <t>$K$180</t>
  </si>
  <si>
    <t>$L$180</t>
  </si>
  <si>
    <t>$M$180</t>
  </si>
  <si>
    <t>$N$180</t>
  </si>
  <si>
    <t>$O$180</t>
  </si>
  <si>
    <t>$P$180</t>
  </si>
  <si>
    <t>$Q$180</t>
  </si>
  <si>
    <t>$R$180</t>
  </si>
  <si>
    <t>$G$181</t>
  </si>
  <si>
    <t>$H$181</t>
  </si>
  <si>
    <t>$I$181</t>
  </si>
  <si>
    <t>$J$181</t>
  </si>
  <si>
    <t>$K$181</t>
  </si>
  <si>
    <t>$L$181</t>
  </si>
  <si>
    <t>$M$181</t>
  </si>
  <si>
    <t>$N$181</t>
  </si>
  <si>
    <t>$O$181</t>
  </si>
  <si>
    <t>$P$181</t>
  </si>
  <si>
    <t>$Q$181</t>
  </si>
  <si>
    <t>$R$181</t>
  </si>
  <si>
    <t>$G$182</t>
  </si>
  <si>
    <t>$H$182</t>
  </si>
  <si>
    <t>$I$182</t>
  </si>
  <si>
    <t>$J$182</t>
  </si>
  <si>
    <t>$K$182</t>
  </si>
  <si>
    <t>$L$182</t>
  </si>
  <si>
    <t>$M$182</t>
  </si>
  <si>
    <t>$N$182</t>
  </si>
  <si>
    <t>$O$182</t>
  </si>
  <si>
    <t>$P$182</t>
  </si>
  <si>
    <t>$Q$182</t>
  </si>
  <si>
    <t>$R$182</t>
  </si>
  <si>
    <t>$G$183</t>
  </si>
  <si>
    <t>$H$183</t>
  </si>
  <si>
    <t>$I$183</t>
  </si>
  <si>
    <t>$J$183</t>
  </si>
  <si>
    <t>$K$183</t>
  </si>
  <si>
    <t>$L$183</t>
  </si>
  <si>
    <t>$M$183</t>
  </si>
  <si>
    <t>$N$183</t>
  </si>
  <si>
    <t>$O$183</t>
  </si>
  <si>
    <t>$P$183</t>
  </si>
  <si>
    <t>$Q$183</t>
  </si>
  <si>
    <t>$R$183</t>
  </si>
  <si>
    <t>$G$184</t>
  </si>
  <si>
    <t>$H$184</t>
  </si>
  <si>
    <t>$I$184</t>
  </si>
  <si>
    <t>$J$184</t>
  </si>
  <si>
    <t>$K$184</t>
  </si>
  <si>
    <t>$L$184</t>
  </si>
  <si>
    <t>$M$184</t>
  </si>
  <si>
    <t>$N$184</t>
  </si>
  <si>
    <t>$O$184</t>
  </si>
  <si>
    <t>$P$184</t>
  </si>
  <si>
    <t>$Q$184</t>
  </si>
  <si>
    <t>$R$184</t>
  </si>
  <si>
    <t>$G$185</t>
  </si>
  <si>
    <t>$H$185</t>
  </si>
  <si>
    <t>$I$185</t>
  </si>
  <si>
    <t>$J$185</t>
  </si>
  <si>
    <t>$K$185</t>
  </si>
  <si>
    <t>$L$185</t>
  </si>
  <si>
    <t>$M$185</t>
  </si>
  <si>
    <t>$N$185</t>
  </si>
  <si>
    <t>$O$185</t>
  </si>
  <si>
    <t>$P$185</t>
  </si>
  <si>
    <t>$Q$185</t>
  </si>
  <si>
    <t>$R$185</t>
  </si>
  <si>
    <t>$G$186</t>
  </si>
  <si>
    <t>$H$186</t>
  </si>
  <si>
    <t>$I$186</t>
  </si>
  <si>
    <t>$J$186</t>
  </si>
  <si>
    <t>$K$186</t>
  </si>
  <si>
    <t>$L$186</t>
  </si>
  <si>
    <t>$M$186</t>
  </si>
  <si>
    <t>$N$186</t>
  </si>
  <si>
    <t>$O$186</t>
  </si>
  <si>
    <t>$P$186</t>
  </si>
  <si>
    <t>$Q$186</t>
  </si>
  <si>
    <t>$R$186</t>
  </si>
  <si>
    <t>$G$187</t>
  </si>
  <si>
    <t>$H$187</t>
  </si>
  <si>
    <t>$I$187</t>
  </si>
  <si>
    <t>$J$187</t>
  </si>
  <si>
    <t>$K$187</t>
  </si>
  <si>
    <t>$L$187</t>
  </si>
  <si>
    <t>$M$187</t>
  </si>
  <si>
    <t>$N$187</t>
  </si>
  <si>
    <t>$O$187</t>
  </si>
  <si>
    <t>$P$187</t>
  </si>
  <si>
    <t>$Q$187</t>
  </si>
  <si>
    <t>$R$187</t>
  </si>
  <si>
    <t>$G$188</t>
  </si>
  <si>
    <t>$H$188</t>
  </si>
  <si>
    <t>$I$188</t>
  </si>
  <si>
    <t>$J$188</t>
  </si>
  <si>
    <t>$K$188</t>
  </si>
  <si>
    <t>$L$188</t>
  </si>
  <si>
    <t>$M$188</t>
  </si>
  <si>
    <t>$N$188</t>
  </si>
  <si>
    <t>$O$188</t>
  </si>
  <si>
    <t>$P$188</t>
  </si>
  <si>
    <t>$Q$188</t>
  </si>
  <si>
    <t>$R$188</t>
  </si>
  <si>
    <t>$G$189</t>
  </si>
  <si>
    <t>$H$189</t>
  </si>
  <si>
    <t>$I$189</t>
  </si>
  <si>
    <t>$J$189</t>
  </si>
  <si>
    <t>$K$189</t>
  </si>
  <si>
    <t>$L$189</t>
  </si>
  <si>
    <t>$M$189</t>
  </si>
  <si>
    <t>$N$189</t>
  </si>
  <si>
    <t>$O$189</t>
  </si>
  <si>
    <t>$P$189</t>
  </si>
  <si>
    <t>$Q$189</t>
  </si>
  <si>
    <t>$R$189</t>
  </si>
  <si>
    <t>$G$190</t>
  </si>
  <si>
    <t>$H$190</t>
  </si>
  <si>
    <t>$I$190</t>
  </si>
  <si>
    <t>$J$190</t>
  </si>
  <si>
    <t>$K$190</t>
  </si>
  <si>
    <t>$L$190</t>
  </si>
  <si>
    <t>$M$190</t>
  </si>
  <si>
    <t>$N$190</t>
  </si>
  <si>
    <t>$O$190</t>
  </si>
  <si>
    <t>$P$190</t>
  </si>
  <si>
    <t>$Q$190</t>
  </si>
  <si>
    <t>$R$190</t>
  </si>
  <si>
    <t>$G$191</t>
  </si>
  <si>
    <t>$H$191</t>
  </si>
  <si>
    <t>$I$191</t>
  </si>
  <si>
    <t>$J$191</t>
  </si>
  <si>
    <t>$K$191</t>
  </si>
  <si>
    <t>$L$191</t>
  </si>
  <si>
    <t>$M$191</t>
  </si>
  <si>
    <t>$N$191</t>
  </si>
  <si>
    <t>$O$191</t>
  </si>
  <si>
    <t>$P$191</t>
  </si>
  <si>
    <t>$Q$191</t>
  </si>
  <si>
    <t>$R$191</t>
  </si>
  <si>
    <t>$G$192</t>
  </si>
  <si>
    <t>$H$192</t>
  </si>
  <si>
    <t>$I$192</t>
  </si>
  <si>
    <t>$J$192</t>
  </si>
  <si>
    <t>$K$192</t>
  </si>
  <si>
    <t>$L$192</t>
  </si>
  <si>
    <t>$M$192</t>
  </si>
  <si>
    <t>$N$192</t>
  </si>
  <si>
    <t>$O$192</t>
  </si>
  <si>
    <t>$P$192</t>
  </si>
  <si>
    <t>$Q$192</t>
  </si>
  <si>
    <t>$R$192</t>
  </si>
  <si>
    <t>$G$193</t>
  </si>
  <si>
    <t>$H$193</t>
  </si>
  <si>
    <t>$I$193</t>
  </si>
  <si>
    <t>$J$193</t>
  </si>
  <si>
    <t>$K$193</t>
  </si>
  <si>
    <t>$L$193</t>
  </si>
  <si>
    <t>$M$193</t>
  </si>
  <si>
    <t>$N$193</t>
  </si>
  <si>
    <t>$O$193</t>
  </si>
  <si>
    <t>$P$193</t>
  </si>
  <si>
    <t>$Q$193</t>
  </si>
  <si>
    <t>$R$193</t>
  </si>
  <si>
    <t>$G$194</t>
  </si>
  <si>
    <t>$H$194</t>
  </si>
  <si>
    <t>$I$194</t>
  </si>
  <si>
    <t>$J$194</t>
  </si>
  <si>
    <t>$K$194</t>
  </si>
  <si>
    <t>$L$194</t>
  </si>
  <si>
    <t>$M$194</t>
  </si>
  <si>
    <t>$N$194</t>
  </si>
  <si>
    <t>$O$194</t>
  </si>
  <si>
    <t>$P$194</t>
  </si>
  <si>
    <t>$Q$194</t>
  </si>
  <si>
    <t>$R$194</t>
  </si>
  <si>
    <t>$G$195</t>
  </si>
  <si>
    <t>$H$195</t>
  </si>
  <si>
    <t>$I$195</t>
  </si>
  <si>
    <t>$J$195</t>
  </si>
  <si>
    <t>$K$195</t>
  </si>
  <si>
    <t>$L$195</t>
  </si>
  <si>
    <t>$M$195</t>
  </si>
  <si>
    <t>$N$195</t>
  </si>
  <si>
    <t>$O$195</t>
  </si>
  <si>
    <t>$P$195</t>
  </si>
  <si>
    <t>$Q$195</t>
  </si>
  <si>
    <t>$R$195</t>
  </si>
  <si>
    <t>$G$196</t>
  </si>
  <si>
    <t>$H$196</t>
  </si>
  <si>
    <t>$I$196</t>
  </si>
  <si>
    <t>$J$196</t>
  </si>
  <si>
    <t>$K$196</t>
  </si>
  <si>
    <t>$L$196</t>
  </si>
  <si>
    <t>$M$196</t>
  </si>
  <si>
    <t>$N$196</t>
  </si>
  <si>
    <t>$O$196</t>
  </si>
  <si>
    <t>$P$196</t>
  </si>
  <si>
    <t>$Q$196</t>
  </si>
  <si>
    <t>$R$196</t>
  </si>
  <si>
    <t>$G$197</t>
  </si>
  <si>
    <t>$H$197</t>
  </si>
  <si>
    <t>$I$197</t>
  </si>
  <si>
    <t>$J$197</t>
  </si>
  <si>
    <t>$K$197</t>
  </si>
  <si>
    <t>$L$197</t>
  </si>
  <si>
    <t>$M$197</t>
  </si>
  <si>
    <t>$N$197</t>
  </si>
  <si>
    <t>$O$197</t>
  </si>
  <si>
    <t>$P$197</t>
  </si>
  <si>
    <t>$Q$197</t>
  </si>
  <si>
    <t>$R$197</t>
  </si>
  <si>
    <t>$G$198</t>
  </si>
  <si>
    <t>$H$198</t>
  </si>
  <si>
    <t>$I$198</t>
  </si>
  <si>
    <t>$J$198</t>
  </si>
  <si>
    <t>$K$198</t>
  </si>
  <si>
    <t>$L$198</t>
  </si>
  <si>
    <t>$M$198</t>
  </si>
  <si>
    <t>$N$198</t>
  </si>
  <si>
    <t>$O$198</t>
  </si>
  <si>
    <t>$P$198</t>
  </si>
  <si>
    <t>$Q$198</t>
  </si>
  <si>
    <t>$R$198</t>
  </si>
  <si>
    <t>$G$199</t>
  </si>
  <si>
    <t>$H$199</t>
  </si>
  <si>
    <t>$I$199</t>
  </si>
  <si>
    <t>$J$199</t>
  </si>
  <si>
    <t>$K$199</t>
  </si>
  <si>
    <t>$L$199</t>
  </si>
  <si>
    <t>$M$199</t>
  </si>
  <si>
    <t>$N$199</t>
  </si>
  <si>
    <t>$O$199</t>
  </si>
  <si>
    <t>$P$199</t>
  </si>
  <si>
    <t>$Q$199</t>
  </si>
  <si>
    <t>$R$199</t>
  </si>
  <si>
    <t>$G$200</t>
  </si>
  <si>
    <t>$H$200</t>
  </si>
  <si>
    <t>$I$200</t>
  </si>
  <si>
    <t>$J$200</t>
  </si>
  <si>
    <t>$K$200</t>
  </si>
  <si>
    <t>$L$200</t>
  </si>
  <si>
    <t>$M$200</t>
  </si>
  <si>
    <t>$N$200</t>
  </si>
  <si>
    <t>$O$200</t>
  </si>
  <si>
    <t>$P$200</t>
  </si>
  <si>
    <t>$Q$200</t>
  </si>
  <si>
    <t>$R$200</t>
  </si>
  <si>
    <t>$G$201</t>
  </si>
  <si>
    <t>$H$201</t>
  </si>
  <si>
    <t>$I$201</t>
  </si>
  <si>
    <t>$J$201</t>
  </si>
  <si>
    <t>$K$201</t>
  </si>
  <si>
    <t>$L$201</t>
  </si>
  <si>
    <t>$M$201</t>
  </si>
  <si>
    <t>$N$201</t>
  </si>
  <si>
    <t>$O$201</t>
  </si>
  <si>
    <t>$P$201</t>
  </si>
  <si>
    <t>$Q$201</t>
  </si>
  <si>
    <t>$R$201</t>
  </si>
  <si>
    <t>$G$202</t>
  </si>
  <si>
    <t>$H$202</t>
  </si>
  <si>
    <t>$I$202</t>
  </si>
  <si>
    <t>$J$202</t>
  </si>
  <si>
    <t>$K$202</t>
  </si>
  <si>
    <t>$L$202</t>
  </si>
  <si>
    <t>$M$202</t>
  </si>
  <si>
    <t>$N$202</t>
  </si>
  <si>
    <t>$O$202</t>
  </si>
  <si>
    <t>$P$202</t>
  </si>
  <si>
    <t>$Q$202</t>
  </si>
  <si>
    <t>$R$202</t>
  </si>
  <si>
    <t>$G$203</t>
  </si>
  <si>
    <t>$H$203</t>
  </si>
  <si>
    <t>$I$203</t>
  </si>
  <si>
    <t>$J$203</t>
  </si>
  <si>
    <t>$K$203</t>
  </si>
  <si>
    <t>$L$203</t>
  </si>
  <si>
    <t>$M$203</t>
  </si>
  <si>
    <t>$N$203</t>
  </si>
  <si>
    <t>$O$203</t>
  </si>
  <si>
    <t>$P$203</t>
  </si>
  <si>
    <t>$Q$203</t>
  </si>
  <si>
    <t>$R$203</t>
  </si>
  <si>
    <t>$G$204</t>
  </si>
  <si>
    <t>$H$204</t>
  </si>
  <si>
    <t>$I$204</t>
  </si>
  <si>
    <t>$J$204</t>
  </si>
  <si>
    <t>$K$204</t>
  </si>
  <si>
    <t>$L$204</t>
  </si>
  <si>
    <t>$M$204</t>
  </si>
  <si>
    <t>$N$204</t>
  </si>
  <si>
    <t>$O$204</t>
  </si>
  <si>
    <t>$P$204</t>
  </si>
  <si>
    <t>$Q$204</t>
  </si>
  <si>
    <t>$R$204</t>
  </si>
  <si>
    <t>$G$205</t>
  </si>
  <si>
    <t>$H$205</t>
  </si>
  <si>
    <t>$I$205</t>
  </si>
  <si>
    <t>$J$205</t>
  </si>
  <si>
    <t>$K$205</t>
  </si>
  <si>
    <t>$L$205</t>
  </si>
  <si>
    <t>$M$205</t>
  </si>
  <si>
    <t>$N$205</t>
  </si>
  <si>
    <t>$O$205</t>
  </si>
  <si>
    <t>$P$205</t>
  </si>
  <si>
    <t>$Q$205</t>
  </si>
  <si>
    <t>$R$205</t>
  </si>
  <si>
    <t>$G$206</t>
  </si>
  <si>
    <t>$H$206</t>
  </si>
  <si>
    <t>$I$206</t>
  </si>
  <si>
    <t>$J$206</t>
  </si>
  <si>
    <t>$K$206</t>
  </si>
  <si>
    <t>$L$206</t>
  </si>
  <si>
    <t>$M$206</t>
  </si>
  <si>
    <t>$N$206</t>
  </si>
  <si>
    <t>$O$206</t>
  </si>
  <si>
    <t>$P$206</t>
  </si>
  <si>
    <t>$Q$206</t>
  </si>
  <si>
    <t>$R$206</t>
  </si>
  <si>
    <t>$G$207</t>
  </si>
  <si>
    <t>$H$207</t>
  </si>
  <si>
    <t>$I$207</t>
  </si>
  <si>
    <t>$J$207</t>
  </si>
  <si>
    <t>$K$207</t>
  </si>
  <si>
    <t>$L$207</t>
  </si>
  <si>
    <t>$M$207</t>
  </si>
  <si>
    <t>$N$207</t>
  </si>
  <si>
    <t>$O$207</t>
  </si>
  <si>
    <t>$P$207</t>
  </si>
  <si>
    <t>$Q$207</t>
  </si>
  <si>
    <t>$R$207</t>
  </si>
  <si>
    <t>$G$208</t>
  </si>
  <si>
    <t>$H$208</t>
  </si>
  <si>
    <t>$I$208</t>
  </si>
  <si>
    <t>$J$208</t>
  </si>
  <si>
    <t>$K$208</t>
  </si>
  <si>
    <t>$L$208</t>
  </si>
  <si>
    <t>$M$208</t>
  </si>
  <si>
    <t>$N$208</t>
  </si>
  <si>
    <t>$O$208</t>
  </si>
  <si>
    <t>$P$208</t>
  </si>
  <si>
    <t>$Q$208</t>
  </si>
  <si>
    <t>$R$208</t>
  </si>
  <si>
    <t>$G$209</t>
  </si>
  <si>
    <t>$H$209</t>
  </si>
  <si>
    <t>$I$209</t>
  </si>
  <si>
    <t>$J$209</t>
  </si>
  <si>
    <t>$K$209</t>
  </si>
  <si>
    <t>$L$209</t>
  </si>
  <si>
    <t>$M$209</t>
  </si>
  <si>
    <t>$N$209</t>
  </si>
  <si>
    <t>$O$209</t>
  </si>
  <si>
    <t>$P$209</t>
  </si>
  <si>
    <t>$Q$209</t>
  </si>
  <si>
    <t>$R$209</t>
  </si>
  <si>
    <t>$G$210</t>
  </si>
  <si>
    <t>$H$210</t>
  </si>
  <si>
    <t>$I$210</t>
  </si>
  <si>
    <t>$J$210</t>
  </si>
  <si>
    <t>$K$210</t>
  </si>
  <si>
    <t>$L$210</t>
  </si>
  <si>
    <t>$M$210</t>
  </si>
  <si>
    <t>$N$210</t>
  </si>
  <si>
    <t>$O$210</t>
  </si>
  <si>
    <t>$P$210</t>
  </si>
  <si>
    <t>$Q$210</t>
  </si>
  <si>
    <t>$R$210</t>
  </si>
  <si>
    <t>$G$211</t>
  </si>
  <si>
    <t>$H$211</t>
  </si>
  <si>
    <t>$I$211</t>
  </si>
  <si>
    <t>$J$211</t>
  </si>
  <si>
    <t>$K$211</t>
  </si>
  <si>
    <t>$L$211</t>
  </si>
  <si>
    <t>$M$211</t>
  </si>
  <si>
    <t>$N$211</t>
  </si>
  <si>
    <t>$O$211</t>
  </si>
  <si>
    <t>$P$211</t>
  </si>
  <si>
    <t>$Q$211</t>
  </si>
  <si>
    <t>$R$211</t>
  </si>
  <si>
    <t>$G$212</t>
  </si>
  <si>
    <t>$H$212</t>
  </si>
  <si>
    <t>$I$212</t>
  </si>
  <si>
    <t>$J$212</t>
  </si>
  <si>
    <t>$K$212</t>
  </si>
  <si>
    <t>$L$212</t>
  </si>
  <si>
    <t>$M$212</t>
  </si>
  <si>
    <t>$N$212</t>
  </si>
  <si>
    <t>$O$212</t>
  </si>
  <si>
    <t>$P$212</t>
  </si>
  <si>
    <t>$Q$212</t>
  </si>
  <si>
    <t>$R$212</t>
  </si>
  <si>
    <t>$G$213</t>
  </si>
  <si>
    <t>$H$213</t>
  </si>
  <si>
    <t>$I$213</t>
  </si>
  <si>
    <t>$J$213</t>
  </si>
  <si>
    <t>$K$213</t>
  </si>
  <si>
    <t>$L$213</t>
  </si>
  <si>
    <t>$M$213</t>
  </si>
  <si>
    <t>$N$213</t>
  </si>
  <si>
    <t>$O$213</t>
  </si>
  <si>
    <t>$P$213</t>
  </si>
  <si>
    <t>$Q$213</t>
  </si>
  <si>
    <t>$R$213</t>
  </si>
  <si>
    <t>$G$214</t>
  </si>
  <si>
    <t>$H$214</t>
  </si>
  <si>
    <t>$I$214</t>
  </si>
  <si>
    <t>$J$214</t>
  </si>
  <si>
    <t>$K$214</t>
  </si>
  <si>
    <t>$L$214</t>
  </si>
  <si>
    <t>$M$214</t>
  </si>
  <si>
    <t>$N$214</t>
  </si>
  <si>
    <t>$O$214</t>
  </si>
  <si>
    <t>$P$214</t>
  </si>
  <si>
    <t>$Q$214</t>
  </si>
  <si>
    <t>$R$214</t>
  </si>
  <si>
    <t>$G$215</t>
  </si>
  <si>
    <t>$H$215</t>
  </si>
  <si>
    <t>$I$215</t>
  </si>
  <si>
    <t>$J$215</t>
  </si>
  <si>
    <t>$K$215</t>
  </si>
  <si>
    <t>$L$215</t>
  </si>
  <si>
    <t>$M$215</t>
  </si>
  <si>
    <t>$N$215</t>
  </si>
  <si>
    <t>$O$215</t>
  </si>
  <si>
    <t>$P$215</t>
  </si>
  <si>
    <t>$Q$215</t>
  </si>
  <si>
    <t>$R$215</t>
  </si>
  <si>
    <t>$G$216</t>
  </si>
  <si>
    <t>$H$216</t>
  </si>
  <si>
    <t>$I$216</t>
  </si>
  <si>
    <t>$J$216</t>
  </si>
  <si>
    <t>$K$216</t>
  </si>
  <si>
    <t>$L$216</t>
  </si>
  <si>
    <t>$M$216</t>
  </si>
  <si>
    <t>$N$216</t>
  </si>
  <si>
    <t>$O$216</t>
  </si>
  <si>
    <t>$P$216</t>
  </si>
  <si>
    <t>$Q$216</t>
  </si>
  <si>
    <t>$R$216</t>
  </si>
  <si>
    <t>$G$217</t>
  </si>
  <si>
    <t>$H$217</t>
  </si>
  <si>
    <t>$I$217</t>
  </si>
  <si>
    <t>$J$217</t>
  </si>
  <si>
    <t>$K$217</t>
  </si>
  <si>
    <t>$L$217</t>
  </si>
  <si>
    <t>$M$217</t>
  </si>
  <si>
    <t>$N$217</t>
  </si>
  <si>
    <t>$O$217</t>
  </si>
  <si>
    <t>$P$217</t>
  </si>
  <si>
    <t>$Q$217</t>
  </si>
  <si>
    <t>$R$217</t>
  </si>
  <si>
    <t>$G$218</t>
  </si>
  <si>
    <t>$H$218</t>
  </si>
  <si>
    <t>$I$218</t>
  </si>
  <si>
    <t>$J$218</t>
  </si>
  <si>
    <t>$K$218</t>
  </si>
  <si>
    <t>$L$218</t>
  </si>
  <si>
    <t>$M$218</t>
  </si>
  <si>
    <t>$N$218</t>
  </si>
  <si>
    <t>$O$218</t>
  </si>
  <si>
    <t>$P$218</t>
  </si>
  <si>
    <t>$Q$218</t>
  </si>
  <si>
    <t>$R$218</t>
  </si>
  <si>
    <t>$G$219</t>
  </si>
  <si>
    <t>$H$219</t>
  </si>
  <si>
    <t>$I$219</t>
  </si>
  <si>
    <t>$J$219</t>
  </si>
  <si>
    <t>$K$219</t>
  </si>
  <si>
    <t>$L$219</t>
  </si>
  <si>
    <t>$M$219</t>
  </si>
  <si>
    <t>$N$219</t>
  </si>
  <si>
    <t>$O$219</t>
  </si>
  <si>
    <t>$P$219</t>
  </si>
  <si>
    <t>$Q$219</t>
  </si>
  <si>
    <t>$R$219</t>
  </si>
  <si>
    <t>$G$220</t>
  </si>
  <si>
    <t>$H$220</t>
  </si>
  <si>
    <t>$I$220</t>
  </si>
  <si>
    <t>$J$220</t>
  </si>
  <si>
    <t>$K$220</t>
  </si>
  <si>
    <t>$L$220</t>
  </si>
  <si>
    <t>$M$220</t>
  </si>
  <si>
    <t>$N$220</t>
  </si>
  <si>
    <t>$O$220</t>
  </si>
  <si>
    <t>$P$220</t>
  </si>
  <si>
    <t>$Q$220</t>
  </si>
  <si>
    <t>$R$220</t>
  </si>
  <si>
    <t>$G$221</t>
  </si>
  <si>
    <t>$H$221</t>
  </si>
  <si>
    <t>$I$221</t>
  </si>
  <si>
    <t>$J$221</t>
  </si>
  <si>
    <t>$K$221</t>
  </si>
  <si>
    <t>$L$221</t>
  </si>
  <si>
    <t>$M$221</t>
  </si>
  <si>
    <t>$N$221</t>
  </si>
  <si>
    <t>$O$221</t>
  </si>
  <si>
    <t>$P$221</t>
  </si>
  <si>
    <t>$Q$221</t>
  </si>
  <si>
    <t>$R$221</t>
  </si>
  <si>
    <t>$G$222</t>
  </si>
  <si>
    <t>$H$222</t>
  </si>
  <si>
    <t>$I$222</t>
  </si>
  <si>
    <t>$J$222</t>
  </si>
  <si>
    <t>$K$222</t>
  </si>
  <si>
    <t>$L$222</t>
  </si>
  <si>
    <t>$M$222</t>
  </si>
  <si>
    <t>$N$222</t>
  </si>
  <si>
    <t>$O$222</t>
  </si>
  <si>
    <t>$P$222</t>
  </si>
  <si>
    <t>$Q$222</t>
  </si>
  <si>
    <t>$R$222</t>
  </si>
  <si>
    <t>$G$223</t>
  </si>
  <si>
    <t>$H$223</t>
  </si>
  <si>
    <t>$I$223</t>
  </si>
  <si>
    <t>$J$223</t>
  </si>
  <si>
    <t>$K$223</t>
  </si>
  <si>
    <t>$L$223</t>
  </si>
  <si>
    <t>$M$223</t>
  </si>
  <si>
    <t>$N$223</t>
  </si>
  <si>
    <t>$O$223</t>
  </si>
  <si>
    <t>$P$223</t>
  </si>
  <si>
    <t>$Q$223</t>
  </si>
  <si>
    <t>$R$223</t>
  </si>
  <si>
    <t>$G$224</t>
  </si>
  <si>
    <t>$H$224</t>
  </si>
  <si>
    <t>$I$224</t>
  </si>
  <si>
    <t>$J$224</t>
  </si>
  <si>
    <t>$K$224</t>
  </si>
  <si>
    <t>$L$224</t>
  </si>
  <si>
    <t>$M$224</t>
  </si>
  <si>
    <t>$N$224</t>
  </si>
  <si>
    <t>$O$224</t>
  </si>
  <si>
    <t>$P$224</t>
  </si>
  <si>
    <t>$Q$224</t>
  </si>
  <si>
    <t>$R$224</t>
  </si>
  <si>
    <t>$G$225</t>
  </si>
  <si>
    <t>$H$225</t>
  </si>
  <si>
    <t>$I$225</t>
  </si>
  <si>
    <t>$J$225</t>
  </si>
  <si>
    <t>$K$225</t>
  </si>
  <si>
    <t>$L$225</t>
  </si>
  <si>
    <t>$M$225</t>
  </si>
  <si>
    <t>$N$225</t>
  </si>
  <si>
    <t>$O$225</t>
  </si>
  <si>
    <t>$P$225</t>
  </si>
  <si>
    <t>$Q$225</t>
  </si>
  <si>
    <t>$R$225</t>
  </si>
  <si>
    <t>$G$226</t>
  </si>
  <si>
    <t>$H$226</t>
  </si>
  <si>
    <t>$I$226</t>
  </si>
  <si>
    <t>$J$226</t>
  </si>
  <si>
    <t>$K$226</t>
  </si>
  <si>
    <t>$L$226</t>
  </si>
  <si>
    <t>$M$226</t>
  </si>
  <si>
    <t>$N$226</t>
  </si>
  <si>
    <t>$O$226</t>
  </si>
  <si>
    <t>$P$226</t>
  </si>
  <si>
    <t>$Q$226</t>
  </si>
  <si>
    <t>$R$226</t>
  </si>
  <si>
    <t>$G$227</t>
  </si>
  <si>
    <t>$H$227</t>
  </si>
  <si>
    <t>$I$227</t>
  </si>
  <si>
    <t>$J$227</t>
  </si>
  <si>
    <t>$K$227</t>
  </si>
  <si>
    <t>$L$227</t>
  </si>
  <si>
    <t>$M$227</t>
  </si>
  <si>
    <t>$N$227</t>
  </si>
  <si>
    <t>$O$227</t>
  </si>
  <si>
    <t>$P$227</t>
  </si>
  <si>
    <t>$Q$227</t>
  </si>
  <si>
    <t>$R$227</t>
  </si>
  <si>
    <t>$G$228</t>
  </si>
  <si>
    <t>$H$228</t>
  </si>
  <si>
    <t>$I$228</t>
  </si>
  <si>
    <t>$J$228</t>
  </si>
  <si>
    <t>$K$228</t>
  </si>
  <si>
    <t>$L$228</t>
  </si>
  <si>
    <t>$M$228</t>
  </si>
  <si>
    <t>$N$228</t>
  </si>
  <si>
    <t>$O$228</t>
  </si>
  <si>
    <t>$P$228</t>
  </si>
  <si>
    <t>$Q$228</t>
  </si>
  <si>
    <t>$R$228</t>
  </si>
  <si>
    <t>$G$229</t>
  </si>
  <si>
    <t>$H$229</t>
  </si>
  <si>
    <t>$I$229</t>
  </si>
  <si>
    <t>$J$229</t>
  </si>
  <si>
    <t>$K$229</t>
  </si>
  <si>
    <t>$L$229</t>
  </si>
  <si>
    <t>$M$229</t>
  </si>
  <si>
    <t>$N$229</t>
  </si>
  <si>
    <t>$O$229</t>
  </si>
  <si>
    <t>$P$229</t>
  </si>
  <si>
    <t>$Q$229</t>
  </si>
  <si>
    <t>$R$229</t>
  </si>
  <si>
    <t>$G$230</t>
  </si>
  <si>
    <t>$H$230</t>
  </si>
  <si>
    <t>$I$230</t>
  </si>
  <si>
    <t>$J$230</t>
  </si>
  <si>
    <t>$K$230</t>
  </si>
  <si>
    <t>$L$230</t>
  </si>
  <si>
    <t>$M$230</t>
  </si>
  <si>
    <t>$N$230</t>
  </si>
  <si>
    <t>$O$230</t>
  </si>
  <si>
    <t>$P$230</t>
  </si>
  <si>
    <t>$Q$230</t>
  </si>
  <si>
    <t>$R$230</t>
  </si>
  <si>
    <t>$G$231</t>
  </si>
  <si>
    <t>$H$231</t>
  </si>
  <si>
    <t>$I$231</t>
  </si>
  <si>
    <t>$J$231</t>
  </si>
  <si>
    <t>$K$231</t>
  </si>
  <si>
    <t>$L$231</t>
  </si>
  <si>
    <t>$M$231</t>
  </si>
  <si>
    <t>$N$231</t>
  </si>
  <si>
    <t>$O$231</t>
  </si>
  <si>
    <t>$P$231</t>
  </si>
  <si>
    <t>$Q$231</t>
  </si>
  <si>
    <t>$R$231</t>
  </si>
  <si>
    <t>$G$232</t>
  </si>
  <si>
    <t>$H$232</t>
  </si>
  <si>
    <t>$I$232</t>
  </si>
  <si>
    <t>$J$232</t>
  </si>
  <si>
    <t>$K$232</t>
  </si>
  <si>
    <t>$L$232</t>
  </si>
  <si>
    <t>$M$232</t>
  </si>
  <si>
    <t>$N$232</t>
  </si>
  <si>
    <t>$O$232</t>
  </si>
  <si>
    <t>$P$232</t>
  </si>
  <si>
    <t>$Q$232</t>
  </si>
  <si>
    <t>$R$232</t>
  </si>
  <si>
    <t>$G$233</t>
  </si>
  <si>
    <t>$H$233</t>
  </si>
  <si>
    <t>$I$233</t>
  </si>
  <si>
    <t>$J$233</t>
  </si>
  <si>
    <t>$K$233</t>
  </si>
  <si>
    <t>$L$233</t>
  </si>
  <si>
    <t>$M$233</t>
  </si>
  <si>
    <t>$N$233</t>
  </si>
  <si>
    <t>$O$233</t>
  </si>
  <si>
    <t>$P$233</t>
  </si>
  <si>
    <t>$Q$233</t>
  </si>
  <si>
    <t>$R$233</t>
  </si>
  <si>
    <t>$G$234</t>
  </si>
  <si>
    <t>$H$234</t>
  </si>
  <si>
    <t>$I$234</t>
  </si>
  <si>
    <t>$J$234</t>
  </si>
  <si>
    <t>$K$234</t>
  </si>
  <si>
    <t>$L$234</t>
  </si>
  <si>
    <t>$M$234</t>
  </si>
  <si>
    <t>$N$234</t>
  </si>
  <si>
    <t>$O$234</t>
  </si>
  <si>
    <t>$P$234</t>
  </si>
  <si>
    <t>$Q$234</t>
  </si>
  <si>
    <t>$R$234</t>
  </si>
  <si>
    <t>$G$235</t>
  </si>
  <si>
    <t>$H$235</t>
  </si>
  <si>
    <t>$I$235</t>
  </si>
  <si>
    <t>$J$235</t>
  </si>
  <si>
    <t>$K$235</t>
  </si>
  <si>
    <t>$L$235</t>
  </si>
  <si>
    <t>$M$235</t>
  </si>
  <si>
    <t>$N$235</t>
  </si>
  <si>
    <t>$O$235</t>
  </si>
  <si>
    <t>$P$235</t>
  </si>
  <si>
    <t>$Q$235</t>
  </si>
  <si>
    <t>$R$235</t>
  </si>
  <si>
    <t>$G$236</t>
  </si>
  <si>
    <t>$H$236</t>
  </si>
  <si>
    <t>$I$236</t>
  </si>
  <si>
    <t>$J$236</t>
  </si>
  <si>
    <t>$K$236</t>
  </si>
  <si>
    <t>$L$236</t>
  </si>
  <si>
    <t>$M$236</t>
  </si>
  <si>
    <t>$N$236</t>
  </si>
  <si>
    <t>$O$236</t>
  </si>
  <si>
    <t>$P$236</t>
  </si>
  <si>
    <t>$Q$236</t>
  </si>
  <si>
    <t>$R$236</t>
  </si>
  <si>
    <t>$G$317</t>
  </si>
  <si>
    <t>$H$317</t>
  </si>
  <si>
    <t>$I$317</t>
  </si>
  <si>
    <t>$J$317</t>
  </si>
  <si>
    <t>$K$317</t>
  </si>
  <si>
    <t>$L$317</t>
  </si>
  <si>
    <t>$M$317</t>
  </si>
  <si>
    <t>$N$317</t>
  </si>
  <si>
    <t>$O$317</t>
  </si>
  <si>
    <t>$P$317</t>
  </si>
  <si>
    <t>$Q$317</t>
  </si>
  <si>
    <t>$R$317</t>
  </si>
  <si>
    <t>$G$318</t>
  </si>
  <si>
    <t>$H$318</t>
  </si>
  <si>
    <t>$I$318</t>
  </si>
  <si>
    <t>$J$318</t>
  </si>
  <si>
    <t>$K$318</t>
  </si>
  <si>
    <t>$L$318</t>
  </si>
  <si>
    <t>$M$318</t>
  </si>
  <si>
    <t>$N$318</t>
  </si>
  <si>
    <t>$O$318</t>
  </si>
  <si>
    <t>$P$318</t>
  </si>
  <si>
    <t>$Q$318</t>
  </si>
  <si>
    <t>$R$318</t>
  </si>
  <si>
    <t>$G$319</t>
  </si>
  <si>
    <t>$H$319</t>
  </si>
  <si>
    <t>$I$319</t>
  </si>
  <si>
    <t>$J$319</t>
  </si>
  <si>
    <t>$K$319</t>
  </si>
  <si>
    <t>$L$319</t>
  </si>
  <si>
    <t>$M$319</t>
  </si>
  <si>
    <t>$N$319</t>
  </si>
  <si>
    <t>$O$319</t>
  </si>
  <si>
    <t>$P$319</t>
  </si>
  <si>
    <t>$Q$319</t>
  </si>
  <si>
    <t>$R$319</t>
  </si>
  <si>
    <t>$G$320</t>
  </si>
  <si>
    <t>$H$320</t>
  </si>
  <si>
    <t>$I$320</t>
  </si>
  <si>
    <t>$J$320</t>
  </si>
  <si>
    <t>$K$320</t>
  </si>
  <si>
    <t>$L$320</t>
  </si>
  <si>
    <t>$M$320</t>
  </si>
  <si>
    <t>$N$320</t>
  </si>
  <si>
    <t>$O$320</t>
  </si>
  <si>
    <t>$P$320</t>
  </si>
  <si>
    <t>$Q$320</t>
  </si>
  <si>
    <t>$R$320</t>
  </si>
  <si>
    <t>$G$321</t>
  </si>
  <si>
    <t>$H$321</t>
  </si>
  <si>
    <t>$I$321</t>
  </si>
  <si>
    <t>$J$321</t>
  </si>
  <si>
    <t>$K$321</t>
  </si>
  <si>
    <t>$L$321</t>
  </si>
  <si>
    <t>$M$321</t>
  </si>
  <si>
    <t>$N$321</t>
  </si>
  <si>
    <t>$O$321</t>
  </si>
  <si>
    <t>$P$321</t>
  </si>
  <si>
    <t>$Q$321</t>
  </si>
  <si>
    <t>$R$321</t>
  </si>
  <si>
    <t>$G$322</t>
  </si>
  <si>
    <t>$H$322</t>
  </si>
  <si>
    <t>$I$322</t>
  </si>
  <si>
    <t>$J$322</t>
  </si>
  <si>
    <t>$K$322</t>
  </si>
  <si>
    <t>$L$322</t>
  </si>
  <si>
    <t>$M$322</t>
  </si>
  <si>
    <t>$N$322</t>
  </si>
  <si>
    <t>$O$322</t>
  </si>
  <si>
    <t>$P$322</t>
  </si>
  <si>
    <t>$Q$322</t>
  </si>
  <si>
    <t>$R$322</t>
  </si>
  <si>
    <t>$G$323</t>
  </si>
  <si>
    <t>$H$323</t>
  </si>
  <si>
    <t>$I$323</t>
  </si>
  <si>
    <t>$J$323</t>
  </si>
  <si>
    <t>$K$323</t>
  </si>
  <si>
    <t>$L$323</t>
  </si>
  <si>
    <t>$M$323</t>
  </si>
  <si>
    <t>$N$323</t>
  </si>
  <si>
    <t>$O$323</t>
  </si>
  <si>
    <t>$P$323</t>
  </si>
  <si>
    <t>$Q$323</t>
  </si>
  <si>
    <t>$R$323</t>
  </si>
  <si>
    <t>$G$324</t>
  </si>
  <si>
    <t>$H$324</t>
  </si>
  <si>
    <t>$I$324</t>
  </si>
  <si>
    <t>$J$324</t>
  </si>
  <si>
    <t>$K$324</t>
  </si>
  <si>
    <t>$L$324</t>
  </si>
  <si>
    <t>$M$324</t>
  </si>
  <si>
    <t>$N$324</t>
  </si>
  <si>
    <t>$O$324</t>
  </si>
  <si>
    <t>$P$324</t>
  </si>
  <si>
    <t>$Q$324</t>
  </si>
  <si>
    <t>$R$324</t>
  </si>
  <si>
    <t>$G$325</t>
  </si>
  <si>
    <t>$H$325</t>
  </si>
  <si>
    <t>$I$325</t>
  </si>
  <si>
    <t>$J$325</t>
  </si>
  <si>
    <t>$K$325</t>
  </si>
  <si>
    <t>$L$325</t>
  </si>
  <si>
    <t>$M$325</t>
  </si>
  <si>
    <t>$N$325</t>
  </si>
  <si>
    <t>$O$325</t>
  </si>
  <si>
    <t>$P$325</t>
  </si>
  <si>
    <t>$Q$325</t>
  </si>
  <si>
    <t>$R$325</t>
  </si>
  <si>
    <t>$G$326</t>
  </si>
  <si>
    <t>$H$326</t>
  </si>
  <si>
    <t>$I$326</t>
  </si>
  <si>
    <t>$J$326</t>
  </si>
  <si>
    <t>$K$326</t>
  </si>
  <si>
    <t>$L$326</t>
  </si>
  <si>
    <t>$M$326</t>
  </si>
  <si>
    <t>$N$326</t>
  </si>
  <si>
    <t>$O$326</t>
  </si>
  <si>
    <t>$P$326</t>
  </si>
  <si>
    <t>$Q$326</t>
  </si>
  <si>
    <t>$R$326</t>
  </si>
  <si>
    <t>$G$327</t>
  </si>
  <si>
    <t>$H$327</t>
  </si>
  <si>
    <t>$I$327</t>
  </si>
  <si>
    <t>$J$327</t>
  </si>
  <si>
    <t>$K$327</t>
  </si>
  <si>
    <t>$L$327</t>
  </si>
  <si>
    <t>$M$327</t>
  </si>
  <si>
    <t>$N$327</t>
  </si>
  <si>
    <t>$O$327</t>
  </si>
  <si>
    <t>$P$327</t>
  </si>
  <si>
    <t>$Q$327</t>
  </si>
  <si>
    <t>$R$327</t>
  </si>
  <si>
    <t>$G$328</t>
  </si>
  <si>
    <t>$H$328</t>
  </si>
  <si>
    <t>$I$328</t>
  </si>
  <si>
    <t>$J$328</t>
  </si>
  <si>
    <t>$K$328</t>
  </si>
  <si>
    <t>$L$328</t>
  </si>
  <si>
    <t>$M$328</t>
  </si>
  <si>
    <t>$N$328</t>
  </si>
  <si>
    <t>$O$328</t>
  </si>
  <si>
    <t>$P$328</t>
  </si>
  <si>
    <t>$Q$328</t>
  </si>
  <si>
    <t>$R$328</t>
  </si>
  <si>
    <t>$G$329</t>
  </si>
  <si>
    <t>$H$329</t>
  </si>
  <si>
    <t>$I$329</t>
  </si>
  <si>
    <t>$J$329</t>
  </si>
  <si>
    <t>$K$329</t>
  </si>
  <si>
    <t>$L$329</t>
  </si>
  <si>
    <t>$M$329</t>
  </si>
  <si>
    <t>$N$329</t>
  </si>
  <si>
    <t>$O$329</t>
  </si>
  <si>
    <t>$P$329</t>
  </si>
  <si>
    <t>$Q$329</t>
  </si>
  <si>
    <t>$R$329</t>
  </si>
  <si>
    <t>$G$330</t>
  </si>
  <si>
    <t>$H$330</t>
  </si>
  <si>
    <t>$I$330</t>
  </si>
  <si>
    <t>$J$330</t>
  </si>
  <si>
    <t>$K$330</t>
  </si>
  <si>
    <t>$L$330</t>
  </si>
  <si>
    <t>$M$330</t>
  </si>
  <si>
    <t>$N$330</t>
  </si>
  <si>
    <t>$O$330</t>
  </si>
  <si>
    <t>$P$330</t>
  </si>
  <si>
    <t>$Q$330</t>
  </si>
  <si>
    <t>$R$330</t>
  </si>
  <si>
    <t>$G$331</t>
  </si>
  <si>
    <t>$H$331</t>
  </si>
  <si>
    <t>$I$331</t>
  </si>
  <si>
    <t>$J$331</t>
  </si>
  <si>
    <t>$K$331</t>
  </si>
  <si>
    <t>$L$331</t>
  </si>
  <si>
    <t>$M$331</t>
  </si>
  <si>
    <t>$N$331</t>
  </si>
  <si>
    <t>$O$331</t>
  </si>
  <si>
    <t>$P$331</t>
  </si>
  <si>
    <t>$Q$331</t>
  </si>
  <si>
    <t>$R$331</t>
  </si>
  <si>
    <t>$G$332</t>
  </si>
  <si>
    <t>$H$332</t>
  </si>
  <si>
    <t>$I$332</t>
  </si>
  <si>
    <t>$J$332</t>
  </si>
  <si>
    <t>$K$332</t>
  </si>
  <si>
    <t>$L$332</t>
  </si>
  <si>
    <t>$M$332</t>
  </si>
  <si>
    <t>$N$332</t>
  </si>
  <si>
    <t>$O$332</t>
  </si>
  <si>
    <t>$P$332</t>
  </si>
  <si>
    <t>$Q$332</t>
  </si>
  <si>
    <t>$R$332</t>
  </si>
  <si>
    <t>$G$333</t>
  </si>
  <si>
    <t>$H$333</t>
  </si>
  <si>
    <t>$I$333</t>
  </si>
  <si>
    <t>$J$333</t>
  </si>
  <si>
    <t>$K$333</t>
  </si>
  <si>
    <t>$L$333</t>
  </si>
  <si>
    <t>$M$333</t>
  </si>
  <si>
    <t>$N$333</t>
  </si>
  <si>
    <t>$O$333</t>
  </si>
  <si>
    <t>$P$333</t>
  </si>
  <si>
    <t>$Q$333</t>
  </si>
  <si>
    <t>$R$333</t>
  </si>
  <si>
    <t>$G$334</t>
  </si>
  <si>
    <t>$H$334</t>
  </si>
  <si>
    <t>$I$334</t>
  </si>
  <si>
    <t>$J$334</t>
  </si>
  <si>
    <t>$K$334</t>
  </si>
  <si>
    <t>$L$334</t>
  </si>
  <si>
    <t>$M$334</t>
  </si>
  <si>
    <t>$N$334</t>
  </si>
  <si>
    <t>$O$334</t>
  </si>
  <si>
    <t>$P$334</t>
  </si>
  <si>
    <t>$Q$334</t>
  </si>
  <si>
    <t>$R$334</t>
  </si>
  <si>
    <t>$G$335</t>
  </si>
  <si>
    <t>$H$335</t>
  </si>
  <si>
    <t>$I$335</t>
  </si>
  <si>
    <t>$J$335</t>
  </si>
  <si>
    <t>$K$335</t>
  </si>
  <si>
    <t>$L$335</t>
  </si>
  <si>
    <t>$M$335</t>
  </si>
  <si>
    <t>$N$335</t>
  </si>
  <si>
    <t>$O$335</t>
  </si>
  <si>
    <t>$P$335</t>
  </si>
  <si>
    <t>$Q$335</t>
  </si>
  <si>
    <t>$R$335</t>
  </si>
  <si>
    <t>$G$336</t>
  </si>
  <si>
    <t>$H$336</t>
  </si>
  <si>
    <t>$I$336</t>
  </si>
  <si>
    <t>$J$336</t>
  </si>
  <si>
    <t>$K$336</t>
  </si>
  <si>
    <t>$L$336</t>
  </si>
  <si>
    <t>$M$336</t>
  </si>
  <si>
    <t>$N$336</t>
  </si>
  <si>
    <t>$O$336</t>
  </si>
  <si>
    <t>$P$336</t>
  </si>
  <si>
    <t>$Q$336</t>
  </si>
  <si>
    <t>$R$336</t>
  </si>
  <si>
    <t>B.25</t>
  </si>
  <si>
    <t>UF.26</t>
  </si>
  <si>
    <t>IBP.26</t>
  </si>
  <si>
    <t>H.26</t>
  </si>
  <si>
    <t>UF.26 / UF.25</t>
  </si>
  <si>
    <t>UF.24 / A.23</t>
  </si>
  <si>
    <t>UF.24 / T.1</t>
  </si>
  <si>
    <t>T1.24</t>
  </si>
  <si>
    <t>$G$237</t>
  </si>
  <si>
    <t>$H$237</t>
  </si>
  <si>
    <t>$I$237</t>
  </si>
  <si>
    <t>$J$237</t>
  </si>
  <si>
    <t>$K$237</t>
  </si>
  <si>
    <t>$L$237</t>
  </si>
  <si>
    <t>$M$237</t>
  </si>
  <si>
    <t>$N$237</t>
  </si>
  <si>
    <t>$O$237</t>
  </si>
  <si>
    <t>$P$237</t>
  </si>
  <si>
    <t>$Q$237</t>
  </si>
  <si>
    <t>$R$237</t>
  </si>
  <si>
    <t>$G$238</t>
  </si>
  <si>
    <t>$H$238</t>
  </si>
  <si>
    <t>$I$238</t>
  </si>
  <si>
    <t>$J$238</t>
  </si>
  <si>
    <t>$K$238</t>
  </si>
  <si>
    <t>$L$238</t>
  </si>
  <si>
    <t>$M$238</t>
  </si>
  <si>
    <t>$N$238</t>
  </si>
  <si>
    <t>$O$238</t>
  </si>
  <si>
    <t>$P$238</t>
  </si>
  <si>
    <t>$Q$238</t>
  </si>
  <si>
    <t>$R$238</t>
  </si>
  <si>
    <t>$G$239</t>
  </si>
  <si>
    <t>$H$239</t>
  </si>
  <si>
    <t>$I$239</t>
  </si>
  <si>
    <t>$J$239</t>
  </si>
  <si>
    <t>$K$239</t>
  </si>
  <si>
    <t>$L$239</t>
  </si>
  <si>
    <t>$M$239</t>
  </si>
  <si>
    <t>$N$239</t>
  </si>
  <si>
    <t>$O$239</t>
  </si>
  <si>
    <t>$P$239</t>
  </si>
  <si>
    <t>$Q$239</t>
  </si>
  <si>
    <t>$R$239</t>
  </si>
  <si>
    <t>$G$240</t>
  </si>
  <si>
    <t>$H$240</t>
  </si>
  <si>
    <t>$I$240</t>
  </si>
  <si>
    <t>$J$240</t>
  </si>
  <si>
    <t>$K$240</t>
  </si>
  <si>
    <t>$L$240</t>
  </si>
  <si>
    <t>$M$240</t>
  </si>
  <si>
    <t>$N$240</t>
  </si>
  <si>
    <t>$O$240</t>
  </si>
  <si>
    <t>$P$240</t>
  </si>
  <si>
    <t>$Q$240</t>
  </si>
  <si>
    <t>$R$240</t>
  </si>
  <si>
    <t>$G$241</t>
  </si>
  <si>
    <t>$H$241</t>
  </si>
  <si>
    <t>$I$241</t>
  </si>
  <si>
    <t>$J$241</t>
  </si>
  <si>
    <t>$K$241</t>
  </si>
  <si>
    <t>$L$241</t>
  </si>
  <si>
    <t>$M$241</t>
  </si>
  <si>
    <t>$N$241</t>
  </si>
  <si>
    <t>$O$241</t>
  </si>
  <si>
    <t>$P$241</t>
  </si>
  <si>
    <t>$Q$241</t>
  </si>
  <si>
    <t>$R$241</t>
  </si>
  <si>
    <t>$G$242</t>
  </si>
  <si>
    <t>$H$242</t>
  </si>
  <si>
    <t>$I$242</t>
  </si>
  <si>
    <t>$J$242</t>
  </si>
  <si>
    <t>$K$242</t>
  </si>
  <si>
    <t>$L$242</t>
  </si>
  <si>
    <t>$M$242</t>
  </si>
  <si>
    <t>$N$242</t>
  </si>
  <si>
    <t>$O$242</t>
  </si>
  <si>
    <t>$P$242</t>
  </si>
  <si>
    <t>$Q$242</t>
  </si>
  <si>
    <t>$R$242</t>
  </si>
  <si>
    <t>$G$243</t>
  </si>
  <si>
    <t>$H$243</t>
  </si>
  <si>
    <t>$I$243</t>
  </si>
  <si>
    <t>$J$243</t>
  </si>
  <si>
    <t>$K$243</t>
  </si>
  <si>
    <t>$L$243</t>
  </si>
  <si>
    <t>$M$243</t>
  </si>
  <si>
    <t>$N$243</t>
  </si>
  <si>
    <t>$O$243</t>
  </si>
  <si>
    <t>$P$243</t>
  </si>
  <si>
    <t>$Q$243</t>
  </si>
  <si>
    <t>$R$243</t>
  </si>
  <si>
    <t>$G$244</t>
  </si>
  <si>
    <t>$H$244</t>
  </si>
  <si>
    <t>$I$244</t>
  </si>
  <si>
    <t>$J$244</t>
  </si>
  <si>
    <t>$K$244</t>
  </si>
  <si>
    <t>$L$244</t>
  </si>
  <si>
    <t>$M$244</t>
  </si>
  <si>
    <t>$N$244</t>
  </si>
  <si>
    <t>$O$244</t>
  </si>
  <si>
    <t>$P$244</t>
  </si>
  <si>
    <t>$Q$244</t>
  </si>
  <si>
    <t>$R$244</t>
  </si>
  <si>
    <t>$G$245</t>
  </si>
  <si>
    <t>$H$245</t>
  </si>
  <si>
    <t>$I$245</t>
  </si>
  <si>
    <t>$J$245</t>
  </si>
  <si>
    <t>$K$245</t>
  </si>
  <si>
    <t>$L$245</t>
  </si>
  <si>
    <t>$M$245</t>
  </si>
  <si>
    <t>$N$245</t>
  </si>
  <si>
    <t>$O$245</t>
  </si>
  <si>
    <t>$P$245</t>
  </si>
  <si>
    <t>$Q$245</t>
  </si>
  <si>
    <t>$R$245</t>
  </si>
  <si>
    <t>$G$246</t>
  </si>
  <si>
    <t>$H$246</t>
  </si>
  <si>
    <t>$I$246</t>
  </si>
  <si>
    <t>$J$246</t>
  </si>
  <si>
    <t>$K$246</t>
  </si>
  <si>
    <t>$L$246</t>
  </si>
  <si>
    <t>$M$246</t>
  </si>
  <si>
    <t>$N$246</t>
  </si>
  <si>
    <t>$O$246</t>
  </si>
  <si>
    <t>$P$246</t>
  </si>
  <si>
    <t>$Q$246</t>
  </si>
  <si>
    <t>$R$246</t>
  </si>
  <si>
    <t>$G$247</t>
  </si>
  <si>
    <t>$H$247</t>
  </si>
  <si>
    <t>$I$247</t>
  </si>
  <si>
    <t>$J$247</t>
  </si>
  <si>
    <t>$K$247</t>
  </si>
  <si>
    <t>$L$247</t>
  </si>
  <si>
    <t>$M$247</t>
  </si>
  <si>
    <t>$N$247</t>
  </si>
  <si>
    <t>$O$247</t>
  </si>
  <si>
    <t>$P$247</t>
  </si>
  <si>
    <t>$Q$247</t>
  </si>
  <si>
    <t>$R$247</t>
  </si>
  <si>
    <t>$G$248</t>
  </si>
  <si>
    <t>$H$248</t>
  </si>
  <si>
    <t>$I$248</t>
  </si>
  <si>
    <t>$J$248</t>
  </si>
  <si>
    <t>$K$248</t>
  </si>
  <si>
    <t>$L$248</t>
  </si>
  <si>
    <t>$M$248</t>
  </si>
  <si>
    <t>$N$248</t>
  </si>
  <si>
    <t>$O$248</t>
  </si>
  <si>
    <t>$P$248</t>
  </si>
  <si>
    <t>$Q$248</t>
  </si>
  <si>
    <t>$R$248</t>
  </si>
  <si>
    <t>$G$249</t>
  </si>
  <si>
    <t>$H$249</t>
  </si>
  <si>
    <t>$I$249</t>
  </si>
  <si>
    <t>$J$249</t>
  </si>
  <si>
    <t>$K$249</t>
  </si>
  <si>
    <t>$L$249</t>
  </si>
  <si>
    <t>$M$249</t>
  </si>
  <si>
    <t>$N$249</t>
  </si>
  <si>
    <t>$O$249</t>
  </si>
  <si>
    <t>$P$249</t>
  </si>
  <si>
    <t>$Q$249</t>
  </si>
  <si>
    <t>$R$249</t>
  </si>
  <si>
    <t>$G$250</t>
  </si>
  <si>
    <t>$H$250</t>
  </si>
  <si>
    <t>$I$250</t>
  </si>
  <si>
    <t>$J$250</t>
  </si>
  <si>
    <t>$K$250</t>
  </si>
  <si>
    <t>$L$250</t>
  </si>
  <si>
    <t>$M$250</t>
  </si>
  <si>
    <t>$N$250</t>
  </si>
  <si>
    <t>$O$250</t>
  </si>
  <si>
    <t>$P$250</t>
  </si>
  <si>
    <t>$Q$250</t>
  </si>
  <si>
    <t>$R$250</t>
  </si>
  <si>
    <t>$G$251</t>
  </si>
  <si>
    <t>$H$251</t>
  </si>
  <si>
    <t>$I$251</t>
  </si>
  <si>
    <t>$J$251</t>
  </si>
  <si>
    <t>$K$251</t>
  </si>
  <si>
    <t>$L$251</t>
  </si>
  <si>
    <t>$M$251</t>
  </si>
  <si>
    <t>$N$251</t>
  </si>
  <si>
    <t>$O$251</t>
  </si>
  <si>
    <t>$P$251</t>
  </si>
  <si>
    <t>$Q$251</t>
  </si>
  <si>
    <t>$R$251</t>
  </si>
  <si>
    <t>$G$252</t>
  </si>
  <si>
    <t>$H$252</t>
  </si>
  <si>
    <t>$I$252</t>
  </si>
  <si>
    <t>$J$252</t>
  </si>
  <si>
    <t>$K$252</t>
  </si>
  <si>
    <t>$L$252</t>
  </si>
  <si>
    <t>$M$252</t>
  </si>
  <si>
    <t>$N$252</t>
  </si>
  <si>
    <t>$O$252</t>
  </si>
  <si>
    <t>$P$252</t>
  </si>
  <si>
    <t>$Q$252</t>
  </si>
  <si>
    <t>$R$252</t>
  </si>
  <si>
    <t>$G$253</t>
  </si>
  <si>
    <t>$H$253</t>
  </si>
  <si>
    <t>$I$253</t>
  </si>
  <si>
    <t>$J$253</t>
  </si>
  <si>
    <t>$K$253</t>
  </si>
  <si>
    <t>$L$253</t>
  </si>
  <si>
    <t>$M$253</t>
  </si>
  <si>
    <t>$N$253</t>
  </si>
  <si>
    <t>$O$253</t>
  </si>
  <si>
    <t>$P$253</t>
  </si>
  <si>
    <t>$Q$253</t>
  </si>
  <si>
    <t>$R$253</t>
  </si>
  <si>
    <t>$G$254</t>
  </si>
  <si>
    <t>$H$254</t>
  </si>
  <si>
    <t>$I$254</t>
  </si>
  <si>
    <t>$J$254</t>
  </si>
  <si>
    <t>$K$254</t>
  </si>
  <si>
    <t>$L$254</t>
  </si>
  <si>
    <t>$M$254</t>
  </si>
  <si>
    <t>$N$254</t>
  </si>
  <si>
    <t>$O$254</t>
  </si>
  <si>
    <t>$P$254</t>
  </si>
  <si>
    <t>$Q$254</t>
  </si>
  <si>
    <t>$R$254</t>
  </si>
  <si>
    <t>$G$255</t>
  </si>
  <si>
    <t>$H$255</t>
  </si>
  <si>
    <t>$I$255</t>
  </si>
  <si>
    <t>$J$255</t>
  </si>
  <si>
    <t>$K$255</t>
  </si>
  <si>
    <t>$L$255</t>
  </si>
  <si>
    <t>$M$255</t>
  </si>
  <si>
    <t>$N$255</t>
  </si>
  <si>
    <t>$O$255</t>
  </si>
  <si>
    <t>$P$255</t>
  </si>
  <si>
    <t>$Q$255</t>
  </si>
  <si>
    <t>$R$255</t>
  </si>
  <si>
    <t>$G$256</t>
  </si>
  <si>
    <t>$H$256</t>
  </si>
  <si>
    <t>$I$256</t>
  </si>
  <si>
    <t>$J$256</t>
  </si>
  <si>
    <t>$K$256</t>
  </si>
  <si>
    <t>$L$256</t>
  </si>
  <si>
    <t>$M$256</t>
  </si>
  <si>
    <t>$N$256</t>
  </si>
  <si>
    <t>$O$256</t>
  </si>
  <si>
    <t>$P$256</t>
  </si>
  <si>
    <t>$Q$256</t>
  </si>
  <si>
    <t>$R$256</t>
  </si>
  <si>
    <t>$G$257</t>
  </si>
  <si>
    <t>$H$257</t>
  </si>
  <si>
    <t>$I$257</t>
  </si>
  <si>
    <t>$J$257</t>
  </si>
  <si>
    <t>$K$257</t>
  </si>
  <si>
    <t>$L$257</t>
  </si>
  <si>
    <t>$M$257</t>
  </si>
  <si>
    <t>$N$257</t>
  </si>
  <si>
    <t>$O$257</t>
  </si>
  <si>
    <t>$P$257</t>
  </si>
  <si>
    <t>$Q$257</t>
  </si>
  <si>
    <t>$R$257</t>
  </si>
  <si>
    <t>$G$258</t>
  </si>
  <si>
    <t>$H$258</t>
  </si>
  <si>
    <t>$I$258</t>
  </si>
  <si>
    <t>$J$258</t>
  </si>
  <si>
    <t>$K$258</t>
  </si>
  <si>
    <t>$L$258</t>
  </si>
  <si>
    <t>$M$258</t>
  </si>
  <si>
    <t>$N$258</t>
  </si>
  <si>
    <t>$O$258</t>
  </si>
  <si>
    <t>$P$258</t>
  </si>
  <si>
    <t>$Q$258</t>
  </si>
  <si>
    <t>$R$258</t>
  </si>
  <si>
    <t>$G$259</t>
  </si>
  <si>
    <t>$H$259</t>
  </si>
  <si>
    <t>$I$259</t>
  </si>
  <si>
    <t>$J$259</t>
  </si>
  <si>
    <t>$K$259</t>
  </si>
  <si>
    <t>$L$259</t>
  </si>
  <si>
    <t>$M$259</t>
  </si>
  <si>
    <t>$N$259</t>
  </si>
  <si>
    <t>$O$259</t>
  </si>
  <si>
    <t>$P$259</t>
  </si>
  <si>
    <t>$Q$259</t>
  </si>
  <si>
    <t>$R$259</t>
  </si>
  <si>
    <t>$G$260</t>
  </si>
  <si>
    <t>$H$260</t>
  </si>
  <si>
    <t>$I$260</t>
  </si>
  <si>
    <t>$J$260</t>
  </si>
  <si>
    <t>$K$260</t>
  </si>
  <si>
    <t>$L$260</t>
  </si>
  <si>
    <t>$M$260</t>
  </si>
  <si>
    <t>$N$260</t>
  </si>
  <si>
    <t>$O$260</t>
  </si>
  <si>
    <t>$P$260</t>
  </si>
  <si>
    <t>$Q$260</t>
  </si>
  <si>
    <t>$R$260</t>
  </si>
  <si>
    <t>$G$261</t>
  </si>
  <si>
    <t>$H$261</t>
  </si>
  <si>
    <t>$I$261</t>
  </si>
  <si>
    <t>$J$261</t>
  </si>
  <si>
    <t>$K$261</t>
  </si>
  <si>
    <t>$L$261</t>
  </si>
  <si>
    <t>$M$261</t>
  </si>
  <si>
    <t>$N$261</t>
  </si>
  <si>
    <t>$O$261</t>
  </si>
  <si>
    <t>$P$261</t>
  </si>
  <si>
    <t>$Q$261</t>
  </si>
  <si>
    <t>$R$261</t>
  </si>
  <si>
    <t>$G$262</t>
  </si>
  <si>
    <t>$H$262</t>
  </si>
  <si>
    <t>$I$262</t>
  </si>
  <si>
    <t>$J$262</t>
  </si>
  <si>
    <t>$K$262</t>
  </si>
  <si>
    <t>$L$262</t>
  </si>
  <si>
    <t>$M$262</t>
  </si>
  <si>
    <t>$N$262</t>
  </si>
  <si>
    <t>$O$262</t>
  </si>
  <si>
    <t>$P$262</t>
  </si>
  <si>
    <t>$Q$262</t>
  </si>
  <si>
    <t>$R$262</t>
  </si>
  <si>
    <t>$G$263</t>
  </si>
  <si>
    <t>$H$263</t>
  </si>
  <si>
    <t>$I$263</t>
  </si>
  <si>
    <t>$J$263</t>
  </si>
  <si>
    <t>$K$263</t>
  </si>
  <si>
    <t>$L$263</t>
  </si>
  <si>
    <t>$M$263</t>
  </si>
  <si>
    <t>$N$263</t>
  </si>
  <si>
    <t>$O$263</t>
  </si>
  <si>
    <t>$P$263</t>
  </si>
  <si>
    <t>$Q$263</t>
  </si>
  <si>
    <t>$R$263</t>
  </si>
  <si>
    <t>$G$264</t>
  </si>
  <si>
    <t>$H$264</t>
  </si>
  <si>
    <t>$I$264</t>
  </si>
  <si>
    <t>$J$264</t>
  </si>
  <si>
    <t>$K$264</t>
  </si>
  <si>
    <t>$L$264</t>
  </si>
  <si>
    <t>$M$264</t>
  </si>
  <si>
    <t>$N$264</t>
  </si>
  <si>
    <t>$O$264</t>
  </si>
  <si>
    <t>$P$264</t>
  </si>
  <si>
    <t>$Q$264</t>
  </si>
  <si>
    <t>$R$264</t>
  </si>
  <si>
    <t>$G$265</t>
  </si>
  <si>
    <t>$H$265</t>
  </si>
  <si>
    <t>$I$265</t>
  </si>
  <si>
    <t>$J$265</t>
  </si>
  <si>
    <t>$K$265</t>
  </si>
  <si>
    <t>$L$265</t>
  </si>
  <si>
    <t>$M$265</t>
  </si>
  <si>
    <t>$N$265</t>
  </si>
  <si>
    <t>$O$265</t>
  </si>
  <si>
    <t>$P$265</t>
  </si>
  <si>
    <t>$Q$265</t>
  </si>
  <si>
    <t>$R$265</t>
  </si>
  <si>
    <t>$G$267</t>
  </si>
  <si>
    <t>$H$267</t>
  </si>
  <si>
    <t>$I$267</t>
  </si>
  <si>
    <t>$J$267</t>
  </si>
  <si>
    <t>$K$267</t>
  </si>
  <si>
    <t>$L$267</t>
  </si>
  <si>
    <t>$M$267</t>
  </si>
  <si>
    <t>$N$267</t>
  </si>
  <si>
    <t>$O$267</t>
  </si>
  <si>
    <t>$P$267</t>
  </si>
  <si>
    <t>$Q$267</t>
  </si>
  <si>
    <t>$R$267</t>
  </si>
  <si>
    <t>$G$268</t>
  </si>
  <si>
    <t>$H$268</t>
  </si>
  <si>
    <t>$I$268</t>
  </si>
  <si>
    <t>$J$268</t>
  </si>
  <si>
    <t>$K$268</t>
  </si>
  <si>
    <t>$L$268</t>
  </si>
  <si>
    <t>$M$268</t>
  </si>
  <si>
    <t>$N$268</t>
  </si>
  <si>
    <t>$O$268</t>
  </si>
  <si>
    <t>$P$268</t>
  </si>
  <si>
    <t>$Q$268</t>
  </si>
  <si>
    <t>$R$268</t>
  </si>
  <si>
    <t>$G$269</t>
  </si>
  <si>
    <t>$H$269</t>
  </si>
  <si>
    <t>$I$269</t>
  </si>
  <si>
    <t>$J$269</t>
  </si>
  <si>
    <t>$K$269</t>
  </si>
  <si>
    <t>$L$269</t>
  </si>
  <si>
    <t>$M$269</t>
  </si>
  <si>
    <t>$N$269</t>
  </si>
  <si>
    <t>$O$269</t>
  </si>
  <si>
    <t>$P$269</t>
  </si>
  <si>
    <t>$Q$269</t>
  </si>
  <si>
    <t>$R$269</t>
  </si>
  <si>
    <t>$G$270</t>
  </si>
  <si>
    <t>$H$270</t>
  </si>
  <si>
    <t>$I$270</t>
  </si>
  <si>
    <t>$J$270</t>
  </si>
  <si>
    <t>$K$270</t>
  </si>
  <si>
    <t>$L$270</t>
  </si>
  <si>
    <t>$M$270</t>
  </si>
  <si>
    <t>$N$270</t>
  </si>
  <si>
    <t>$O$270</t>
  </si>
  <si>
    <t>$P$270</t>
  </si>
  <si>
    <t>$Q$270</t>
  </si>
  <si>
    <t>$R$270</t>
  </si>
  <si>
    <t>$G$271</t>
  </si>
  <si>
    <t>$H$271</t>
  </si>
  <si>
    <t>$I$271</t>
  </si>
  <si>
    <t>$J$271</t>
  </si>
  <si>
    <t>$K$271</t>
  </si>
  <si>
    <t>$L$271</t>
  </si>
  <si>
    <t>$M$271</t>
  </si>
  <si>
    <t>$N$271</t>
  </si>
  <si>
    <t>$O$271</t>
  </si>
  <si>
    <t>$P$271</t>
  </si>
  <si>
    <t>$Q$271</t>
  </si>
  <si>
    <t>$R$271</t>
  </si>
  <si>
    <t>$G$272</t>
  </si>
  <si>
    <t>$H$272</t>
  </si>
  <si>
    <t>$I$272</t>
  </si>
  <si>
    <t>$J$272</t>
  </si>
  <si>
    <t>$K$272</t>
  </si>
  <si>
    <t>$L$272</t>
  </si>
  <si>
    <t>$M$272</t>
  </si>
  <si>
    <t>$N$272</t>
  </si>
  <si>
    <t>$O$272</t>
  </si>
  <si>
    <t>$P$272</t>
  </si>
  <si>
    <t>$Q$272</t>
  </si>
  <si>
    <t>$R$272</t>
  </si>
  <si>
    <t>$G$273</t>
  </si>
  <si>
    <t>$H$273</t>
  </si>
  <si>
    <t>$I$273</t>
  </si>
  <si>
    <t>$J$273</t>
  </si>
  <si>
    <t>$K$273</t>
  </si>
  <si>
    <t>$L$273</t>
  </si>
  <si>
    <t>$M$273</t>
  </si>
  <si>
    <t>$N$273</t>
  </si>
  <si>
    <t>$O$273</t>
  </si>
  <si>
    <t>$P$273</t>
  </si>
  <si>
    <t>$Q$273</t>
  </si>
  <si>
    <t>$R$273</t>
  </si>
  <si>
    <t>$G$274</t>
  </si>
  <si>
    <t>$H$274</t>
  </si>
  <si>
    <t>$I$274</t>
  </si>
  <si>
    <t>$J$274</t>
  </si>
  <si>
    <t>$K$274</t>
  </si>
  <si>
    <t>$L$274</t>
  </si>
  <si>
    <t>$M$274</t>
  </si>
  <si>
    <t>$N$274</t>
  </si>
  <si>
    <t>$O$274</t>
  </si>
  <si>
    <t>$P$274</t>
  </si>
  <si>
    <t>$Q$274</t>
  </si>
  <si>
    <t>$R$274</t>
  </si>
  <si>
    <t>$G$275</t>
  </si>
  <si>
    <t>$H$275</t>
  </si>
  <si>
    <t>$I$275</t>
  </si>
  <si>
    <t>$J$275</t>
  </si>
  <si>
    <t>$K$275</t>
  </si>
  <si>
    <t>$L$275</t>
  </si>
  <si>
    <t>$M$275</t>
  </si>
  <si>
    <t>$N$275</t>
  </si>
  <si>
    <t>$O$275</t>
  </si>
  <si>
    <t>$P$275</t>
  </si>
  <si>
    <t>$Q$275</t>
  </si>
  <si>
    <t>$R$275</t>
  </si>
  <si>
    <t>$G$276</t>
  </si>
  <si>
    <t>$H$276</t>
  </si>
  <si>
    <t>$I$276</t>
  </si>
  <si>
    <t>$J$276</t>
  </si>
  <si>
    <t>$K$276</t>
  </si>
  <si>
    <t>$L$276</t>
  </si>
  <si>
    <t>$M$276</t>
  </si>
  <si>
    <t>$N$276</t>
  </si>
  <si>
    <t>$O$276</t>
  </si>
  <si>
    <t>$P$276</t>
  </si>
  <si>
    <t>$Q$276</t>
  </si>
  <si>
    <t>$R$276</t>
  </si>
  <si>
    <t>$G$277</t>
  </si>
  <si>
    <t>$H$277</t>
  </si>
  <si>
    <t>$I$277</t>
  </si>
  <si>
    <t>$J$277</t>
  </si>
  <si>
    <t>$K$277</t>
  </si>
  <si>
    <t>$L$277</t>
  </si>
  <si>
    <t>$M$277</t>
  </si>
  <si>
    <t>$N$277</t>
  </si>
  <si>
    <t>$O$277</t>
  </si>
  <si>
    <t>$P$277</t>
  </si>
  <si>
    <t>$Q$277</t>
  </si>
  <si>
    <t>$R$277</t>
  </si>
  <si>
    <t>$G$278</t>
  </si>
  <si>
    <t>$H$278</t>
  </si>
  <si>
    <t>$I$278</t>
  </si>
  <si>
    <t>$J$278</t>
  </si>
  <si>
    <t>$K$278</t>
  </si>
  <si>
    <t>$L$278</t>
  </si>
  <si>
    <t>$M$278</t>
  </si>
  <si>
    <t>$N$278</t>
  </si>
  <si>
    <t>$O$278</t>
  </si>
  <si>
    <t>$P$278</t>
  </si>
  <si>
    <t>$Q$278</t>
  </si>
  <si>
    <t>$R$278</t>
  </si>
  <si>
    <t>$G$279</t>
  </si>
  <si>
    <t>$H$279</t>
  </si>
  <si>
    <t>$I$279</t>
  </si>
  <si>
    <t>$J$279</t>
  </si>
  <si>
    <t>$K$279</t>
  </si>
  <si>
    <t>$L$279</t>
  </si>
  <si>
    <t>$M$279</t>
  </si>
  <si>
    <t>$N$279</t>
  </si>
  <si>
    <t>$O$279</t>
  </si>
  <si>
    <t>$P$279</t>
  </si>
  <si>
    <t>$Q$279</t>
  </si>
  <si>
    <t>$R$279</t>
  </si>
  <si>
    <t>$G$280</t>
  </si>
  <si>
    <t>$H$280</t>
  </si>
  <si>
    <t>$I$280</t>
  </si>
  <si>
    <t>$J$280</t>
  </si>
  <si>
    <t>$K$280</t>
  </si>
  <si>
    <t>$L$280</t>
  </si>
  <si>
    <t>$M$280</t>
  </si>
  <si>
    <t>$N$280</t>
  </si>
  <si>
    <t>$O$280</t>
  </si>
  <si>
    <t>$P$280</t>
  </si>
  <si>
    <t>$Q$280</t>
  </si>
  <si>
    <t>$R$280</t>
  </si>
  <si>
    <t>$G$281</t>
  </si>
  <si>
    <t>$H$281</t>
  </si>
  <si>
    <t>$I$281</t>
  </si>
  <si>
    <t>$J$281</t>
  </si>
  <si>
    <t>$K$281</t>
  </si>
  <si>
    <t>$L$281</t>
  </si>
  <si>
    <t>$M$281</t>
  </si>
  <si>
    <t>$N$281</t>
  </si>
  <si>
    <t>$O$281</t>
  </si>
  <si>
    <t>$P$281</t>
  </si>
  <si>
    <t>$Q$281</t>
  </si>
  <si>
    <t>$R$281</t>
  </si>
  <si>
    <t>$G$282</t>
  </si>
  <si>
    <t>$H$282</t>
  </si>
  <si>
    <t>$I$282</t>
  </si>
  <si>
    <t>$J$282</t>
  </si>
  <si>
    <t>$K$282</t>
  </si>
  <si>
    <t>$L$282</t>
  </si>
  <si>
    <t>$M$282</t>
  </si>
  <si>
    <t>$N$282</t>
  </si>
  <si>
    <t>$O$282</t>
  </si>
  <si>
    <t>$P$282</t>
  </si>
  <si>
    <t>$Q$282</t>
  </si>
  <si>
    <t>$R$282</t>
  </si>
  <si>
    <t>$G$283</t>
  </si>
  <si>
    <t>$H$283</t>
  </si>
  <si>
    <t>$I$283</t>
  </si>
  <si>
    <t>$J$283</t>
  </si>
  <si>
    <t>$K$283</t>
  </si>
  <si>
    <t>$L$283</t>
  </si>
  <si>
    <t>$M$283</t>
  </si>
  <si>
    <t>$N$283</t>
  </si>
  <si>
    <t>$O$283</t>
  </si>
  <si>
    <t>$P$283</t>
  </si>
  <si>
    <t>$Q$283</t>
  </si>
  <si>
    <t>$R$283</t>
  </si>
  <si>
    <t>$G$284</t>
  </si>
  <si>
    <t>$H$284</t>
  </si>
  <si>
    <t>$I$284</t>
  </si>
  <si>
    <t>$J$284</t>
  </si>
  <si>
    <t>$K$284</t>
  </si>
  <si>
    <t>$L$284</t>
  </si>
  <si>
    <t>$M$284</t>
  </si>
  <si>
    <t>$N$284</t>
  </si>
  <si>
    <t>$O$284</t>
  </si>
  <si>
    <t>$P$284</t>
  </si>
  <si>
    <t>$Q$284</t>
  </si>
  <si>
    <t>$R$284</t>
  </si>
  <si>
    <t>$G$285</t>
  </si>
  <si>
    <t>$H$285</t>
  </si>
  <si>
    <t>$I$285</t>
  </si>
  <si>
    <t>$J$285</t>
  </si>
  <si>
    <t>$K$285</t>
  </si>
  <si>
    <t>$L$285</t>
  </si>
  <si>
    <t>$M$285</t>
  </si>
  <si>
    <t>$N$285</t>
  </si>
  <si>
    <t>$O$285</t>
  </si>
  <si>
    <t>$P$285</t>
  </si>
  <si>
    <t>$Q$285</t>
  </si>
  <si>
    <t>$R$285</t>
  </si>
  <si>
    <t>$G$286</t>
  </si>
  <si>
    <t>$H$286</t>
  </si>
  <si>
    <t>$I$286</t>
  </si>
  <si>
    <t>$J$286</t>
  </si>
  <si>
    <t>$K$286</t>
  </si>
  <si>
    <t>$L$286</t>
  </si>
  <si>
    <t>$M$286</t>
  </si>
  <si>
    <t>$N$286</t>
  </si>
  <si>
    <t>$O$286</t>
  </si>
  <si>
    <t>$P$286</t>
  </si>
  <si>
    <t>$Q$286</t>
  </si>
  <si>
    <t>$R$286</t>
  </si>
  <si>
    <t>$G$287</t>
  </si>
  <si>
    <t>$H$287</t>
  </si>
  <si>
    <t>$I$287</t>
  </si>
  <si>
    <t>$J$287</t>
  </si>
  <si>
    <t>$K$287</t>
  </si>
  <si>
    <t>$L$287</t>
  </si>
  <si>
    <t>$M$287</t>
  </si>
  <si>
    <t>$N$287</t>
  </si>
  <si>
    <t>$O$287</t>
  </si>
  <si>
    <t>$P$287</t>
  </si>
  <si>
    <t>$Q$287</t>
  </si>
  <si>
    <t>$R$287</t>
  </si>
  <si>
    <t>$G$288</t>
  </si>
  <si>
    <t>$H$288</t>
  </si>
  <si>
    <t>$I$288</t>
  </si>
  <si>
    <t>$J$288</t>
  </si>
  <si>
    <t>$K$288</t>
  </si>
  <si>
    <t>$L$288</t>
  </si>
  <si>
    <t>$M$288</t>
  </si>
  <si>
    <t>$N$288</t>
  </si>
  <si>
    <t>$O$288</t>
  </si>
  <si>
    <t>$P$288</t>
  </si>
  <si>
    <t>$Q$288</t>
  </si>
  <si>
    <t>$R$288</t>
  </si>
  <si>
    <t>$G$289</t>
  </si>
  <si>
    <t>$H$289</t>
  </si>
  <si>
    <t>$I$289</t>
  </si>
  <si>
    <t>$J$289</t>
  </si>
  <si>
    <t>$K$289</t>
  </si>
  <si>
    <t>$L$289</t>
  </si>
  <si>
    <t>$M$289</t>
  </si>
  <si>
    <t>$N$289</t>
  </si>
  <si>
    <t>$O$289</t>
  </si>
  <si>
    <t>$P$289</t>
  </si>
  <si>
    <t>$Q$289</t>
  </si>
  <si>
    <t>$R$289</t>
  </si>
  <si>
    <t>$G$290</t>
  </si>
  <si>
    <t>$H$290</t>
  </si>
  <si>
    <t>$I$290</t>
  </si>
  <si>
    <t>$J$290</t>
  </si>
  <si>
    <t>$K$290</t>
  </si>
  <si>
    <t>$L$290</t>
  </si>
  <si>
    <t>$M$290</t>
  </si>
  <si>
    <t>$N$290</t>
  </si>
  <si>
    <t>$O$290</t>
  </si>
  <si>
    <t>$P$290</t>
  </si>
  <si>
    <t>$Q$290</t>
  </si>
  <si>
    <t>$R$290</t>
  </si>
  <si>
    <t>$G$291</t>
  </si>
  <si>
    <t>$H$291</t>
  </si>
  <si>
    <t>$I$291</t>
  </si>
  <si>
    <t>$J$291</t>
  </si>
  <si>
    <t>$K$291</t>
  </si>
  <si>
    <t>$L$291</t>
  </si>
  <si>
    <t>$M$291</t>
  </si>
  <si>
    <t>$N$291</t>
  </si>
  <si>
    <t>$O$291</t>
  </si>
  <si>
    <t>$P$291</t>
  </si>
  <si>
    <t>$Q$291</t>
  </si>
  <si>
    <t>$R$291</t>
  </si>
  <si>
    <t>A23</t>
  </si>
  <si>
    <t>Fcst KX 26</t>
  </si>
  <si>
    <t>98740,4</t>
  </si>
  <si>
    <t>150034,5</t>
  </si>
  <si>
    <t>132843,7</t>
  </si>
  <si>
    <t>46318,8</t>
  </si>
  <si>
    <t>38594,6</t>
  </si>
  <si>
    <t>53873,6</t>
  </si>
  <si>
    <t>103629,9</t>
  </si>
  <si>
    <t>118736,2</t>
  </si>
  <si>
    <t>74137,8</t>
  </si>
  <si>
    <t>$G$337</t>
  </si>
  <si>
    <t>$H$337</t>
  </si>
  <si>
    <t>$I$337</t>
  </si>
  <si>
    <t>$J$337</t>
  </si>
  <si>
    <t>$K$337</t>
  </si>
  <si>
    <t>$L$337</t>
  </si>
  <si>
    <t>$M$337</t>
  </si>
  <si>
    <t>$N$337</t>
  </si>
  <si>
    <t>$O$337</t>
  </si>
  <si>
    <t>$P$337</t>
  </si>
  <si>
    <t>$Q$337</t>
  </si>
  <si>
    <t>$R$337</t>
  </si>
  <si>
    <t>STOCK(PCT)</t>
  </si>
  <si>
    <t>SIT (PCT)</t>
  </si>
  <si>
    <t>UF.24 / IBP.24</t>
  </si>
  <si>
    <t>$G$266</t>
  </si>
  <si>
    <t>$H$266</t>
  </si>
  <si>
    <t>$I$266</t>
  </si>
  <si>
    <t>$J$266</t>
  </si>
  <si>
    <t>$K$266</t>
  </si>
  <si>
    <t>$L$266</t>
  </si>
  <si>
    <t>$M$266</t>
  </si>
  <si>
    <t>$N$266</t>
  </si>
  <si>
    <t>$O$266</t>
  </si>
  <si>
    <t>$P$266</t>
  </si>
  <si>
    <t>$Q$266</t>
  </si>
  <si>
    <t>$R$266</t>
  </si>
  <si>
    <t>0,085</t>
  </si>
  <si>
    <t>35000,49</t>
  </si>
  <si>
    <t>12999,72</t>
  </si>
  <si>
    <t>$E$5</t>
  </si>
  <si>
    <t>A.23</t>
  </si>
  <si>
    <t>UF .24 - A.23</t>
  </si>
  <si>
    <t>UF.24-B.24</t>
  </si>
  <si>
    <t xml:space="preserve">UF.25 / UF.24 </t>
  </si>
  <si>
    <t>UF.24/B.24</t>
  </si>
  <si>
    <t>Value K£</t>
  </si>
  <si>
    <t>Volume UNT</t>
  </si>
  <si>
    <t>$G$292</t>
  </si>
  <si>
    <t>$H$292</t>
  </si>
  <si>
    <t>$I$292</t>
  </si>
  <si>
    <t>$J$292</t>
  </si>
  <si>
    <t>$K$292</t>
  </si>
  <si>
    <t>$L$292</t>
  </si>
  <si>
    <t>$M$292</t>
  </si>
  <si>
    <t>$N$292</t>
  </si>
  <si>
    <t>$O$292</t>
  </si>
  <si>
    <t>$P$292</t>
  </si>
  <si>
    <t>$Q$292</t>
  </si>
  <si>
    <t>$R$292</t>
  </si>
  <si>
    <t>$G$293</t>
  </si>
  <si>
    <t>$H$293</t>
  </si>
  <si>
    <t>$I$293</t>
  </si>
  <si>
    <t>$J$293</t>
  </si>
  <si>
    <t>$K$293</t>
  </si>
  <si>
    <t>$L$293</t>
  </si>
  <si>
    <t>$M$293</t>
  </si>
  <si>
    <t>$N$293</t>
  </si>
  <si>
    <t>$O$293</t>
  </si>
  <si>
    <t>$P$293</t>
  </si>
  <si>
    <t>$Q$293</t>
  </si>
  <si>
    <t>$R$293</t>
  </si>
  <si>
    <t>$G$294</t>
  </si>
  <si>
    <t>$H$294</t>
  </si>
  <si>
    <t>$I$294</t>
  </si>
  <si>
    <t>$J$294</t>
  </si>
  <si>
    <t>$K$294</t>
  </si>
  <si>
    <t>$L$294</t>
  </si>
  <si>
    <t>$M$294</t>
  </si>
  <si>
    <t>$N$294</t>
  </si>
  <si>
    <t>$O$294</t>
  </si>
  <si>
    <t>$P$294</t>
  </si>
  <si>
    <t>$Q$294</t>
  </si>
  <si>
    <t>$R$294</t>
  </si>
  <si>
    <t>$G$295</t>
  </si>
  <si>
    <t>$H$295</t>
  </si>
  <si>
    <t>$I$295</t>
  </si>
  <si>
    <t>$J$295</t>
  </si>
  <si>
    <t>$K$295</t>
  </si>
  <si>
    <t>$L$295</t>
  </si>
  <si>
    <t>$M$295</t>
  </si>
  <si>
    <t>$N$295</t>
  </si>
  <si>
    <t>$O$295</t>
  </si>
  <si>
    <t>$P$295</t>
  </si>
  <si>
    <t>$Q$295</t>
  </si>
  <si>
    <t>$R$295</t>
  </si>
  <si>
    <t>$G$296</t>
  </si>
  <si>
    <t>$H$296</t>
  </si>
  <si>
    <t>$I$296</t>
  </si>
  <si>
    <t>$J$296</t>
  </si>
  <si>
    <t>$K$296</t>
  </si>
  <si>
    <t>$L$296</t>
  </si>
  <si>
    <t>$M$296</t>
  </si>
  <si>
    <t>$N$296</t>
  </si>
  <si>
    <t>$O$296</t>
  </si>
  <si>
    <t>$P$296</t>
  </si>
  <si>
    <t>$Q$296</t>
  </si>
  <si>
    <t>$R$296</t>
  </si>
  <si>
    <t>$G$297</t>
  </si>
  <si>
    <t>$H$297</t>
  </si>
  <si>
    <t>$I$297</t>
  </si>
  <si>
    <t>$J$297</t>
  </si>
  <si>
    <t>$K$297</t>
  </si>
  <si>
    <t>$L$297</t>
  </si>
  <si>
    <t>$M$297</t>
  </si>
  <si>
    <t>$N$297</t>
  </si>
  <si>
    <t>$O$297</t>
  </si>
  <si>
    <t>$P$297</t>
  </si>
  <si>
    <t>$Q$297</t>
  </si>
  <si>
    <t>$R$297</t>
  </si>
  <si>
    <t>$G$298</t>
  </si>
  <si>
    <t>$H$298</t>
  </si>
  <si>
    <t>$I$298</t>
  </si>
  <si>
    <t>$J$298</t>
  </si>
  <si>
    <t>$K$298</t>
  </si>
  <si>
    <t>$L$298</t>
  </si>
  <si>
    <t>$M$298</t>
  </si>
  <si>
    <t>$N$298</t>
  </si>
  <si>
    <t>$O$298</t>
  </si>
  <si>
    <t>$P$298</t>
  </si>
  <si>
    <t>$Q$298</t>
  </si>
  <si>
    <t>$R$298</t>
  </si>
  <si>
    <t>$G$299</t>
  </si>
  <si>
    <t>$H$299</t>
  </si>
  <si>
    <t>$I$299</t>
  </si>
  <si>
    <t>$J$299</t>
  </si>
  <si>
    <t>$K$299</t>
  </si>
  <si>
    <t>$L$299</t>
  </si>
  <si>
    <t>$M$299</t>
  </si>
  <si>
    <t>$N$299</t>
  </si>
  <si>
    <t>$O$299</t>
  </si>
  <si>
    <t>$P$299</t>
  </si>
  <si>
    <t>$Q$299</t>
  </si>
  <si>
    <t>$R$299</t>
  </si>
  <si>
    <t>$G$300</t>
  </si>
  <si>
    <t>$H$300</t>
  </si>
  <si>
    <t>$I$300</t>
  </si>
  <si>
    <t>$J$300</t>
  </si>
  <si>
    <t>$K$300</t>
  </si>
  <si>
    <t>$L$300</t>
  </si>
  <si>
    <t>$M$300</t>
  </si>
  <si>
    <t>$N$300</t>
  </si>
  <si>
    <t>$O$300</t>
  </si>
  <si>
    <t>$P$300</t>
  </si>
  <si>
    <t>$Q$300</t>
  </si>
  <si>
    <t>$R$300</t>
  </si>
  <si>
    <t>$G$301</t>
  </si>
  <si>
    <t>$H$301</t>
  </si>
  <si>
    <t>$I$301</t>
  </si>
  <si>
    <t>$J$301</t>
  </si>
  <si>
    <t>$K$301</t>
  </si>
  <si>
    <t>$L$301</t>
  </si>
  <si>
    <t>$M$301</t>
  </si>
  <si>
    <t>$N$301</t>
  </si>
  <si>
    <t>$O$301</t>
  </si>
  <si>
    <t>$P$301</t>
  </si>
  <si>
    <t>$Q$301</t>
  </si>
  <si>
    <t>$R$301</t>
  </si>
  <si>
    <t>$G$302</t>
  </si>
  <si>
    <t>$H$302</t>
  </si>
  <si>
    <t>$I$302</t>
  </si>
  <si>
    <t>$J$302</t>
  </si>
  <si>
    <t>$K$302</t>
  </si>
  <si>
    <t>$L$302</t>
  </si>
  <si>
    <t>$M$302</t>
  </si>
  <si>
    <t>$N$302</t>
  </si>
  <si>
    <t>$O$302</t>
  </si>
  <si>
    <t>$P$302</t>
  </si>
  <si>
    <t>$Q$302</t>
  </si>
  <si>
    <t>$R$302</t>
  </si>
  <si>
    <t>$G$303</t>
  </si>
  <si>
    <t>$H$303</t>
  </si>
  <si>
    <t>$I$303</t>
  </si>
  <si>
    <t>$J$303</t>
  </si>
  <si>
    <t>$K$303</t>
  </si>
  <si>
    <t>$L$303</t>
  </si>
  <si>
    <t>$M$303</t>
  </si>
  <si>
    <t>$N$303</t>
  </si>
  <si>
    <t>$O$303</t>
  </si>
  <si>
    <t>$P$303</t>
  </si>
  <si>
    <t>$Q$303</t>
  </si>
  <si>
    <t>$R$303</t>
  </si>
  <si>
    <t>$G$304</t>
  </si>
  <si>
    <t>$H$304</t>
  </si>
  <si>
    <t>$I$304</t>
  </si>
  <si>
    <t>$J$304</t>
  </si>
  <si>
    <t>$K$304</t>
  </si>
  <si>
    <t>$L$304</t>
  </si>
  <si>
    <t>$M$304</t>
  </si>
  <si>
    <t>$N$304</t>
  </si>
  <si>
    <t>$O$304</t>
  </si>
  <si>
    <t>$P$304</t>
  </si>
  <si>
    <t>$Q$304</t>
  </si>
  <si>
    <t>$R$304</t>
  </si>
  <si>
    <t>$G$305</t>
  </si>
  <si>
    <t>$H$305</t>
  </si>
  <si>
    <t>$I$305</t>
  </si>
  <si>
    <t>$J$305</t>
  </si>
  <si>
    <t>$K$305</t>
  </si>
  <si>
    <t>$L$305</t>
  </si>
  <si>
    <t>$M$305</t>
  </si>
  <si>
    <t>$N$305</t>
  </si>
  <si>
    <t>$O$305</t>
  </si>
  <si>
    <t>$P$305</t>
  </si>
  <si>
    <t>$Q$305</t>
  </si>
  <si>
    <t>$R$305</t>
  </si>
  <si>
    <t>$G$306</t>
  </si>
  <si>
    <t>$H$306</t>
  </si>
  <si>
    <t>$I$306</t>
  </si>
  <si>
    <t>$J$306</t>
  </si>
  <si>
    <t>$K$306</t>
  </si>
  <si>
    <t>$L$306</t>
  </si>
  <si>
    <t>$M$306</t>
  </si>
  <si>
    <t>$N$306</t>
  </si>
  <si>
    <t>$O$306</t>
  </si>
  <si>
    <t>$P$306</t>
  </si>
  <si>
    <t>$Q$306</t>
  </si>
  <si>
    <t>$R$306</t>
  </si>
  <si>
    <t>$G$307</t>
  </si>
  <si>
    <t>$H$307</t>
  </si>
  <si>
    <t>$I$307</t>
  </si>
  <si>
    <t>$J$307</t>
  </si>
  <si>
    <t>$K$307</t>
  </si>
  <si>
    <t>$L$307</t>
  </si>
  <si>
    <t>$M$307</t>
  </si>
  <si>
    <t>$N$307</t>
  </si>
  <si>
    <t>$O$307</t>
  </si>
  <si>
    <t>$P$307</t>
  </si>
  <si>
    <t>$Q$307</t>
  </si>
  <si>
    <t>$R$307</t>
  </si>
  <si>
    <t>$G$308</t>
  </si>
  <si>
    <t>$H$308</t>
  </si>
  <si>
    <t>$I$308</t>
  </si>
  <si>
    <t>$J$308</t>
  </si>
  <si>
    <t>$K$308</t>
  </si>
  <si>
    <t>$L$308</t>
  </si>
  <si>
    <t>$M$308</t>
  </si>
  <si>
    <t>$N$308</t>
  </si>
  <si>
    <t>$O$308</t>
  </si>
  <si>
    <t>$P$308</t>
  </si>
  <si>
    <t>$Q$308</t>
  </si>
  <si>
    <t>$R$308</t>
  </si>
  <si>
    <t>$G$309</t>
  </si>
  <si>
    <t>$H$309</t>
  </si>
  <si>
    <t>$I$309</t>
  </si>
  <si>
    <t>$J$309</t>
  </si>
  <si>
    <t>$K$309</t>
  </si>
  <si>
    <t>$L$309</t>
  </si>
  <si>
    <t>$M$309</t>
  </si>
  <si>
    <t>$N$309</t>
  </si>
  <si>
    <t>$O$309</t>
  </si>
  <si>
    <t>$P$309</t>
  </si>
  <si>
    <t>$Q$309</t>
  </si>
  <si>
    <t>$R$309</t>
  </si>
  <si>
    <t>$G$310</t>
  </si>
  <si>
    <t>$H$310</t>
  </si>
  <si>
    <t>$I$310</t>
  </si>
  <si>
    <t>$J$310</t>
  </si>
  <si>
    <t>$K$310</t>
  </si>
  <si>
    <t>$L$310</t>
  </si>
  <si>
    <t>$M$310</t>
  </si>
  <si>
    <t>$N$310</t>
  </si>
  <si>
    <t>$O$310</t>
  </si>
  <si>
    <t>$P$310</t>
  </si>
  <si>
    <t>$Q$310</t>
  </si>
  <si>
    <t>$R$310</t>
  </si>
  <si>
    <t>$G$311</t>
  </si>
  <si>
    <t>$H$311</t>
  </si>
  <si>
    <t>$I$311</t>
  </si>
  <si>
    <t>$J$311</t>
  </si>
  <si>
    <t>$K$311</t>
  </si>
  <si>
    <t>$L$311</t>
  </si>
  <si>
    <t>$M$311</t>
  </si>
  <si>
    <t>$N$311</t>
  </si>
  <si>
    <t>$O$311</t>
  </si>
  <si>
    <t>$P$311</t>
  </si>
  <si>
    <t>$Q$311</t>
  </si>
  <si>
    <t>$R$311</t>
  </si>
  <si>
    <t>$G$312</t>
  </si>
  <si>
    <t>$H$312</t>
  </si>
  <si>
    <t>$I$312</t>
  </si>
  <si>
    <t>$J$312</t>
  </si>
  <si>
    <t>$K$312</t>
  </si>
  <si>
    <t>$L$312</t>
  </si>
  <si>
    <t>$M$312</t>
  </si>
  <si>
    <t>$N$312</t>
  </si>
  <si>
    <t>$O$312</t>
  </si>
  <si>
    <t>$P$312</t>
  </si>
  <si>
    <t>$Q$312</t>
  </si>
  <si>
    <t>$R$312</t>
  </si>
  <si>
    <t>$G$313</t>
  </si>
  <si>
    <t>$H$313</t>
  </si>
  <si>
    <t>$I$313</t>
  </si>
  <si>
    <t>$J$313</t>
  </si>
  <si>
    <t>$K$313</t>
  </si>
  <si>
    <t>$L$313</t>
  </si>
  <si>
    <t>$M$313</t>
  </si>
  <si>
    <t>$N$313</t>
  </si>
  <si>
    <t>$O$313</t>
  </si>
  <si>
    <t>$P$313</t>
  </si>
  <si>
    <t>$Q$313</t>
  </si>
  <si>
    <t>$R$313</t>
  </si>
  <si>
    <t>$G$314</t>
  </si>
  <si>
    <t>$H$314</t>
  </si>
  <si>
    <t>$I$314</t>
  </si>
  <si>
    <t>$J$314</t>
  </si>
  <si>
    <t>$K$314</t>
  </si>
  <si>
    <t>$L$314</t>
  </si>
  <si>
    <t>$M$314</t>
  </si>
  <si>
    <t>$N$314</t>
  </si>
  <si>
    <t>$O$314</t>
  </si>
  <si>
    <t>$P$314</t>
  </si>
  <si>
    <t>$Q$314</t>
  </si>
  <si>
    <t>$R$314</t>
  </si>
  <si>
    <t>$G$315</t>
  </si>
  <si>
    <t>$H$315</t>
  </si>
  <si>
    <t>$I$315</t>
  </si>
  <si>
    <t>$J$315</t>
  </si>
  <si>
    <t>$K$315</t>
  </si>
  <si>
    <t>$L$315</t>
  </si>
  <si>
    <t>$M$315</t>
  </si>
  <si>
    <t>$N$315</t>
  </si>
  <si>
    <t>$O$315</t>
  </si>
  <si>
    <t>$P$315</t>
  </si>
  <si>
    <t>$Q$315</t>
  </si>
  <si>
    <t>$R$315</t>
  </si>
  <si>
    <t>$G$316</t>
  </si>
  <si>
    <t>$H$316</t>
  </si>
  <si>
    <t>$I$316</t>
  </si>
  <si>
    <t>$J$316</t>
  </si>
  <si>
    <t>$K$316</t>
  </si>
  <si>
    <t>$L$316</t>
  </si>
  <si>
    <t>$M$316</t>
  </si>
  <si>
    <t>$N$316</t>
  </si>
  <si>
    <t>$O$316</t>
  </si>
  <si>
    <t>$P$316</t>
  </si>
  <si>
    <t>$Q$316</t>
  </si>
  <si>
    <t>$R$316</t>
  </si>
  <si>
    <t>Values</t>
  </si>
  <si>
    <t>UF.24-A.23</t>
  </si>
  <si>
    <t>UF.24-IBP.24</t>
  </si>
  <si>
    <t>UF.24 % A.23</t>
  </si>
  <si>
    <t>UF.24 % B.24</t>
  </si>
  <si>
    <t>UF.24 % IBP.24</t>
  </si>
  <si>
    <t>UF.25 % UF.24</t>
  </si>
  <si>
    <t>Étiquettes de colonnes</t>
  </si>
  <si>
    <t>(Tous)</t>
  </si>
  <si>
    <t>(vide)</t>
  </si>
  <si>
    <t>Étiquettes de lignes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</si>
</sst>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K&quot;€&quot;"/>
    <numFmt numFmtId="166" formatCode="#,##0.00\ &quot;€&quot;"/>
    <numFmt numFmtId="167" formatCode="#,##0.00\K&quot;€&quot;"/>
    <numFmt numFmtId="168" formatCode="#,##0.00\ &quot;K€&quot;"/>
    <numFmt numFmtId="169" formatCode="#,##0&quot; UNT&quot;"/>
  </numFmts>
  <fonts count="21"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2"/>
      <color theme="1"/>
      <name val="Calibri"/>
      <family val="2"/>
    </font>
    <font>
      <sz val="8"/>
      <name val="Calibri"/>
      <family val="2"/>
      <scheme val="minor"/>
    </font>
    <font>
      <b/>
      <sz val="12"/>
      <color theme="1"/>
      <name val="Calibri"/>
      <family val="2"/>
    </font>
    <font>
      <b/>
      <sz val="12"/>
      <color theme="0"/>
      <name val="Calibri"/>
      <family val="2"/>
      <scheme val="minor"/>
    </font>
    <font>
      <b/>
      <sz val="11"/>
      <name val="Calibri"/>
      <family val="2"/>
      <scheme val="minor"/>
    </font>
    <font>
      <sz val="11"/>
      <color rgb="FF3366FF"/>
      <name val="Calibri"/>
      <family val="2"/>
    </font>
    <font>
      <b/>
      <sz val="12"/>
      <color theme="1"/>
      <name val="Calibri"/>
      <family val="2"/>
      <scheme val="minor"/>
    </font>
    <font>
      <sz val="12"/>
      <color theme="9"/>
      <name val="Calibri"/>
      <family val="2"/>
      <scheme val="minor"/>
    </font>
    <font>
      <b/>
      <sz val="14"/>
      <name val="Calibri"/>
      <family val="2"/>
      <scheme val="minor"/>
    </font>
    <font>
      <b/>
      <sz val="14"/>
      <color theme="3"/>
      <name val="Calibri"/>
      <family val="2"/>
      <scheme val="minor"/>
    </font>
    <font>
      <sz val="10"/>
      <name val="Arial"/>
      <family val="2"/>
    </font>
    <font>
      <b/>
      <sz val="12"/>
      <color theme="9"/>
      <name val="Calibri"/>
      <family val="2"/>
    </font>
    <font>
      <sz val="11"/>
      <color rgb="FF000000"/>
      <name val="Calibri"/>
      <family val="2"/>
    </font>
    <font>
      <b/>
      <sz val="12"/>
      <name val="Calibri"/>
      <family val="2"/>
      <scheme val="minor"/>
    </font>
    <font>
      <sz val="11"/>
      <color theme="9" tint="-0.499984740745262"/>
      <name val="Calibri"/>
      <family val="2"/>
      <scheme val="minor"/>
    </font>
    <font>
      <sz val="13"/>
      <color theme="1"/>
      <name val="Calibri"/>
      <family val="2"/>
      <scheme val="minor"/>
    </font>
  </fonts>
  <fills count="19">
    <fill>
      <patternFill patternType="none"/>
    </fill>
    <fill>
      <patternFill patternType="gray125"/>
    </fill>
    <fill>
      <patternFill patternType="solid">
        <fgColor theme="4"/>
        <bgColor theme="4"/>
      </patternFill>
    </fill>
    <fill>
      <patternFill patternType="solid">
        <fgColor theme="2"/>
        <bgColor indexed="64"/>
      </patternFill>
    </fill>
    <fill>
      <patternFill patternType="solid">
        <fgColor theme="0"/>
        <bgColor indexed="64"/>
      </patternFill>
    </fill>
    <fill>
      <patternFill patternType="solid">
        <fgColor rgb="FFFFFF99"/>
        <bgColor rgb="FFFFFF99"/>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rgb="FFFFFF99"/>
        <bgColor indexed="64"/>
      </patternFill>
    </fill>
    <fill>
      <patternFill patternType="solid">
        <fgColor theme="1"/>
        <bgColor indexed="64"/>
      </patternFill>
    </fill>
    <fill>
      <patternFill patternType="solid">
        <fgColor rgb="FFCCFFCC"/>
      </patternFill>
    </fill>
    <fill>
      <patternFill patternType="gray0625">
        <fgColor theme="0" tint="-0.14996795556505021"/>
        <bgColor auto="1"/>
      </patternFill>
    </fill>
    <fill>
      <patternFill patternType="lightUp">
        <fgColor theme="0" tint="-0.24994659260841701"/>
        <bgColor indexed="65"/>
      </patternFill>
    </fill>
    <fill>
      <patternFill patternType="lightGrid">
        <fgColor theme="0" tint="-0.14996795556505021"/>
        <bgColor indexed="65"/>
      </patternFill>
    </fill>
    <fill>
      <patternFill patternType="lightHorizontal">
        <fgColor theme="0" tint="-0.24994659260841701"/>
        <bgColor indexed="65"/>
      </patternFill>
    </fill>
    <fill>
      <patternFill patternType="gray0625">
        <fgColor theme="0" tint="-0.14996795556505021"/>
        <bgColor theme="4" tint="0.79998168889431442"/>
      </patternFill>
    </fill>
    <fill>
      <patternFill patternType="gray0625">
        <fgColor theme="0" tint="-0.14996795556505021"/>
        <bgColor theme="4" tint="0.59999389629810485"/>
      </patternFill>
    </fill>
    <fill>
      <patternFill patternType="gray0625">
        <fgColor theme="0" tint="-0.14996795556505021"/>
        <bgColor theme="4" tint="0.39997558519241921"/>
      </patternFill>
    </fill>
    <fill>
      <patternFill patternType="gray0625">
        <fgColor theme="0" tint="-0.34998626667073579"/>
        <bgColor rgb="FFFFFF99"/>
      </patternFill>
    </fill>
  </fills>
  <borders count="10">
    <border>
      <left/>
      <right/>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right>
      <top/>
      <bottom/>
      <diagonal/>
    </border>
    <border>
      <left style="thin">
        <color theme="9" tint="0.39991454817346722"/>
      </left>
      <right style="thin">
        <color rgb="FF92D050"/>
      </right>
      <top style="thin">
        <color theme="9" tint="0.39991454817346722"/>
      </top>
      <bottom style="thin">
        <color theme="9" tint="0.39991454817346722"/>
      </bottom>
      <diagonal/>
    </border>
    <border>
      <left style="thin">
        <color rgb="FF92D050"/>
      </left>
      <right style="thin">
        <color rgb="FF92D050"/>
      </right>
      <top style="thin">
        <color rgb="FF92D050"/>
      </top>
      <bottom style="thin">
        <color rgb="FF92D050"/>
      </bottom>
      <diagonal/>
    </border>
    <border>
      <left style="thin">
        <color rgb="FF92D050"/>
      </left>
      <right/>
      <top style="thin">
        <color theme="9" tint="0.39991454817346722"/>
      </top>
      <bottom style="thin">
        <color rgb="FF92D050"/>
      </bottom>
      <diagonal/>
    </border>
    <border>
      <left/>
      <right/>
      <top style="thin">
        <color theme="9" tint="0.39991454817346722"/>
      </top>
      <bottom style="thin">
        <color rgb="FF92D050"/>
      </bottom>
      <diagonal/>
    </border>
    <border>
      <left style="thin">
        <color rgb="FF92D050"/>
      </left>
      <right/>
      <top/>
      <bottom/>
      <diagonal/>
    </border>
    <border>
      <left style="thin">
        <color rgb="FF92D050"/>
      </left>
      <right style="thin">
        <color rgb="FF92D050"/>
      </right>
      <top style="thin">
        <color theme="9" tint="0.39991454817346722"/>
      </top>
      <bottom style="thin">
        <color theme="9" tint="0.39991454817346722"/>
      </bottom>
      <diagonal/>
    </border>
  </borders>
  <cellStyleXfs count="3">
    <xf numFmtId="0" fontId="0" fillId="0" borderId="0"/>
    <xf numFmtId="9" fontId="1" fillId="0" borderId="0" applyFont="0" applyFill="0" applyBorder="0" applyAlignment="0" applyProtection="0"/>
    <xf numFmtId="0" fontId="15" fillId="0" borderId="0"/>
  </cellStyleXfs>
  <cellXfs count="119">
    <xf numFmtId="0" fontId="0" fillId="0" borderId="0" xfId="0"/>
    <xf numFmtId="0" fontId="0" fillId="0" borderId="0" xfId="0" applyProtection="1">
      <protection locked="0"/>
    </xf>
    <xf numFmtId="0" fontId="8" fillId="2" borderId="1" xfId="0" applyFont="1" applyFill="1" applyBorder="1" applyAlignment="1" applyProtection="1">
      <alignment horizontal="center" vertical="center"/>
      <protection locked="0"/>
    </xf>
    <xf numFmtId="0" fontId="4" fillId="3" borderId="0" xfId="0" applyFont="1" applyFill="1" applyProtection="1">
      <protection locked="0"/>
    </xf>
    <xf numFmtId="0" fontId="5" fillId="3" borderId="0" xfId="0" applyFont="1" applyFill="1" applyAlignment="1" applyProtection="1">
      <alignment horizontal="left"/>
      <protection locked="0"/>
    </xf>
    <xf numFmtId="0" fontId="0" fillId="0" borderId="0" xfId="0" applyAlignment="1" applyProtection="1">
      <alignment horizontal="center" vertical="center"/>
      <protection locked="0"/>
    </xf>
    <xf numFmtId="1" fontId="0" fillId="0" borderId="0" xfId="0" applyNumberFormat="1" applyAlignment="1" applyProtection="1">
      <alignment horizontal="center" vertical="center"/>
      <protection locked="0"/>
    </xf>
    <xf numFmtId="0" fontId="3" fillId="0" borderId="0" xfId="0" applyFont="1" applyProtection="1">
      <protection locked="0"/>
    </xf>
    <xf numFmtId="9" fontId="0" fillId="6" borderId="0" xfId="1" applyFont="1" applyFill="1" applyAlignment="1" applyProtection="1">
      <alignment horizontal="center" vertical="center"/>
    </xf>
    <xf numFmtId="9" fontId="0" fillId="0" borderId="0" xfId="1" applyFont="1" applyAlignment="1" applyProtection="1">
      <alignment horizontal="center" vertical="center"/>
      <protection locked="0"/>
    </xf>
    <xf numFmtId="9" fontId="0" fillId="6" borderId="0" xfId="1" applyFont="1" applyFill="1" applyAlignment="1" applyProtection="1">
      <alignment horizontal="center" vertical="center"/>
      <protection locked="0"/>
    </xf>
    <xf numFmtId="1" fontId="0" fillId="0" borderId="0" xfId="0" applyNumberFormat="1" applyAlignment="1" applyProtection="1">
      <alignment horizontal="center" vertical="center"/>
    </xf>
    <xf numFmtId="0" fontId="0" fillId="0" borderId="0" xfId="0" applyAlignment="1" applyProtection="1">
      <alignment horizontal="center" vertical="center"/>
    </xf>
    <xf numFmtId="0" fontId="2" fillId="7" borderId="2" xfId="0" applyFont="1" applyFill="1" applyBorder="1" applyProtection="1">
      <protection locked="0"/>
    </xf>
    <xf numFmtId="0" fontId="2" fillId="7" borderId="2" xfId="0" applyFont="1" applyFill="1" applyBorder="1" applyAlignment="1" applyProtection="1">
      <alignment horizontal="center" vertical="center"/>
    </xf>
    <xf numFmtId="0" fontId="3" fillId="4" borderId="0" xfId="0" applyFont="1" applyFill="1" applyProtection="1"/>
    <xf numFmtId="0" fontId="0" fillId="9" borderId="0" xfId="0" applyFill="1" applyProtection="1"/>
    <xf numFmtId="0" fontId="0" fillId="0" borderId="0" xfId="0" applyProtection="1"/>
    <xf numFmtId="0" fontId="9" fillId="10" borderId="0" xfId="0" applyFont="1" applyFill="1" applyAlignment="1">
      <alignment horizontal="left"/>
    </xf>
    <xf numFmtId="0" fontId="0" fillId="0" borderId="0" xfId="0" applyBorder="1" applyProtection="1">
      <protection locked="0"/>
    </xf>
    <xf numFmtId="1" fontId="0" fillId="0" borderId="0" xfId="0" applyNumberFormat="1"/>
    <xf numFmtId="0" fontId="13" fillId="4" borderId="4" xfId="0" applyFont="1" applyFill="1" applyBorder="1" applyAlignment="1">
      <alignment vertical="center"/>
    </xf>
    <xf numFmtId="0" fontId="0" fillId="0" borderId="5" xfId="0" applyBorder="1" applyProtection="1"/>
    <xf numFmtId="0" fontId="0" fillId="0" borderId="6" xfId="0" applyBorder="1" applyProtection="1"/>
    <xf numFmtId="0" fontId="0" fillId="0" borderId="7" xfId="0" applyBorder="1" applyProtection="1"/>
    <xf numFmtId="0" fontId="0" fillId="0" borderId="8" xfId="0" applyBorder="1" applyProtection="1">
      <protection locked="0"/>
    </xf>
    <xf numFmtId="3" fontId="14" fillId="4" borderId="9" xfId="0" applyNumberFormat="1" applyFont="1" applyFill="1" applyBorder="1" applyAlignment="1">
      <alignment horizontal="center" vertical="center"/>
    </xf>
    <xf numFmtId="3" fontId="14" fillId="4" borderId="5" xfId="0" applyNumberFormat="1" applyFont="1" applyFill="1" applyBorder="1" applyAlignment="1">
      <alignment horizontal="center" vertical="center"/>
    </xf>
    <xf numFmtId="9" fontId="13" fillId="4" borderId="4" xfId="1" applyFont="1" applyFill="1" applyBorder="1" applyAlignment="1">
      <alignment vertical="center"/>
    </xf>
    <xf numFmtId="0" fontId="0" fillId="11" borderId="0" xfId="0" applyFill="1" applyBorder="1" applyAlignment="1" applyProtection="1">
      <alignment horizontal="right"/>
      <protection locked="0"/>
    </xf>
    <xf numFmtId="0" fontId="3" fillId="11" borderId="0" xfId="0" applyFont="1" applyFill="1" applyAlignment="1" applyProtection="1">
      <alignment horizontal="right"/>
      <protection locked="0"/>
    </xf>
    <xf numFmtId="0" fontId="0" fillId="12" borderId="0" xfId="0" applyFill="1" applyAlignment="1" applyProtection="1">
      <alignment horizontal="right"/>
    </xf>
    <xf numFmtId="0" fontId="0" fillId="13" borderId="0" xfId="0" applyFill="1" applyAlignment="1" applyProtection="1">
      <alignment horizontal="right"/>
    </xf>
    <xf numFmtId="0" fontId="0" fillId="14" borderId="0" xfId="0" applyFill="1" applyAlignment="1" applyProtection="1">
      <alignment horizontal="right"/>
    </xf>
    <xf numFmtId="0" fontId="0" fillId="15" borderId="0" xfId="0" applyFill="1" applyBorder="1" applyAlignment="1" applyProtection="1">
      <alignment horizontal="center" vertical="center"/>
      <protection locked="0"/>
    </xf>
    <xf numFmtId="0" fontId="0" fillId="16" borderId="0" xfId="0" applyFill="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0" fontId="0" fillId="11" borderId="0" xfId="1" applyNumberFormat="1" applyFont="1" applyFill="1" applyBorder="1" applyAlignment="1" applyProtection="1">
      <alignment horizontal="right"/>
      <protection locked="0"/>
    </xf>
    <xf numFmtId="10" fontId="0" fillId="16" borderId="0" xfId="1" applyNumberFormat="1" applyFont="1" applyFill="1" applyBorder="1" applyAlignment="1" applyProtection="1">
      <alignment horizontal="center" vertical="center"/>
      <protection locked="0"/>
    </xf>
    <xf numFmtId="10" fontId="0" fillId="0" borderId="0" xfId="1" applyNumberFormat="1" applyFont="1" applyProtection="1">
      <protection locked="0"/>
    </xf>
    <xf numFmtId="10" fontId="0" fillId="17" borderId="0" xfId="1" applyNumberFormat="1" applyFont="1" applyFill="1" applyBorder="1" applyAlignment="1" applyProtection="1">
      <alignment horizontal="center" vertical="center"/>
      <protection locked="0"/>
    </xf>
    <xf numFmtId="164" fontId="0" fillId="0" borderId="0" xfId="0" applyNumberFormat="1" applyAlignment="1" applyProtection="1">
      <alignment horizontal="center" vertical="center"/>
    </xf>
    <xf numFmtId="0" fontId="0" fillId="16" borderId="0" xfId="0" applyFill="1" applyBorder="1" applyAlignment="1" applyProtection="1">
      <alignment horizontal="right" vertical="center"/>
      <protection locked="0"/>
    </xf>
    <xf numFmtId="0" fontId="3" fillId="11" borderId="0" xfId="0" applyFont="1" applyFill="1" applyBorder="1" applyAlignment="1" applyProtection="1">
      <alignment horizontal="center" vertical="center"/>
      <protection locked="0"/>
    </xf>
    <xf numFmtId="0" fontId="0" fillId="8" borderId="0" xfId="0" applyFill="1" applyProtection="1"/>
    <xf numFmtId="0" fontId="2" fillId="18" borderId="3" xfId="0" applyFont="1" applyFill="1" applyBorder="1" applyAlignment="1" applyProtection="1">
      <alignment horizontal="right"/>
      <protection locked="0"/>
    </xf>
    <xf numFmtId="165" fontId="0" fillId="0" borderId="0" xfId="0" applyNumberFormat="1" applyFont="1" applyFill="1" applyBorder="1" applyAlignment="1" applyProtection="1">
      <alignment horizontal="center" vertical="center"/>
    </xf>
    <xf numFmtId="166" fontId="0" fillId="11" borderId="0" xfId="0" applyNumberFormat="1" applyFill="1" applyBorder="1" applyAlignment="1" applyProtection="1">
      <alignment horizontal="right"/>
      <protection locked="0"/>
    </xf>
    <xf numFmtId="1" fontId="0" fillId="11" borderId="0" xfId="0" applyNumberFormat="1" applyFill="1" applyBorder="1" applyAlignment="1" applyProtection="1">
      <alignment horizontal="right"/>
      <protection locked="0"/>
    </xf>
    <xf numFmtId="1" fontId="0" fillId="16" borderId="0" xfId="0" applyNumberFormat="1" applyFill="1" applyBorder="1" applyAlignment="1" applyProtection="1">
      <alignment horizontal="center" vertical="center"/>
      <protection locked="0"/>
    </xf>
    <xf numFmtId="1" fontId="0" fillId="0" borderId="0" xfId="0" applyNumberFormat="1" applyFont="1" applyFill="1" applyBorder="1" applyAlignment="1" applyProtection="1">
      <alignment horizontal="center" vertical="center"/>
    </xf>
    <xf numFmtId="1" fontId="0" fillId="0" borderId="0" xfId="0" applyNumberFormat="1" applyProtection="1">
      <protection locked="0"/>
    </xf>
    <xf numFmtId="165" fontId="11" fillId="0" borderId="2" xfId="0" applyNumberFormat="1" applyFont="1" applyFill="1" applyBorder="1" applyAlignment="1" applyProtection="1">
      <alignment horizontal="center" vertical="center"/>
    </xf>
    <xf numFmtId="1" fontId="11" fillId="0" borderId="2" xfId="0" applyNumberFormat="1" applyFont="1" applyFill="1" applyBorder="1" applyAlignment="1" applyProtection="1">
      <alignment horizontal="center" vertical="center"/>
    </xf>
    <xf numFmtId="167" fontId="11" fillId="0" borderId="2" xfId="0" applyNumberFormat="1" applyFont="1" applyFill="1" applyBorder="1" applyAlignment="1" applyProtection="1">
      <alignment horizontal="center" vertical="center"/>
    </xf>
    <xf numFmtId="168" fontId="4" fillId="0" borderId="0" xfId="0" applyNumberFormat="1" applyFont="1" applyAlignment="1" applyProtection="1">
      <alignment horizontal="center" vertical="center"/>
      <protection locked="0"/>
    </xf>
    <xf numFmtId="168" fontId="7" fillId="8" borderId="0" xfId="0" applyNumberFormat="1" applyFont="1" applyFill="1" applyAlignment="1" applyProtection="1">
      <alignment horizontal="center" vertical="center"/>
      <protection locked="0"/>
    </xf>
    <xf numFmtId="168" fontId="4" fillId="0" borderId="0" xfId="0" applyNumberFormat="1" applyFont="1" applyFill="1" applyAlignment="1" applyProtection="1">
      <alignment horizontal="center" vertical="center"/>
      <protection locked="0"/>
    </xf>
    <xf numFmtId="168" fontId="7" fillId="5" borderId="0" xfId="0" applyNumberFormat="1" applyFont="1" applyFill="1" applyAlignment="1" applyProtection="1">
      <alignment horizontal="center" vertical="center"/>
      <protection locked="0"/>
    </xf>
    <xf numFmtId="168" fontId="0" fillId="0" borderId="0" xfId="0" applyNumberFormat="1" applyFill="1" applyProtection="1">
      <protection locked="0"/>
    </xf>
    <xf numFmtId="14" fontId="0" fillId="11" borderId="0" xfId="0" applyNumberFormat="1" applyFill="1" applyBorder="1" applyAlignment="1" applyProtection="1">
      <alignment horizontal="right"/>
      <protection locked="0"/>
    </xf>
    <xf numFmtId="0" fontId="0" fillId="3" borderId="0" xfId="0" applyFill="1" applyProtection="1"/>
    <xf numFmtId="168" fontId="7" fillId="8" borderId="0" xfId="0" quotePrefix="1" applyNumberFormat="1" applyFont="1" applyFill="1" applyAlignment="1" applyProtection="1">
      <alignment horizontal="center" vertical="center"/>
    </xf>
    <xf numFmtId="168" fontId="7" fillId="8" borderId="0" xfId="0" applyNumberFormat="1" applyFont="1" applyFill="1" applyAlignment="1" applyProtection="1">
      <alignment horizontal="center" vertical="center"/>
    </xf>
    <xf numFmtId="168" fontId="4" fillId="0" borderId="0" xfId="0" applyNumberFormat="1" applyFont="1" applyAlignment="1" applyProtection="1">
      <alignment horizontal="center" vertical="center"/>
    </xf>
    <xf numFmtId="168" fontId="7" fillId="5" borderId="0" xfId="0" applyNumberFormat="1" applyFont="1" applyFill="1" applyAlignment="1" applyProtection="1">
      <alignment horizontal="center" vertical="center"/>
    </xf>
    <xf numFmtId="168" fontId="4" fillId="0" borderId="0" xfId="0" applyNumberFormat="1" applyFont="1" applyFill="1" applyAlignment="1" applyProtection="1">
      <alignment horizontal="center" vertical="center"/>
    </xf>
    <xf numFmtId="168" fontId="4" fillId="0" borderId="0" xfId="0" applyNumberFormat="1" applyFont="1" applyFill="1" applyAlignment="1" applyProtection="1">
      <alignment horizontal="center"/>
      <protection locked="0"/>
    </xf>
    <xf numFmtId="168" fontId="0" fillId="0" borderId="0" xfId="0" applyNumberFormat="1" applyFill="1" applyAlignment="1" applyProtection="1">
      <alignment horizontal="center"/>
      <protection locked="0"/>
    </xf>
    <xf numFmtId="2" fontId="0" fillId="0" borderId="0" xfId="0" applyNumberFormat="1" applyAlignment="1" applyProtection="1">
      <alignment horizontal="center" vertical="center"/>
    </xf>
    <xf numFmtId="168" fontId="16" fillId="8" borderId="0" xfId="0" quotePrefix="1" applyNumberFormat="1" applyFont="1" applyFill="1" applyAlignment="1" applyProtection="1">
      <alignment horizontal="center" vertical="center"/>
    </xf>
    <xf numFmtId="168" fontId="12" fillId="0" borderId="0" xfId="0" applyNumberFormat="1" applyFont="1" applyAlignment="1" applyProtection="1">
      <alignment horizontal="center" vertical="center"/>
    </xf>
    <xf numFmtId="3" fontId="16" fillId="8" borderId="0" xfId="0" quotePrefix="1" applyNumberFormat="1" applyFont="1" applyFill="1" applyAlignment="1" applyProtection="1">
      <alignment horizontal="center" vertical="center"/>
    </xf>
    <xf numFmtId="3" fontId="7" fillId="8" borderId="0" xfId="0" quotePrefix="1" applyNumberFormat="1" applyFont="1" applyFill="1" applyAlignment="1" applyProtection="1">
      <alignment horizontal="center" vertical="center"/>
    </xf>
    <xf numFmtId="3" fontId="7" fillId="8" borderId="0" xfId="0" applyNumberFormat="1" applyFont="1" applyFill="1" applyAlignment="1" applyProtection="1">
      <alignment horizontal="center" vertical="center"/>
    </xf>
    <xf numFmtId="3" fontId="12" fillId="0" borderId="0" xfId="0" applyNumberFormat="1" applyFont="1" applyAlignment="1" applyProtection="1">
      <alignment horizontal="center" vertical="center"/>
    </xf>
    <xf numFmtId="3" fontId="4" fillId="0" borderId="0" xfId="0" applyNumberFormat="1" applyFont="1" applyAlignment="1" applyProtection="1">
      <alignment horizontal="center" vertical="center"/>
    </xf>
    <xf numFmtId="3" fontId="4" fillId="0" borderId="0" xfId="0" applyNumberFormat="1" applyFont="1" applyAlignment="1" applyProtection="1">
      <alignment horizontal="center" vertical="center"/>
      <protection locked="0"/>
    </xf>
    <xf numFmtId="3" fontId="4" fillId="0" borderId="0" xfId="0" applyNumberFormat="1" applyFont="1" applyFill="1" applyAlignment="1" applyProtection="1">
      <alignment horizontal="center" vertical="center"/>
      <protection locked="0"/>
    </xf>
    <xf numFmtId="3" fontId="4" fillId="0" borderId="0" xfId="0" applyNumberFormat="1" applyFont="1" applyFill="1" applyAlignment="1" applyProtection="1">
      <alignment horizontal="center" vertical="center"/>
    </xf>
    <xf numFmtId="3" fontId="7" fillId="5" borderId="0" xfId="0" applyNumberFormat="1" applyFont="1" applyFill="1" applyAlignment="1" applyProtection="1">
      <alignment horizontal="center" vertical="center"/>
    </xf>
    <xf numFmtId="3" fontId="4" fillId="0" borderId="0" xfId="0" applyNumberFormat="1" applyFont="1" applyFill="1" applyAlignment="1" applyProtection="1">
      <alignment horizontal="center"/>
      <protection locked="0"/>
    </xf>
    <xf numFmtId="3" fontId="0" fillId="0" borderId="0" xfId="0" applyNumberFormat="1" applyFill="1" applyAlignment="1" applyProtection="1">
      <alignment horizontal="center"/>
      <protection locked="0"/>
    </xf>
    <xf numFmtId="3" fontId="7" fillId="5" borderId="0" xfId="0" applyNumberFormat="1" applyFont="1" applyFill="1" applyAlignment="1" applyProtection="1">
      <alignment horizontal="center" vertical="center"/>
      <protection locked="0"/>
    </xf>
    <xf numFmtId="3" fontId="7" fillId="8" borderId="0" xfId="0" applyNumberFormat="1" applyFont="1" applyFill="1" applyAlignment="1" applyProtection="1">
      <alignment horizontal="center" vertical="center"/>
      <protection locked="0"/>
    </xf>
    <xf numFmtId="3" fontId="0" fillId="0" borderId="0" xfId="0" applyNumberFormat="1" applyFill="1" applyProtection="1">
      <protection locked="0"/>
    </xf>
    <xf numFmtId="0" fontId="0" fillId="0" borderId="0" xfId="0" applyNumberFormat="1" applyProtection="1"/>
    <xf numFmtId="165" fontId="11" fillId="0" borderId="0" xfId="0" applyNumberFormat="1" applyFont="1" applyAlignment="1" applyProtection="1">
      <alignment horizontal="center" vertical="center"/>
      <protection locked="0"/>
    </xf>
    <xf numFmtId="3" fontId="11" fillId="0" borderId="0" xfId="0" applyNumberFormat="1" applyFont="1" applyAlignment="1" applyProtection="1">
      <alignment horizontal="center" vertical="center"/>
      <protection locked="0"/>
    </xf>
    <xf numFmtId="9" fontId="11" fillId="0" borderId="0" xfId="0" applyNumberFormat="1" applyFont="1" applyAlignment="1" applyProtection="1">
      <alignment horizontal="center" vertical="center"/>
      <protection locked="0"/>
    </xf>
    <xf numFmtId="3" fontId="18" fillId="0" borderId="0" xfId="0" applyNumberFormat="1" applyFont="1" applyAlignment="1" applyProtection="1">
      <alignment horizontal="center" vertical="center"/>
      <protection locked="0"/>
    </xf>
    <xf numFmtId="165" fontId="18" fillId="0" borderId="0" xfId="0" applyNumberFormat="1" applyFont="1" applyAlignment="1" applyProtection="1">
      <alignment horizontal="center" vertical="center"/>
      <protection locked="0"/>
    </xf>
    <xf numFmtId="9" fontId="0" fillId="11" borderId="0" xfId="1" applyFont="1" applyFill="1" applyBorder="1" applyAlignment="1" applyProtection="1">
      <alignment horizontal="right"/>
      <protection locked="0"/>
    </xf>
    <xf numFmtId="0" fontId="0" fillId="0" borderId="0" xfId="0" applyFill="1" applyAlignment="1" applyProtection="1">
      <alignment horizontal="center" vertical="center" wrapText="1"/>
      <protection locked="0"/>
    </xf>
    <xf numFmtId="0" fontId="0" fillId="0" borderId="0" xfId="0" pivotButton="1" applyAlignment="1">
      <alignment horizontal="center"/>
    </xf>
    <xf numFmtId="165" fontId="0" fillId="0" borderId="0" xfId="0" applyNumberFormat="1"/>
    <xf numFmtId="169" fontId="0" fillId="0" borderId="0" xfId="0" applyNumberFormat="1"/>
    <xf numFmtId="9" fontId="0" fillId="0" borderId="0" xfId="0" applyNumberFormat="1" applyAlignment="1">
      <alignment horizontal="center" vertical="center"/>
    </xf>
    <xf numFmtId="0" fontId="2" fillId="0" borderId="0" xfId="0" applyFont="1" applyAlignment="1">
      <alignment horizontal="left"/>
    </xf>
    <xf numFmtId="165" fontId="20" fillId="0" borderId="0" xfId="0" applyNumberFormat="1" applyFont="1"/>
    <xf numFmtId="169" fontId="20" fillId="0" borderId="0" xfId="0" applyNumberFormat="1" applyFont="1"/>
    <xf numFmtId="9" fontId="20" fillId="0" borderId="0" xfId="0" applyNumberFormat="1" applyFont="1" applyAlignment="1">
      <alignment horizontal="center" vertical="center"/>
    </xf>
    <xf numFmtId="0" fontId="0" fillId="0" borderId="0" xfId="0" applyAlignment="1" applyProtection="1">
      <alignment horizontal="center" vertical="center"/>
      <protection locked="0"/>
    </xf>
    <xf numFmtId="0" fontId="0" fillId="16" borderId="0" xfId="0"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0" fontId="0" fillId="0" borderId="0" xfId="0" applyAlignment="1">
      <alignment horizontal="center" vertical="center" wrapText="1"/>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xf>
    <xf numFmtId="0" fontId="19" fillId="0" borderId="0" xfId="0" applyFont="1" applyAlignment="1">
      <alignment horizontal="center" vertical="center" wrapText="1"/>
    </xf>
    <xf numFmtId="0" fontId="19" fillId="0" borderId="0" xfId="0" applyFont="1" applyAlignment="1">
      <alignment horizontal="center"/>
    </xf>
    <xf numFmtId="0" fontId="0" fillId="16" borderId="0" xfId="0" applyFill="1" applyBorder="1" applyAlignment="1" applyProtection="1">
      <alignment horizontal="center" vertical="center"/>
      <protection locked="0"/>
    </xf>
    <xf numFmtId="0" fontId="2" fillId="16" borderId="0" xfId="0" applyFont="1" applyFill="1" applyBorder="1" applyAlignment="1" applyProtection="1">
      <alignment horizontal="center" vertical="center"/>
      <protection locked="0"/>
    </xf>
    <xf numFmtId="0" fontId="0" fillId="17" borderId="0" xfId="0" applyFill="1" applyBorder="1" applyAlignment="1" applyProtection="1">
      <alignment horizontal="center" vertical="center"/>
      <protection locked="0"/>
    </xf>
    <xf numFmtId="0" fontId="2" fillId="15" borderId="0" xfId="0" applyFont="1" applyFill="1" applyBorder="1" applyAlignment="1" applyProtection="1">
      <alignment horizontal="center" vertical="center"/>
      <protection locked="0"/>
    </xf>
    <xf numFmtId="10" fontId="2" fillId="16" borderId="0" xfId="1" applyNumberFormat="1" applyFont="1" applyFill="1" applyBorder="1" applyAlignment="1" applyProtection="1">
      <alignment horizontal="center" vertical="center"/>
      <protection locked="0"/>
    </xf>
    <xf numFmtId="10" fontId="2" fillId="17" borderId="0" xfId="1" applyNumberFormat="1"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0" fontId="0" fillId="0" borderId="0" xfId="0" applyAlignment="1" applyProtection="1">
      <alignment horizontal="center" vertical="center"/>
      <protection locked="0"/>
    </xf>
  </cellXfs>
  <cellStyles count="3">
    <cellStyle name="Normal" xfId="0" builtinId="0"/>
    <cellStyle name="Normal 15" xfId="2" xr:uid="{B0DE08BE-CB09-49D3-88ED-AAA6DE522B22}"/>
    <cellStyle name="Pourcentage" xfId="1" builtinId="5"/>
  </cellStyles>
  <dxfs count="223">
    <dxf>
      <font>
        <color theme="0"/>
      </font>
      <fill>
        <patternFill patternType="none">
          <bgColor auto="1"/>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right/>
        <top/>
        <bottom/>
        <vertical/>
        <horizontal/>
      </border>
    </dxf>
    <dxf>
      <font>
        <color theme="0"/>
      </font>
      <fill>
        <patternFill>
          <fgColor auto="1"/>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fgColor auto="1"/>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numFmt numFmtId="0" formatCode="General"/>
      <protection locked="1" hidden="0"/>
    </dxf>
    <dxf>
      <font>
        <strike val="0"/>
        <outline val="0"/>
        <shadow val="0"/>
        <u val="none"/>
        <vertAlign val="baseline"/>
        <sz val="11"/>
        <color theme="0"/>
        <name val="Calibri"/>
        <family val="2"/>
        <scheme val="minor"/>
      </font>
      <protection locked="0" hidden="0"/>
    </dxf>
    <dxf>
      <protection locked="1" hidden="0"/>
    </dxf>
    <dxf>
      <protection locked="0" hidden="0"/>
    </dxf>
    <dxf>
      <fill>
        <patternFill patternType="none">
          <fgColor indexed="64"/>
          <bgColor indexed="65"/>
        </patternFill>
      </fill>
      <alignment horizontal="center" vertical="center" wrapText="1"/>
    </dxf>
    <dxf>
      <font>
        <color auto="1"/>
      </font>
    </dxf>
    <dxf>
      <font>
        <b/>
      </font>
    </dxf>
    <dxf>
      <font>
        <b/>
      </font>
    </dxf>
    <dxf>
      <font>
        <color auto="1"/>
      </font>
    </dxf>
    <dxf>
      <font>
        <color auto="1"/>
      </font>
    </dxf>
    <dxf>
      <font>
        <b/>
      </font>
    </dxf>
    <dxf>
      <font>
        <b/>
      </font>
    </dxf>
    <dxf>
      <font>
        <b/>
      </font>
    </dxf>
    <dxf>
      <font>
        <b/>
      </font>
    </dxf>
    <dxf>
      <font>
        <b/>
      </font>
    </dxf>
    <dxf>
      <font>
        <b/>
      </font>
    </dxf>
    <dxf>
      <font>
        <b/>
      </font>
    </dxf>
    <dxf>
      <font>
        <b/>
      </font>
    </dxf>
    <dxf>
      <numFmt numFmtId="13" formatCode="0%"/>
    </dxf>
    <dxf>
      <numFmt numFmtId="13" formatCode="0%"/>
    </dxf>
    <dxf>
      <numFmt numFmtId="13" formatCode="0%"/>
    </dxf>
    <dxf>
      <numFmt numFmtId="13" formatCode="0%"/>
    </dxf>
    <dxf>
      <font>
        <b/>
      </font>
    </dxf>
    <dxf>
      <numFmt numFmtId="167" formatCode="#,##0.00\K&quot;€&quot;"/>
    </dxf>
    <dxf>
      <font>
        <b/>
      </font>
    </dxf>
    <dxf>
      <font>
        <b/>
      </font>
    </dxf>
    <dxf>
      <font>
        <b/>
      </font>
    </dxf>
    <dxf>
      <font>
        <b/>
      </font>
    </dxf>
    <dxf>
      <font>
        <b/>
      </font>
    </dxf>
    <dxf>
      <font>
        <b/>
      </font>
    </dxf>
    <dxf>
      <numFmt numFmtId="165" formatCode="#,##0\K&quot;€&quot;"/>
    </dxf>
    <dxf>
      <numFmt numFmtId="165" formatCode="#,##0\K&quot;€&quot;"/>
    </dxf>
    <dxf>
      <font>
        <b/>
      </font>
    </dxf>
    <dxf>
      <numFmt numFmtId="13" formatCode="0%"/>
    </dxf>
    <dxf>
      <numFmt numFmtId="13" formatCode="0%"/>
    </dxf>
    <dxf>
      <numFmt numFmtId="13" formatCode="0%"/>
    </dxf>
    <dxf>
      <numFmt numFmtId="13" formatCode="0%"/>
    </dxf>
    <dxf>
      <font>
        <color theme="0"/>
      </font>
    </dxf>
    <dxf>
      <font>
        <color theme="0"/>
      </font>
      <fill>
        <patternFill patternType="gray0625">
          <fgColor theme="0" tint="-0.14996795556505021"/>
          <bgColor auto="1"/>
        </patternFill>
      </fill>
      <alignment horizontal="right"/>
    </dxf>
    <dxf>
      <numFmt numFmtId="3" formatCode="#,##0"/>
    </dxf>
    <dxf>
      <numFmt numFmtId="1" formatCode="0"/>
    </dxf>
    <dxf>
      <font>
        <color theme="0" tint="-0.499984740745262"/>
      </font>
    </dxf>
    <dxf>
      <font>
        <color theme="0" tint="-0.499984740745262"/>
      </font>
    </dxf>
    <dxf>
      <alignment vertical="center"/>
    </dxf>
    <dxf>
      <alignment horizontal="center"/>
    </dxf>
    <dxf>
      <numFmt numFmtId="1" formatCode="0"/>
    </dxf>
    <dxf>
      <fill>
        <patternFill patternType="gray0625">
          <fgColor theme="0" tint="-0.14996795556505021"/>
          <bgColor auto="1"/>
        </patternFill>
      </fill>
      <alignment horizontal="right"/>
    </dxf>
    <dxf>
      <fill>
        <patternFill patternType="gray0625">
          <fgColor theme="0" tint="-0.14996795556505021"/>
          <bgColor auto="1"/>
        </patternFill>
      </fill>
      <alignment horizontal="right"/>
    </dxf>
    <dxf>
      <fill>
        <patternFill patternType="gray0625">
          <fgColor theme="0" tint="-0.14996795556505021"/>
          <bgColor auto="1"/>
        </patternFill>
      </fill>
      <alignment horizontal="right"/>
    </dxf>
    <dxf>
      <font>
        <sz val="12"/>
      </font>
    </dxf>
    <dxf>
      <font>
        <sz val="12"/>
      </font>
    </dxf>
    <dxf>
      <alignment vertical="center"/>
    </dxf>
    <dxf>
      <alignment horizontal="center"/>
    </dxf>
    <dxf>
      <protection locked="0"/>
    </dxf>
    <dxf>
      <protection locked="0"/>
    </dxf>
    <dxf>
      <protection locked="0"/>
    </dxf>
    <dxf>
      <protection locked="0"/>
    </dxf>
    <dxf>
      <protection locked="0"/>
    </dxf>
    <dxf>
      <protection locked="0"/>
    </dxf>
    <dxf>
      <alignment horizontal="center"/>
    </dxf>
    <dxf>
      <alignment vertical="center"/>
    </dxf>
    <dxf>
      <alignment vertical="center"/>
    </dxf>
    <dxf>
      <alignment horizontal="center"/>
    </dxf>
    <dxf>
      <alignment vertical="center"/>
    </dxf>
    <dxf>
      <alignment horizontal="center"/>
    </dxf>
    <dxf>
      <alignment horizontal="center"/>
    </dxf>
    <dxf>
      <alignment vertical="center"/>
    </dxf>
    <dxf>
      <font>
        <color theme="0"/>
      </font>
    </dxf>
    <dxf>
      <fill>
        <patternFill patternType="solid">
          <bgColor theme="0"/>
        </patternFill>
      </fill>
    </dxf>
    <dxf>
      <font>
        <color theme="0"/>
      </font>
    </dxf>
    <dxf>
      <font>
        <color theme="0"/>
      </font>
    </dxf>
    <dxf>
      <fill>
        <patternFill patternType="solid">
          <bgColor theme="0"/>
        </patternFill>
      </fill>
    </dxf>
    <dxf>
      <protection locked="0"/>
    </dxf>
    <dxf>
      <protection locked="0"/>
    </dxf>
    <dxf>
      <protection locked="0"/>
    </dxf>
    <dxf>
      <font>
        <color theme="0"/>
      </font>
      <fill>
        <patternFill patternType="none">
          <bgColor auto="1"/>
        </patternFill>
      </fill>
      <border>
        <left style="thin">
          <color theme="0"/>
        </left>
        <right style="thin">
          <color theme="0"/>
        </right>
        <top style="thin">
          <color theme="0"/>
        </top>
        <bottom style="thin">
          <color theme="0"/>
        </bottom>
        <vertical/>
        <horizontal/>
      </border>
    </dxf>
    <dxf>
      <font>
        <color theme="0"/>
      </font>
    </dxf>
    <dxf>
      <font>
        <color theme="0"/>
      </font>
    </dxf>
    <dxf>
      <font>
        <color theme="0"/>
      </font>
    </dxf>
    <dxf>
      <font>
        <color theme="0"/>
      </font>
      <fill>
        <patternFill>
          <bgColor theme="0"/>
        </patternFill>
      </fill>
      <border>
        <left/>
        <right/>
        <top/>
        <bottom/>
        <vertical/>
        <horizontal/>
      </border>
    </dxf>
    <dxf>
      <font>
        <color theme="0"/>
      </font>
      <fill>
        <patternFill>
          <fgColor auto="1"/>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fgColor auto="1"/>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protection locked="1" hidden="0"/>
    </dxf>
    <dxf>
      <font>
        <b val="0"/>
        <i val="0"/>
        <strike val="0"/>
        <condense val="0"/>
        <extend val="0"/>
        <outline val="0"/>
        <shadow val="0"/>
        <u val="none"/>
        <vertAlign val="baseline"/>
        <sz val="11"/>
        <color theme="0"/>
        <name val="Calibri"/>
        <family val="2"/>
        <scheme val="minor"/>
      </font>
      <protection locked="0" hidden="0"/>
    </dxf>
    <dxf>
      <numFmt numFmtId="0" formatCode="General"/>
      <protection locked="1" hidden="0"/>
    </dxf>
    <dxf>
      <font>
        <strike val="0"/>
        <outline val="0"/>
        <shadow val="0"/>
        <u val="none"/>
        <vertAlign val="baseline"/>
        <sz val="11"/>
        <color theme="0"/>
        <name val="Calibri"/>
        <family val="2"/>
        <scheme val="minor"/>
      </font>
      <protection locked="0" hidden="0"/>
    </dxf>
    <dxf>
      <protection locked="1" hidden="0"/>
    </dxf>
    <dxf>
      <protection locked="0" hidden="0"/>
    </dxf>
    <dxf>
      <fill>
        <patternFill patternType="none">
          <fgColor indexed="64"/>
          <bgColor indexed="65"/>
        </patternFill>
      </fill>
      <alignment horizontal="center" vertical="center" wrapText="1"/>
    </dxf>
    <dxf>
      <font>
        <color auto="1"/>
      </font>
    </dxf>
    <dxf>
      <font>
        <b/>
      </font>
    </dxf>
    <dxf>
      <font>
        <b/>
      </font>
    </dxf>
    <dxf>
      <font>
        <color auto="1"/>
      </font>
    </dxf>
    <dxf>
      <font>
        <color auto="1"/>
      </font>
    </dxf>
    <dxf>
      <font>
        <b/>
      </font>
    </dxf>
    <dxf>
      <font>
        <b/>
      </font>
    </dxf>
    <dxf>
      <font>
        <b/>
      </font>
    </dxf>
    <dxf>
      <font>
        <b/>
      </font>
    </dxf>
    <dxf>
      <font>
        <b/>
      </font>
    </dxf>
    <dxf>
      <font>
        <b/>
      </font>
    </dxf>
    <dxf>
      <font>
        <b/>
      </font>
    </dxf>
    <dxf>
      <font>
        <b/>
      </font>
    </dxf>
    <dxf>
      <numFmt numFmtId="13" formatCode="0%"/>
    </dxf>
    <dxf>
      <numFmt numFmtId="13" formatCode="0%"/>
    </dxf>
    <dxf>
      <numFmt numFmtId="13" formatCode="0%"/>
    </dxf>
    <dxf>
      <numFmt numFmtId="13" formatCode="0%"/>
    </dxf>
    <dxf>
      <font>
        <b/>
      </font>
    </dxf>
    <dxf>
      <numFmt numFmtId="167" formatCode="#,##0.00\K&quot;€&quot;"/>
    </dxf>
    <dxf>
      <font>
        <b/>
      </font>
    </dxf>
    <dxf>
      <font>
        <b/>
      </font>
    </dxf>
    <dxf>
      <font>
        <b/>
      </font>
    </dxf>
    <dxf>
      <font>
        <b/>
      </font>
    </dxf>
    <dxf>
      <font>
        <b/>
      </font>
    </dxf>
    <dxf>
      <font>
        <b/>
      </font>
    </dxf>
    <dxf>
      <numFmt numFmtId="165" formatCode="#,##0\K&quot;€&quot;"/>
    </dxf>
    <dxf>
      <numFmt numFmtId="165" formatCode="#,##0\K&quot;€&quot;"/>
    </dxf>
    <dxf>
      <font>
        <b/>
      </font>
    </dxf>
    <dxf>
      <numFmt numFmtId="13" formatCode="0%"/>
    </dxf>
    <dxf>
      <numFmt numFmtId="13" formatCode="0%"/>
    </dxf>
    <dxf>
      <numFmt numFmtId="13" formatCode="0%"/>
    </dxf>
    <dxf>
      <numFmt numFmtId="13" formatCode="0%"/>
    </dxf>
    <dxf>
      <font>
        <color theme="0"/>
      </font>
    </dxf>
    <dxf>
      <font>
        <color theme="0"/>
      </font>
      <fill>
        <patternFill patternType="gray0625">
          <fgColor theme="0" tint="-0.14996795556505021"/>
          <bgColor auto="1"/>
        </patternFill>
      </fill>
      <alignment horizontal="right"/>
    </dxf>
    <dxf>
      <numFmt numFmtId="3" formatCode="#,##0"/>
    </dxf>
    <dxf>
      <numFmt numFmtId="1" formatCode="0"/>
    </dxf>
    <dxf>
      <font>
        <color theme="0" tint="-0.499984740745262"/>
      </font>
    </dxf>
    <dxf>
      <font>
        <color theme="0" tint="-0.499984740745262"/>
      </font>
    </dxf>
    <dxf>
      <alignment vertical="center"/>
    </dxf>
    <dxf>
      <alignment horizontal="center"/>
    </dxf>
    <dxf>
      <numFmt numFmtId="1" formatCode="0"/>
    </dxf>
    <dxf>
      <fill>
        <patternFill patternType="gray0625">
          <fgColor theme="0" tint="-0.14996795556505021"/>
          <bgColor auto="1"/>
        </patternFill>
      </fill>
      <alignment horizontal="right"/>
    </dxf>
    <dxf>
      <fill>
        <patternFill patternType="gray0625">
          <fgColor theme="0" tint="-0.14996795556505021"/>
          <bgColor auto="1"/>
        </patternFill>
      </fill>
      <alignment horizontal="right"/>
    </dxf>
    <dxf>
      <fill>
        <patternFill patternType="gray0625">
          <fgColor theme="0" tint="-0.14996795556505021"/>
          <bgColor auto="1"/>
        </patternFill>
      </fill>
      <alignment horizontal="right"/>
    </dxf>
    <dxf>
      <font>
        <sz val="12"/>
      </font>
    </dxf>
    <dxf>
      <font>
        <sz val="12"/>
      </font>
    </dxf>
    <dxf>
      <alignment vertical="center"/>
    </dxf>
    <dxf>
      <alignment horizontal="center"/>
    </dxf>
    <dxf>
      <protection locked="0"/>
    </dxf>
    <dxf>
      <protection locked="0"/>
    </dxf>
    <dxf>
      <protection locked="0"/>
    </dxf>
    <dxf>
      <protection locked="0"/>
    </dxf>
    <dxf>
      <protection locked="0"/>
    </dxf>
    <dxf>
      <protection locked="0"/>
    </dxf>
    <dxf>
      <alignment horizontal="center"/>
    </dxf>
    <dxf>
      <alignment vertical="center"/>
    </dxf>
    <dxf>
      <alignment vertical="center"/>
    </dxf>
    <dxf>
      <alignment horizontal="center"/>
    </dxf>
    <dxf>
      <alignment vertical="center"/>
    </dxf>
    <dxf>
      <alignment horizontal="center"/>
    </dxf>
    <dxf>
      <alignment horizontal="center"/>
    </dxf>
    <dxf>
      <alignment vertical="center"/>
    </dxf>
    <dxf>
      <font>
        <color theme="0"/>
      </font>
    </dxf>
    <dxf>
      <fill>
        <patternFill patternType="solid">
          <bgColor theme="0"/>
        </patternFill>
      </fill>
    </dxf>
    <dxf>
      <font>
        <color theme="0"/>
      </font>
    </dxf>
    <dxf>
      <font>
        <color theme="0"/>
      </font>
    </dxf>
    <dxf>
      <fill>
        <patternFill patternType="solid">
          <bgColor theme="0"/>
        </patternFill>
      </fill>
    </dxf>
    <dxf>
      <protection locked="0"/>
    </dxf>
    <dxf>
      <protection locked="0"/>
    </dxf>
    <dxf>
      <protection locked="0"/>
    </dxf>
    <dxf>
      <font>
        <color theme="0"/>
      </font>
      <fill>
        <patternFill patternType="none">
          <bgColor auto="1"/>
        </patternFill>
      </fill>
      <border>
        <left style="thin">
          <color theme="0"/>
        </left>
        <right style="thin">
          <color theme="0"/>
        </right>
        <top style="thin">
          <color theme="0"/>
        </top>
        <bottom style="thin">
          <color theme="0"/>
        </bottom>
        <vertical/>
        <horizontal/>
      </border>
    </dxf>
    <dxf>
      <font>
        <color theme="0"/>
      </font>
    </dxf>
    <dxf>
      <font>
        <color theme="0"/>
      </font>
    </dxf>
    <dxf>
      <font>
        <color theme="0"/>
      </font>
    </dxf>
    <dxf>
      <font>
        <color theme="0"/>
      </font>
      <fill>
        <patternFill>
          <bgColor theme="0"/>
        </patternFill>
      </fill>
      <border>
        <left/>
        <right/>
        <top/>
        <bottom/>
        <vertical/>
        <horizontal/>
      </border>
    </dxf>
    <dxf>
      <font>
        <color theme="0"/>
      </font>
      <fill>
        <patternFill>
          <fgColor auto="1"/>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fgColor auto="1"/>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style="thin">
          <color theme="0"/>
        </left>
        <right style="thin">
          <color theme="0"/>
        </right>
        <top style="thin">
          <color theme="0"/>
        </top>
        <bottom style="thin">
          <color theme="0"/>
        </bottom>
        <vertical/>
        <horizontal/>
      </border>
    </dxf>
    <dxf>
      <alignment vertical="center"/>
    </dxf>
    <dxf>
      <alignment horizontal="center"/>
    </dxf>
    <dxf>
      <numFmt numFmtId="13" formatCode="0%"/>
    </dxf>
    <dxf>
      <font>
        <color rgb="FF9C0006"/>
      </font>
      <fill>
        <patternFill>
          <bgColor rgb="FFFFC7CE"/>
        </patternFill>
      </fill>
    </dxf>
    <dxf>
      <font>
        <sz val="13"/>
      </font>
    </dxf>
    <dxf>
      <font>
        <b/>
      </font>
    </dxf>
    <dxf>
      <numFmt numFmtId="13" formatCode="0%"/>
    </dxf>
    <dxf>
      <alignment vertical="center"/>
    </dxf>
    <dxf>
      <alignment horizontal="center"/>
    </dxf>
    <dxf>
      <numFmt numFmtId="169" formatCode="#,##0&quot; UNT&quot;"/>
    </dxf>
    <dxf>
      <numFmt numFmtId="165" formatCode="#,##0\K&quot;€&quot;"/>
    </dxf>
    <dxf>
      <numFmt numFmtId="165" formatCode="#,##0\K&quot;€&quot;"/>
    </dxf>
    <dxf>
      <font>
        <color theme="9" tint="-0.499984740745262"/>
      </font>
    </dxf>
    <dxf>
      <font>
        <color theme="9" tint="-0.499984740745262"/>
      </font>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49482957169329"/>
          <c:y val="0.26581263029133573"/>
          <c:w val="0.84199217859460218"/>
          <c:h val="0.62244908946815292"/>
        </c:manualLayout>
      </c:layout>
      <c:lineChart>
        <c:grouping val="standard"/>
        <c:varyColors val="0"/>
        <c:ser>
          <c:idx val="0"/>
          <c:order val="0"/>
          <c:tx>
            <c:strRef>
              <c:f>MAIN!$DA$10</c:f>
              <c:strCache>
                <c:ptCount val="1"/>
                <c:pt idx="0">
                  <c:v>SO</c:v>
                </c:pt>
              </c:strCache>
            </c:strRef>
          </c:tx>
          <c:spPr>
            <a:ln w="22225" cap="rnd">
              <a:solidFill>
                <a:schemeClr val="accent6"/>
              </a:solidFill>
              <a:round/>
            </a:ln>
            <a:effectLst/>
          </c:spPr>
          <c:marker>
            <c:symbol val="diamond"/>
            <c:size val="6"/>
            <c:spPr>
              <a:solidFill>
                <a:schemeClr val="accent6"/>
              </a:solidFill>
              <a:ln w="9525">
                <a:solidFill>
                  <a:schemeClr val="accent6"/>
                </a:solidFill>
                <a:round/>
              </a:ln>
              <a:effectLst/>
            </c:spPr>
          </c:marker>
          <c:val>
            <c:numRef>
              <c:f>MAIN!$DB$10:$DD$10</c:f>
              <c:numCache>
                <c:formatCode>General</c:formatCode>
                <c:ptCount val="3"/>
                <c:pt idx="0">
                  <c:v>0</c:v>
                </c:pt>
                <c:pt idx="1">
                  <c:v>0</c:v>
                </c:pt>
                <c:pt idx="2">
                  <c:v>0</c:v>
                </c:pt>
              </c:numCache>
            </c:numRef>
          </c:val>
          <c:smooth val="0"/>
          <c:extLst>
            <c:ext xmlns:c16="http://schemas.microsoft.com/office/drawing/2014/chart" uri="{C3380CC4-5D6E-409C-BE32-E72D297353CC}">
              <c16:uniqueId val="{00000000-C709-4DF8-B914-2CEF036FDD3C}"/>
            </c:ext>
          </c:extLst>
        </c:ser>
        <c:ser>
          <c:idx val="1"/>
          <c:order val="1"/>
          <c:tx>
            <c:strRef>
              <c:f>MAIN!$DA$11</c:f>
              <c:strCache>
                <c:ptCount val="1"/>
                <c:pt idx="0">
                  <c:v>SI</c:v>
                </c:pt>
              </c:strCache>
            </c:strRef>
          </c:tx>
          <c:spPr>
            <a:ln w="22225" cap="rnd">
              <a:solidFill>
                <a:schemeClr val="accent5"/>
              </a:solidFill>
              <a:round/>
            </a:ln>
            <a:effectLst/>
          </c:spPr>
          <c:marker>
            <c:symbol val="square"/>
            <c:size val="6"/>
            <c:spPr>
              <a:solidFill>
                <a:schemeClr val="accent5"/>
              </a:solidFill>
              <a:ln w="9525">
                <a:solidFill>
                  <a:schemeClr val="accent5"/>
                </a:solidFill>
                <a:round/>
              </a:ln>
              <a:effectLst/>
            </c:spPr>
          </c:marker>
          <c:val>
            <c:numRef>
              <c:f>MAIN!$DB$11:$DD$11</c:f>
              <c:numCache>
                <c:formatCode>General</c:formatCode>
                <c:ptCount val="3"/>
                <c:pt idx="0">
                  <c:v>0</c:v>
                </c:pt>
                <c:pt idx="1">
                  <c:v>0</c:v>
                </c:pt>
                <c:pt idx="2">
                  <c:v>0</c:v>
                </c:pt>
              </c:numCache>
            </c:numRef>
          </c:val>
          <c:smooth val="0"/>
          <c:extLst>
            <c:ext xmlns:c16="http://schemas.microsoft.com/office/drawing/2014/chart" uri="{C3380CC4-5D6E-409C-BE32-E72D297353CC}">
              <c16:uniqueId val="{00000001-C709-4DF8-B914-2CEF036FDD3C}"/>
            </c:ext>
          </c:extLst>
        </c:ser>
        <c:dLbls>
          <c:showLegendKey val="0"/>
          <c:showVal val="0"/>
          <c:showCatName val="0"/>
          <c:showSerName val="0"/>
          <c:showPercent val="0"/>
          <c:showBubbleSize val="0"/>
        </c:dLbls>
        <c:marker val="1"/>
        <c:smooth val="0"/>
        <c:axId val="142649248"/>
        <c:axId val="251680816"/>
      </c:lineChart>
      <c:catAx>
        <c:axId val="142649248"/>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fr-FR"/>
          </a:p>
        </c:txPr>
        <c:crossAx val="251680816"/>
        <c:crosses val="autoZero"/>
        <c:auto val="1"/>
        <c:lblAlgn val="ctr"/>
        <c:lblOffset val="100"/>
        <c:noMultiLvlLbl val="0"/>
      </c:catAx>
      <c:valAx>
        <c:axId val="251680816"/>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6492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0"/>
    <c:plotArea>
      <c:layout/>
      <c:barChart>
        <c:barDir val="col"/>
        <c:grouping val="clustered"/>
        <c:varyColors val="0"/>
        <c:ser>
          <c:idx val="0"/>
          <c:order val="0"/>
          <c:spPr>
            <a:solidFill>
              <a:schemeClr val="accent5"/>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chemeClr val="tx1">
                        <a:lumMod val="50000"/>
                        <a:lumOff val="50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MAIN!$DA$13:$DA$14</c:f>
              <c:strCache>
                <c:ptCount val="2"/>
                <c:pt idx="0">
                  <c:v>MAPE</c:v>
                </c:pt>
                <c:pt idx="1">
                  <c:v>SPA</c:v>
                </c:pt>
              </c:strCache>
            </c:strRef>
          </c:cat>
          <c:val>
            <c:numRef>
              <c:f>MAIN!$DB$13:$DB$14</c:f>
              <c:numCache>
                <c:formatCode>0%</c:formatCode>
                <c:ptCount val="2"/>
                <c:pt idx="0">
                  <c:v>0</c:v>
                </c:pt>
                <c:pt idx="1">
                  <c:v>0</c:v>
                </c:pt>
              </c:numCache>
            </c:numRef>
          </c:val>
          <c:extLst>
            <c:ext xmlns:c16="http://schemas.microsoft.com/office/drawing/2014/chart" uri="{C3380CC4-5D6E-409C-BE32-E72D297353CC}">
              <c16:uniqueId val="{00000000-8B15-4577-9BEA-66AE51DF65D4}"/>
            </c:ext>
          </c:extLst>
        </c:ser>
        <c:dLbls>
          <c:dLblPos val="outEnd"/>
          <c:showLegendKey val="0"/>
          <c:showVal val="1"/>
          <c:showCatName val="0"/>
          <c:showSerName val="0"/>
          <c:showPercent val="0"/>
          <c:showBubbleSize val="0"/>
        </c:dLbls>
        <c:gapWidth val="444"/>
        <c:overlap val="-90"/>
        <c:axId val="123635744"/>
        <c:axId val="763765007"/>
      </c:barChart>
      <c:catAx>
        <c:axId val="1236357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fr-FR"/>
          </a:p>
        </c:txPr>
        <c:crossAx val="763765007"/>
        <c:crosses val="autoZero"/>
        <c:auto val="1"/>
        <c:lblAlgn val="ctr"/>
        <c:lblOffset val="100"/>
        <c:noMultiLvlLbl val="0"/>
      </c:catAx>
      <c:valAx>
        <c:axId val="763765007"/>
        <c:scaling>
          <c:orientation val="minMax"/>
        </c:scaling>
        <c:delete val="1"/>
        <c:axPos val="l"/>
        <c:numFmt formatCode="0%" sourceLinked="1"/>
        <c:majorTickMark val="none"/>
        <c:minorTickMark val="none"/>
        <c:tickLblPos val="nextTo"/>
        <c:crossAx val="123635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sv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svg"/><Relationship Id="rId11" Type="http://schemas.openxmlformats.org/officeDocument/2006/relationships/image" Target="../media/image10.jpeg"/><Relationship Id="rId5" Type="http://schemas.openxmlformats.org/officeDocument/2006/relationships/image" Target="../media/image4.png"/><Relationship Id="rId15" Type="http://schemas.openxmlformats.org/officeDocument/2006/relationships/image" Target="../media/image14.svg"/><Relationship Id="rId10" Type="http://schemas.openxmlformats.org/officeDocument/2006/relationships/image" Target="../media/image9.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7</xdr:col>
      <xdr:colOff>219075</xdr:colOff>
      <xdr:row>0</xdr:row>
      <xdr:rowOff>0</xdr:rowOff>
    </xdr:from>
    <xdr:to>
      <xdr:col>10</xdr:col>
      <xdr:colOff>47625</xdr:colOff>
      <xdr:row>10</xdr:row>
      <xdr:rowOff>47625</xdr:rowOff>
    </xdr:to>
    <mc:AlternateContent xmlns:mc="http://schemas.openxmlformats.org/markup-compatibility/2006" xmlns:sle15="http://schemas.microsoft.com/office/drawing/2012/slicer">
      <mc:Choice Requires="sle15">
        <xdr:graphicFrame macro="">
          <xdr:nvGraphicFramePr>
            <xdr:cNvPr id="2" name="NAME">
              <a:extLst>
                <a:ext uri="{FF2B5EF4-FFF2-40B4-BE49-F238E27FC236}">
                  <a16:creationId xmlns:a16="http://schemas.microsoft.com/office/drawing/2014/main" id="{00000000-0008-0000-03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2990850" y="0"/>
              <a:ext cx="2047875" cy="2152650"/>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38100</xdr:colOff>
      <xdr:row>0</xdr:row>
      <xdr:rowOff>0</xdr:rowOff>
    </xdr:from>
    <xdr:to>
      <xdr:col>13</xdr:col>
      <xdr:colOff>95250</xdr:colOff>
      <xdr:row>10</xdr:row>
      <xdr:rowOff>57149</xdr:rowOff>
    </xdr:to>
    <mc:AlternateContent xmlns:mc="http://schemas.openxmlformats.org/markup-compatibility/2006" xmlns:sle15="http://schemas.microsoft.com/office/drawing/2012/slicer">
      <mc:Choice Requires="sle15">
        <xdr:graphicFrame macro="">
          <xdr:nvGraphicFramePr>
            <xdr:cNvPr id="8" name="Family">
              <a:extLst>
                <a:ext uri="{FF2B5EF4-FFF2-40B4-BE49-F238E27FC236}">
                  <a16:creationId xmlns:a16="http://schemas.microsoft.com/office/drawing/2014/main" id="{00000000-0008-0000-0300-000008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amily"/>
            </a:graphicData>
          </a:graphic>
        </xdr:graphicFrame>
      </mc:Choice>
      <mc:Fallback xmlns="">
        <xdr:sp macro="" textlink="">
          <xdr:nvSpPr>
            <xdr:cNvPr id="0" name=""/>
            <xdr:cNvSpPr>
              <a:spLocks noTextEdit="1"/>
            </xdr:cNvSpPr>
          </xdr:nvSpPr>
          <xdr:spPr>
            <a:xfrm>
              <a:off x="5029200" y="0"/>
              <a:ext cx="2038350" cy="2162174"/>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9</xdr:col>
          <xdr:colOff>142875</xdr:colOff>
          <xdr:row>0</xdr:row>
          <xdr:rowOff>19050</xdr:rowOff>
        </xdr:from>
        <xdr:to>
          <xdr:col>9</xdr:col>
          <xdr:colOff>776156</xdr:colOff>
          <xdr:row>1</xdr:row>
          <xdr:rowOff>47625</xdr:rowOff>
        </xdr:to>
        <xdr:grpSp>
          <xdr:nvGrpSpPr>
            <xdr:cNvPr id="3" name="Group 2">
              <a:extLst>
                <a:ext uri="{FF2B5EF4-FFF2-40B4-BE49-F238E27FC236}">
                  <a16:creationId xmlns:a16="http://schemas.microsoft.com/office/drawing/2014/main" id="{00000000-0008-0000-0300-000003000000}"/>
                </a:ext>
              </a:extLst>
            </xdr:cNvPr>
            <xdr:cNvGrpSpPr>
              <a:grpSpLocks noChangeAspect="1"/>
            </xdr:cNvGrpSpPr>
          </xdr:nvGrpSpPr>
          <xdr:grpSpPr>
            <a:xfrm>
              <a:off x="4314825" y="19050"/>
              <a:ext cx="633281" cy="219075"/>
              <a:chOff x="7142761" y="-127276"/>
              <a:chExt cx="633281" cy="219075"/>
            </a:xfrm>
          </xdr:grpSpPr>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7142761" y="-127276"/>
                <a:ext cx="633281" cy="219075"/>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&lt;----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723900</xdr:colOff>
          <xdr:row>0</xdr:row>
          <xdr:rowOff>19050</xdr:rowOff>
        </xdr:from>
        <xdr:to>
          <xdr:col>12</xdr:col>
          <xdr:colOff>577326</xdr:colOff>
          <xdr:row>1</xdr:row>
          <xdr:rowOff>38100</xdr:rowOff>
        </xdr:to>
        <xdr:grpSp>
          <xdr:nvGrpSpPr>
            <xdr:cNvPr id="5" name="Group 4">
              <a:extLst>
                <a:ext uri="{FF2B5EF4-FFF2-40B4-BE49-F238E27FC236}">
                  <a16:creationId xmlns:a16="http://schemas.microsoft.com/office/drawing/2014/main" id="{00000000-0008-0000-0300-000005000000}"/>
                </a:ext>
              </a:extLst>
            </xdr:cNvPr>
            <xdr:cNvGrpSpPr>
              <a:grpSpLocks noChangeAspect="1"/>
            </xdr:cNvGrpSpPr>
          </xdr:nvGrpSpPr>
          <xdr:grpSpPr>
            <a:xfrm>
              <a:off x="6296025" y="19050"/>
              <a:ext cx="672576" cy="209550"/>
              <a:chOff x="5266973" y="30357"/>
              <a:chExt cx="672576" cy="209550"/>
            </a:xfrm>
          </xdr:grpSpPr>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5266973" y="30357"/>
                <a:ext cx="672576" cy="20955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&lt;---</a:t>
                </a:r>
              </a:p>
            </xdr:txBody>
          </xdr:sp>
        </xdr:grpSp>
        <xdr:clientData/>
      </xdr:twoCellAnchor>
    </mc:Choice>
    <mc:Fallback/>
  </mc:AlternateContent>
  <xdr:twoCellAnchor>
    <xdr:from>
      <xdr:col>6</xdr:col>
      <xdr:colOff>56442</xdr:colOff>
      <xdr:row>0</xdr:row>
      <xdr:rowOff>27401</xdr:rowOff>
    </xdr:from>
    <xdr:to>
      <xdr:col>6</xdr:col>
      <xdr:colOff>634236</xdr:colOff>
      <xdr:row>1</xdr:row>
      <xdr:rowOff>135382</xdr:rowOff>
    </xdr:to>
    <xdr:sp macro="" textlink="">
      <xdr:nvSpPr>
        <xdr:cNvPr id="6" name="Button 5" hidden="1">
          <a:extLst>
            <a:ext uri="{63B3BB69-23CF-44E3-9099-C40C66FF867C}">
              <a14:compatExt xmlns:a14="http://schemas.microsoft.com/office/drawing/2010/main" spid="_x0000_s2053"/>
            </a:ext>
            <a:ext uri="{FF2B5EF4-FFF2-40B4-BE49-F238E27FC236}">
              <a16:creationId xmlns:a16="http://schemas.microsoft.com/office/drawing/2014/main" id="{00000000-0008-0000-0300-000006000000}"/>
            </a:ext>
          </a:extLst>
        </xdr:cNvPr>
        <xdr:cNvSpPr/>
      </xdr:nvSpPr>
      <xdr:spPr bwMode="auto">
        <a:xfrm>
          <a:off x="5571417" y="27401"/>
          <a:ext cx="577794" cy="298481"/>
        </a:xfrm>
        <a:prstGeom prst="rect">
          <a:avLst/>
        </a:prstGeom>
        <a:ln>
          <a:headEnd/>
          <a:tailEnd/>
        </a:ln>
      </xdr:spPr>
      <xdr:style>
        <a:lnRef idx="2">
          <a:schemeClr val="dk1"/>
        </a:lnRef>
        <a:fillRef idx="1">
          <a:schemeClr val="lt1"/>
        </a:fillRef>
        <a:effectRef idx="0">
          <a:schemeClr val="dk1"/>
        </a:effectRef>
        <a:fontRef idx="minor">
          <a:schemeClr val="dk1"/>
        </a:fontRef>
      </xdr:style>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cs typeface="Calibri"/>
            </a:rPr>
            <a:t>&lt;---</a:t>
          </a:r>
        </a:p>
      </xdr:txBody>
    </xdr:sp>
    <xdr:clientData/>
  </xdr:twoCellAnchor>
  <xdr:twoCellAnchor editAs="absolute">
    <xdr:from>
      <xdr:col>13</xdr:col>
      <xdr:colOff>85725</xdr:colOff>
      <xdr:row>0</xdr:row>
      <xdr:rowOff>0</xdr:rowOff>
    </xdr:from>
    <xdr:to>
      <xdr:col>16</xdr:col>
      <xdr:colOff>236875</xdr:colOff>
      <xdr:row>10</xdr:row>
      <xdr:rowOff>57149</xdr:rowOff>
    </xdr:to>
    <mc:AlternateContent xmlns:mc="http://schemas.openxmlformats.org/markup-compatibility/2006" xmlns:sle15="http://schemas.microsoft.com/office/drawing/2012/slicer">
      <mc:Choice Requires="sle15">
        <xdr:graphicFrame macro="">
          <xdr:nvGraphicFramePr>
            <xdr:cNvPr id="9" name="DESCRIP">
              <a:extLst>
                <a:ext uri="{FF2B5EF4-FFF2-40B4-BE49-F238E27FC236}">
                  <a16:creationId xmlns:a16="http://schemas.microsoft.com/office/drawing/2014/main" id="{00000000-0008-0000-0300-000009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DESCRIP"/>
            </a:graphicData>
          </a:graphic>
        </xdr:graphicFrame>
      </mc:Choice>
      <mc:Fallback xmlns="">
        <xdr:sp macro="" textlink="">
          <xdr:nvSpPr>
            <xdr:cNvPr id="0" name=""/>
            <xdr:cNvSpPr>
              <a:spLocks noTextEdit="1"/>
            </xdr:cNvSpPr>
          </xdr:nvSpPr>
          <xdr:spPr>
            <a:xfrm>
              <a:off x="7058025" y="0"/>
              <a:ext cx="2370475" cy="2152650"/>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15</xdr:col>
          <xdr:colOff>323850</xdr:colOff>
          <xdr:row>0</xdr:row>
          <xdr:rowOff>28575</xdr:rowOff>
        </xdr:from>
        <xdr:to>
          <xdr:col>16</xdr:col>
          <xdr:colOff>152400</xdr:colOff>
          <xdr:row>1</xdr:row>
          <xdr:rowOff>38100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&lt;----</a:t>
              </a:r>
            </a:p>
          </xdr:txBody>
        </xdr:sp>
        <xdr:clientData/>
      </xdr:twoCellAnchor>
    </mc:Choice>
    <mc:Fallback/>
  </mc:AlternateContent>
  <xdr:twoCellAnchor editAs="absolute">
    <xdr:from>
      <xdr:col>16</xdr:col>
      <xdr:colOff>285750</xdr:colOff>
      <xdr:row>0</xdr:row>
      <xdr:rowOff>0</xdr:rowOff>
    </xdr:from>
    <xdr:to>
      <xdr:col>102</xdr:col>
      <xdr:colOff>219075</xdr:colOff>
      <xdr:row>8</xdr:row>
      <xdr:rowOff>285751</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102</xdr:col>
      <xdr:colOff>285750</xdr:colOff>
      <xdr:row>0</xdr:row>
      <xdr:rowOff>0</xdr:rowOff>
    </xdr:from>
    <xdr:to>
      <xdr:col>106</xdr:col>
      <xdr:colOff>323851</xdr:colOff>
      <xdr:row>8</xdr:row>
      <xdr:rowOff>133350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0</xdr:col>
      <xdr:colOff>904875</xdr:colOff>
      <xdr:row>4</xdr:row>
      <xdr:rowOff>9525</xdr:rowOff>
    </xdr:to>
    <xdr:sp macro="[0]!Sheet2.ChangePivotTableDataSource" textlink="">
      <xdr:nvSpPr>
        <xdr:cNvPr id="12" name="Plus Sign 11">
          <a:extLst>
            <a:ext uri="{FF2B5EF4-FFF2-40B4-BE49-F238E27FC236}">
              <a16:creationId xmlns:a16="http://schemas.microsoft.com/office/drawing/2014/main" id="{00000000-0008-0000-0300-00000C000000}"/>
            </a:ext>
          </a:extLst>
        </xdr:cNvPr>
        <xdr:cNvSpPr/>
      </xdr:nvSpPr>
      <xdr:spPr>
        <a:xfrm>
          <a:off x="0" y="0"/>
          <a:ext cx="904875" cy="790575"/>
        </a:xfrm>
        <a:prstGeom prst="mathPlus">
          <a:avLst/>
        </a:prstGeom>
        <a:ln/>
      </xdr:spPr>
      <xdr:style>
        <a:lnRef idx="2">
          <a:schemeClr val="dk1">
            <a:shade val="50000"/>
          </a:schemeClr>
        </a:lnRef>
        <a:fillRef idx="1">
          <a:schemeClr val="dk1"/>
        </a:fillRef>
        <a:effectRef idx="0">
          <a:schemeClr val="dk1"/>
        </a:effectRef>
        <a:fontRef idx="minor">
          <a:schemeClr val="lt1"/>
        </a:fontRef>
      </xdr:style>
      <xdr:txBody>
        <a:bodyPr vertOverflow="overflow" horzOverflow="overflow" rtlCol="0" anchor="t">
          <a:noAutofit/>
        </a:bodyPr>
        <a:lstStyle/>
        <a:p>
          <a:pPr algn="l"/>
          <a:endParaRPr lang="fr-FR" sz="1100"/>
        </a:p>
      </xdr:txBody>
    </xdr:sp>
    <xdr:clientData/>
  </xdr:twoCellAnchor>
  <xdr:twoCellAnchor editAs="oneCell">
    <xdr:from>
      <xdr:col>18</xdr:col>
      <xdr:colOff>742950</xdr:colOff>
      <xdr:row>9</xdr:row>
      <xdr:rowOff>95250</xdr:rowOff>
    </xdr:from>
    <xdr:to>
      <xdr:col>19</xdr:col>
      <xdr:colOff>571500</xdr:colOff>
      <xdr:row>11</xdr:row>
      <xdr:rowOff>190500</xdr:rowOff>
    </xdr:to>
    <xdr:pic macro="[0]!Sheet2.RestoreBaseValueForSelectedCells">
      <xdr:nvPicPr>
        <xdr:cNvPr id="16" name="Graphic 15" descr="Repeat with solid fill">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449050" y="1962150"/>
          <a:ext cx="571500" cy="571500"/>
        </a:xfrm>
        <a:prstGeom prst="rect">
          <a:avLst/>
        </a:prstGeom>
      </xdr:spPr>
    </xdr:pic>
    <xdr:clientData/>
  </xdr:twoCellAnchor>
  <xdr:twoCellAnchor editAs="oneCell">
    <xdr:from>
      <xdr:col>19</xdr:col>
      <xdr:colOff>514351</xdr:colOff>
      <xdr:row>12</xdr:row>
      <xdr:rowOff>95250</xdr:rowOff>
    </xdr:from>
    <xdr:to>
      <xdr:col>20</xdr:col>
      <xdr:colOff>276225</xdr:colOff>
      <xdr:row>14</xdr:row>
      <xdr:rowOff>142874</xdr:rowOff>
    </xdr:to>
    <xdr:pic macro="[0]!Sheet2.ApplyAddition">
      <xdr:nvPicPr>
        <xdr:cNvPr id="19" name="Graphic 18" descr="Badge Follow with solid fill">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020551" y="2676525"/>
          <a:ext cx="523874" cy="523874"/>
        </a:xfrm>
        <a:prstGeom prst="rect">
          <a:avLst/>
        </a:prstGeom>
      </xdr:spPr>
    </xdr:pic>
    <xdr:clientData/>
  </xdr:twoCellAnchor>
  <xdr:twoCellAnchor>
    <xdr:from>
      <xdr:col>0</xdr:col>
      <xdr:colOff>123825</xdr:colOff>
      <xdr:row>7</xdr:row>
      <xdr:rowOff>47625</xdr:rowOff>
    </xdr:from>
    <xdr:to>
      <xdr:col>0</xdr:col>
      <xdr:colOff>647700</xdr:colOff>
      <xdr:row>9</xdr:row>
      <xdr:rowOff>85725</xdr:rowOff>
    </xdr:to>
    <xdr:pic macro="[0]!Sheet1.CopyAndDelete">
      <xdr:nvPicPr>
        <xdr:cNvPr id="21" name="Graphic 20" descr="Camera with solid fill">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3825" y="1428750"/>
          <a:ext cx="523875" cy="523875"/>
        </a:xfrm>
        <a:prstGeom prst="rect">
          <a:avLst/>
        </a:prstGeom>
      </xdr:spPr>
    </xdr:pic>
    <xdr:clientData/>
  </xdr:twoCellAnchor>
  <xdr:twoCellAnchor editAs="oneCell">
    <xdr:from>
      <xdr:col>18</xdr:col>
      <xdr:colOff>219075</xdr:colOff>
      <xdr:row>12</xdr:row>
      <xdr:rowOff>9525</xdr:rowOff>
    </xdr:from>
    <xdr:to>
      <xdr:col>19</xdr:col>
      <xdr:colOff>561975</xdr:colOff>
      <xdr:row>14</xdr:row>
      <xdr:rowOff>161925</xdr:rowOff>
    </xdr:to>
    <xdr:pic macro="[0]!Sheet2.ApplyPercentage">
      <xdr:nvPicPr>
        <xdr:cNvPr id="25" name="Graphic 24" descr="Tax with solid fill">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925175" y="2590800"/>
          <a:ext cx="628650" cy="628650"/>
        </a:xfrm>
        <a:prstGeom prst="rect">
          <a:avLst/>
        </a:prstGeom>
      </xdr:spPr>
    </xdr:pic>
    <xdr:clientData/>
  </xdr:twoCellAnchor>
  <mc:AlternateContent xmlns:mc="http://schemas.openxmlformats.org/markup-compatibility/2006">
    <mc:Choice xmlns:a14="http://schemas.microsoft.com/office/drawing/2010/main" Requires="a14">
      <xdr:twoCellAnchor>
        <xdr:from>
          <xdr:col>141</xdr:col>
          <xdr:colOff>38100</xdr:colOff>
          <xdr:row>8</xdr:row>
          <xdr:rowOff>247650</xdr:rowOff>
        </xdr:from>
        <xdr:to>
          <xdr:col>142</xdr:col>
          <xdr:colOff>457200</xdr:colOff>
          <xdr:row>10</xdr:row>
          <xdr:rowOff>66675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141</xdr:col>
          <xdr:colOff>66675</xdr:colOff>
          <xdr:row>4</xdr:row>
          <xdr:rowOff>152400</xdr:rowOff>
        </xdr:from>
        <xdr:to>
          <xdr:col>143</xdr:col>
          <xdr:colOff>9525</xdr:colOff>
          <xdr:row>6</xdr:row>
          <xdr:rowOff>142875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Restore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141</xdr:col>
          <xdr:colOff>57150</xdr:colOff>
          <xdr:row>6</xdr:row>
          <xdr:rowOff>190500</xdr:rowOff>
        </xdr:from>
        <xdr:to>
          <xdr:col>143</xdr:col>
          <xdr:colOff>0</xdr:colOff>
          <xdr:row>8</xdr:row>
          <xdr:rowOff>180975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141</xdr:col>
          <xdr:colOff>104775</xdr:colOff>
          <xdr:row>0</xdr:row>
          <xdr:rowOff>57150</xdr:rowOff>
        </xdr:from>
        <xdr:to>
          <xdr:col>143</xdr:col>
          <xdr:colOff>28575</xdr:colOff>
          <xdr:row>2</xdr:row>
          <xdr:rowOff>66675</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Snapshot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141</xdr:col>
          <xdr:colOff>66675</xdr:colOff>
          <xdr:row>2</xdr:row>
          <xdr:rowOff>133350</xdr:rowOff>
        </xdr:from>
        <xdr:to>
          <xdr:col>143</xdr:col>
          <xdr:colOff>28575</xdr:colOff>
          <xdr:row>4</xdr:row>
          <xdr:rowOff>123825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3366FF"/>
                  </a:solidFill>
                  <a:latin typeface="Calibri"/>
                  <a:ea typeface="Calibri"/>
                  <a:cs typeface="Calibri"/>
                </a:rPr>
                <a:t>Apply Changes</a:t>
              </a:r>
            </a:p>
          </xdr:txBody>
        </xdr:sp>
        <xdr:clientData fPrintsWithSheet="0"/>
      </xdr:twoCellAnchor>
    </mc:Choice>
    <mc:Fallback/>
  </mc:AlternateContent>
  <xdr:twoCellAnchor>
    <xdr:from>
      <xdr:col>1</xdr:col>
      <xdr:colOff>83325</xdr:colOff>
      <xdr:row>0</xdr:row>
      <xdr:rowOff>35700</xdr:rowOff>
    </xdr:from>
    <xdr:to>
      <xdr:col>1</xdr:col>
      <xdr:colOff>673529</xdr:colOff>
      <xdr:row>2</xdr:row>
      <xdr:rowOff>195027</xdr:rowOff>
    </xdr:to>
    <xdr:pic macro="[0]!Sheet4.Copytovaluesheet">
      <xdr:nvPicPr>
        <xdr:cNvPr id="28" name="Picture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69175" y="35700"/>
          <a:ext cx="590204" cy="540327"/>
        </a:xfrm>
        <a:prstGeom prst="rect">
          <a:avLst/>
        </a:prstGeom>
      </xdr:spPr>
    </xdr:pic>
    <xdr:clientData/>
  </xdr:twoCellAnchor>
  <xdr:twoCellAnchor>
    <xdr:from>
      <xdr:col>1</xdr:col>
      <xdr:colOff>76201</xdr:colOff>
      <xdr:row>3</xdr:row>
      <xdr:rowOff>123827</xdr:rowOff>
    </xdr:from>
    <xdr:to>
      <xdr:col>1</xdr:col>
      <xdr:colOff>590551</xdr:colOff>
      <xdr:row>6</xdr:row>
      <xdr:rowOff>38102</xdr:rowOff>
    </xdr:to>
    <xdr:pic macro="[0]!livevalues">
      <xdr:nvPicPr>
        <xdr:cNvPr id="13" name="Graphic 12" descr="Euro with solid fill">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62051" y="704852"/>
          <a:ext cx="514350" cy="514350"/>
        </a:xfrm>
        <a:prstGeom prst="rect">
          <a:avLst/>
        </a:prstGeom>
      </xdr:spPr>
    </xdr:pic>
    <xdr:clientData/>
  </xdr:twoCellAnchor>
  <xdr:twoCellAnchor>
    <xdr:from>
      <xdr:col>0</xdr:col>
      <xdr:colOff>114300</xdr:colOff>
      <xdr:row>3</xdr:row>
      <xdr:rowOff>104774</xdr:rowOff>
    </xdr:from>
    <xdr:to>
      <xdr:col>0</xdr:col>
      <xdr:colOff>800101</xdr:colOff>
      <xdr:row>6</xdr:row>
      <xdr:rowOff>190500</xdr:rowOff>
    </xdr:to>
    <xdr:pic macro="[0]!Sheet2.ApplyChanges">
      <xdr:nvPicPr>
        <xdr:cNvPr id="14" name="Graphic 13" descr="Handshake with solid fill">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14300" y="685799"/>
          <a:ext cx="685801" cy="6858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0</xdr:rowOff>
        </xdr:from>
        <xdr:to>
          <xdr:col>0</xdr:col>
          <xdr:colOff>0</xdr:colOff>
          <xdr:row>12</xdr:row>
          <xdr:rowOff>57150</xdr:rowOff>
        </xdr:to>
        <xdr:sp macro="" textlink="">
          <xdr:nvSpPr>
            <xdr:cNvPr id="3478" name="Button 406" hidden="1">
              <a:extLst>
                <a:ext uri="{63B3BB69-23CF-44E3-9099-C40C66FF867C}">
                  <a14:compatExt spid="_x0000_s3478"/>
                </a:ext>
                <a:ext uri="{FF2B5EF4-FFF2-40B4-BE49-F238E27FC236}">
                  <a16:creationId xmlns:a16="http://schemas.microsoft.com/office/drawing/2014/main" id="{00000000-0008-0000-0400-0000960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Show all</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BR" refreshedDate="45473.679040972223" createdVersion="3" refreshedVersion="6" minRefreshableVersion="3" recordCount="350" xr:uid="{8B6F1B8A-EC3A-4311-AD57-03884E6E0EBD}">
  <cacheSource type="worksheet">
    <worksheetSource ref="B16:V366" sheet="MAIN"/>
  </cacheSource>
  <cacheFields count="21">
    <cacheField name="NAME" numFmtId="0">
      <sharedItems containsNonDate="0" containsString="0" containsBlank="1"/>
    </cacheField>
    <cacheField name="Family" numFmtId="0">
      <sharedItems containsNonDate="0" containsString="0" containsBlank="1" count="1">
        <m/>
      </sharedItems>
    </cacheField>
    <cacheField name="GMID" numFmtId="0">
      <sharedItems containsNonDate="0" containsString="0" containsBlank="1"/>
    </cacheField>
    <cacheField name="DESCRIP" numFmtId="0">
      <sharedItems containsNonDate="0" containsString="0" containsBlank="1"/>
    </cacheField>
    <cacheField name="Type" numFmtId="0">
      <sharedItems count="20">
        <s v="UF.24"/>
        <s v="A.23"/>
        <s v="IBP.24"/>
        <s v="B.24"/>
        <s v="T1.24"/>
        <s v="Fcst KX 24"/>
        <s v="UF.25"/>
        <s v="IBP.25"/>
        <s v="B.25"/>
        <s v="Fcst KX 25"/>
        <s v="UF.26"/>
        <s v="IBP.26"/>
        <s v="H.26"/>
        <s v="Fcst KX 26"/>
        <s v="UF.24 / IBP.24" f="1"/>
        <s v="UF.24-B.24" f="1"/>
        <s v="UF.24/B.24" f="1"/>
        <s v="Formula1" f="1"/>
        <s v="UF.25 / UF.24 " f="1"/>
        <s v="UF.24 / A.23" f="1"/>
      </sharedItems>
    </cacheField>
    <cacheField name="Jan" numFmtId="3">
      <sharedItems containsBlank="1" containsMixedTypes="1" containsNumber="1" containsInteger="1" minValue="0" maxValue="758839617391304"/>
    </cacheField>
    <cacheField name="Fév" numFmtId="3">
      <sharedItems containsBlank="1" containsMixedTypes="1" containsNumber="1" containsInteger="1" minValue="0" maxValue="567888629814259"/>
    </cacheField>
    <cacheField name="Mar" numFmtId="3">
      <sharedItems containsBlank="1" containsMixedTypes="1" containsNumber="1" containsInteger="1" minValue="0" maxValue="959550329670329"/>
    </cacheField>
    <cacheField name="Avr" numFmtId="3">
      <sharedItems containsString="0" containsBlank="1" containsNumber="1" containsInteger="1" minValue="0" maxValue="735784615384616"/>
    </cacheField>
    <cacheField name="Mai" numFmtId="3">
      <sharedItems containsBlank="1" containsMixedTypes="1" containsNumber="1" containsInteger="1" minValue="0" maxValue="769309182840579"/>
    </cacheField>
    <cacheField name="Jun" numFmtId="3">
      <sharedItems containsString="0" containsBlank="1" containsNumber="1" containsInteger="1" minValue="0" maxValue="718813186813187"/>
    </cacheField>
    <cacheField name="Jul" numFmtId="3">
      <sharedItems containsBlank="1" containsMixedTypes="1" containsNumber="1" containsInteger="1" minValue="0" maxValue="825862715832276"/>
    </cacheField>
    <cacheField name="Aou" numFmtId="3">
      <sharedItems containsBlank="1" containsMixedTypes="1" containsNumber="1" containsInteger="1" minValue="0" maxValue="812029830804815"/>
    </cacheField>
    <cacheField name="Sep" numFmtId="3">
      <sharedItems containsBlank="1" containsMixedTypes="1" containsNumber="1" containsInteger="1" minValue="0" maxValue="842247157118927"/>
    </cacheField>
    <cacheField name="Oct" numFmtId="3">
      <sharedItems containsString="0" containsBlank="1" containsNumber="1" containsInteger="1" minValue="0" maxValue="871284449149915"/>
    </cacheField>
    <cacheField name="Nov" numFmtId="3">
      <sharedItems containsBlank="1" containsMixedTypes="1" containsNumber="1" containsInteger="1" minValue="0" maxValue="905819507182719"/>
    </cacheField>
    <cacheField name="Déc" numFmtId="3">
      <sharedItems containsBlank="1" containsMixedTypes="1" containsNumber="1" containsInteger="1" minValue="0" maxValue="567888629814259"/>
    </cacheField>
    <cacheField name="Tot" numFmtId="0">
      <sharedItems containsSemiMixedTypes="0" containsString="0" containsNumber="1" containsInteger="1" minValue="0" maxValue="7041347786703419"/>
    </cacheField>
    <cacheField name="Var %" numFmtId="0">
      <sharedItems containsString="0" containsBlank="1" containsNumber="1" minValue="-1" maxValue="0.1111111111111111"/>
    </cacheField>
    <cacheField name="Type2" numFmtId="0">
      <sharedItems containsBlank="1"/>
    </cacheField>
    <cacheField name="CA £" numFmtId="165">
      <sharedItems containsSemiMixedTypes="0" containsString="0" containsNumber="1" containsInteger="1" minValue="0" maxValue="5587591695300"/>
    </cacheField>
  </cacheFields>
  <calculatedItems count="8">
    <calculatedItem formula="Type[UF.24]-Type[A.23]">
      <pivotArea cacheIndex="1" outline="0" fieldPosition="0">
        <references count="1">
          <reference field="4" count="1">
            <x v="17"/>
          </reference>
        </references>
      </pivotArea>
    </calculatedItem>
    <calculatedItem formula="Type[UF.24]-Type[B.24]">
      <pivotArea cacheIndex="1" outline="0" fieldPosition="0">
        <references count="1">
          <reference field="4" count="1">
            <x v="15"/>
          </reference>
        </references>
      </pivotArea>
    </calculatedItem>
    <calculatedItem formula="((Type[UF.25]-Type[UF.24])/Type[UF.24])">
      <pivotArea cacheIndex="1" outline="0" fieldPosition="0">
        <references count="1">
          <reference field="4" count="1">
            <x v="18"/>
          </reference>
        </references>
      </pivotArea>
    </calculatedItem>
    <calculatedItem field="20" formula=" IFERROR((Type[UF.25]-Type[UF.24])/Type[UF.24],0)">
      <pivotArea field="20" cacheIndex="1" outline="0" fieldPosition="0">
        <references count="1">
          <reference field="4" count="1">
            <x v="18"/>
          </reference>
        </references>
      </pivotArea>
    </calculatedItem>
    <calculatedItem field="17" formula="IFERROR((Type[UF.25]-Type[UF.24])/Type[UF.24],0)">
      <pivotArea field="17" cacheIndex="1" outline="0" fieldPosition="0">
        <references count="1">
          <reference field="4" count="1">
            <x v="18"/>
          </reference>
        </references>
      </pivotArea>
    </calculatedItem>
    <calculatedItem formula="(Type[UF.24]-Type[IBP.24])/Type[IBP.24]">
      <pivotArea cacheIndex="1" outline="0" fieldPosition="0">
        <references count="1">
          <reference field="4" count="1">
            <x v="14"/>
          </reference>
        </references>
      </pivotArea>
    </calculatedItem>
    <calculatedItem formula="(Type[Formula1])/Type[A.23]">
      <pivotArea cacheIndex="1" outline="0" fieldPosition="0">
        <references count="1">
          <reference field="4" count="1">
            <x v="19"/>
          </reference>
        </references>
      </pivotArea>
    </calculatedItem>
    <calculatedItem formula="(Type['UF.24-B.24'])/Type[B.24]">
      <pivotArea cacheIndex="1" outline="0" fieldPosition="0">
        <references count="1">
          <reference field="4" count="1">
            <x v="16"/>
          </reference>
        </references>
      </pivotArea>
    </calculatedItem>
  </calculatedItem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BR" refreshedDate="45473.680888425923" createdVersion="3" refreshedVersion="6" minRefreshableVersion="3" recordCount="350" xr:uid="{0063A599-D720-492D-B367-747FE48075BF}">
  <cacheSource type="worksheet">
    <worksheetSource ref="B16:V366" sheet="MAIN"/>
  </cacheSource>
  <cacheFields count="21">
    <cacheField name="NAME" numFmtId="0">
      <sharedItems containsNonDate="0" containsString="0" containsBlank="1"/>
    </cacheField>
    <cacheField name="Family" numFmtId="0">
      <sharedItems containsNonDate="0" containsBlank="1" count="10">
        <m/>
        <s v="ASPEGIC" u="1"/>
        <s v="ESSENTIALE" u="1"/>
        <s v="DOLIRHUME" u="1"/>
        <s v="ALLEGRA" u="1"/>
        <s v="IBUPROFEN" u="1"/>
        <s v="MAXILASE" u="1"/>
        <s v="ENTEROGERMINA" u="1"/>
        <s v="NASACORT" u="1"/>
        <s v="DOLIPRANE" u="1"/>
      </sharedItems>
    </cacheField>
    <cacheField name="GMID" numFmtId="0">
      <sharedItems containsNonDate="0" containsString="0" containsBlank="1"/>
    </cacheField>
    <cacheField name="DESCRIP" numFmtId="0">
      <sharedItems containsNonDate="0" containsString="0" containsBlank="1"/>
    </cacheField>
    <cacheField name="Type" numFmtId="0">
      <sharedItems count="21">
        <s v="UF.24"/>
        <s v="A.23"/>
        <s v="IBP.24"/>
        <s v="B.24"/>
        <s v="T1.24"/>
        <s v="Fcst KX 24"/>
        <s v="UF.25"/>
        <s v="IBP.25"/>
        <s v="B.25"/>
        <s v="Fcst KX 25"/>
        <s v="UF.26"/>
        <s v="IBP.26"/>
        <s v="H.26"/>
        <s v="Fcst KX 26"/>
        <s v="UF.24-IBP.24" f="1"/>
        <s v="UF.24-A.23" f="1"/>
        <s v="UF.24 % A.23" f="1"/>
        <s v="UF.24-B.24" f="1"/>
        <s v="UF.24 % B.24" f="1"/>
        <s v="UF.24 % IBP.24" f="1"/>
        <s v="UF.25 % UF.24" f="1"/>
      </sharedItems>
    </cacheField>
    <cacheField name="Jan" numFmtId="3">
      <sharedItems containsNonDate="0" containsString="0" containsBlank="1"/>
    </cacheField>
    <cacheField name="Fév" numFmtId="3">
      <sharedItems containsNonDate="0" containsString="0" containsBlank="1"/>
    </cacheField>
    <cacheField name="Mar" numFmtId="3">
      <sharedItems containsNonDate="0" containsString="0" containsBlank="1"/>
    </cacheField>
    <cacheField name="Avr" numFmtId="3">
      <sharedItems containsNonDate="0" containsString="0" containsBlank="1"/>
    </cacheField>
    <cacheField name="Mai" numFmtId="3">
      <sharedItems containsNonDate="0" containsString="0" containsBlank="1"/>
    </cacheField>
    <cacheField name="Jun" numFmtId="3">
      <sharedItems containsNonDate="0" containsString="0" containsBlank="1"/>
    </cacheField>
    <cacheField name="Jul" numFmtId="3">
      <sharedItems containsNonDate="0" containsString="0" containsBlank="1"/>
    </cacheField>
    <cacheField name="Aou" numFmtId="3">
      <sharedItems containsNonDate="0" containsString="0" containsBlank="1"/>
    </cacheField>
    <cacheField name="Sep" numFmtId="3">
      <sharedItems containsNonDate="0" containsString="0" containsBlank="1"/>
    </cacheField>
    <cacheField name="Oct" numFmtId="3">
      <sharedItems containsNonDate="0" containsString="0" containsBlank="1"/>
    </cacheField>
    <cacheField name="Nov" numFmtId="3">
      <sharedItems containsNonDate="0" containsString="0" containsBlank="1"/>
    </cacheField>
    <cacheField name="Déc" numFmtId="3">
      <sharedItems containsNonDate="0" containsString="0" containsBlank="1"/>
    </cacheField>
    <cacheField name="Tot" numFmtId="0">
      <sharedItems containsSemiMixedTypes="0" containsString="0" containsNumber="1" containsInteger="1" minValue="0" maxValue="0"/>
    </cacheField>
    <cacheField name="Var %" numFmtId="0">
      <sharedItems containsString="0" containsBlank="1" containsNumber="1" containsInteger="1" minValue="0" maxValue="0"/>
    </cacheField>
    <cacheField name="Type2" numFmtId="0">
      <sharedItems containsBlank="1"/>
    </cacheField>
    <cacheField name="CA £" numFmtId="165">
      <sharedItems containsSemiMixedTypes="0" containsString="0" containsNumber="1" containsInteger="1" minValue="0" maxValue="0"/>
    </cacheField>
  </cacheFields>
  <calculatedItems count="7">
    <calculatedItem formula="Type[UF.24]-Type[A.23]">
      <pivotArea cacheIndex="1" outline="0" fieldPosition="0">
        <references count="1">
          <reference field="4" count="1">
            <x v="15"/>
          </reference>
        </references>
      </pivotArea>
    </calculatedItem>
    <calculatedItem formula="Type[UF.24]-Type[B.24]">
      <pivotArea cacheIndex="1" outline="0" fieldPosition="0">
        <references count="1">
          <reference field="4" count="1">
            <x v="17"/>
          </reference>
        </references>
      </pivotArea>
    </calculatedItem>
    <calculatedItem formula="Type[UF.24]-Type[IBP.24]">
      <pivotArea cacheIndex="1" outline="0" fieldPosition="0">
        <references count="1">
          <reference field="4" count="1">
            <x v="14"/>
          </reference>
        </references>
      </pivotArea>
    </calculatedItem>
    <calculatedItem formula=" (Type['UF.24-A.23'])/Type[A.23]">
      <pivotArea cacheIndex="1" outline="0" fieldPosition="0">
        <references count="1">
          <reference field="4" count="1">
            <x v="16"/>
          </reference>
        </references>
      </pivotArea>
    </calculatedItem>
    <calculatedItem formula=" (Type['UF.24-B.24'])/Type[B.24]">
      <pivotArea cacheIndex="1" outline="0" fieldPosition="0">
        <references count="1">
          <reference field="4" count="1">
            <x v="18"/>
          </reference>
        </references>
      </pivotArea>
    </calculatedItem>
    <calculatedItem formula=" (Type['UF.24-IBP.24'])/Type[IBP.24]">
      <pivotArea cacheIndex="1" outline="0" fieldPosition="0">
        <references count="1">
          <reference field="4" count="1">
            <x v="19"/>
          </reference>
        </references>
      </pivotArea>
    </calculatedItem>
    <calculatedItem formula=" (Type[UF.25]-Type[UF.24])/Type[UF.24]">
      <pivotArea cacheIndex="1" outline="0" fieldPosition="0">
        <references count="1">
          <reference field="4" count="1">
            <x v="20"/>
          </reference>
        </references>
      </pivotArea>
    </calculatedItem>
  </calculatedItem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BR" refreshedDate="45473.680898148152" createdVersion="3" refreshedVersion="6" minRefreshableVersion="3" recordCount="350" xr:uid="{A5ED492D-B8B8-451E-A272-A997A30F3A68}">
  <cacheSource type="worksheet">
    <worksheetSource ref="B16:V366" sheet="MAIN"/>
  </cacheSource>
  <cacheFields count="21">
    <cacheField name="NAME" numFmtId="0">
      <sharedItems containsNonDate="0" containsString="0" containsBlank="1"/>
    </cacheField>
    <cacheField name="Family" numFmtId="0">
      <sharedItems containsNonDate="0" containsString="0" containsBlank="1"/>
    </cacheField>
    <cacheField name="GMID" numFmtId="0">
      <sharedItems containsNonDate="0" containsString="0" containsBlank="1"/>
    </cacheField>
    <cacheField name="DESCRIP" numFmtId="0">
      <sharedItems containsNonDate="0" containsBlank="1" count="26">
        <m/>
        <s v="ENTEROGERMINA 4BCFU/5ML SUSP BT10 S4 XE" u="1"/>
        <s v="IBUPRANE 400 MG CPR PEL (20)" u="1"/>
        <s v="DOLIPRANE 500 MG GLE (16)" u="1"/>
        <s v="ASPEGIC 250 bte 16" u="1"/>
        <s v="ASPEGIC 100 bte 30" u="1"/>
        <s v="ENTEROGERMINA 2BCFU/5ML SUSP BT10 S3 XE" u="1"/>
        <s v="DOLIPREX 500-25-5MG TABCO 2BL20" u="1"/>
        <s v="PH ASPEGIC 100 MG SA BTE 30" u="1"/>
        <s v="DOLIPRANE 1G CPR (8)" u="1"/>
        <s v="NASACORT AQ 55MCG 1 SPRA  XE" u="1"/>
        <s v="TELFAST 180MG  15CP TN D" u="1"/>
        <s v="ASPEGIC 1000 MG SACHETS (20)" u="1"/>
        <s v="DOLIPRANE 500 MG CPR (16)" u="1"/>
        <s v="ESSENTIALE FORTE 300MG CAP BL5X10 M24 XD" u="1"/>
        <s v="MAXILASE 3000 UI CPR (24)" u="1"/>
        <s v="MAXILASE SOL BUV 125 ML" u="1"/>
        <s v="DOLIPRANE 300 MG SACHET (12)" u="1"/>
        <s v="DOLIPRANE 500 MG SACHET (12)" u="1"/>
        <s v="PH DOLIPRANE 500 MG CPR (16)" u="1"/>
        <s v="DOLIPREX SACHETS (8)" u="1"/>
        <s v="DOLIPRANE 500 MG VIT C EFF (16)" u="1"/>
        <s v="DOLI RHUME CPR (16)" u="1"/>
        <s v="ASPEGIC 500 bte 16" u="1"/>
        <s v="DOLIPRANE PRO 325MG/37.5 CPR (20)" u="1"/>
        <s v="TELFAST 120MG   15 CP TN D" u="1"/>
      </sharedItems>
    </cacheField>
    <cacheField name="Type" numFmtId="0">
      <sharedItems count="21">
        <s v="UF.24"/>
        <s v="A.23"/>
        <s v="IBP.24"/>
        <s v="B.24"/>
        <s v="T1.24"/>
        <s v="Fcst KX 24"/>
        <s v="UF.25"/>
        <s v="IBP.25"/>
        <s v="B.25"/>
        <s v="Fcst KX 25"/>
        <s v="UF.26"/>
        <s v="IBP.26"/>
        <s v="H.26"/>
        <s v="Fcst KX 26"/>
        <s v="UF.24-IBP.24" f="1"/>
        <s v="UF.24-A.23" f="1"/>
        <s v="UF.24 % A.23" f="1"/>
        <s v="UF.24-B.24" f="1"/>
        <s v="UF.24 % B.24" f="1"/>
        <s v="UF.24 % IBP.24" f="1"/>
        <s v="UF.25 % UF.24" f="1"/>
      </sharedItems>
    </cacheField>
    <cacheField name="Jan" numFmtId="3">
      <sharedItems containsNonDate="0" containsString="0" containsBlank="1"/>
    </cacheField>
    <cacheField name="Fév" numFmtId="3">
      <sharedItems containsNonDate="0" containsString="0" containsBlank="1"/>
    </cacheField>
    <cacheField name="Mar" numFmtId="3">
      <sharedItems containsNonDate="0" containsString="0" containsBlank="1"/>
    </cacheField>
    <cacheField name="Avr" numFmtId="3">
      <sharedItems containsNonDate="0" containsString="0" containsBlank="1"/>
    </cacheField>
    <cacheField name="Mai" numFmtId="3">
      <sharedItems containsNonDate="0" containsString="0" containsBlank="1"/>
    </cacheField>
    <cacheField name="Jun" numFmtId="3">
      <sharedItems containsNonDate="0" containsString="0" containsBlank="1"/>
    </cacheField>
    <cacheField name="Jul" numFmtId="3">
      <sharedItems containsNonDate="0" containsString="0" containsBlank="1"/>
    </cacheField>
    <cacheField name="Aou" numFmtId="3">
      <sharedItems containsNonDate="0" containsString="0" containsBlank="1"/>
    </cacheField>
    <cacheField name="Sep" numFmtId="3">
      <sharedItems containsNonDate="0" containsString="0" containsBlank="1"/>
    </cacheField>
    <cacheField name="Oct" numFmtId="3">
      <sharedItems containsNonDate="0" containsString="0" containsBlank="1"/>
    </cacheField>
    <cacheField name="Nov" numFmtId="3">
      <sharedItems containsNonDate="0" containsString="0" containsBlank="1"/>
    </cacheField>
    <cacheField name="Déc" numFmtId="3">
      <sharedItems containsNonDate="0" containsString="0" containsBlank="1"/>
    </cacheField>
    <cacheField name="Tot" numFmtId="0">
      <sharedItems containsSemiMixedTypes="0" containsString="0" containsNumber="1" containsInteger="1" minValue="0" maxValue="0"/>
    </cacheField>
    <cacheField name="Var %" numFmtId="0">
      <sharedItems containsString="0" containsBlank="1" containsNumber="1" containsInteger="1" minValue="0" maxValue="0"/>
    </cacheField>
    <cacheField name="Type2" numFmtId="0">
      <sharedItems containsBlank="1"/>
    </cacheField>
    <cacheField name="CA £" numFmtId="165">
      <sharedItems containsSemiMixedTypes="0" containsString="0" containsNumber="1" containsInteger="1" minValue="0" maxValue="0"/>
    </cacheField>
  </cacheFields>
  <calculatedItems count="7">
    <calculatedItem formula="Type[UF.24]-Type[A.23]">
      <pivotArea cacheIndex="1" outline="0" fieldPosition="0">
        <references count="1">
          <reference field="4" count="1">
            <x v="15"/>
          </reference>
        </references>
      </pivotArea>
    </calculatedItem>
    <calculatedItem formula="Type[UF.24]-Type[B.24]">
      <pivotArea cacheIndex="1" outline="0" fieldPosition="0">
        <references count="1">
          <reference field="4" count="1">
            <x v="17"/>
          </reference>
        </references>
      </pivotArea>
    </calculatedItem>
    <calculatedItem formula="Type[UF.24]-Type[IBP.24]">
      <pivotArea cacheIndex="1" outline="0" fieldPosition="0">
        <references count="1">
          <reference field="4" count="1">
            <x v="14"/>
          </reference>
        </references>
      </pivotArea>
    </calculatedItem>
    <calculatedItem formula=" (Type['UF.24-A.23'])/Type[A.23]">
      <pivotArea cacheIndex="1" outline="0" fieldPosition="0">
        <references count="1">
          <reference field="4" count="1">
            <x v="16"/>
          </reference>
        </references>
      </pivotArea>
    </calculatedItem>
    <calculatedItem formula=" (Type['UF.24-B.24'])/Type[B.24]">
      <pivotArea cacheIndex="1" outline="0" fieldPosition="0">
        <references count="1">
          <reference field="4" count="1">
            <x v="18"/>
          </reference>
        </references>
      </pivotArea>
    </calculatedItem>
    <calculatedItem formula="(Type['UF.24-IBP.24'])/Type[IBP.24]">
      <pivotArea cacheIndex="1" outline="0" fieldPosition="0">
        <references count="1">
          <reference field="4" count="1">
            <x v="19"/>
          </reference>
        </references>
      </pivotArea>
    </calculatedItem>
    <calculatedItem formula=" (Type[UF.25]-Type[UF.24])/Type[UF.24]">
      <pivotArea cacheIndex="1" outline="0" fieldPosition="0">
        <references count="1">
          <reference field="4" count="1">
            <x v="20"/>
          </reference>
        </references>
      </pivotArea>
    </calculatedItem>
  </calculatedItem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88BC86-5531-4B1C-BC0F-009D46AFF78F}" name="PivotTable18" cacheId="16" applyNumberFormats="0" applyBorderFormats="0" applyFontFormats="0" applyPatternFormats="0" applyAlignmentFormats="0" applyWidthHeightFormats="1" dataCaption="Values" errorCaption="0" showError="1" updatedVersion="6" minRefreshableVersion="3" useAutoFormatting="1" rowGrandTotals="0" colGrandTotals="0" itemPrintTitles="1" mergeItem="1" createdVersion="8" indent="0" outline="1" outlineData="1" multipleFieldFilters="0">
  <location ref="A1:O4" firstHeaderRow="1" firstDataRow="3" firstDataCol="1"/>
  <pivotFields count="21">
    <pivotField showAll="0"/>
    <pivotField axis="axisRow" showAll="0" sortType="descending">
      <items count="11">
        <item m="1" x="4"/>
        <item m="1" x="1"/>
        <item m="1" x="9"/>
        <item m="1" x="3"/>
        <item m="1" x="7"/>
        <item m="1" x="2"/>
        <item m="1" x="5"/>
        <item m="1" x="6"/>
        <item m="1" x="8"/>
        <item x="0"/>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22">
        <item h="1" x="1"/>
        <item h="1" x="3"/>
        <item h="1" x="8"/>
        <item h="1" x="5"/>
        <item h="1" x="9"/>
        <item h="1" x="13"/>
        <item h="1" x="12"/>
        <item h="1" x="2"/>
        <item h="1" x="7"/>
        <item h="1" x="11"/>
        <item h="1" x="4"/>
        <item x="0"/>
        <item h="1" x="6"/>
        <item h="1" x="10"/>
        <item f="1" x="15"/>
        <item f="1" x="17"/>
        <item h="1" f="1" x="14"/>
        <item f="1" x="16"/>
        <item f="1" x="18"/>
        <item f="1" x="19"/>
        <item f="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numFmtId="165" showAll="0"/>
  </pivotFields>
  <rowFields count="1">
    <field x="1"/>
  </rowFields>
  <rowItems count="1">
    <i>
      <x v="9"/>
    </i>
  </rowItems>
  <colFields count="2">
    <field x="4"/>
    <field x="-2"/>
  </colFields>
  <colItems count="14">
    <i>
      <x v="11"/>
      <x/>
    </i>
    <i r="1" i="1">
      <x v="1"/>
    </i>
    <i>
      <x v="14"/>
      <x/>
    </i>
    <i r="1" i="1">
      <x v="1"/>
    </i>
    <i>
      <x v="15"/>
      <x/>
    </i>
    <i r="1" i="1">
      <x v="1"/>
    </i>
    <i>
      <x v="17"/>
      <x/>
    </i>
    <i r="1" i="1">
      <x v="1"/>
    </i>
    <i>
      <x v="18"/>
      <x/>
    </i>
    <i r="1" i="1">
      <x v="1"/>
    </i>
    <i>
      <x v="19"/>
      <x/>
    </i>
    <i r="1" i="1">
      <x v="1"/>
    </i>
    <i>
      <x v="20"/>
      <x/>
    </i>
    <i r="1" i="1">
      <x v="1"/>
    </i>
  </colItems>
  <dataFields count="2">
    <dataField name="Value" fld="20" baseField="0" baseItem="0" numFmtId="165"/>
    <dataField name="Volume" fld="17" baseField="0" baseItem="0" numFmtId="169"/>
  </dataFields>
  <formats count="10">
    <format dxfId="221">
      <pivotArea dataOnly="0" labelOnly="1" fieldPosition="0">
        <references count="1">
          <reference field="4" count="1">
            <x v="0"/>
          </reference>
        </references>
      </pivotArea>
    </format>
    <format dxfId="220">
      <pivotArea dataOnly="0" labelOnly="1" fieldPosition="0">
        <references count="1">
          <reference field="4" count="6">
            <x v="1"/>
            <x v="2"/>
            <x v="7"/>
            <x v="8"/>
            <x v="11"/>
            <x v="12"/>
          </reference>
        </references>
      </pivotArea>
    </format>
    <format dxfId="219">
      <pivotArea collapsedLevelsAreSubtotals="1" fieldPosition="0">
        <references count="3">
          <reference field="4294967294" count="1" selected="0">
            <x v="0"/>
          </reference>
          <reference field="1" count="1">
            <x v="0"/>
          </reference>
          <reference field="4" count="1" selected="0">
            <x v="0"/>
          </reference>
        </references>
      </pivotArea>
    </format>
    <format dxfId="218">
      <pivotArea outline="0" fieldPosition="0">
        <references count="1">
          <reference field="4294967294" count="1">
            <x v="0"/>
          </reference>
        </references>
      </pivotArea>
    </format>
    <format dxfId="217">
      <pivotArea outline="0" fieldPosition="0">
        <references count="1">
          <reference field="4294967294" count="1">
            <x v="1"/>
          </reference>
        </references>
      </pivotArea>
    </format>
    <format dxfId="216">
      <pivotArea outline="0" collapsedLevelsAreSubtotals="1" fieldPosition="0">
        <references count="1">
          <reference field="4" count="4" selected="0">
            <x v="17"/>
            <x v="18"/>
            <x v="19"/>
            <x v="20"/>
          </reference>
        </references>
      </pivotArea>
    </format>
    <format dxfId="215">
      <pivotArea outline="0" collapsedLevelsAreSubtotals="1" fieldPosition="0">
        <references count="1">
          <reference field="4" count="4" selected="0">
            <x v="17"/>
            <x v="18"/>
            <x v="19"/>
            <x v="20"/>
          </reference>
        </references>
      </pivotArea>
    </format>
    <format dxfId="214">
      <pivotArea outline="0" collapsedLevelsAreSubtotals="1" fieldPosition="0">
        <references count="1">
          <reference field="4" count="4" selected="0">
            <x v="17"/>
            <x v="18"/>
            <x v="19"/>
            <x v="20"/>
          </reference>
        </references>
      </pivotArea>
    </format>
    <format dxfId="213">
      <pivotArea dataOnly="0" labelOnly="1" fieldPosition="0">
        <references count="1">
          <reference field="1" count="0"/>
        </references>
      </pivotArea>
    </format>
    <format dxfId="212">
      <pivotArea outline="0" collapsedLevelsAreSubtotals="1" fieldPosition="0"/>
    </format>
  </formats>
  <conditionalFormats count="1">
    <conditionalFormat priority="1">
      <pivotAreas count="1">
        <pivotArea type="data" outline="0" collapsedLevelsAreSubtotals="1" fieldPosition="0">
          <references count="1">
            <reference field="4" count="4" selected="0">
              <x v="17"/>
              <x v="18"/>
              <x v="19"/>
              <x v="2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340FA7-B446-490D-B414-6896D0DF177F}" name="PivotTable1" cacheId="23" applyNumberFormats="0" applyBorderFormats="0" applyFontFormats="0" applyPatternFormats="0" applyAlignmentFormats="0" applyWidthHeightFormats="1" dataCaption="Values" errorCaption="0" showError="1" updatedVersion="6" minRefreshableVersion="3" showDrill="0" useAutoFormatting="1" rowGrandTotals="0" colGrandTotals="0" itemPrintTitles="1" mergeItem="1" createdVersion="8" indent="0" compact="0" compactData="0" multipleFieldFilters="0">
  <location ref="A1:Q4" firstHeaderRow="1" firstDataRow="3" firstDataCol="1"/>
  <pivotFields count="21">
    <pivotField compact="0" outline="0" subtotalTop="0" showAll="0" defaultSubtotal="0">
      <extLst>
        <ext xmlns:x14="http://schemas.microsoft.com/office/spreadsheetml/2009/9/main" uri="{2946ED86-A175-432a-8AC1-64E0C546D7DE}">
          <x14:pivotField fillDownLabels="1"/>
        </ext>
      </extLst>
    </pivotField>
    <pivotField compact="0" outline="0" subtotalTop="0" showAll="0" sortType="descending" defaultSubtotal="0">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descending" defaultSubtotal="0">
      <items count="26">
        <item m="1" x="5"/>
        <item m="1" x="12"/>
        <item m="1" x="4"/>
        <item m="1" x="23"/>
        <item m="1" x="22"/>
        <item m="1" x="9"/>
        <item m="1" x="17"/>
        <item m="1" x="13"/>
        <item m="1" x="3"/>
        <item m="1" x="18"/>
        <item m="1" x="21"/>
        <item m="1" x="24"/>
        <item m="1" x="7"/>
        <item m="1" x="20"/>
        <item m="1" x="6"/>
        <item m="1" x="1"/>
        <item m="1" x="14"/>
        <item m="1" x="2"/>
        <item m="1" x="15"/>
        <item m="1" x="16"/>
        <item m="1" x="10"/>
        <item m="1" x="8"/>
        <item m="1" x="19"/>
        <item m="1" x="25"/>
        <item m="1" x="11"/>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Col" compact="0" outline="0" subtotalTop="0" showAll="0" defaultSubtotal="0">
      <items count="21">
        <item h="1" x="1"/>
        <item h="1" x="3"/>
        <item h="1" x="8"/>
        <item h="1" x="5"/>
        <item h="1" x="9"/>
        <item h="1" x="13"/>
        <item h="1" x="12"/>
        <item h="1" x="2"/>
        <item h="1" x="7"/>
        <item h="1" x="11"/>
        <item h="1" x="4"/>
        <item x="0"/>
        <item h="1" x="6"/>
        <item h="1" x="10"/>
        <item f="1" x="15"/>
        <item f="1" x="17"/>
        <item f="1" x="14"/>
        <item f="1" x="16"/>
        <item f="1" x="18"/>
        <item f="1" x="19"/>
        <item f="1" x="2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numFmtId="165" outline="0" subtotalTop="0" showAll="0" defaultSubtotal="0">
      <extLst>
        <ext xmlns:x14="http://schemas.microsoft.com/office/spreadsheetml/2009/9/main" uri="{2946ED86-A175-432a-8AC1-64E0C546D7DE}">
          <x14:pivotField fillDownLabels="1"/>
        </ext>
      </extLst>
    </pivotField>
  </pivotFields>
  <rowFields count="1">
    <field x="3"/>
  </rowFields>
  <rowItems count="1">
    <i>
      <x v="25"/>
    </i>
  </rowItems>
  <colFields count="2">
    <field x="4"/>
    <field x="-2"/>
  </colFields>
  <colItems count="16">
    <i>
      <x v="11"/>
      <x/>
    </i>
    <i r="1" i="1">
      <x v="1"/>
    </i>
    <i>
      <x v="14"/>
      <x/>
    </i>
    <i r="1" i="1">
      <x v="1"/>
    </i>
    <i>
      <x v="15"/>
      <x/>
    </i>
    <i r="1" i="1">
      <x v="1"/>
    </i>
    <i>
      <x v="16"/>
      <x/>
    </i>
    <i r="1" i="1">
      <x v="1"/>
    </i>
    <i>
      <x v="17"/>
      <x/>
    </i>
    <i r="1" i="1">
      <x v="1"/>
    </i>
    <i>
      <x v="18"/>
      <x/>
    </i>
    <i r="1" i="1">
      <x v="1"/>
    </i>
    <i>
      <x v="19"/>
      <x/>
    </i>
    <i r="1" i="1">
      <x v="1"/>
    </i>
    <i>
      <x v="20"/>
      <x/>
    </i>
    <i r="1" i="1">
      <x v="1"/>
    </i>
  </colItems>
  <dataFields count="2">
    <dataField name="Value" fld="20" baseField="3" baseItem="0" numFmtId="165"/>
    <dataField name="Volume" fld="17" baseField="3" baseItem="0" numFmtId="169"/>
  </dataFields>
  <formats count="3">
    <format dxfId="210">
      <pivotArea outline="0" fieldPosition="0">
        <references count="1">
          <reference field="4" count="4" selected="0">
            <x v="17"/>
            <x v="18"/>
            <x v="19"/>
            <x v="20"/>
          </reference>
        </references>
      </pivotArea>
    </format>
    <format dxfId="209">
      <pivotArea outline="0" fieldPosition="0">
        <references count="1">
          <reference field="4" count="4" selected="0">
            <x v="17"/>
            <x v="18"/>
            <x v="19"/>
            <x v="20"/>
          </reference>
        </references>
      </pivotArea>
    </format>
    <format dxfId="208">
      <pivotArea outline="0" fieldPosition="0">
        <references count="1">
          <reference field="4" count="4" selected="0">
            <x v="17"/>
            <x v="18"/>
            <x v="19"/>
            <x v="20"/>
          </reference>
        </references>
      </pivotArea>
    </format>
  </formats>
  <conditionalFormats count="1">
    <conditionalFormat priority="1">
      <pivotAreas count="1">
        <pivotArea type="data" outline="0" collapsedLevelsAreSubtotals="1" fieldPosition="0">
          <references count="1">
            <reference field="4" count="4" selected="0">
              <x v="17"/>
              <x v="18"/>
              <x v="19"/>
              <x v="2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997E55-7EF1-44DE-8D99-AB5B6336FF6D}" name="PivotTable4" cacheId="0" applyNumberFormats="0" applyBorderFormats="0" applyFontFormats="0" applyPatternFormats="0" applyAlignmentFormats="0" applyWidthHeightFormats="1" dataCaption="Values" showError="1" updatedVersion="6" minRefreshableVersion="3" colGrandTotals="0" itemPrintTitles="1" mergeItem="1" createdVersion="8" indent="0" outline="1" outlineData="1" multipleFieldFilters="0" fieldListSortAscending="1">
  <location ref="E12:R15" firstHeaderRow="1" firstDataRow="3" firstDataCol="0" rowPageCount="1" colPageCount="1"/>
  <pivotFields count="21">
    <pivotField showAll="0"/>
    <pivotField axis="axisPage" showAll="0">
      <items count="2">
        <item x="0"/>
        <item t="default"/>
      </items>
    </pivotField>
    <pivotField showAll="0"/>
    <pivotField showAll="0"/>
    <pivotField axis="axisCol" showAll="0">
      <items count="21">
        <item h="1" x="1"/>
        <item h="1" x="3"/>
        <item h="1" x="5"/>
        <item h="1" x="9"/>
        <item h="1" x="8"/>
        <item h="1" x="2"/>
        <item h="1" x="7"/>
        <item h="1" x="11"/>
        <item x="0"/>
        <item h="1" x="6"/>
        <item h="1" x="10"/>
        <item h="1" x="12"/>
        <item h="1" x="4"/>
        <item h="1" x="13"/>
        <item n="UF .24 - A.23" f="1" x="17"/>
        <item f="1" x="15"/>
        <item f="1" x="19"/>
        <item f="1" x="16"/>
        <item f="1" x="14"/>
        <item f="1"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numFmtId="1" showAll="0"/>
  </pivotFields>
  <rowItems count="1">
    <i/>
  </rowItems>
  <colFields count="2">
    <field x="4"/>
    <field x="-2"/>
  </colFields>
  <colItems count="14">
    <i>
      <x v="8"/>
      <x/>
    </i>
    <i r="1" i="1">
      <x v="1"/>
    </i>
    <i>
      <x v="14"/>
      <x/>
    </i>
    <i r="1" i="1">
      <x v="1"/>
    </i>
    <i>
      <x v="15"/>
      <x/>
    </i>
    <i r="1" i="1">
      <x v="1"/>
    </i>
    <i>
      <x v="16"/>
      <x/>
    </i>
    <i r="1" i="1">
      <x v="1"/>
    </i>
    <i>
      <x v="17"/>
      <x/>
    </i>
    <i r="1" i="1">
      <x v="1"/>
    </i>
    <i>
      <x v="18"/>
      <x/>
    </i>
    <i r="1" i="1">
      <x v="1"/>
    </i>
    <i>
      <x v="19"/>
      <x/>
    </i>
    <i r="1" i="1">
      <x v="1"/>
    </i>
  </colItems>
  <pageFields count="1">
    <pageField fld="1" hier="-1"/>
  </pageFields>
  <dataFields count="2">
    <dataField name="Value K£" fld="20" baseField="4" baseItem="0" numFmtId="165"/>
    <dataField name="Volume UNT" fld="17" baseField="4" baseItem="0"/>
  </dataFields>
  <formats count="71">
    <format dxfId="194">
      <pivotArea type="origin" dataOnly="0" labelOnly="1" outline="0" fieldPosition="0"/>
    </format>
    <format dxfId="193">
      <pivotArea field="4" type="button" dataOnly="0" labelOnly="1" outline="0" axis="axisCol" fieldPosition="0"/>
    </format>
    <format dxfId="192">
      <pivotArea type="topRight" dataOnly="0" labelOnly="1" outline="0" fieldPosition="0"/>
    </format>
    <format dxfId="191">
      <pivotArea field="4" type="button" dataOnly="0" labelOnly="1" outline="0" axis="axisCol" fieldPosition="0"/>
    </format>
    <format dxfId="190">
      <pivotArea field="4" type="button" dataOnly="0" labelOnly="1" outline="0" axis="axisCol" fieldPosition="0"/>
    </format>
    <format dxfId="189">
      <pivotArea type="origin" dataOnly="0" labelOnly="1" outline="0" fieldPosition="0"/>
    </format>
    <format dxfId="188">
      <pivotArea type="topRight" dataOnly="0" labelOnly="1" outline="0" fieldPosition="0"/>
    </format>
    <format dxfId="187">
      <pivotArea type="topRight" dataOnly="0" labelOnly="1" outline="0" fieldPosition="0"/>
    </format>
    <format dxfId="186">
      <pivotArea outline="0" collapsedLevelsAreSubtotals="1" fieldPosition="0">
        <references count="1">
          <reference field="4" count="1" selected="0">
            <x v="5"/>
          </reference>
        </references>
      </pivotArea>
    </format>
    <format dxfId="185">
      <pivotArea outline="0" collapsedLevelsAreSubtotals="1" fieldPosition="0">
        <references count="1">
          <reference field="4" count="1" selected="0">
            <x v="5"/>
          </reference>
        </references>
      </pivotArea>
    </format>
    <format dxfId="184">
      <pivotArea outline="0" collapsedLevelsAreSubtotals="1" fieldPosition="0">
        <references count="1">
          <reference field="4" count="1" selected="0">
            <x v="6"/>
          </reference>
        </references>
      </pivotArea>
    </format>
    <format dxfId="183">
      <pivotArea outline="0" collapsedLevelsAreSubtotals="1" fieldPosition="0">
        <references count="1">
          <reference field="4" count="1" selected="0">
            <x v="6"/>
          </reference>
        </references>
      </pivotArea>
    </format>
    <format dxfId="182">
      <pivotArea outline="0" collapsedLevelsAreSubtotals="1" fieldPosition="0">
        <references count="1">
          <reference field="4" count="1" selected="0">
            <x v="8"/>
          </reference>
        </references>
      </pivotArea>
    </format>
    <format dxfId="181">
      <pivotArea outline="0" collapsedLevelsAreSubtotals="1" fieldPosition="0">
        <references count="1">
          <reference field="4" count="1" selected="0">
            <x v="8"/>
          </reference>
        </references>
      </pivotArea>
    </format>
    <format dxfId="180">
      <pivotArea outline="0" collapsedLevelsAreSubtotals="1" fieldPosition="0">
        <references count="1">
          <reference field="4" count="1" selected="0">
            <x v="9"/>
          </reference>
        </references>
      </pivotArea>
    </format>
    <format dxfId="179">
      <pivotArea outline="0" collapsedLevelsAreSubtotals="1" fieldPosition="0">
        <references count="1">
          <reference field="4" count="1" selected="0">
            <x v="9"/>
          </reference>
        </references>
      </pivotArea>
    </format>
    <format dxfId="178">
      <pivotArea type="all" dataOnly="0" outline="0" fieldPosition="0"/>
    </format>
    <format dxfId="177">
      <pivotArea outline="0" collapsedLevelsAreSubtotals="1" fieldPosition="0"/>
    </format>
    <format dxfId="176">
      <pivotArea type="origin" dataOnly="0" labelOnly="1" outline="0" fieldPosition="0"/>
    </format>
    <format dxfId="175">
      <pivotArea dataOnly="0" labelOnly="1" outline="0" axis="axisValues" fieldPosition="0"/>
    </format>
    <format dxfId="174">
      <pivotArea field="4" type="button" dataOnly="0" labelOnly="1" outline="0" axis="axisCol" fieldPosition="0"/>
    </format>
    <format dxfId="173">
      <pivotArea type="topRight" dataOnly="0" labelOnly="1" outline="0" fieldPosition="0"/>
    </format>
    <format dxfId="172">
      <pivotArea dataOnly="0" labelOnly="1" fieldPosition="0">
        <references count="1">
          <reference field="4" count="0"/>
        </references>
      </pivotArea>
    </format>
    <format dxfId="171">
      <pivotArea dataOnly="0" labelOnly="1" fieldPosition="0">
        <references count="1">
          <reference field="4" count="0"/>
        </references>
      </pivotArea>
    </format>
    <format dxfId="170">
      <pivotArea outline="0" collapsedLevelsAreSubtotals="1" fieldPosition="0"/>
    </format>
    <format dxfId="169">
      <pivotArea dataOnly="0" labelOnly="1" outline="0" axis="axisValues" fieldPosition="0"/>
    </format>
    <format dxfId="168">
      <pivotArea type="origin" dataOnly="0" labelOnly="1" outline="0" offset="A1" fieldPosition="0"/>
    </format>
    <format dxfId="167">
      <pivotArea field="4" type="button" dataOnly="0" labelOnly="1" outline="0" axis="axisCol" fieldPosition="0"/>
    </format>
    <format dxfId="166">
      <pivotArea type="topRight" dataOnly="0" labelOnly="1" outline="0" fieldPosition="0"/>
    </format>
    <format dxfId="165">
      <pivotArea outline="0" collapsedLevelsAreSubtotals="1" fieldPosition="0">
        <references count="1">
          <reference field="4" count="2" selected="0">
            <x v="8"/>
            <x v="9"/>
          </reference>
        </references>
      </pivotArea>
    </format>
    <format dxfId="164">
      <pivotArea outline="0" collapsedLevelsAreSubtotals="1" fieldPosition="0"/>
    </format>
    <format dxfId="163">
      <pivotArea outline="0" collapsedLevelsAreSubtotals="1" fieldPosition="0"/>
    </format>
    <format dxfId="162">
      <pivotArea outline="0" collapsedLevelsAreSubtotals="1" fieldPosition="0">
        <references count="1">
          <reference field="4" count="3" selected="0">
            <x v="8"/>
            <x v="9"/>
            <x v="10"/>
          </reference>
        </references>
      </pivotArea>
    </format>
    <format dxfId="161">
      <pivotArea dataOnly="0" labelOnly="1" outline="0" axis="axisValues" fieldPosition="0"/>
    </format>
    <format dxfId="160">
      <pivotArea outline="0" collapsedLevelsAreSubtotals="1" fieldPosition="0">
        <references count="1">
          <reference field="4" count="1" selected="0">
            <x v="1"/>
          </reference>
        </references>
      </pivotArea>
    </format>
    <format dxfId="159">
      <pivotArea outline="0" collapsedLevelsAreSubtotals="1" fieldPosition="0"/>
    </format>
    <format dxfId="158">
      <pivotArea field="-2" type="button" dataOnly="0" labelOnly="1" outline="0" axis="axisCol" fieldPosition="1"/>
    </format>
    <format dxfId="157">
      <pivotArea field="4" type="button" dataOnly="0" labelOnly="1" outline="0" axis="axisCol" fieldPosition="0"/>
    </format>
    <format dxfId="156">
      <pivotArea outline="0" collapsedLevelsAreSubtotals="1" fieldPosition="0">
        <references count="1">
          <reference field="4" count="1" selected="0">
            <x v="19"/>
          </reference>
        </references>
      </pivotArea>
    </format>
    <format dxfId="155">
      <pivotArea outline="0" collapsedLevelsAreSubtotals="1" fieldPosition="0">
        <references count="1">
          <reference field="4" count="1" selected="0">
            <x v="18"/>
          </reference>
        </references>
      </pivotArea>
    </format>
    <format dxfId="154">
      <pivotArea outline="0" collapsedLevelsAreSubtotals="1" fieldPosition="0">
        <references count="1">
          <reference field="4" count="1" selected="0">
            <x v="16"/>
          </reference>
        </references>
      </pivotArea>
    </format>
    <format dxfId="153">
      <pivotArea outline="0" collapsedLevelsAreSubtotals="1" fieldPosition="0">
        <references count="1">
          <reference field="4" count="1" selected="0">
            <x v="17"/>
          </reference>
        </references>
      </pivotArea>
    </format>
    <format dxfId="152">
      <pivotArea outline="0" collapsedLevelsAreSubtotals="1" fieldPosition="0">
        <references count="2">
          <reference field="4294967294" count="1" selected="0">
            <x v="0"/>
          </reference>
          <reference field="4" count="1" selected="0">
            <x v="0"/>
          </reference>
        </references>
      </pivotArea>
    </format>
    <format dxfId="151">
      <pivotArea outline="0" collapsedLevelsAreSubtotals="1" fieldPosition="0">
        <references count="2">
          <reference field="4294967294" count="1" selected="0">
            <x v="0"/>
          </reference>
          <reference field="4" count="1" selected="0">
            <x v="0"/>
          </reference>
        </references>
      </pivotArea>
    </format>
    <format dxfId="150">
      <pivotArea outline="0" fieldPosition="0">
        <references count="1">
          <reference field="4294967294" count="1">
            <x v="0"/>
          </reference>
        </references>
      </pivotArea>
    </format>
    <format dxfId="149">
      <pivotArea outline="0" collapsedLevelsAreSubtotals="1" fieldPosition="0">
        <references count="2">
          <reference field="4294967294" count="1" selected="0">
            <x v="0"/>
          </reference>
          <reference field="4" count="1" selected="0">
            <x v="1"/>
          </reference>
        </references>
      </pivotArea>
    </format>
    <format dxfId="148">
      <pivotArea outline="0" collapsedLevelsAreSubtotals="1" fieldPosition="0">
        <references count="2">
          <reference field="4294967294" count="1" selected="0">
            <x v="0"/>
          </reference>
          <reference field="4" count="1" selected="0">
            <x v="8"/>
          </reference>
        </references>
      </pivotArea>
    </format>
    <format dxfId="147">
      <pivotArea outline="0" collapsedLevelsAreSubtotals="1" fieldPosition="0">
        <references count="2">
          <reference field="4294967294" count="1" selected="0">
            <x v="0"/>
          </reference>
          <reference field="4" count="1" selected="0">
            <x v="14"/>
          </reference>
        </references>
      </pivotArea>
    </format>
    <format dxfId="146">
      <pivotArea outline="0" collapsedLevelsAreSubtotals="1" fieldPosition="0">
        <references count="2">
          <reference field="4294967294" count="1" selected="0">
            <x v="0"/>
          </reference>
          <reference field="4" count="1" selected="0">
            <x v="16"/>
          </reference>
        </references>
      </pivotArea>
    </format>
    <format dxfId="145">
      <pivotArea outline="0" collapsedLevelsAreSubtotals="1" fieldPosition="0">
        <references count="2">
          <reference field="4294967294" count="1" selected="0">
            <x v="0"/>
          </reference>
          <reference field="4" count="1" selected="0">
            <x v="15"/>
          </reference>
        </references>
      </pivotArea>
    </format>
    <format dxfId="144">
      <pivotArea outline="0" collapsedLevelsAreSubtotals="1" fieldPosition="0">
        <references count="2">
          <reference field="4294967294" count="1" selected="0">
            <x v="0"/>
          </reference>
          <reference field="4" count="1" selected="0">
            <x v="17"/>
          </reference>
        </references>
      </pivotArea>
    </format>
    <format dxfId="143">
      <pivotArea outline="0" collapsedLevelsAreSubtotals="1" fieldPosition="0">
        <references count="2">
          <reference field="4294967294" count="1" selected="0">
            <x v="0"/>
          </reference>
          <reference field="4" count="1" selected="0">
            <x v="18"/>
          </reference>
        </references>
      </pivotArea>
    </format>
    <format dxfId="142">
      <pivotArea outline="0" collapsedLevelsAreSubtotals="1" fieldPosition="0">
        <references count="2">
          <reference field="4294967294" count="1" selected="0">
            <x v="0"/>
          </reference>
          <reference field="4" count="1" selected="0">
            <x v="18"/>
          </reference>
        </references>
      </pivotArea>
    </format>
    <format dxfId="141">
      <pivotArea outline="0" collapsedLevelsAreSubtotals="1" fieldPosition="0">
        <references count="2">
          <reference field="4294967294" count="1" selected="0">
            <x v="0"/>
          </reference>
          <reference field="4" count="1" selected="0">
            <x v="17"/>
          </reference>
        </references>
      </pivotArea>
    </format>
    <format dxfId="140">
      <pivotArea outline="0" collapsedLevelsAreSubtotals="1" fieldPosition="0">
        <references count="2">
          <reference field="4294967294" count="1" selected="0">
            <x v="0"/>
          </reference>
          <reference field="4" count="1" selected="0">
            <x v="18"/>
          </reference>
        </references>
      </pivotArea>
    </format>
    <format dxfId="139">
      <pivotArea outline="0" collapsedLevelsAreSubtotals="1" fieldPosition="0">
        <references count="2">
          <reference field="4294967294" count="1" selected="0">
            <x v="0"/>
          </reference>
          <reference field="4" count="1" selected="0">
            <x v="16"/>
          </reference>
        </references>
      </pivotArea>
    </format>
    <format dxfId="138">
      <pivotArea outline="0" collapsedLevelsAreSubtotals="1" fieldPosition="0">
        <references count="2">
          <reference field="4294967294" count="1" selected="0">
            <x v="0"/>
          </reference>
          <reference field="4" count="1" selected="0">
            <x v="19"/>
          </reference>
        </references>
      </pivotArea>
    </format>
    <format dxfId="137">
      <pivotArea outline="0" collapsedLevelsAreSubtotals="1" fieldPosition="0">
        <references count="2">
          <reference field="4294967294" count="1" selected="0">
            <x v="0"/>
          </reference>
          <reference field="4" count="1" selected="0">
            <x v="19"/>
          </reference>
        </references>
      </pivotArea>
    </format>
    <format dxfId="136">
      <pivotArea outline="0" collapsedLevelsAreSubtotals="1" fieldPosition="0">
        <references count="2">
          <reference field="4294967294" count="1" selected="0">
            <x v="1"/>
          </reference>
          <reference field="4" count="1" selected="0">
            <x v="19"/>
          </reference>
        </references>
      </pivotArea>
    </format>
    <format dxfId="135">
      <pivotArea outline="0" collapsedLevelsAreSubtotals="1" fieldPosition="0">
        <references count="2">
          <reference field="4294967294" count="1" selected="0">
            <x v="1"/>
          </reference>
          <reference field="4" count="1" selected="0">
            <x v="18"/>
          </reference>
        </references>
      </pivotArea>
    </format>
    <format dxfId="134">
      <pivotArea outline="0" collapsedLevelsAreSubtotals="1" fieldPosition="0">
        <references count="2">
          <reference field="4294967294" count="1" selected="0">
            <x v="1"/>
          </reference>
          <reference field="4" count="1" selected="0">
            <x v="17"/>
          </reference>
        </references>
      </pivotArea>
    </format>
    <format dxfId="133">
      <pivotArea outline="0" collapsedLevelsAreSubtotals="1" fieldPosition="0">
        <references count="2">
          <reference field="4294967294" count="1" selected="0">
            <x v="1"/>
          </reference>
          <reference field="4" count="1" selected="0">
            <x v="15"/>
          </reference>
        </references>
      </pivotArea>
    </format>
    <format dxfId="132">
      <pivotArea outline="0" collapsedLevelsAreSubtotals="1" fieldPosition="0">
        <references count="2">
          <reference field="4294967294" count="1" selected="0">
            <x v="1"/>
          </reference>
          <reference field="4" count="1" selected="0">
            <x v="16"/>
          </reference>
        </references>
      </pivotArea>
    </format>
    <format dxfId="131">
      <pivotArea outline="0" collapsedLevelsAreSubtotals="1" fieldPosition="0">
        <references count="2">
          <reference field="4294967294" count="1" selected="0">
            <x v="1"/>
          </reference>
          <reference field="4" count="1" selected="0">
            <x v="14"/>
          </reference>
        </references>
      </pivotArea>
    </format>
    <format dxfId="130">
      <pivotArea outline="0" collapsedLevelsAreSubtotals="1" fieldPosition="0">
        <references count="2">
          <reference field="4294967294" count="1" selected="0">
            <x v="1"/>
          </reference>
          <reference field="4" count="1" selected="0">
            <x v="8"/>
          </reference>
        </references>
      </pivotArea>
    </format>
    <format dxfId="129">
      <pivotArea outline="0" collapsedLevelsAreSubtotals="1" fieldPosition="0">
        <references count="2">
          <reference field="4294967294" count="1" selected="0">
            <x v="1"/>
          </reference>
          <reference field="4" count="1" selected="0">
            <x v="8"/>
          </reference>
        </references>
      </pivotArea>
    </format>
    <format dxfId="128">
      <pivotArea outline="0" collapsedLevelsAreSubtotals="1" fieldPosition="0">
        <references count="2">
          <reference field="4294967294" count="1" selected="0">
            <x v="1"/>
          </reference>
          <reference field="4" count="1" selected="0">
            <x v="1"/>
          </reference>
        </references>
      </pivotArea>
    </format>
    <format dxfId="127">
      <pivotArea outline="0" collapsedLevelsAreSubtotals="1" fieldPosition="0">
        <references count="2">
          <reference field="4294967294" count="1" selected="0">
            <x v="1"/>
          </reference>
          <reference field="4" count="1" selected="0">
            <x v="1"/>
          </reference>
        </references>
      </pivotArea>
    </format>
    <format dxfId="126">
      <pivotArea outline="0" collapsedLevelsAreSubtotals="1" fieldPosition="0">
        <references count="2">
          <reference field="4294967294" count="1" selected="0">
            <x v="1"/>
          </reference>
          <reference field="4" count="1" selected="0">
            <x v="0"/>
          </reference>
        </references>
      </pivotArea>
    </format>
    <format dxfId="125">
      <pivotArea outline="0" collapsedLevelsAreSubtotals="1" fieldPosition="0">
        <references count="2">
          <reference field="4294967294" count="1" selected="0">
            <x v="0"/>
          </reference>
          <reference field="4" count="1" selected="0">
            <x v="8"/>
          </reference>
        </references>
      </pivotArea>
    </format>
    <format dxfId="124">
      <pivotArea field="1" type="button" dataOnly="0" labelOnly="1" outline="0" axis="axisPage"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9A069B-B622-4738-B5F8-20F9C777F3FC}" name="Tableau croisé dynamique1" cacheId="0" applyNumberFormats="0" applyBorderFormats="0" applyFontFormats="0" applyPatternFormats="0" applyAlignmentFormats="0" applyWidthHeightFormats="1" dataCaption="Values" showError="1" updatedVersion="6" minRefreshableVersion="3" colGrandTotals="0" itemPrintTitles="1" mergeItem="1" createdVersion="8" indent="0" outline="1" outlineData="1" multipleFieldFilters="0" fieldListSortAscending="1">
  <location ref="E12:R15" firstHeaderRow="1" firstDataRow="3" firstDataCol="0" rowPageCount="1" colPageCount="1"/>
  <pivotFields count="21">
    <pivotField showAll="0"/>
    <pivotField axis="axisPage" showAll="0">
      <items count="2">
        <item x="0"/>
        <item t="default"/>
      </items>
    </pivotField>
    <pivotField showAll="0"/>
    <pivotField showAll="0"/>
    <pivotField axis="axisCol" showAll="0">
      <items count="21">
        <item h="1" x="1"/>
        <item h="1" x="3"/>
        <item h="1" x="5"/>
        <item h="1" x="9"/>
        <item h="1" x="8"/>
        <item h="1" x="2"/>
        <item h="1" x="7"/>
        <item h="1" x="11"/>
        <item x="0"/>
        <item h="1" x="6"/>
        <item h="1" x="10"/>
        <item h="1" x="12"/>
        <item h="1" x="4"/>
        <item h="1" x="13"/>
        <item n="UF .24 - A.23" f="1" x="17"/>
        <item f="1" x="15"/>
        <item f="1" x="19"/>
        <item f="1" x="16"/>
        <item f="1" x="14"/>
        <item f="1"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numFmtId="1" showAll="0"/>
  </pivotFields>
  <rowItems count="1">
    <i/>
  </rowItems>
  <colFields count="2">
    <field x="4"/>
    <field x="-2"/>
  </colFields>
  <colItems count="14">
    <i>
      <x v="8"/>
      <x/>
    </i>
    <i r="1" i="1">
      <x v="1"/>
    </i>
    <i>
      <x v="14"/>
      <x/>
    </i>
    <i r="1" i="1">
      <x v="1"/>
    </i>
    <i>
      <x v="15"/>
      <x/>
    </i>
    <i r="1" i="1">
      <x v="1"/>
    </i>
    <i>
      <x v="16"/>
      <x/>
    </i>
    <i r="1" i="1">
      <x v="1"/>
    </i>
    <i>
      <x v="17"/>
      <x/>
    </i>
    <i r="1" i="1">
      <x v="1"/>
    </i>
    <i>
      <x v="18"/>
      <x/>
    </i>
    <i r="1" i="1">
      <x v="1"/>
    </i>
    <i>
      <x v="19"/>
      <x/>
    </i>
    <i r="1" i="1">
      <x v="1"/>
    </i>
  </colItems>
  <pageFields count="1">
    <pageField fld="1" hier="-1"/>
  </pageFields>
  <dataFields count="2">
    <dataField name="Value K£" fld="20" baseField="4" baseItem="0" numFmtId="165"/>
    <dataField name="Volume UNT" fld="17" baseField="4" baseItem="0"/>
  </dataFields>
  <formats count="71">
    <format dxfId="95">
      <pivotArea type="origin" dataOnly="0" labelOnly="1" outline="0" fieldPosition="0"/>
    </format>
    <format dxfId="94">
      <pivotArea field="4" type="button" dataOnly="0" labelOnly="1" outline="0" axis="axisCol" fieldPosition="0"/>
    </format>
    <format dxfId="93">
      <pivotArea type="topRight" dataOnly="0" labelOnly="1" outline="0" fieldPosition="0"/>
    </format>
    <format dxfId="92">
      <pivotArea field="4" type="button" dataOnly="0" labelOnly="1" outline="0" axis="axisCol" fieldPosition="0"/>
    </format>
    <format dxfId="91">
      <pivotArea field="4" type="button" dataOnly="0" labelOnly="1" outline="0" axis="axisCol" fieldPosition="0"/>
    </format>
    <format dxfId="90">
      <pivotArea type="origin" dataOnly="0" labelOnly="1" outline="0" fieldPosition="0"/>
    </format>
    <format dxfId="89">
      <pivotArea type="topRight" dataOnly="0" labelOnly="1" outline="0" fieldPosition="0"/>
    </format>
    <format dxfId="88">
      <pivotArea type="topRight" dataOnly="0" labelOnly="1" outline="0" fieldPosition="0"/>
    </format>
    <format dxfId="87">
      <pivotArea outline="0" collapsedLevelsAreSubtotals="1" fieldPosition="0">
        <references count="1">
          <reference field="4" count="1" selected="0">
            <x v="5"/>
          </reference>
        </references>
      </pivotArea>
    </format>
    <format dxfId="86">
      <pivotArea outline="0" collapsedLevelsAreSubtotals="1" fieldPosition="0">
        <references count="1">
          <reference field="4" count="1" selected="0">
            <x v="5"/>
          </reference>
        </references>
      </pivotArea>
    </format>
    <format dxfId="85">
      <pivotArea outline="0" collapsedLevelsAreSubtotals="1" fieldPosition="0">
        <references count="1">
          <reference field="4" count="1" selected="0">
            <x v="6"/>
          </reference>
        </references>
      </pivotArea>
    </format>
    <format dxfId="84">
      <pivotArea outline="0" collapsedLevelsAreSubtotals="1" fieldPosition="0">
        <references count="1">
          <reference field="4" count="1" selected="0">
            <x v="6"/>
          </reference>
        </references>
      </pivotArea>
    </format>
    <format dxfId="83">
      <pivotArea outline="0" collapsedLevelsAreSubtotals="1" fieldPosition="0">
        <references count="1">
          <reference field="4" count="1" selected="0">
            <x v="8"/>
          </reference>
        </references>
      </pivotArea>
    </format>
    <format dxfId="82">
      <pivotArea outline="0" collapsedLevelsAreSubtotals="1" fieldPosition="0">
        <references count="1">
          <reference field="4" count="1" selected="0">
            <x v="8"/>
          </reference>
        </references>
      </pivotArea>
    </format>
    <format dxfId="81">
      <pivotArea outline="0" collapsedLevelsAreSubtotals="1" fieldPosition="0">
        <references count="1">
          <reference field="4" count="1" selected="0">
            <x v="9"/>
          </reference>
        </references>
      </pivotArea>
    </format>
    <format dxfId="80">
      <pivotArea outline="0" collapsedLevelsAreSubtotals="1" fieldPosition="0">
        <references count="1">
          <reference field="4" count="1" selected="0">
            <x v="9"/>
          </reference>
        </references>
      </pivotArea>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dataOnly="0" labelOnly="1" outline="0" axis="axisValues" fieldPosition="0"/>
    </format>
    <format dxfId="75">
      <pivotArea field="4" type="button" dataOnly="0" labelOnly="1" outline="0" axis="axisCol" fieldPosition="0"/>
    </format>
    <format dxfId="74">
      <pivotArea type="topRight" dataOnly="0" labelOnly="1" outline="0" fieldPosition="0"/>
    </format>
    <format dxfId="73">
      <pivotArea dataOnly="0" labelOnly="1" fieldPosition="0">
        <references count="1">
          <reference field="4" count="0"/>
        </references>
      </pivotArea>
    </format>
    <format dxfId="72">
      <pivotArea dataOnly="0" labelOnly="1" fieldPosition="0">
        <references count="1">
          <reference field="4" count="0"/>
        </references>
      </pivotArea>
    </format>
    <format dxfId="71">
      <pivotArea outline="0" collapsedLevelsAreSubtotals="1" fieldPosition="0"/>
    </format>
    <format dxfId="70">
      <pivotArea dataOnly="0" labelOnly="1" outline="0" axis="axisValues" fieldPosition="0"/>
    </format>
    <format dxfId="69">
      <pivotArea type="origin" dataOnly="0" labelOnly="1" outline="0" offset="A1" fieldPosition="0"/>
    </format>
    <format dxfId="68">
      <pivotArea field="4" type="button" dataOnly="0" labelOnly="1" outline="0" axis="axisCol" fieldPosition="0"/>
    </format>
    <format dxfId="67">
      <pivotArea type="topRight" dataOnly="0" labelOnly="1" outline="0" fieldPosition="0"/>
    </format>
    <format dxfId="66">
      <pivotArea outline="0" collapsedLevelsAreSubtotals="1" fieldPosition="0">
        <references count="1">
          <reference field="4" count="2" selected="0">
            <x v="8"/>
            <x v="9"/>
          </reference>
        </references>
      </pivotArea>
    </format>
    <format dxfId="65">
      <pivotArea outline="0" collapsedLevelsAreSubtotals="1" fieldPosition="0"/>
    </format>
    <format dxfId="64">
      <pivotArea outline="0" collapsedLevelsAreSubtotals="1" fieldPosition="0"/>
    </format>
    <format dxfId="63">
      <pivotArea outline="0" collapsedLevelsAreSubtotals="1" fieldPosition="0">
        <references count="1">
          <reference field="4" count="3" selected="0">
            <x v="8"/>
            <x v="9"/>
            <x v="10"/>
          </reference>
        </references>
      </pivotArea>
    </format>
    <format dxfId="62">
      <pivotArea dataOnly="0" labelOnly="1" outline="0" axis="axisValues" fieldPosition="0"/>
    </format>
    <format dxfId="61">
      <pivotArea outline="0" collapsedLevelsAreSubtotals="1" fieldPosition="0">
        <references count="1">
          <reference field="4" count="1" selected="0">
            <x v="1"/>
          </reference>
        </references>
      </pivotArea>
    </format>
    <format dxfId="60">
      <pivotArea outline="0" collapsedLevelsAreSubtotals="1" fieldPosition="0"/>
    </format>
    <format dxfId="59">
      <pivotArea field="-2" type="button" dataOnly="0" labelOnly="1" outline="0" axis="axisCol" fieldPosition="1"/>
    </format>
    <format dxfId="58">
      <pivotArea field="4" type="button" dataOnly="0" labelOnly="1" outline="0" axis="axisCol" fieldPosition="0"/>
    </format>
    <format dxfId="57">
      <pivotArea outline="0" collapsedLevelsAreSubtotals="1" fieldPosition="0">
        <references count="1">
          <reference field="4" count="1" selected="0">
            <x v="19"/>
          </reference>
        </references>
      </pivotArea>
    </format>
    <format dxfId="56">
      <pivotArea outline="0" collapsedLevelsAreSubtotals="1" fieldPosition="0">
        <references count="1">
          <reference field="4" count="1" selected="0">
            <x v="18"/>
          </reference>
        </references>
      </pivotArea>
    </format>
    <format dxfId="55">
      <pivotArea outline="0" collapsedLevelsAreSubtotals="1" fieldPosition="0">
        <references count="1">
          <reference field="4" count="1" selected="0">
            <x v="16"/>
          </reference>
        </references>
      </pivotArea>
    </format>
    <format dxfId="54">
      <pivotArea outline="0" collapsedLevelsAreSubtotals="1" fieldPosition="0">
        <references count="1">
          <reference field="4" count="1" selected="0">
            <x v="17"/>
          </reference>
        </references>
      </pivotArea>
    </format>
    <format dxfId="53">
      <pivotArea outline="0" collapsedLevelsAreSubtotals="1" fieldPosition="0">
        <references count="2">
          <reference field="4294967294" count="1" selected="0">
            <x v="0"/>
          </reference>
          <reference field="4" count="1" selected="0">
            <x v="0"/>
          </reference>
        </references>
      </pivotArea>
    </format>
    <format dxfId="52">
      <pivotArea outline="0" collapsedLevelsAreSubtotals="1" fieldPosition="0">
        <references count="2">
          <reference field="4294967294" count="1" selected="0">
            <x v="0"/>
          </reference>
          <reference field="4" count="1" selected="0">
            <x v="0"/>
          </reference>
        </references>
      </pivotArea>
    </format>
    <format dxfId="51">
      <pivotArea outline="0" fieldPosition="0">
        <references count="1">
          <reference field="4294967294" count="1">
            <x v="0"/>
          </reference>
        </references>
      </pivotArea>
    </format>
    <format dxfId="50">
      <pivotArea outline="0" collapsedLevelsAreSubtotals="1" fieldPosition="0">
        <references count="2">
          <reference field="4294967294" count="1" selected="0">
            <x v="0"/>
          </reference>
          <reference field="4" count="1" selected="0">
            <x v="1"/>
          </reference>
        </references>
      </pivotArea>
    </format>
    <format dxfId="49">
      <pivotArea outline="0" collapsedLevelsAreSubtotals="1" fieldPosition="0">
        <references count="2">
          <reference field="4294967294" count="1" selected="0">
            <x v="0"/>
          </reference>
          <reference field="4" count="1" selected="0">
            <x v="8"/>
          </reference>
        </references>
      </pivotArea>
    </format>
    <format dxfId="48">
      <pivotArea outline="0" collapsedLevelsAreSubtotals="1" fieldPosition="0">
        <references count="2">
          <reference field="4294967294" count="1" selected="0">
            <x v="0"/>
          </reference>
          <reference field="4" count="1" selected="0">
            <x v="14"/>
          </reference>
        </references>
      </pivotArea>
    </format>
    <format dxfId="47">
      <pivotArea outline="0" collapsedLevelsAreSubtotals="1" fieldPosition="0">
        <references count="2">
          <reference field="4294967294" count="1" selected="0">
            <x v="0"/>
          </reference>
          <reference field="4" count="1" selected="0">
            <x v="16"/>
          </reference>
        </references>
      </pivotArea>
    </format>
    <format dxfId="46">
      <pivotArea outline="0" collapsedLevelsAreSubtotals="1" fieldPosition="0">
        <references count="2">
          <reference field="4294967294" count="1" selected="0">
            <x v="0"/>
          </reference>
          <reference field="4" count="1" selected="0">
            <x v="15"/>
          </reference>
        </references>
      </pivotArea>
    </format>
    <format dxfId="45">
      <pivotArea outline="0" collapsedLevelsAreSubtotals="1" fieldPosition="0">
        <references count="2">
          <reference field="4294967294" count="1" selected="0">
            <x v="0"/>
          </reference>
          <reference field="4" count="1" selected="0">
            <x v="17"/>
          </reference>
        </references>
      </pivotArea>
    </format>
    <format dxfId="44">
      <pivotArea outline="0" collapsedLevelsAreSubtotals="1" fieldPosition="0">
        <references count="2">
          <reference field="4294967294" count="1" selected="0">
            <x v="0"/>
          </reference>
          <reference field="4" count="1" selected="0">
            <x v="18"/>
          </reference>
        </references>
      </pivotArea>
    </format>
    <format dxfId="43">
      <pivotArea outline="0" collapsedLevelsAreSubtotals="1" fieldPosition="0">
        <references count="2">
          <reference field="4294967294" count="1" selected="0">
            <x v="0"/>
          </reference>
          <reference field="4" count="1" selected="0">
            <x v="18"/>
          </reference>
        </references>
      </pivotArea>
    </format>
    <format dxfId="42">
      <pivotArea outline="0" collapsedLevelsAreSubtotals="1" fieldPosition="0">
        <references count="2">
          <reference field="4294967294" count="1" selected="0">
            <x v="0"/>
          </reference>
          <reference field="4" count="1" selected="0">
            <x v="17"/>
          </reference>
        </references>
      </pivotArea>
    </format>
    <format dxfId="41">
      <pivotArea outline="0" collapsedLevelsAreSubtotals="1" fieldPosition="0">
        <references count="2">
          <reference field="4294967294" count="1" selected="0">
            <x v="0"/>
          </reference>
          <reference field="4" count="1" selected="0">
            <x v="18"/>
          </reference>
        </references>
      </pivotArea>
    </format>
    <format dxfId="40">
      <pivotArea outline="0" collapsedLevelsAreSubtotals="1" fieldPosition="0">
        <references count="2">
          <reference field="4294967294" count="1" selected="0">
            <x v="0"/>
          </reference>
          <reference field="4" count="1" selected="0">
            <x v="16"/>
          </reference>
        </references>
      </pivotArea>
    </format>
    <format dxfId="39">
      <pivotArea outline="0" collapsedLevelsAreSubtotals="1" fieldPosition="0">
        <references count="2">
          <reference field="4294967294" count="1" selected="0">
            <x v="0"/>
          </reference>
          <reference field="4" count="1" selected="0">
            <x v="19"/>
          </reference>
        </references>
      </pivotArea>
    </format>
    <format dxfId="38">
      <pivotArea outline="0" collapsedLevelsAreSubtotals="1" fieldPosition="0">
        <references count="2">
          <reference field="4294967294" count="1" selected="0">
            <x v="0"/>
          </reference>
          <reference field="4" count="1" selected="0">
            <x v="19"/>
          </reference>
        </references>
      </pivotArea>
    </format>
    <format dxfId="37">
      <pivotArea outline="0" collapsedLevelsAreSubtotals="1" fieldPosition="0">
        <references count="2">
          <reference field="4294967294" count="1" selected="0">
            <x v="1"/>
          </reference>
          <reference field="4" count="1" selected="0">
            <x v="19"/>
          </reference>
        </references>
      </pivotArea>
    </format>
    <format dxfId="36">
      <pivotArea outline="0" collapsedLevelsAreSubtotals="1" fieldPosition="0">
        <references count="2">
          <reference field="4294967294" count="1" selected="0">
            <x v="1"/>
          </reference>
          <reference field="4" count="1" selected="0">
            <x v="18"/>
          </reference>
        </references>
      </pivotArea>
    </format>
    <format dxfId="35">
      <pivotArea outline="0" collapsedLevelsAreSubtotals="1" fieldPosition="0">
        <references count="2">
          <reference field="4294967294" count="1" selected="0">
            <x v="1"/>
          </reference>
          <reference field="4" count="1" selected="0">
            <x v="17"/>
          </reference>
        </references>
      </pivotArea>
    </format>
    <format dxfId="34">
      <pivotArea outline="0" collapsedLevelsAreSubtotals="1" fieldPosition="0">
        <references count="2">
          <reference field="4294967294" count="1" selected="0">
            <x v="1"/>
          </reference>
          <reference field="4" count="1" selected="0">
            <x v="15"/>
          </reference>
        </references>
      </pivotArea>
    </format>
    <format dxfId="33">
      <pivotArea outline="0" collapsedLevelsAreSubtotals="1" fieldPosition="0">
        <references count="2">
          <reference field="4294967294" count="1" selected="0">
            <x v="1"/>
          </reference>
          <reference field="4" count="1" selected="0">
            <x v="16"/>
          </reference>
        </references>
      </pivotArea>
    </format>
    <format dxfId="32">
      <pivotArea outline="0" collapsedLevelsAreSubtotals="1" fieldPosition="0">
        <references count="2">
          <reference field="4294967294" count="1" selected="0">
            <x v="1"/>
          </reference>
          <reference field="4" count="1" selected="0">
            <x v="14"/>
          </reference>
        </references>
      </pivotArea>
    </format>
    <format dxfId="31">
      <pivotArea outline="0" collapsedLevelsAreSubtotals="1" fieldPosition="0">
        <references count="2">
          <reference field="4294967294" count="1" selected="0">
            <x v="1"/>
          </reference>
          <reference field="4" count="1" selected="0">
            <x v="8"/>
          </reference>
        </references>
      </pivotArea>
    </format>
    <format dxfId="30">
      <pivotArea outline="0" collapsedLevelsAreSubtotals="1" fieldPosition="0">
        <references count="2">
          <reference field="4294967294" count="1" selected="0">
            <x v="1"/>
          </reference>
          <reference field="4" count="1" selected="0">
            <x v="8"/>
          </reference>
        </references>
      </pivotArea>
    </format>
    <format dxfId="29">
      <pivotArea outline="0" collapsedLevelsAreSubtotals="1" fieldPosition="0">
        <references count="2">
          <reference field="4294967294" count="1" selected="0">
            <x v="1"/>
          </reference>
          <reference field="4" count="1" selected="0">
            <x v="1"/>
          </reference>
        </references>
      </pivotArea>
    </format>
    <format dxfId="28">
      <pivotArea outline="0" collapsedLevelsAreSubtotals="1" fieldPosition="0">
        <references count="2">
          <reference field="4294967294" count="1" selected="0">
            <x v="1"/>
          </reference>
          <reference field="4" count="1" selected="0">
            <x v="1"/>
          </reference>
        </references>
      </pivotArea>
    </format>
    <format dxfId="27">
      <pivotArea outline="0" collapsedLevelsAreSubtotals="1" fieldPosition="0">
        <references count="2">
          <reference field="4294967294" count="1" selected="0">
            <x v="1"/>
          </reference>
          <reference field="4" count="1" selected="0">
            <x v="0"/>
          </reference>
        </references>
      </pivotArea>
    </format>
    <format dxfId="26">
      <pivotArea outline="0" collapsedLevelsAreSubtotals="1" fieldPosition="0">
        <references count="2">
          <reference field="4294967294" count="1" selected="0">
            <x v="0"/>
          </reference>
          <reference field="4" count="1" selected="0">
            <x v="8"/>
          </reference>
        </references>
      </pivotArea>
    </format>
    <format dxfId="25">
      <pivotArea field="1" type="button" dataOnly="0" labelOnly="1" outline="0" axis="axisPage"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BF295191-A68D-4FD5-A847-383ADAAE49F4}" sourceName="NAME">
  <extLst>
    <x:ext xmlns:x15="http://schemas.microsoft.com/office/spreadsheetml/2010/11/main" uri="{2F2917AC-EB37-4324-AD4E-5DD8C200BD13}">
      <x15:tableSlicerCache tableId="2"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mily" xr10:uid="{A2662BA2-49B1-4BB7-B014-DEA9F7ED395C}" sourceName="Family">
  <extLst>
    <x:ext xmlns:x15="http://schemas.microsoft.com/office/spreadsheetml/2010/11/main" uri="{2F2917AC-EB37-4324-AD4E-5DD8C200BD13}">
      <x15:tableSlicerCache tableId="2" column="2"/>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 xr10:uid="{0F75F883-4EC6-48FE-B722-E6D91DE61BC4}" sourceName="DESCRIP">
  <extLst>
    <x:ext xmlns:x15="http://schemas.microsoft.com/office/spreadsheetml/2010/11/main" uri="{2F2917AC-EB37-4324-AD4E-5DD8C200BD13}">
      <x15:tableSlicerCache tableId="2" column="5"/>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1D994DF8-C886-4ED5-88B2-20F0A796A0DA}" cache="Slicer_NAME" caption="NAME" rowHeight="241300"/>
  <slicer name="Family" xr10:uid="{0C5F8E6B-50FA-4815-8FD0-D373B543D77B}" cache="Slicer_Family" caption="Family" rowHeight="241300"/>
  <slicer name="DESCRIP" xr10:uid="{4F17C5F9-72FF-449F-AC89-B1FA0DCF11CD}" cache="Slicer_DESCRIP" caption="DESCRIP"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0E343C-1A26-4996-B32D-306CE86E8321}" name="Table2" displayName="Table2" ref="A16:F367" totalsRowCount="1" headerRowDxfId="123" dataDxfId="122" totalsRowDxfId="121">
  <autoFilter ref="A16:F366" xr:uid="{3D0E343C-1A26-4996-B32D-306CE86E8321}"/>
  <tableColumns count="6">
    <tableColumn id="4" xr3:uid="{9296809D-A112-450E-840C-B1799FEF0481}" name="Concat" dataDxfId="120" totalsRowDxfId="119"/>
    <tableColumn id="1" xr3:uid="{A259C3AD-611C-4D9A-AC44-5E4259C623D2}" name="NAME" dataDxfId="118" totalsRowDxfId="117"/>
    <tableColumn id="2" xr3:uid="{6E9B847D-1A9A-44A1-894A-ED042266EB3F}" name="Family" dataDxfId="116" totalsRowDxfId="115"/>
    <tableColumn id="3" xr3:uid="{21369690-2C9B-4E12-9BC5-98156A2A7F58}" name="GMID" dataDxfId="114" totalsRowDxfId="113"/>
    <tableColumn id="5" xr3:uid="{14C00DCB-2EA6-4881-A1F5-AFCB0E05AC7A}" name="DESCRIP" dataDxfId="112" totalsRowDxfId="111"/>
    <tableColumn id="6" xr3:uid="{E816714A-770A-446C-90A1-5131C4686004}" name="Type" dataDxfId="110" totalsRowDxfId="109"/>
  </tableColumns>
  <tableStyleInfo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9C575E-E856-46F8-AC43-7FA73217ECA1}" name="Table22" displayName="Table22" ref="A16:F367" totalsRowCount="1" headerRowDxfId="24" dataDxfId="23" totalsRowDxfId="22">
  <autoFilter ref="A16:F366" xr:uid="{7CCCFB73-8D33-4E12-823C-DB909FF44616}">
    <filterColumn colId="3">
      <filters>
        <filter val="0"/>
      </filters>
    </filterColumn>
  </autoFilter>
  <tableColumns count="6">
    <tableColumn id="4" xr3:uid="{5C2C288F-6223-4D8F-A0E2-EA14E3DEF438}" name="Concat" dataDxfId="21" totalsRowDxfId="20"/>
    <tableColumn id="1" xr3:uid="{10CB4D99-3A07-4E81-813B-D32ADD0BD554}" name="NAME" dataDxfId="19" totalsRowDxfId="18"/>
    <tableColumn id="2" xr3:uid="{113EC20E-4A12-4FE2-8631-09ED044C2837}" name="Family" dataDxfId="17" totalsRowDxfId="16"/>
    <tableColumn id="3" xr3:uid="{A397491D-9598-4726-BFB5-6E4D4AAAD1EF}" name="GMID" dataDxfId="15" totalsRowDxfId="14"/>
    <tableColumn id="5" xr3:uid="{3B9AFFBF-B1A2-4570-8E9A-D2D535E4764B}" name="DESCRIP" dataDxfId="13" totalsRowDxfId="12"/>
    <tableColumn id="6" xr3:uid="{E6E6F4BE-034A-45FD-9305-C3465702E22F}" name="Type" dataDxfId="11" totalsRowDxfId="10"/>
  </tableColumns>
  <tableStyleInfo showFirstColumn="1" showLastColumn="0" showRowStripes="0"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lipFill>
          <a:blip xmlns:r="http://schemas.openxmlformats.org/officeDocument/2006/relationships" r:embed="rId1"/>
          <a:stretch>
            <a:fillRect/>
          </a:stretch>
        </a:blipFill>
        <a:ln>
          <a:noFill/>
        </a:ln>
      </a:spPr>
      <a:bodyPr vertOverflow="overflow" horzOverflow="overflow" rtlCol="0" anchor="t">
        <a:noAutofit/>
      </a:bodyPr>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6" Type="http://schemas.openxmlformats.org/officeDocument/2006/relationships/table" Target="../tables/table2.xml"/><Relationship Id="rId5" Type="http://schemas.openxmlformats.org/officeDocument/2006/relationships/ctrlProp" Target="../ctrlProps/ctrlProp9.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9B279-5123-432E-828C-1127F84A23AF}">
  <sheetPr codeName="Sheet13"/>
  <dimension ref="A1:B3853"/>
  <sheetViews>
    <sheetView workbookViewId="0">
      <selection activeCell="D7" sqref="D7"/>
    </sheetView>
  </sheetViews>
  <sheetFormatPr baseColWidth="10" defaultColWidth="9.140625" defaultRowHeight="15" x14ac:dyDescent="0.25"/>
  <sheetData>
    <row r="1" spans="1:2" x14ac:dyDescent="0.25">
      <c r="A1">
        <v>263235788732394</v>
      </c>
      <c r="B1" t="s">
        <v>1267</v>
      </c>
    </row>
    <row r="2" spans="1:2" x14ac:dyDescent="0.25">
      <c r="A2">
        <v>282653708333334</v>
      </c>
      <c r="B2" t="s">
        <v>1268</v>
      </c>
    </row>
    <row r="3" spans="1:2" x14ac:dyDescent="0.25">
      <c r="A3">
        <v>178814587734742</v>
      </c>
      <c r="B3" t="s">
        <v>1269</v>
      </c>
    </row>
    <row r="4" spans="1:2" x14ac:dyDescent="0.25">
      <c r="A4">
        <v>162423947036385</v>
      </c>
      <c r="B4" t="s">
        <v>1270</v>
      </c>
    </row>
    <row r="5" spans="1:2" x14ac:dyDescent="0.25">
      <c r="A5">
        <v>180377391358568</v>
      </c>
      <c r="B5" t="s">
        <v>1271</v>
      </c>
    </row>
    <row r="6" spans="1:2" x14ac:dyDescent="0.25">
      <c r="A6">
        <v>285081110585387</v>
      </c>
      <c r="B6" t="s">
        <v>1272</v>
      </c>
    </row>
    <row r="7" spans="1:2" x14ac:dyDescent="0.25">
      <c r="A7">
        <v>201061044729314</v>
      </c>
      <c r="B7" t="s">
        <v>1273</v>
      </c>
    </row>
    <row r="8" spans="1:2" x14ac:dyDescent="0.25">
      <c r="A8">
        <v>293618699007849</v>
      </c>
      <c r="B8" t="s">
        <v>1274</v>
      </c>
    </row>
    <row r="9" spans="1:2" x14ac:dyDescent="0.25">
      <c r="A9">
        <v>331018678142422</v>
      </c>
      <c r="B9" t="s">
        <v>1275</v>
      </c>
    </row>
    <row r="10" spans="1:2" x14ac:dyDescent="0.25">
      <c r="A10">
        <v>386770509845859</v>
      </c>
      <c r="B10" t="s">
        <v>1276</v>
      </c>
    </row>
    <row r="11" spans="1:2" x14ac:dyDescent="0.25">
      <c r="A11">
        <v>279922345298516</v>
      </c>
      <c r="B11" t="s">
        <v>1277</v>
      </c>
    </row>
    <row r="12" spans="1:2" x14ac:dyDescent="0.25">
      <c r="A12">
        <v>469923182625784</v>
      </c>
      <c r="B12" t="s">
        <v>1278</v>
      </c>
    </row>
    <row r="13" spans="1:2" x14ac:dyDescent="0.25">
      <c r="B13" t="s">
        <v>1279</v>
      </c>
    </row>
    <row r="14" spans="1:2" x14ac:dyDescent="0.25">
      <c r="B14" t="s">
        <v>1280</v>
      </c>
    </row>
    <row r="15" spans="1:2" x14ac:dyDescent="0.25">
      <c r="B15" t="s">
        <v>1281</v>
      </c>
    </row>
    <row r="16" spans="1:2" x14ac:dyDescent="0.25">
      <c r="B16" t="s">
        <v>1282</v>
      </c>
    </row>
    <row r="17" spans="2:2" x14ac:dyDescent="0.25">
      <c r="B17" t="s">
        <v>1283</v>
      </c>
    </row>
    <row r="18" spans="2:2" x14ac:dyDescent="0.25">
      <c r="B18" t="s">
        <v>1284</v>
      </c>
    </row>
    <row r="19" spans="2:2" x14ac:dyDescent="0.25">
      <c r="B19" t="s">
        <v>1285</v>
      </c>
    </row>
    <row r="20" spans="2:2" x14ac:dyDescent="0.25">
      <c r="B20" t="s">
        <v>1286</v>
      </c>
    </row>
    <row r="21" spans="2:2" x14ac:dyDescent="0.25">
      <c r="B21" t="s">
        <v>1287</v>
      </c>
    </row>
    <row r="22" spans="2:2" x14ac:dyDescent="0.25">
      <c r="B22" t="s">
        <v>1288</v>
      </c>
    </row>
    <row r="23" spans="2:2" x14ac:dyDescent="0.25">
      <c r="B23" t="s">
        <v>1289</v>
      </c>
    </row>
    <row r="24" spans="2:2" x14ac:dyDescent="0.25">
      <c r="B24" t="s">
        <v>1290</v>
      </c>
    </row>
    <row r="25" spans="2:2" x14ac:dyDescent="0.25">
      <c r="B25" t="s">
        <v>1291</v>
      </c>
    </row>
    <row r="26" spans="2:2" x14ac:dyDescent="0.25">
      <c r="B26" t="s">
        <v>1292</v>
      </c>
    </row>
    <row r="27" spans="2:2" x14ac:dyDescent="0.25">
      <c r="B27" t="s">
        <v>1293</v>
      </c>
    </row>
    <row r="28" spans="2:2" x14ac:dyDescent="0.25">
      <c r="B28" t="s">
        <v>1294</v>
      </c>
    </row>
    <row r="29" spans="2:2" x14ac:dyDescent="0.25">
      <c r="B29" t="s">
        <v>1295</v>
      </c>
    </row>
    <row r="30" spans="2:2" x14ac:dyDescent="0.25">
      <c r="B30" t="s">
        <v>1296</v>
      </c>
    </row>
    <row r="31" spans="2:2" x14ac:dyDescent="0.25">
      <c r="B31" t="s">
        <v>1297</v>
      </c>
    </row>
    <row r="32" spans="2:2" x14ac:dyDescent="0.25">
      <c r="B32" t="s">
        <v>1298</v>
      </c>
    </row>
    <row r="33" spans="1:2" x14ac:dyDescent="0.25">
      <c r="B33" t="s">
        <v>1299</v>
      </c>
    </row>
    <row r="34" spans="1:2" x14ac:dyDescent="0.25">
      <c r="B34" t="s">
        <v>1300</v>
      </c>
    </row>
    <row r="35" spans="1:2" x14ac:dyDescent="0.25">
      <c r="B35" t="s">
        <v>1301</v>
      </c>
    </row>
    <row r="36" spans="1:2" x14ac:dyDescent="0.25">
      <c r="B36" t="s">
        <v>1302</v>
      </c>
    </row>
    <row r="37" spans="1:2" x14ac:dyDescent="0.25">
      <c r="A37">
        <v>25000</v>
      </c>
      <c r="B37" t="s">
        <v>1303</v>
      </c>
    </row>
    <row r="38" spans="1:2" x14ac:dyDescent="0.25">
      <c r="A38">
        <v>20000</v>
      </c>
      <c r="B38" t="s">
        <v>1304</v>
      </c>
    </row>
    <row r="39" spans="1:2" x14ac:dyDescent="0.25">
      <c r="A39">
        <v>15000</v>
      </c>
      <c r="B39" t="s">
        <v>1305</v>
      </c>
    </row>
    <row r="40" spans="1:2" x14ac:dyDescent="0.25">
      <c r="A40">
        <v>10000</v>
      </c>
      <c r="B40" t="s">
        <v>1306</v>
      </c>
    </row>
    <row r="41" spans="1:2" x14ac:dyDescent="0.25">
      <c r="A41">
        <v>7000</v>
      </c>
      <c r="B41" t="s">
        <v>1307</v>
      </c>
    </row>
    <row r="42" spans="1:2" x14ac:dyDescent="0.25">
      <c r="A42">
        <v>7369</v>
      </c>
      <c r="B42" t="s">
        <v>1308</v>
      </c>
    </row>
    <row r="43" spans="1:2" x14ac:dyDescent="0.25">
      <c r="A43">
        <v>7368</v>
      </c>
      <c r="B43" t="s">
        <v>1309</v>
      </c>
    </row>
    <row r="44" spans="1:2" x14ac:dyDescent="0.25">
      <c r="A44">
        <v>11868</v>
      </c>
      <c r="B44" t="s">
        <v>1310</v>
      </c>
    </row>
    <row r="45" spans="1:2" x14ac:dyDescent="0.25">
      <c r="A45">
        <v>15869</v>
      </c>
      <c r="B45" t="s">
        <v>1311</v>
      </c>
    </row>
    <row r="46" spans="1:2" x14ac:dyDescent="0.25">
      <c r="A46">
        <v>17000</v>
      </c>
      <c r="B46" t="s">
        <v>1312</v>
      </c>
    </row>
    <row r="47" spans="1:2" x14ac:dyDescent="0.25">
      <c r="A47">
        <v>20000</v>
      </c>
      <c r="B47" t="s">
        <v>1313</v>
      </c>
    </row>
    <row r="48" spans="1:2" x14ac:dyDescent="0.25">
      <c r="A48">
        <v>15000</v>
      </c>
      <c r="B48" t="s">
        <v>1314</v>
      </c>
    </row>
    <row r="49" spans="1:2" x14ac:dyDescent="0.25">
      <c r="A49">
        <v>7000</v>
      </c>
      <c r="B49" t="s">
        <v>1315</v>
      </c>
    </row>
    <row r="50" spans="1:2" x14ac:dyDescent="0.25">
      <c r="A50">
        <v>0</v>
      </c>
      <c r="B50" t="s">
        <v>1316</v>
      </c>
    </row>
    <row r="51" spans="1:2" x14ac:dyDescent="0.25">
      <c r="A51">
        <v>0</v>
      </c>
      <c r="B51" t="s">
        <v>1317</v>
      </c>
    </row>
    <row r="52" spans="1:2" x14ac:dyDescent="0.25">
      <c r="A52">
        <v>0</v>
      </c>
      <c r="B52" t="s">
        <v>1318</v>
      </c>
    </row>
    <row r="53" spans="1:2" x14ac:dyDescent="0.25">
      <c r="A53">
        <v>0</v>
      </c>
      <c r="B53" t="s">
        <v>1319</v>
      </c>
    </row>
    <row r="54" spans="1:2" x14ac:dyDescent="0.25">
      <c r="A54">
        <v>0</v>
      </c>
      <c r="B54" t="s">
        <v>1320</v>
      </c>
    </row>
    <row r="55" spans="1:2" x14ac:dyDescent="0.25">
      <c r="A55">
        <v>0</v>
      </c>
      <c r="B55" t="s">
        <v>1321</v>
      </c>
    </row>
    <row r="56" spans="1:2" x14ac:dyDescent="0.25">
      <c r="A56">
        <v>0</v>
      </c>
      <c r="B56" t="s">
        <v>1322</v>
      </c>
    </row>
    <row r="57" spans="1:2" x14ac:dyDescent="0.25">
      <c r="A57">
        <v>0</v>
      </c>
      <c r="B57" t="s">
        <v>1323</v>
      </c>
    </row>
    <row r="58" spans="1:2" x14ac:dyDescent="0.25">
      <c r="A58">
        <v>0</v>
      </c>
      <c r="B58" t="s">
        <v>1324</v>
      </c>
    </row>
    <row r="59" spans="1:2" x14ac:dyDescent="0.25">
      <c r="A59">
        <v>0</v>
      </c>
      <c r="B59" t="s">
        <v>1325</v>
      </c>
    </row>
    <row r="60" spans="1:2" x14ac:dyDescent="0.25">
      <c r="A60">
        <v>0</v>
      </c>
      <c r="B60" t="s">
        <v>1326</v>
      </c>
    </row>
    <row r="61" spans="1:2" x14ac:dyDescent="0.25">
      <c r="A61">
        <v>1699583625</v>
      </c>
      <c r="B61" t="s">
        <v>1327</v>
      </c>
    </row>
    <row r="62" spans="1:2" x14ac:dyDescent="0.25">
      <c r="A62">
        <v>1565172225</v>
      </c>
      <c r="B62" t="s">
        <v>1328</v>
      </c>
    </row>
    <row r="63" spans="1:2" x14ac:dyDescent="0.25">
      <c r="A63">
        <v>1595621025</v>
      </c>
      <c r="B63" t="s">
        <v>1329</v>
      </c>
    </row>
    <row r="64" spans="1:2" x14ac:dyDescent="0.25">
      <c r="A64">
        <v>1310650425</v>
      </c>
      <c r="B64" t="s">
        <v>1330</v>
      </c>
    </row>
    <row r="65" spans="1:2" x14ac:dyDescent="0.25">
      <c r="A65">
        <v>1387902825</v>
      </c>
      <c r="B65" t="s">
        <v>1331</v>
      </c>
    </row>
    <row r="66" spans="1:2" x14ac:dyDescent="0.25">
      <c r="A66">
        <v>1547908425</v>
      </c>
      <c r="B66" t="s">
        <v>1332</v>
      </c>
    </row>
    <row r="67" spans="1:2" x14ac:dyDescent="0.25">
      <c r="A67">
        <v>1362139425</v>
      </c>
      <c r="B67" t="s">
        <v>1333</v>
      </c>
    </row>
    <row r="68" spans="1:2" x14ac:dyDescent="0.25">
      <c r="A68">
        <v>1453338225</v>
      </c>
      <c r="B68" t="s">
        <v>1334</v>
      </c>
    </row>
    <row r="69" spans="1:2" x14ac:dyDescent="0.25">
      <c r="A69">
        <v>2050810425</v>
      </c>
      <c r="B69" t="s">
        <v>1335</v>
      </c>
    </row>
    <row r="70" spans="1:2" x14ac:dyDescent="0.25">
      <c r="A70">
        <v>1751436225</v>
      </c>
      <c r="B70" t="s">
        <v>1336</v>
      </c>
    </row>
    <row r="71" spans="1:2" x14ac:dyDescent="0.25">
      <c r="A71">
        <v>1521153225</v>
      </c>
      <c r="B71" t="s">
        <v>1337</v>
      </c>
    </row>
    <row r="72" spans="1:2" x14ac:dyDescent="0.25">
      <c r="A72">
        <v>546374024999999</v>
      </c>
      <c r="B72" t="s">
        <v>1338</v>
      </c>
    </row>
    <row r="73" spans="1:2" x14ac:dyDescent="0.25">
      <c r="B73" t="s">
        <v>1339</v>
      </c>
    </row>
    <row r="74" spans="1:2" x14ac:dyDescent="0.25">
      <c r="B74" t="s">
        <v>1340</v>
      </c>
    </row>
    <row r="75" spans="1:2" x14ac:dyDescent="0.25">
      <c r="B75" t="s">
        <v>1341</v>
      </c>
    </row>
    <row r="76" spans="1:2" x14ac:dyDescent="0.25">
      <c r="B76" t="s">
        <v>1342</v>
      </c>
    </row>
    <row r="77" spans="1:2" x14ac:dyDescent="0.25">
      <c r="B77" t="s">
        <v>1343</v>
      </c>
    </row>
    <row r="78" spans="1:2" x14ac:dyDescent="0.25">
      <c r="B78" t="s">
        <v>1344</v>
      </c>
    </row>
    <row r="79" spans="1:2" x14ac:dyDescent="0.25">
      <c r="B79" t="s">
        <v>1345</v>
      </c>
    </row>
    <row r="80" spans="1:2" x14ac:dyDescent="0.25">
      <c r="B80" t="s">
        <v>1346</v>
      </c>
    </row>
    <row r="81" spans="2:2" x14ac:dyDescent="0.25">
      <c r="B81" t="s">
        <v>1347</v>
      </c>
    </row>
    <row r="82" spans="2:2" x14ac:dyDescent="0.25">
      <c r="B82" t="s">
        <v>1348</v>
      </c>
    </row>
    <row r="83" spans="2:2" x14ac:dyDescent="0.25">
      <c r="B83" t="s">
        <v>1349</v>
      </c>
    </row>
    <row r="84" spans="2:2" x14ac:dyDescent="0.25">
      <c r="B84" t="s">
        <v>1350</v>
      </c>
    </row>
    <row r="85" spans="2:2" x14ac:dyDescent="0.25">
      <c r="B85" t="s">
        <v>1351</v>
      </c>
    </row>
    <row r="86" spans="2:2" x14ac:dyDescent="0.25">
      <c r="B86" t="s">
        <v>1352</v>
      </c>
    </row>
    <row r="87" spans="2:2" x14ac:dyDescent="0.25">
      <c r="B87" t="s">
        <v>1353</v>
      </c>
    </row>
    <row r="88" spans="2:2" x14ac:dyDescent="0.25">
      <c r="B88" t="s">
        <v>1354</v>
      </c>
    </row>
    <row r="89" spans="2:2" x14ac:dyDescent="0.25">
      <c r="B89" t="s">
        <v>1355</v>
      </c>
    </row>
    <row r="90" spans="2:2" x14ac:dyDescent="0.25">
      <c r="B90" t="s">
        <v>1356</v>
      </c>
    </row>
    <row r="91" spans="2:2" x14ac:dyDescent="0.25">
      <c r="B91" t="s">
        <v>1357</v>
      </c>
    </row>
    <row r="92" spans="2:2" x14ac:dyDescent="0.25">
      <c r="B92" t="s">
        <v>1358</v>
      </c>
    </row>
    <row r="93" spans="2:2" x14ac:dyDescent="0.25">
      <c r="B93" t="s">
        <v>1359</v>
      </c>
    </row>
    <row r="94" spans="2:2" x14ac:dyDescent="0.25">
      <c r="B94" t="s">
        <v>1360</v>
      </c>
    </row>
    <row r="95" spans="2:2" x14ac:dyDescent="0.25">
      <c r="B95" t="s">
        <v>1361</v>
      </c>
    </row>
    <row r="96" spans="2:2" x14ac:dyDescent="0.25">
      <c r="B96" t="s">
        <v>1362</v>
      </c>
    </row>
    <row r="97" spans="2:2" x14ac:dyDescent="0.25">
      <c r="B97" t="s">
        <v>1363</v>
      </c>
    </row>
    <row r="98" spans="2:2" x14ac:dyDescent="0.25">
      <c r="B98" t="s">
        <v>1364</v>
      </c>
    </row>
    <row r="99" spans="2:2" x14ac:dyDescent="0.25">
      <c r="B99" t="s">
        <v>1365</v>
      </c>
    </row>
    <row r="100" spans="2:2" x14ac:dyDescent="0.25">
      <c r="B100" t="s">
        <v>1366</v>
      </c>
    </row>
    <row r="101" spans="2:2" x14ac:dyDescent="0.25">
      <c r="B101" t="s">
        <v>1367</v>
      </c>
    </row>
    <row r="102" spans="2:2" x14ac:dyDescent="0.25">
      <c r="B102" t="s">
        <v>1368</v>
      </c>
    </row>
    <row r="103" spans="2:2" x14ac:dyDescent="0.25">
      <c r="B103" t="s">
        <v>1369</v>
      </c>
    </row>
    <row r="104" spans="2:2" x14ac:dyDescent="0.25">
      <c r="B104" t="s">
        <v>1370</v>
      </c>
    </row>
    <row r="105" spans="2:2" x14ac:dyDescent="0.25">
      <c r="B105" t="s">
        <v>1371</v>
      </c>
    </row>
    <row r="106" spans="2:2" x14ac:dyDescent="0.25">
      <c r="B106" t="s">
        <v>1372</v>
      </c>
    </row>
    <row r="107" spans="2:2" x14ac:dyDescent="0.25">
      <c r="B107" t="s">
        <v>1373</v>
      </c>
    </row>
    <row r="108" spans="2:2" x14ac:dyDescent="0.25">
      <c r="B108" t="s">
        <v>1374</v>
      </c>
    </row>
    <row r="109" spans="2:2" x14ac:dyDescent="0.25">
      <c r="B109" t="s">
        <v>1375</v>
      </c>
    </row>
    <row r="110" spans="2:2" x14ac:dyDescent="0.25">
      <c r="B110" t="s">
        <v>1376</v>
      </c>
    </row>
    <row r="111" spans="2:2" x14ac:dyDescent="0.25">
      <c r="B111" t="s">
        <v>1377</v>
      </c>
    </row>
    <row r="112" spans="2:2" x14ac:dyDescent="0.25">
      <c r="B112" t="s">
        <v>1378</v>
      </c>
    </row>
    <row r="113" spans="1:2" x14ac:dyDescent="0.25">
      <c r="B113" t="s">
        <v>1379</v>
      </c>
    </row>
    <row r="114" spans="1:2" x14ac:dyDescent="0.25">
      <c r="B114" t="s">
        <v>1380</v>
      </c>
    </row>
    <row r="115" spans="1:2" x14ac:dyDescent="0.25">
      <c r="B115" t="s">
        <v>1381</v>
      </c>
    </row>
    <row r="116" spans="1:2" x14ac:dyDescent="0.25">
      <c r="B116" t="s">
        <v>1382</v>
      </c>
    </row>
    <row r="117" spans="1:2" x14ac:dyDescent="0.25">
      <c r="B117" t="s">
        <v>1383</v>
      </c>
    </row>
    <row r="118" spans="1:2" x14ac:dyDescent="0.25">
      <c r="B118" t="s">
        <v>1384</v>
      </c>
    </row>
    <row r="119" spans="1:2" x14ac:dyDescent="0.25">
      <c r="B119" t="s">
        <v>1385</v>
      </c>
    </row>
    <row r="120" spans="1:2" x14ac:dyDescent="0.25">
      <c r="B120" t="s">
        <v>1386</v>
      </c>
    </row>
    <row r="121" spans="1:2" x14ac:dyDescent="0.25">
      <c r="A121">
        <v>270000</v>
      </c>
      <c r="B121" t="s">
        <v>1387</v>
      </c>
    </row>
    <row r="122" spans="1:2" x14ac:dyDescent="0.25">
      <c r="A122">
        <v>216000</v>
      </c>
      <c r="B122" t="s">
        <v>1388</v>
      </c>
    </row>
    <row r="123" spans="1:2" x14ac:dyDescent="0.25">
      <c r="A123">
        <v>194400</v>
      </c>
      <c r="B123" t="s">
        <v>1389</v>
      </c>
    </row>
    <row r="124" spans="1:2" x14ac:dyDescent="0.25">
      <c r="A124">
        <v>162000</v>
      </c>
      <c r="B124" t="s">
        <v>1390</v>
      </c>
    </row>
    <row r="125" spans="1:2" x14ac:dyDescent="0.25">
      <c r="A125">
        <v>129600</v>
      </c>
      <c r="B125" t="s">
        <v>1391</v>
      </c>
    </row>
    <row r="126" spans="1:2" x14ac:dyDescent="0.25">
      <c r="A126">
        <v>129600</v>
      </c>
      <c r="B126" t="s">
        <v>1392</v>
      </c>
    </row>
    <row r="127" spans="1:2" x14ac:dyDescent="0.25">
      <c r="A127">
        <v>129600</v>
      </c>
      <c r="B127" t="s">
        <v>1393</v>
      </c>
    </row>
    <row r="128" spans="1:2" x14ac:dyDescent="0.25">
      <c r="A128">
        <v>129600</v>
      </c>
      <c r="B128" t="s">
        <v>1394</v>
      </c>
    </row>
    <row r="129" spans="1:2" x14ac:dyDescent="0.25">
      <c r="A129">
        <v>194400</v>
      </c>
      <c r="B129" t="s">
        <v>1395</v>
      </c>
    </row>
    <row r="130" spans="1:2" x14ac:dyDescent="0.25">
      <c r="A130">
        <v>194400</v>
      </c>
      <c r="B130" t="s">
        <v>1396</v>
      </c>
    </row>
    <row r="131" spans="1:2" x14ac:dyDescent="0.25">
      <c r="A131">
        <v>194400</v>
      </c>
      <c r="B131" t="s">
        <v>1397</v>
      </c>
    </row>
    <row r="132" spans="1:2" x14ac:dyDescent="0.25">
      <c r="A132">
        <v>162000</v>
      </c>
      <c r="B132" t="s">
        <v>1398</v>
      </c>
    </row>
    <row r="133" spans="1:2" x14ac:dyDescent="0.25">
      <c r="A133">
        <v>567888629814259</v>
      </c>
      <c r="B133" t="s">
        <v>1399</v>
      </c>
    </row>
    <row r="134" spans="1:2" x14ac:dyDescent="0.25">
      <c r="A134">
        <v>567888629814259</v>
      </c>
      <c r="B134" t="s">
        <v>1400</v>
      </c>
    </row>
    <row r="135" spans="1:2" x14ac:dyDescent="0.25">
      <c r="A135">
        <v>567888629814259</v>
      </c>
      <c r="B135" t="s">
        <v>1401</v>
      </c>
    </row>
    <row r="136" spans="1:2" x14ac:dyDescent="0.25">
      <c r="A136">
        <v>567888629814259</v>
      </c>
      <c r="B136" t="s">
        <v>1402</v>
      </c>
    </row>
    <row r="137" spans="1:2" x14ac:dyDescent="0.25">
      <c r="A137">
        <v>567888629814259</v>
      </c>
      <c r="B137" t="s">
        <v>1403</v>
      </c>
    </row>
    <row r="138" spans="1:2" x14ac:dyDescent="0.25">
      <c r="A138">
        <v>567888629814259</v>
      </c>
      <c r="B138" t="s">
        <v>1404</v>
      </c>
    </row>
    <row r="139" spans="1:2" x14ac:dyDescent="0.25">
      <c r="A139">
        <v>567888629814259</v>
      </c>
      <c r="B139" t="s">
        <v>1405</v>
      </c>
    </row>
    <row r="140" spans="1:2" x14ac:dyDescent="0.25">
      <c r="A140">
        <v>567888629814259</v>
      </c>
      <c r="B140" t="s">
        <v>1406</v>
      </c>
    </row>
    <row r="141" spans="1:2" x14ac:dyDescent="0.25">
      <c r="A141">
        <v>567888629814259</v>
      </c>
      <c r="B141" t="s">
        <v>1407</v>
      </c>
    </row>
    <row r="142" spans="1:2" x14ac:dyDescent="0.25">
      <c r="A142">
        <v>567888629814259</v>
      </c>
      <c r="B142" t="s">
        <v>1408</v>
      </c>
    </row>
    <row r="143" spans="1:2" x14ac:dyDescent="0.25">
      <c r="A143">
        <v>567888629814259</v>
      </c>
      <c r="B143" t="s">
        <v>1409</v>
      </c>
    </row>
    <row r="144" spans="1:2" x14ac:dyDescent="0.25">
      <c r="A144">
        <v>567888629814259</v>
      </c>
      <c r="B144" t="s">
        <v>1410</v>
      </c>
    </row>
    <row r="145" spans="1:2" x14ac:dyDescent="0.25">
      <c r="A145">
        <v>598182693643981</v>
      </c>
      <c r="B145" t="s">
        <v>1411</v>
      </c>
    </row>
    <row r="146" spans="1:2" x14ac:dyDescent="0.25">
      <c r="A146">
        <v>490679532308059</v>
      </c>
      <c r="B146" t="s">
        <v>1412</v>
      </c>
    </row>
    <row r="147" spans="1:2" x14ac:dyDescent="0.25">
      <c r="A147">
        <v>196183891361809</v>
      </c>
      <c r="B147" t="s">
        <v>1413</v>
      </c>
    </row>
    <row r="148" spans="1:2" x14ac:dyDescent="0.25">
      <c r="A148">
        <v>485457377702159</v>
      </c>
      <c r="B148" t="s">
        <v>1414</v>
      </c>
    </row>
    <row r="149" spans="1:2" x14ac:dyDescent="0.25">
      <c r="A149">
        <v>342908261723006</v>
      </c>
      <c r="B149" t="s">
        <v>1415</v>
      </c>
    </row>
    <row r="150" spans="1:2" x14ac:dyDescent="0.25">
      <c r="A150">
        <v>399190773882117</v>
      </c>
      <c r="B150" t="s">
        <v>1416</v>
      </c>
    </row>
    <row r="151" spans="1:2" x14ac:dyDescent="0.25">
      <c r="A151">
        <v>610601994846548</v>
      </c>
      <c r="B151" t="s">
        <v>1417</v>
      </c>
    </row>
    <row r="152" spans="1:2" x14ac:dyDescent="0.25">
      <c r="A152">
        <v>46162000525458</v>
      </c>
      <c r="B152" t="s">
        <v>1418</v>
      </c>
    </row>
    <row r="153" spans="1:2" x14ac:dyDescent="0.25">
      <c r="A153">
        <v>480665252245084</v>
      </c>
      <c r="B153" t="s">
        <v>1419</v>
      </c>
    </row>
    <row r="154" spans="1:2" x14ac:dyDescent="0.25">
      <c r="A154">
        <v>423956904125926</v>
      </c>
      <c r="B154" t="s">
        <v>1420</v>
      </c>
    </row>
    <row r="155" spans="1:2" x14ac:dyDescent="0.25">
      <c r="A155">
        <v>443268396248489</v>
      </c>
      <c r="B155" t="s">
        <v>1421</v>
      </c>
    </row>
    <row r="156" spans="1:2" x14ac:dyDescent="0.25">
      <c r="A156">
        <v>432609724594677</v>
      </c>
      <c r="B156" t="s">
        <v>1422</v>
      </c>
    </row>
    <row r="157" spans="1:2" x14ac:dyDescent="0.25">
      <c r="A157">
        <v>280000</v>
      </c>
      <c r="B157" t="s">
        <v>1423</v>
      </c>
    </row>
    <row r="158" spans="1:2" x14ac:dyDescent="0.25">
      <c r="A158">
        <v>280000</v>
      </c>
      <c r="B158" t="s">
        <v>1424</v>
      </c>
    </row>
    <row r="159" spans="1:2" x14ac:dyDescent="0.25">
      <c r="A159">
        <v>200000</v>
      </c>
      <c r="B159" t="s">
        <v>1425</v>
      </c>
    </row>
    <row r="160" spans="1:2" x14ac:dyDescent="0.25">
      <c r="A160">
        <v>97500</v>
      </c>
      <c r="B160" t="s">
        <v>1426</v>
      </c>
    </row>
    <row r="161" spans="1:2" x14ac:dyDescent="0.25">
      <c r="A161">
        <v>97500</v>
      </c>
      <c r="B161" t="s">
        <v>1427</v>
      </c>
    </row>
    <row r="162" spans="1:2" x14ac:dyDescent="0.25">
      <c r="A162">
        <v>97500</v>
      </c>
      <c r="B162" t="s">
        <v>1428</v>
      </c>
    </row>
    <row r="163" spans="1:2" x14ac:dyDescent="0.25">
      <c r="A163">
        <v>93000</v>
      </c>
      <c r="B163" t="s">
        <v>1429</v>
      </c>
    </row>
    <row r="164" spans="1:2" x14ac:dyDescent="0.25">
      <c r="A164">
        <v>97500</v>
      </c>
      <c r="B164" t="s">
        <v>1430</v>
      </c>
    </row>
    <row r="165" spans="1:2" x14ac:dyDescent="0.25">
      <c r="A165">
        <v>200000</v>
      </c>
      <c r="B165" t="s">
        <v>1431</v>
      </c>
    </row>
    <row r="166" spans="1:2" x14ac:dyDescent="0.25">
      <c r="A166">
        <v>250000</v>
      </c>
      <c r="B166" t="s">
        <v>1432</v>
      </c>
    </row>
    <row r="167" spans="1:2" x14ac:dyDescent="0.25">
      <c r="A167">
        <v>200000</v>
      </c>
      <c r="B167" t="s">
        <v>1433</v>
      </c>
    </row>
    <row r="168" spans="1:2" x14ac:dyDescent="0.25">
      <c r="A168">
        <v>180000</v>
      </c>
      <c r="B168" t="s">
        <v>1434</v>
      </c>
    </row>
    <row r="169" spans="1:2" x14ac:dyDescent="0.25">
      <c r="A169">
        <v>153933963333333</v>
      </c>
      <c r="B169" t="s">
        <v>1435</v>
      </c>
    </row>
    <row r="170" spans="1:2" x14ac:dyDescent="0.25">
      <c r="A170">
        <v>131136844361111</v>
      </c>
      <c r="B170" t="s">
        <v>1436</v>
      </c>
    </row>
    <row r="171" spans="1:2" x14ac:dyDescent="0.25">
      <c r="A171">
        <v>790433181083334</v>
      </c>
      <c r="B171" t="s">
        <v>1437</v>
      </c>
    </row>
    <row r="172" spans="1:2" x14ac:dyDescent="0.25">
      <c r="A172">
        <v>227783022591668</v>
      </c>
      <c r="B172" t="s">
        <v>1438</v>
      </c>
    </row>
    <row r="173" spans="1:2" x14ac:dyDescent="0.25">
      <c r="A173">
        <v>309129576925278</v>
      </c>
      <c r="B173" t="s">
        <v>1439</v>
      </c>
    </row>
    <row r="174" spans="1:2" x14ac:dyDescent="0.25">
      <c r="A174">
        <v>660323720236584</v>
      </c>
      <c r="B174" t="s">
        <v>1440</v>
      </c>
    </row>
    <row r="175" spans="1:2" x14ac:dyDescent="0.25">
      <c r="A175">
        <v>825862715832276</v>
      </c>
      <c r="B175" t="s">
        <v>1441</v>
      </c>
    </row>
    <row r="176" spans="1:2" x14ac:dyDescent="0.25">
      <c r="A176">
        <v>812029830804815</v>
      </c>
      <c r="B176" t="s">
        <v>1442</v>
      </c>
    </row>
    <row r="177" spans="1:2" x14ac:dyDescent="0.25">
      <c r="A177">
        <v>842247157118927</v>
      </c>
      <c r="B177" t="s">
        <v>1443</v>
      </c>
    </row>
    <row r="178" spans="1:2" x14ac:dyDescent="0.25">
      <c r="A178">
        <v>871284449149915</v>
      </c>
      <c r="B178" t="s">
        <v>1444</v>
      </c>
    </row>
    <row r="179" spans="1:2" x14ac:dyDescent="0.25">
      <c r="A179">
        <v>905819507182719</v>
      </c>
      <c r="B179" t="s">
        <v>1445</v>
      </c>
    </row>
    <row r="180" spans="1:2" x14ac:dyDescent="0.25">
      <c r="A180">
        <v>511363818083459</v>
      </c>
      <c r="B180" t="s">
        <v>1446</v>
      </c>
    </row>
    <row r="181" spans="1:2" x14ac:dyDescent="0.25">
      <c r="A181">
        <v>26000</v>
      </c>
      <c r="B181" t="s">
        <v>1447</v>
      </c>
    </row>
    <row r="182" spans="1:2" x14ac:dyDescent="0.25">
      <c r="A182">
        <v>13000</v>
      </c>
      <c r="B182" t="s">
        <v>1448</v>
      </c>
    </row>
    <row r="183" spans="1:2" x14ac:dyDescent="0.25">
      <c r="A183">
        <v>13000</v>
      </c>
      <c r="B183" t="s">
        <v>1449</v>
      </c>
    </row>
    <row r="184" spans="1:2" x14ac:dyDescent="0.25">
      <c r="A184">
        <v>13000</v>
      </c>
      <c r="B184" t="s">
        <v>1450</v>
      </c>
    </row>
    <row r="185" spans="1:2" x14ac:dyDescent="0.25">
      <c r="A185">
        <v>13000</v>
      </c>
      <c r="B185" t="s">
        <v>1451</v>
      </c>
    </row>
    <row r="186" spans="1:2" x14ac:dyDescent="0.25">
      <c r="A186">
        <v>13000</v>
      </c>
      <c r="B186" t="s">
        <v>1452</v>
      </c>
    </row>
    <row r="187" spans="1:2" x14ac:dyDescent="0.25">
      <c r="A187">
        <v>13000</v>
      </c>
      <c r="B187" t="s">
        <v>1453</v>
      </c>
    </row>
    <row r="188" spans="1:2" x14ac:dyDescent="0.25">
      <c r="A188">
        <v>13000</v>
      </c>
      <c r="B188" t="s">
        <v>1454</v>
      </c>
    </row>
    <row r="189" spans="1:2" x14ac:dyDescent="0.25">
      <c r="A189">
        <v>13000</v>
      </c>
      <c r="B189" t="s">
        <v>1455</v>
      </c>
    </row>
    <row r="190" spans="1:2" x14ac:dyDescent="0.25">
      <c r="A190">
        <v>13000</v>
      </c>
      <c r="B190" t="s">
        <v>1456</v>
      </c>
    </row>
    <row r="191" spans="1:2" x14ac:dyDescent="0.25">
      <c r="A191">
        <v>13000</v>
      </c>
      <c r="B191" t="s">
        <v>1457</v>
      </c>
    </row>
    <row r="192" spans="1:2" x14ac:dyDescent="0.25">
      <c r="A192">
        <v>13000</v>
      </c>
      <c r="B192" t="s">
        <v>1458</v>
      </c>
    </row>
    <row r="193" spans="1:2" x14ac:dyDescent="0.25">
      <c r="A193">
        <v>30000</v>
      </c>
      <c r="B193" t="s">
        <v>1459</v>
      </c>
    </row>
    <row r="194" spans="1:2" x14ac:dyDescent="0.25">
      <c r="A194">
        <v>25000</v>
      </c>
      <c r="B194" t="s">
        <v>1460</v>
      </c>
    </row>
    <row r="195" spans="1:2" x14ac:dyDescent="0.25">
      <c r="A195">
        <v>25000</v>
      </c>
      <c r="B195" t="s">
        <v>1461</v>
      </c>
    </row>
    <row r="196" spans="1:2" x14ac:dyDescent="0.25">
      <c r="A196">
        <v>22000</v>
      </c>
      <c r="B196" t="s">
        <v>1462</v>
      </c>
    </row>
    <row r="197" spans="1:2" x14ac:dyDescent="0.25">
      <c r="A197">
        <v>17000</v>
      </c>
      <c r="B197" t="s">
        <v>1463</v>
      </c>
    </row>
    <row r="198" spans="1:2" x14ac:dyDescent="0.25">
      <c r="A198">
        <v>4000</v>
      </c>
      <c r="B198" t="s">
        <v>1464</v>
      </c>
    </row>
    <row r="199" spans="1:2" x14ac:dyDescent="0.25">
      <c r="A199">
        <v>4000</v>
      </c>
      <c r="B199" t="s">
        <v>1465</v>
      </c>
    </row>
    <row r="200" spans="1:2" x14ac:dyDescent="0.25">
      <c r="A200">
        <v>3000</v>
      </c>
      <c r="B200" t="s">
        <v>1466</v>
      </c>
    </row>
    <row r="201" spans="1:2" x14ac:dyDescent="0.25">
      <c r="A201">
        <v>12000</v>
      </c>
      <c r="B201" t="s">
        <v>1467</v>
      </c>
    </row>
    <row r="202" spans="1:2" x14ac:dyDescent="0.25">
      <c r="A202">
        <v>20000</v>
      </c>
      <c r="B202" t="s">
        <v>1468</v>
      </c>
    </row>
    <row r="203" spans="1:2" x14ac:dyDescent="0.25">
      <c r="A203">
        <v>25000</v>
      </c>
      <c r="B203" t="s">
        <v>1469</v>
      </c>
    </row>
    <row r="204" spans="1:2" x14ac:dyDescent="0.25">
      <c r="A204">
        <v>25000</v>
      </c>
      <c r="B204" t="s">
        <v>1470</v>
      </c>
    </row>
    <row r="205" spans="1:2" x14ac:dyDescent="0.25">
      <c r="A205">
        <v>167747604395604</v>
      </c>
      <c r="B205" t="s">
        <v>1471</v>
      </c>
    </row>
    <row r="206" spans="1:2" x14ac:dyDescent="0.25">
      <c r="A206">
        <v>297699032967033</v>
      </c>
      <c r="B206" t="s">
        <v>1472</v>
      </c>
    </row>
    <row r="207" spans="1:2" x14ac:dyDescent="0.25">
      <c r="A207">
        <v>959550329670329</v>
      </c>
      <c r="B207" t="s">
        <v>1473</v>
      </c>
    </row>
    <row r="208" spans="1:2" x14ac:dyDescent="0.25">
      <c r="A208">
        <v>735784615384616</v>
      </c>
      <c r="B208" t="s">
        <v>1474</v>
      </c>
    </row>
    <row r="209" spans="1:2" x14ac:dyDescent="0.25">
      <c r="A209">
        <v>107264175824176</v>
      </c>
      <c r="B209" t="s">
        <v>1475</v>
      </c>
    </row>
    <row r="210" spans="1:2" x14ac:dyDescent="0.25">
      <c r="A210">
        <v>718813186813187</v>
      </c>
      <c r="B210" t="s">
        <v>1476</v>
      </c>
    </row>
    <row r="211" spans="1:2" x14ac:dyDescent="0.25">
      <c r="A211">
        <v>647893186813186</v>
      </c>
      <c r="B211" t="s">
        <v>1477</v>
      </c>
    </row>
    <row r="212" spans="1:2" x14ac:dyDescent="0.25">
      <c r="A212">
        <v>14922989010989</v>
      </c>
      <c r="B212" t="s">
        <v>1478</v>
      </c>
    </row>
    <row r="213" spans="1:2" x14ac:dyDescent="0.25">
      <c r="A213">
        <v>247561318681319</v>
      </c>
      <c r="B213" t="s">
        <v>1479</v>
      </c>
    </row>
    <row r="214" spans="1:2" x14ac:dyDescent="0.25">
      <c r="A214">
        <v>282769318681319</v>
      </c>
      <c r="B214" t="s">
        <v>1480</v>
      </c>
    </row>
    <row r="215" spans="1:2" x14ac:dyDescent="0.25">
      <c r="A215">
        <v>289677626373626</v>
      </c>
      <c r="B215" t="s">
        <v>1481</v>
      </c>
    </row>
    <row r="216" spans="1:2" x14ac:dyDescent="0.25">
      <c r="A216">
        <v>190518626373626</v>
      </c>
      <c r="B216" t="s">
        <v>1482</v>
      </c>
    </row>
    <row r="217" spans="1:2" x14ac:dyDescent="0.25">
      <c r="A217">
        <v>758839617391304</v>
      </c>
      <c r="B217" t="s">
        <v>1483</v>
      </c>
    </row>
    <row r="218" spans="1:2" x14ac:dyDescent="0.25">
      <c r="A218">
        <v>428311788612836</v>
      </c>
      <c r="B218" t="s">
        <v>1484</v>
      </c>
    </row>
    <row r="219" spans="1:2" x14ac:dyDescent="0.25">
      <c r="A219">
        <v>277483180538302</v>
      </c>
      <c r="B219" t="s">
        <v>1485</v>
      </c>
    </row>
    <row r="220" spans="1:2" x14ac:dyDescent="0.25">
      <c r="A220">
        <v>279840050393374</v>
      </c>
      <c r="B220" t="s">
        <v>1486</v>
      </c>
    </row>
    <row r="221" spans="1:2" x14ac:dyDescent="0.25">
      <c r="A221">
        <v>769309182840579</v>
      </c>
      <c r="B221" t="s">
        <v>1487</v>
      </c>
    </row>
    <row r="222" spans="1:2" x14ac:dyDescent="0.25">
      <c r="A222">
        <v>430085904243478</v>
      </c>
      <c r="B222" t="s">
        <v>1488</v>
      </c>
    </row>
    <row r="223" spans="1:2" x14ac:dyDescent="0.25">
      <c r="A223">
        <v>319724245133913</v>
      </c>
      <c r="B223" t="s">
        <v>1489</v>
      </c>
    </row>
    <row r="224" spans="1:2" x14ac:dyDescent="0.25">
      <c r="A224">
        <v>186015595900091</v>
      </c>
      <c r="B224" t="s">
        <v>1490</v>
      </c>
    </row>
    <row r="225" spans="1:2" x14ac:dyDescent="0.25">
      <c r="A225">
        <v>286720847734565</v>
      </c>
      <c r="B225" t="s">
        <v>1491</v>
      </c>
    </row>
    <row r="226" spans="1:2" x14ac:dyDescent="0.25">
      <c r="A226">
        <v>262318989864671</v>
      </c>
      <c r="B226" t="s">
        <v>1492</v>
      </c>
    </row>
    <row r="227" spans="1:2" x14ac:dyDescent="0.25">
      <c r="A227">
        <v>698177153361716</v>
      </c>
      <c r="B227" t="s">
        <v>1493</v>
      </c>
    </row>
    <row r="228" spans="1:2" x14ac:dyDescent="0.25">
      <c r="A228">
        <v>328986513393306</v>
      </c>
      <c r="B228" t="s">
        <v>1494</v>
      </c>
    </row>
    <row r="229" spans="1:2" x14ac:dyDescent="0.25">
      <c r="A229" t="s">
        <v>3605</v>
      </c>
      <c r="B229" t="s">
        <v>1495</v>
      </c>
    </row>
    <row r="230" spans="1:2" x14ac:dyDescent="0.25">
      <c r="A230" t="s">
        <v>3606</v>
      </c>
      <c r="B230" t="s">
        <v>1496</v>
      </c>
    </row>
    <row r="231" spans="1:2" x14ac:dyDescent="0.25">
      <c r="A231" t="s">
        <v>3607</v>
      </c>
      <c r="B231" t="s">
        <v>1497</v>
      </c>
    </row>
    <row r="232" spans="1:2" x14ac:dyDescent="0.25">
      <c r="A232">
        <v>50666</v>
      </c>
      <c r="B232" t="s">
        <v>1498</v>
      </c>
    </row>
    <row r="233" spans="1:2" x14ac:dyDescent="0.25">
      <c r="A233" t="s">
        <v>3608</v>
      </c>
      <c r="B233" t="s">
        <v>1499</v>
      </c>
    </row>
    <row r="234" spans="1:2" x14ac:dyDescent="0.25">
      <c r="A234">
        <v>37873</v>
      </c>
      <c r="B234" t="s">
        <v>1500</v>
      </c>
    </row>
    <row r="235" spans="1:2" x14ac:dyDescent="0.25">
      <c r="A235" t="s">
        <v>3609</v>
      </c>
      <c r="B235" t="s">
        <v>1501</v>
      </c>
    </row>
    <row r="236" spans="1:2" x14ac:dyDescent="0.25">
      <c r="A236" t="s">
        <v>3610</v>
      </c>
      <c r="B236" t="s">
        <v>1502</v>
      </c>
    </row>
    <row r="237" spans="1:2" x14ac:dyDescent="0.25">
      <c r="A237" t="s">
        <v>3611</v>
      </c>
      <c r="B237" t="s">
        <v>1503</v>
      </c>
    </row>
    <row r="238" spans="1:2" x14ac:dyDescent="0.25">
      <c r="A238">
        <v>152053</v>
      </c>
      <c r="B238" t="s">
        <v>1504</v>
      </c>
    </row>
    <row r="239" spans="1:2" x14ac:dyDescent="0.25">
      <c r="A239" t="s">
        <v>3612</v>
      </c>
      <c r="B239" t="s">
        <v>1505</v>
      </c>
    </row>
    <row r="240" spans="1:2" x14ac:dyDescent="0.25">
      <c r="A240" t="s">
        <v>3613</v>
      </c>
      <c r="B240" t="s">
        <v>1506</v>
      </c>
    </row>
    <row r="241" spans="1:2" x14ac:dyDescent="0.25">
      <c r="A241">
        <v>170000</v>
      </c>
      <c r="B241" t="s">
        <v>1507</v>
      </c>
    </row>
    <row r="242" spans="1:2" x14ac:dyDescent="0.25">
      <c r="A242">
        <v>170000</v>
      </c>
      <c r="B242" t="s">
        <v>1508</v>
      </c>
    </row>
    <row r="243" spans="1:2" x14ac:dyDescent="0.25">
      <c r="A243">
        <v>130000</v>
      </c>
      <c r="B243" t="s">
        <v>1509</v>
      </c>
    </row>
    <row r="244" spans="1:2" x14ac:dyDescent="0.25">
      <c r="A244">
        <v>100000</v>
      </c>
      <c r="B244" t="s">
        <v>1510</v>
      </c>
    </row>
    <row r="245" spans="1:2" x14ac:dyDescent="0.25">
      <c r="A245">
        <v>70000</v>
      </c>
      <c r="B245" t="s">
        <v>1511</v>
      </c>
    </row>
    <row r="246" spans="1:2" x14ac:dyDescent="0.25">
      <c r="A246">
        <v>50000</v>
      </c>
      <c r="B246" t="s">
        <v>1512</v>
      </c>
    </row>
    <row r="247" spans="1:2" x14ac:dyDescent="0.25">
      <c r="A247">
        <v>50000</v>
      </c>
      <c r="B247" t="s">
        <v>1513</v>
      </c>
    </row>
    <row r="248" spans="1:2" x14ac:dyDescent="0.25">
      <c r="A248">
        <v>80000</v>
      </c>
      <c r="B248" t="s">
        <v>1514</v>
      </c>
    </row>
    <row r="249" spans="1:2" x14ac:dyDescent="0.25">
      <c r="A249">
        <v>110000</v>
      </c>
      <c r="B249" t="s">
        <v>1515</v>
      </c>
    </row>
    <row r="250" spans="1:2" x14ac:dyDescent="0.25">
      <c r="A250">
        <v>150000</v>
      </c>
      <c r="B250" t="s">
        <v>1516</v>
      </c>
    </row>
    <row r="251" spans="1:2" x14ac:dyDescent="0.25">
      <c r="A251">
        <v>150000</v>
      </c>
      <c r="B251" t="s">
        <v>1517</v>
      </c>
    </row>
    <row r="252" spans="1:2" x14ac:dyDescent="0.25">
      <c r="A252">
        <v>130000</v>
      </c>
      <c r="B252" t="s">
        <v>1518</v>
      </c>
    </row>
    <row r="253" spans="1:2" x14ac:dyDescent="0.25">
      <c r="B253" t="s">
        <v>1519</v>
      </c>
    </row>
    <row r="254" spans="1:2" x14ac:dyDescent="0.25">
      <c r="B254" t="s">
        <v>1520</v>
      </c>
    </row>
    <row r="255" spans="1:2" x14ac:dyDescent="0.25">
      <c r="B255" t="s">
        <v>1521</v>
      </c>
    </row>
    <row r="256" spans="1:2" x14ac:dyDescent="0.25">
      <c r="B256" t="s">
        <v>1522</v>
      </c>
    </row>
    <row r="257" spans="2:2" x14ac:dyDescent="0.25">
      <c r="B257" t="s">
        <v>1523</v>
      </c>
    </row>
    <row r="258" spans="2:2" x14ac:dyDescent="0.25">
      <c r="B258" t="s">
        <v>1524</v>
      </c>
    </row>
    <row r="259" spans="2:2" x14ac:dyDescent="0.25">
      <c r="B259" t="s">
        <v>1525</v>
      </c>
    </row>
    <row r="260" spans="2:2" x14ac:dyDescent="0.25">
      <c r="B260" t="s">
        <v>1526</v>
      </c>
    </row>
    <row r="261" spans="2:2" x14ac:dyDescent="0.25">
      <c r="B261" t="s">
        <v>1527</v>
      </c>
    </row>
    <row r="262" spans="2:2" x14ac:dyDescent="0.25">
      <c r="B262" t="s">
        <v>1528</v>
      </c>
    </row>
    <row r="263" spans="2:2" x14ac:dyDescent="0.25">
      <c r="B263" t="s">
        <v>1529</v>
      </c>
    </row>
    <row r="264" spans="2:2" x14ac:dyDescent="0.25">
      <c r="B264" t="s">
        <v>1530</v>
      </c>
    </row>
    <row r="265" spans="2:2" x14ac:dyDescent="0.25">
      <c r="B265" t="s">
        <v>1531</v>
      </c>
    </row>
    <row r="266" spans="2:2" x14ac:dyDescent="0.25">
      <c r="B266" t="s">
        <v>1532</v>
      </c>
    </row>
    <row r="267" spans="2:2" x14ac:dyDescent="0.25">
      <c r="B267" t="s">
        <v>1533</v>
      </c>
    </row>
    <row r="268" spans="2:2" x14ac:dyDescent="0.25">
      <c r="B268" t="s">
        <v>1534</v>
      </c>
    </row>
    <row r="269" spans="2:2" x14ac:dyDescent="0.25">
      <c r="B269" t="s">
        <v>1535</v>
      </c>
    </row>
    <row r="270" spans="2:2" x14ac:dyDescent="0.25">
      <c r="B270" t="s">
        <v>1536</v>
      </c>
    </row>
    <row r="271" spans="2:2" x14ac:dyDescent="0.25">
      <c r="B271" t="s">
        <v>1537</v>
      </c>
    </row>
    <row r="272" spans="2:2" x14ac:dyDescent="0.25">
      <c r="B272" t="s">
        <v>1538</v>
      </c>
    </row>
    <row r="273" spans="2:2" x14ac:dyDescent="0.25">
      <c r="B273" t="s">
        <v>1539</v>
      </c>
    </row>
    <row r="274" spans="2:2" x14ac:dyDescent="0.25">
      <c r="B274" t="s">
        <v>1540</v>
      </c>
    </row>
    <row r="275" spans="2:2" x14ac:dyDescent="0.25">
      <c r="B275" t="s">
        <v>1541</v>
      </c>
    </row>
    <row r="276" spans="2:2" x14ac:dyDescent="0.25">
      <c r="B276" t="s">
        <v>1542</v>
      </c>
    </row>
    <row r="277" spans="2:2" x14ac:dyDescent="0.25">
      <c r="B277" t="s">
        <v>1543</v>
      </c>
    </row>
    <row r="278" spans="2:2" x14ac:dyDescent="0.25">
      <c r="B278" t="s">
        <v>1544</v>
      </c>
    </row>
    <row r="279" spans="2:2" x14ac:dyDescent="0.25">
      <c r="B279" t="s">
        <v>1545</v>
      </c>
    </row>
    <row r="280" spans="2:2" x14ac:dyDescent="0.25">
      <c r="B280" t="s">
        <v>1546</v>
      </c>
    </row>
    <row r="281" spans="2:2" x14ac:dyDescent="0.25">
      <c r="B281" t="s">
        <v>1547</v>
      </c>
    </row>
    <row r="282" spans="2:2" x14ac:dyDescent="0.25">
      <c r="B282" t="s">
        <v>1548</v>
      </c>
    </row>
    <row r="283" spans="2:2" x14ac:dyDescent="0.25">
      <c r="B283" t="s">
        <v>1549</v>
      </c>
    </row>
    <row r="284" spans="2:2" x14ac:dyDescent="0.25">
      <c r="B284" t="s">
        <v>1550</v>
      </c>
    </row>
    <row r="285" spans="2:2" x14ac:dyDescent="0.25">
      <c r="B285" t="s">
        <v>1551</v>
      </c>
    </row>
    <row r="286" spans="2:2" x14ac:dyDescent="0.25">
      <c r="B286" t="s">
        <v>1552</v>
      </c>
    </row>
    <row r="287" spans="2:2" x14ac:dyDescent="0.25">
      <c r="B287" t="s">
        <v>1553</v>
      </c>
    </row>
    <row r="288" spans="2:2" x14ac:dyDescent="0.25">
      <c r="B288" t="s">
        <v>1554</v>
      </c>
    </row>
    <row r="289" spans="2:2" x14ac:dyDescent="0.25">
      <c r="B289" t="s">
        <v>1555</v>
      </c>
    </row>
    <row r="290" spans="2:2" x14ac:dyDescent="0.25">
      <c r="B290" t="s">
        <v>1556</v>
      </c>
    </row>
    <row r="291" spans="2:2" x14ac:dyDescent="0.25">
      <c r="B291" t="s">
        <v>1557</v>
      </c>
    </row>
    <row r="292" spans="2:2" x14ac:dyDescent="0.25">
      <c r="B292" t="s">
        <v>1558</v>
      </c>
    </row>
    <row r="293" spans="2:2" x14ac:dyDescent="0.25">
      <c r="B293" t="s">
        <v>1559</v>
      </c>
    </row>
    <row r="294" spans="2:2" x14ac:dyDescent="0.25">
      <c r="B294" t="s">
        <v>1560</v>
      </c>
    </row>
    <row r="295" spans="2:2" x14ac:dyDescent="0.25">
      <c r="B295" t="s">
        <v>1561</v>
      </c>
    </row>
    <row r="296" spans="2:2" x14ac:dyDescent="0.25">
      <c r="B296" t="s">
        <v>1562</v>
      </c>
    </row>
    <row r="297" spans="2:2" x14ac:dyDescent="0.25">
      <c r="B297" t="s">
        <v>1563</v>
      </c>
    </row>
    <row r="298" spans="2:2" x14ac:dyDescent="0.25">
      <c r="B298" t="s">
        <v>1564</v>
      </c>
    </row>
    <row r="299" spans="2:2" x14ac:dyDescent="0.25">
      <c r="B299" t="s">
        <v>1565</v>
      </c>
    </row>
    <row r="300" spans="2:2" x14ac:dyDescent="0.25">
      <c r="B300" t="s">
        <v>1566</v>
      </c>
    </row>
    <row r="301" spans="2:2" x14ac:dyDescent="0.25">
      <c r="B301" t="s">
        <v>3003</v>
      </c>
    </row>
    <row r="302" spans="2:2" x14ac:dyDescent="0.25">
      <c r="B302" t="s">
        <v>3004</v>
      </c>
    </row>
    <row r="303" spans="2:2" x14ac:dyDescent="0.25">
      <c r="B303" t="s">
        <v>3005</v>
      </c>
    </row>
    <row r="304" spans="2:2" x14ac:dyDescent="0.25">
      <c r="B304" t="s">
        <v>3006</v>
      </c>
    </row>
    <row r="305" spans="1:2" x14ac:dyDescent="0.25">
      <c r="B305" t="s">
        <v>3007</v>
      </c>
    </row>
    <row r="306" spans="1:2" x14ac:dyDescent="0.25">
      <c r="B306" t="s">
        <v>3008</v>
      </c>
    </row>
    <row r="307" spans="1:2" x14ac:dyDescent="0.25">
      <c r="B307" t="s">
        <v>3009</v>
      </c>
    </row>
    <row r="308" spans="1:2" x14ac:dyDescent="0.25">
      <c r="B308" t="s">
        <v>3010</v>
      </c>
    </row>
    <row r="309" spans="1:2" x14ac:dyDescent="0.25">
      <c r="B309" t="s">
        <v>3011</v>
      </c>
    </row>
    <row r="310" spans="1:2" x14ac:dyDescent="0.25">
      <c r="B310" t="s">
        <v>3012</v>
      </c>
    </row>
    <row r="311" spans="1:2" x14ac:dyDescent="0.25">
      <c r="B311" t="s">
        <v>3013</v>
      </c>
    </row>
    <row r="312" spans="1:2" x14ac:dyDescent="0.25">
      <c r="B312" t="s">
        <v>3014</v>
      </c>
    </row>
    <row r="313" spans="1:2" x14ac:dyDescent="0.25">
      <c r="A313">
        <v>261183949652816</v>
      </c>
      <c r="B313" t="s">
        <v>2707</v>
      </c>
    </row>
    <row r="314" spans="1:2" x14ac:dyDescent="0.25">
      <c r="A314">
        <v>281627788793544</v>
      </c>
      <c r="B314" t="s">
        <v>2708</v>
      </c>
    </row>
    <row r="315" spans="1:2" x14ac:dyDescent="0.25">
      <c r="A315">
        <v>178301627964847</v>
      </c>
      <c r="B315" t="s">
        <v>2709</v>
      </c>
    </row>
    <row r="316" spans="1:2" x14ac:dyDescent="0.25">
      <c r="A316">
        <v>162167467151438</v>
      </c>
      <c r="B316" t="s">
        <v>2710</v>
      </c>
    </row>
    <row r="317" spans="1:2" x14ac:dyDescent="0.25">
      <c r="A317">
        <v>180249151416095</v>
      </c>
      <c r="B317" t="s">
        <v>2711</v>
      </c>
    </row>
    <row r="318" spans="1:2" x14ac:dyDescent="0.25">
      <c r="A318">
        <v>285016990614151</v>
      </c>
      <c r="B318" t="s">
        <v>2712</v>
      </c>
    </row>
    <row r="319" spans="1:2" x14ac:dyDescent="0.25">
      <c r="A319">
        <v>201028984743695</v>
      </c>
      <c r="B319" t="s">
        <v>2713</v>
      </c>
    </row>
    <row r="320" spans="1:2" x14ac:dyDescent="0.25">
      <c r="A320">
        <v>29360266901504</v>
      </c>
      <c r="B320" t="s">
        <v>2714</v>
      </c>
    </row>
    <row r="321" spans="1:2" x14ac:dyDescent="0.25">
      <c r="A321">
        <v>331010663146018</v>
      </c>
      <c r="B321" t="s">
        <v>2715</v>
      </c>
    </row>
    <row r="322" spans="1:2" x14ac:dyDescent="0.25">
      <c r="A322">
        <v>386766502347657</v>
      </c>
      <c r="B322" t="s">
        <v>2716</v>
      </c>
    </row>
    <row r="323" spans="1:2" x14ac:dyDescent="0.25">
      <c r="A323">
        <v>279920341549415</v>
      </c>
      <c r="B323" t="s">
        <v>2717</v>
      </c>
    </row>
    <row r="324" spans="1:2" x14ac:dyDescent="0.25">
      <c r="A324">
        <v>469922180751233</v>
      </c>
      <c r="B324" t="s">
        <v>2718</v>
      </c>
    </row>
    <row r="325" spans="1:2" x14ac:dyDescent="0.25">
      <c r="B325" t="s">
        <v>2719</v>
      </c>
    </row>
    <row r="326" spans="1:2" x14ac:dyDescent="0.25">
      <c r="B326" t="s">
        <v>2720</v>
      </c>
    </row>
    <row r="327" spans="1:2" x14ac:dyDescent="0.25">
      <c r="B327" t="s">
        <v>2721</v>
      </c>
    </row>
    <row r="328" spans="1:2" x14ac:dyDescent="0.25">
      <c r="B328" t="s">
        <v>2722</v>
      </c>
    </row>
    <row r="329" spans="1:2" x14ac:dyDescent="0.25">
      <c r="B329" t="s">
        <v>2723</v>
      </c>
    </row>
    <row r="330" spans="1:2" x14ac:dyDescent="0.25">
      <c r="B330" t="s">
        <v>2724</v>
      </c>
    </row>
    <row r="331" spans="1:2" x14ac:dyDescent="0.25">
      <c r="B331" t="s">
        <v>2725</v>
      </c>
    </row>
    <row r="332" spans="1:2" x14ac:dyDescent="0.25">
      <c r="B332" t="s">
        <v>2726</v>
      </c>
    </row>
    <row r="333" spans="1:2" x14ac:dyDescent="0.25">
      <c r="B333" t="s">
        <v>2727</v>
      </c>
    </row>
    <row r="334" spans="1:2" x14ac:dyDescent="0.25">
      <c r="B334" t="s">
        <v>2728</v>
      </c>
    </row>
    <row r="335" spans="1:2" x14ac:dyDescent="0.25">
      <c r="B335" t="s">
        <v>2729</v>
      </c>
    </row>
    <row r="336" spans="1:2" x14ac:dyDescent="0.25">
      <c r="B336" t="s">
        <v>2730</v>
      </c>
    </row>
    <row r="337" spans="1:2" x14ac:dyDescent="0.25">
      <c r="B337" t="s">
        <v>2731</v>
      </c>
    </row>
    <row r="338" spans="1:2" x14ac:dyDescent="0.25">
      <c r="B338" t="s">
        <v>2732</v>
      </c>
    </row>
    <row r="339" spans="1:2" x14ac:dyDescent="0.25">
      <c r="B339" t="s">
        <v>2733</v>
      </c>
    </row>
    <row r="340" spans="1:2" x14ac:dyDescent="0.25">
      <c r="B340" t="s">
        <v>2734</v>
      </c>
    </row>
    <row r="341" spans="1:2" x14ac:dyDescent="0.25">
      <c r="B341" t="s">
        <v>2735</v>
      </c>
    </row>
    <row r="342" spans="1:2" x14ac:dyDescent="0.25">
      <c r="B342" t="s">
        <v>2736</v>
      </c>
    </row>
    <row r="343" spans="1:2" x14ac:dyDescent="0.25">
      <c r="B343" t="s">
        <v>2737</v>
      </c>
    </row>
    <row r="344" spans="1:2" x14ac:dyDescent="0.25">
      <c r="B344" t="s">
        <v>2738</v>
      </c>
    </row>
    <row r="345" spans="1:2" x14ac:dyDescent="0.25">
      <c r="B345" t="s">
        <v>2739</v>
      </c>
    </row>
    <row r="346" spans="1:2" x14ac:dyDescent="0.25">
      <c r="B346" t="s">
        <v>2740</v>
      </c>
    </row>
    <row r="347" spans="1:2" x14ac:dyDescent="0.25">
      <c r="B347" t="s">
        <v>2741</v>
      </c>
    </row>
    <row r="348" spans="1:2" x14ac:dyDescent="0.25">
      <c r="B348" t="s">
        <v>2742</v>
      </c>
    </row>
    <row r="349" spans="1:2" x14ac:dyDescent="0.25">
      <c r="A349">
        <v>0</v>
      </c>
      <c r="B349" t="s">
        <v>2743</v>
      </c>
    </row>
    <row r="350" spans="1:2" x14ac:dyDescent="0.25">
      <c r="A350">
        <v>20000</v>
      </c>
      <c r="B350" t="s">
        <v>2744</v>
      </c>
    </row>
    <row r="351" spans="1:2" x14ac:dyDescent="0.25">
      <c r="A351">
        <v>15000</v>
      </c>
      <c r="B351" t="s">
        <v>2745</v>
      </c>
    </row>
    <row r="352" spans="1:2" x14ac:dyDescent="0.25">
      <c r="A352">
        <v>10000</v>
      </c>
      <c r="B352" t="s">
        <v>2746</v>
      </c>
    </row>
    <row r="353" spans="1:2" x14ac:dyDescent="0.25">
      <c r="A353">
        <v>7000</v>
      </c>
      <c r="B353" t="s">
        <v>2747</v>
      </c>
    </row>
    <row r="354" spans="1:2" x14ac:dyDescent="0.25">
      <c r="A354">
        <v>7737</v>
      </c>
      <c r="B354" t="s">
        <v>2748</v>
      </c>
    </row>
    <row r="355" spans="1:2" x14ac:dyDescent="0.25">
      <c r="A355">
        <v>0</v>
      </c>
      <c r="B355" t="s">
        <v>2749</v>
      </c>
    </row>
    <row r="356" spans="1:2" x14ac:dyDescent="0.25">
      <c r="A356">
        <v>0</v>
      </c>
      <c r="B356" t="s">
        <v>2750</v>
      </c>
    </row>
    <row r="357" spans="1:2" x14ac:dyDescent="0.25">
      <c r="A357">
        <v>0</v>
      </c>
      <c r="B357" t="s">
        <v>2751</v>
      </c>
    </row>
    <row r="358" spans="1:2" x14ac:dyDescent="0.25">
      <c r="A358">
        <v>0</v>
      </c>
      <c r="B358" t="s">
        <v>2752</v>
      </c>
    </row>
    <row r="359" spans="1:2" x14ac:dyDescent="0.25">
      <c r="A359">
        <v>0</v>
      </c>
      <c r="B359" t="s">
        <v>2753</v>
      </c>
    </row>
    <row r="360" spans="1:2" x14ac:dyDescent="0.25">
      <c r="A360">
        <v>0</v>
      </c>
      <c r="B360" t="s">
        <v>2754</v>
      </c>
    </row>
    <row r="361" spans="1:2" x14ac:dyDescent="0.25">
      <c r="B361" t="s">
        <v>2755</v>
      </c>
    </row>
    <row r="362" spans="1:2" x14ac:dyDescent="0.25">
      <c r="B362" t="s">
        <v>2756</v>
      </c>
    </row>
    <row r="363" spans="1:2" x14ac:dyDescent="0.25">
      <c r="B363" t="s">
        <v>2757</v>
      </c>
    </row>
    <row r="364" spans="1:2" x14ac:dyDescent="0.25">
      <c r="B364" t="s">
        <v>2758</v>
      </c>
    </row>
    <row r="365" spans="1:2" x14ac:dyDescent="0.25">
      <c r="B365" t="s">
        <v>2759</v>
      </c>
    </row>
    <row r="366" spans="1:2" x14ac:dyDescent="0.25">
      <c r="B366" t="s">
        <v>2760</v>
      </c>
    </row>
    <row r="367" spans="1:2" x14ac:dyDescent="0.25">
      <c r="B367" t="s">
        <v>2761</v>
      </c>
    </row>
    <row r="368" spans="1:2" x14ac:dyDescent="0.25">
      <c r="B368" t="s">
        <v>2762</v>
      </c>
    </row>
    <row r="369" spans="1:2" x14ac:dyDescent="0.25">
      <c r="B369" t="s">
        <v>2763</v>
      </c>
    </row>
    <row r="370" spans="1:2" x14ac:dyDescent="0.25">
      <c r="B370" t="s">
        <v>2764</v>
      </c>
    </row>
    <row r="371" spans="1:2" x14ac:dyDescent="0.25">
      <c r="B371" t="s">
        <v>2765</v>
      </c>
    </row>
    <row r="372" spans="1:2" x14ac:dyDescent="0.25">
      <c r="B372" t="s">
        <v>2766</v>
      </c>
    </row>
    <row r="373" spans="1:2" x14ac:dyDescent="0.25">
      <c r="A373">
        <v>1788807375</v>
      </c>
      <c r="B373" t="s">
        <v>2767</v>
      </c>
    </row>
    <row r="374" spans="1:2" x14ac:dyDescent="0.25">
      <c r="A374">
        <v>1654395975</v>
      </c>
      <c r="B374" t="s">
        <v>2768</v>
      </c>
    </row>
    <row r="375" spans="1:2" x14ac:dyDescent="0.25">
      <c r="A375">
        <v>1684844775</v>
      </c>
      <c r="B375" t="s">
        <v>2769</v>
      </c>
    </row>
    <row r="376" spans="1:2" x14ac:dyDescent="0.25">
      <c r="A376">
        <v>1399874175</v>
      </c>
      <c r="B376" t="s">
        <v>2770</v>
      </c>
    </row>
    <row r="377" spans="1:2" x14ac:dyDescent="0.25">
      <c r="A377">
        <v>1477126575</v>
      </c>
      <c r="B377" t="s">
        <v>2771</v>
      </c>
    </row>
    <row r="378" spans="1:2" x14ac:dyDescent="0.25">
      <c r="A378">
        <v>1637132175</v>
      </c>
      <c r="B378" t="s">
        <v>2772</v>
      </c>
    </row>
    <row r="379" spans="1:2" x14ac:dyDescent="0.25">
      <c r="A379">
        <v>1451363175</v>
      </c>
      <c r="B379" t="s">
        <v>2773</v>
      </c>
    </row>
    <row r="380" spans="1:2" x14ac:dyDescent="0.25">
      <c r="A380">
        <v>1542561975</v>
      </c>
      <c r="B380" t="s">
        <v>2774</v>
      </c>
    </row>
    <row r="381" spans="1:2" x14ac:dyDescent="0.25">
      <c r="A381">
        <v>2140034175</v>
      </c>
      <c r="B381" t="s">
        <v>2775</v>
      </c>
    </row>
    <row r="382" spans="1:2" x14ac:dyDescent="0.25">
      <c r="A382">
        <v>1840659975</v>
      </c>
      <c r="B382" t="s">
        <v>2776</v>
      </c>
    </row>
    <row r="383" spans="1:2" x14ac:dyDescent="0.25">
      <c r="A383">
        <v>1610376975</v>
      </c>
      <c r="B383" t="s">
        <v>2777</v>
      </c>
    </row>
    <row r="384" spans="1:2" x14ac:dyDescent="0.25">
      <c r="A384">
        <v>635597775</v>
      </c>
      <c r="B384" t="s">
        <v>2778</v>
      </c>
    </row>
    <row r="385" spans="2:2" x14ac:dyDescent="0.25">
      <c r="B385" t="s">
        <v>2779</v>
      </c>
    </row>
    <row r="386" spans="2:2" x14ac:dyDescent="0.25">
      <c r="B386" t="s">
        <v>2780</v>
      </c>
    </row>
    <row r="387" spans="2:2" x14ac:dyDescent="0.25">
      <c r="B387" t="s">
        <v>2781</v>
      </c>
    </row>
    <row r="388" spans="2:2" x14ac:dyDescent="0.25">
      <c r="B388" t="s">
        <v>2782</v>
      </c>
    </row>
    <row r="389" spans="2:2" x14ac:dyDescent="0.25">
      <c r="B389" t="s">
        <v>2783</v>
      </c>
    </row>
    <row r="390" spans="2:2" x14ac:dyDescent="0.25">
      <c r="B390" t="s">
        <v>2784</v>
      </c>
    </row>
    <row r="391" spans="2:2" x14ac:dyDescent="0.25">
      <c r="B391" t="s">
        <v>2785</v>
      </c>
    </row>
    <row r="392" spans="2:2" x14ac:dyDescent="0.25">
      <c r="B392" t="s">
        <v>2786</v>
      </c>
    </row>
    <row r="393" spans="2:2" x14ac:dyDescent="0.25">
      <c r="B393" t="s">
        <v>2787</v>
      </c>
    </row>
    <row r="394" spans="2:2" x14ac:dyDescent="0.25">
      <c r="B394" t="s">
        <v>2788</v>
      </c>
    </row>
    <row r="395" spans="2:2" x14ac:dyDescent="0.25">
      <c r="B395" t="s">
        <v>2789</v>
      </c>
    </row>
    <row r="396" spans="2:2" x14ac:dyDescent="0.25">
      <c r="B396" t="s">
        <v>2790</v>
      </c>
    </row>
    <row r="397" spans="2:2" x14ac:dyDescent="0.25">
      <c r="B397" t="s">
        <v>2791</v>
      </c>
    </row>
    <row r="398" spans="2:2" x14ac:dyDescent="0.25">
      <c r="B398" t="s">
        <v>2792</v>
      </c>
    </row>
    <row r="399" spans="2:2" x14ac:dyDescent="0.25">
      <c r="B399" t="s">
        <v>2793</v>
      </c>
    </row>
    <row r="400" spans="2:2" x14ac:dyDescent="0.25">
      <c r="B400" t="s">
        <v>2794</v>
      </c>
    </row>
    <row r="401" spans="2:2" x14ac:dyDescent="0.25">
      <c r="B401" t="s">
        <v>2795</v>
      </c>
    </row>
    <row r="402" spans="2:2" x14ac:dyDescent="0.25">
      <c r="B402" t="s">
        <v>2796</v>
      </c>
    </row>
    <row r="403" spans="2:2" x14ac:dyDescent="0.25">
      <c r="B403" t="s">
        <v>2797</v>
      </c>
    </row>
    <row r="404" spans="2:2" x14ac:dyDescent="0.25">
      <c r="B404" t="s">
        <v>2798</v>
      </c>
    </row>
    <row r="405" spans="2:2" x14ac:dyDescent="0.25">
      <c r="B405" t="s">
        <v>2799</v>
      </c>
    </row>
    <row r="406" spans="2:2" x14ac:dyDescent="0.25">
      <c r="B406" t="s">
        <v>2800</v>
      </c>
    </row>
    <row r="407" spans="2:2" x14ac:dyDescent="0.25">
      <c r="B407" t="s">
        <v>2801</v>
      </c>
    </row>
    <row r="408" spans="2:2" x14ac:dyDescent="0.25">
      <c r="B408" t="s">
        <v>2802</v>
      </c>
    </row>
    <row r="409" spans="2:2" x14ac:dyDescent="0.25">
      <c r="B409" t="s">
        <v>2803</v>
      </c>
    </row>
    <row r="410" spans="2:2" x14ac:dyDescent="0.25">
      <c r="B410" t="s">
        <v>2804</v>
      </c>
    </row>
    <row r="411" spans="2:2" x14ac:dyDescent="0.25">
      <c r="B411" t="s">
        <v>2805</v>
      </c>
    </row>
    <row r="412" spans="2:2" x14ac:dyDescent="0.25">
      <c r="B412" t="s">
        <v>2806</v>
      </c>
    </row>
    <row r="413" spans="2:2" x14ac:dyDescent="0.25">
      <c r="B413" t="s">
        <v>2807</v>
      </c>
    </row>
    <row r="414" spans="2:2" x14ac:dyDescent="0.25">
      <c r="B414" t="s">
        <v>2808</v>
      </c>
    </row>
    <row r="415" spans="2:2" x14ac:dyDescent="0.25">
      <c r="B415" t="s">
        <v>2809</v>
      </c>
    </row>
    <row r="416" spans="2:2" x14ac:dyDescent="0.25">
      <c r="B416" t="s">
        <v>2810</v>
      </c>
    </row>
    <row r="417" spans="2:2" x14ac:dyDescent="0.25">
      <c r="B417" t="s">
        <v>2811</v>
      </c>
    </row>
    <row r="418" spans="2:2" x14ac:dyDescent="0.25">
      <c r="B418" t="s">
        <v>2812</v>
      </c>
    </row>
    <row r="419" spans="2:2" x14ac:dyDescent="0.25">
      <c r="B419" t="s">
        <v>2813</v>
      </c>
    </row>
    <row r="420" spans="2:2" x14ac:dyDescent="0.25">
      <c r="B420" t="s">
        <v>2814</v>
      </c>
    </row>
    <row r="421" spans="2:2" x14ac:dyDescent="0.25">
      <c r="B421" t="s">
        <v>2815</v>
      </c>
    </row>
    <row r="422" spans="2:2" x14ac:dyDescent="0.25">
      <c r="B422" t="s">
        <v>2816</v>
      </c>
    </row>
    <row r="423" spans="2:2" x14ac:dyDescent="0.25">
      <c r="B423" t="s">
        <v>2817</v>
      </c>
    </row>
    <row r="424" spans="2:2" x14ac:dyDescent="0.25">
      <c r="B424" t="s">
        <v>2818</v>
      </c>
    </row>
    <row r="425" spans="2:2" x14ac:dyDescent="0.25">
      <c r="B425" t="s">
        <v>2819</v>
      </c>
    </row>
    <row r="426" spans="2:2" x14ac:dyDescent="0.25">
      <c r="B426" t="s">
        <v>2820</v>
      </c>
    </row>
    <row r="427" spans="2:2" x14ac:dyDescent="0.25">
      <c r="B427" t="s">
        <v>2821</v>
      </c>
    </row>
    <row r="428" spans="2:2" x14ac:dyDescent="0.25">
      <c r="B428" t="s">
        <v>2822</v>
      </c>
    </row>
    <row r="429" spans="2:2" x14ac:dyDescent="0.25">
      <c r="B429" t="s">
        <v>2823</v>
      </c>
    </row>
    <row r="430" spans="2:2" x14ac:dyDescent="0.25">
      <c r="B430" t="s">
        <v>2824</v>
      </c>
    </row>
    <row r="431" spans="2:2" x14ac:dyDescent="0.25">
      <c r="B431" t="s">
        <v>2825</v>
      </c>
    </row>
    <row r="432" spans="2:2" x14ac:dyDescent="0.25">
      <c r="B432" t="s">
        <v>2826</v>
      </c>
    </row>
    <row r="433" spans="1:2" x14ac:dyDescent="0.25">
      <c r="A433">
        <v>0</v>
      </c>
      <c r="B433" t="s">
        <v>2827</v>
      </c>
    </row>
    <row r="434" spans="1:2" x14ac:dyDescent="0.25">
      <c r="A434">
        <v>200000</v>
      </c>
      <c r="B434" t="s">
        <v>2828</v>
      </c>
    </row>
    <row r="435" spans="1:2" x14ac:dyDescent="0.25">
      <c r="A435">
        <v>200000</v>
      </c>
      <c r="B435" t="s">
        <v>2829</v>
      </c>
    </row>
    <row r="436" spans="1:2" x14ac:dyDescent="0.25">
      <c r="A436">
        <v>160000</v>
      </c>
      <c r="B436" t="s">
        <v>2830</v>
      </c>
    </row>
    <row r="437" spans="1:2" x14ac:dyDescent="0.25">
      <c r="A437">
        <v>130000</v>
      </c>
      <c r="B437" t="s">
        <v>2831</v>
      </c>
    </row>
    <row r="438" spans="1:2" x14ac:dyDescent="0.25">
      <c r="A438">
        <v>130000</v>
      </c>
      <c r="B438" t="s">
        <v>2832</v>
      </c>
    </row>
    <row r="439" spans="1:2" x14ac:dyDescent="0.25">
      <c r="A439">
        <v>0</v>
      </c>
      <c r="B439" t="s">
        <v>2833</v>
      </c>
    </row>
    <row r="440" spans="1:2" x14ac:dyDescent="0.25">
      <c r="A440">
        <v>0</v>
      </c>
      <c r="B440" t="s">
        <v>2834</v>
      </c>
    </row>
    <row r="441" spans="1:2" x14ac:dyDescent="0.25">
      <c r="A441">
        <v>0</v>
      </c>
      <c r="B441" t="s">
        <v>2835</v>
      </c>
    </row>
    <row r="442" spans="1:2" x14ac:dyDescent="0.25">
      <c r="A442">
        <v>0</v>
      </c>
      <c r="B442" t="s">
        <v>2836</v>
      </c>
    </row>
    <row r="443" spans="1:2" x14ac:dyDescent="0.25">
      <c r="A443">
        <v>0</v>
      </c>
      <c r="B443" t="s">
        <v>2837</v>
      </c>
    </row>
    <row r="444" spans="1:2" x14ac:dyDescent="0.25">
      <c r="A444">
        <v>0</v>
      </c>
      <c r="B444" t="s">
        <v>2838</v>
      </c>
    </row>
    <row r="445" spans="1:2" x14ac:dyDescent="0.25">
      <c r="A445">
        <v>567888629814259</v>
      </c>
      <c r="B445" t="s">
        <v>2839</v>
      </c>
    </row>
    <row r="446" spans="1:2" x14ac:dyDescent="0.25">
      <c r="A446">
        <v>567888629814259</v>
      </c>
      <c r="B446" t="s">
        <v>2840</v>
      </c>
    </row>
    <row r="447" spans="1:2" x14ac:dyDescent="0.25">
      <c r="A447">
        <v>567888629814259</v>
      </c>
      <c r="B447" t="s">
        <v>2841</v>
      </c>
    </row>
    <row r="448" spans="1:2" x14ac:dyDescent="0.25">
      <c r="A448">
        <v>567888629814259</v>
      </c>
      <c r="B448" t="s">
        <v>2842</v>
      </c>
    </row>
    <row r="449" spans="1:2" x14ac:dyDescent="0.25">
      <c r="A449">
        <v>567888629814259</v>
      </c>
      <c r="B449" t="s">
        <v>2843</v>
      </c>
    </row>
    <row r="450" spans="1:2" x14ac:dyDescent="0.25">
      <c r="A450">
        <v>567888629814259</v>
      </c>
      <c r="B450" t="s">
        <v>2844</v>
      </c>
    </row>
    <row r="451" spans="1:2" x14ac:dyDescent="0.25">
      <c r="A451">
        <v>567888629814259</v>
      </c>
      <c r="B451" t="s">
        <v>2845</v>
      </c>
    </row>
    <row r="452" spans="1:2" x14ac:dyDescent="0.25">
      <c r="A452">
        <v>567888629814259</v>
      </c>
      <c r="B452" t="s">
        <v>2846</v>
      </c>
    </row>
    <row r="453" spans="1:2" x14ac:dyDescent="0.25">
      <c r="A453">
        <v>567888629814259</v>
      </c>
      <c r="B453" t="s">
        <v>2847</v>
      </c>
    </row>
    <row r="454" spans="1:2" x14ac:dyDescent="0.25">
      <c r="A454">
        <v>567888629814259</v>
      </c>
      <c r="B454" t="s">
        <v>2848</v>
      </c>
    </row>
    <row r="455" spans="1:2" x14ac:dyDescent="0.25">
      <c r="A455">
        <v>567888629814259</v>
      </c>
      <c r="B455" t="s">
        <v>2849</v>
      </c>
    </row>
    <row r="456" spans="1:2" x14ac:dyDescent="0.25">
      <c r="A456">
        <v>567888629814259</v>
      </c>
      <c r="B456" t="s">
        <v>2850</v>
      </c>
    </row>
    <row r="457" spans="1:2" x14ac:dyDescent="0.25">
      <c r="A457">
        <v>628502061841607</v>
      </c>
      <c r="B457" t="s">
        <v>2851</v>
      </c>
    </row>
    <row r="458" spans="1:2" x14ac:dyDescent="0.25">
      <c r="A458">
        <v>51493502686616</v>
      </c>
      <c r="B458" t="s">
        <v>2852</v>
      </c>
    </row>
    <row r="459" spans="1:2" x14ac:dyDescent="0.25">
      <c r="A459">
        <v>21558828700829</v>
      </c>
      <c r="B459" t="s">
        <v>2853</v>
      </c>
    </row>
    <row r="460" spans="1:2" x14ac:dyDescent="0.25">
      <c r="A460">
        <v>500980894219344</v>
      </c>
      <c r="B460" t="s">
        <v>2854</v>
      </c>
    </row>
    <row r="461" spans="1:2" x14ac:dyDescent="0.25">
      <c r="A461">
        <v>355327074936753</v>
      </c>
      <c r="B461" t="s">
        <v>2855</v>
      </c>
    </row>
    <row r="462" spans="1:2" x14ac:dyDescent="0.25">
      <c r="A462">
        <v>409125824453115</v>
      </c>
      <c r="B462" t="s">
        <v>2856</v>
      </c>
    </row>
    <row r="463" spans="1:2" x14ac:dyDescent="0.25">
      <c r="A463">
        <v>618550035303347</v>
      </c>
      <c r="B463" t="s">
        <v>2857</v>
      </c>
    </row>
    <row r="464" spans="1:2" x14ac:dyDescent="0.25">
      <c r="A464">
        <v>467978437620019</v>
      </c>
      <c r="B464" t="s">
        <v>2858</v>
      </c>
    </row>
    <row r="465" spans="1:2" x14ac:dyDescent="0.25">
      <c r="A465">
        <v>485751998137435</v>
      </c>
      <c r="B465" t="s">
        <v>2859</v>
      </c>
    </row>
    <row r="466" spans="1:2" x14ac:dyDescent="0.25">
      <c r="A466">
        <v>428026300839807</v>
      </c>
      <c r="B466" t="s">
        <v>2860</v>
      </c>
    </row>
    <row r="467" spans="1:2" x14ac:dyDescent="0.25">
      <c r="A467">
        <v>446523913619594</v>
      </c>
      <c r="B467" t="s">
        <v>2861</v>
      </c>
    </row>
    <row r="468" spans="1:2" x14ac:dyDescent="0.25">
      <c r="A468">
        <v>43521413849156</v>
      </c>
      <c r="B468" t="s">
        <v>2862</v>
      </c>
    </row>
    <row r="469" spans="1:2" x14ac:dyDescent="0.25">
      <c r="A469">
        <v>0</v>
      </c>
      <c r="B469" t="s">
        <v>2863</v>
      </c>
    </row>
    <row r="470" spans="1:2" x14ac:dyDescent="0.25">
      <c r="A470">
        <v>200000</v>
      </c>
      <c r="B470" t="s">
        <v>2864</v>
      </c>
    </row>
    <row r="471" spans="1:2" x14ac:dyDescent="0.25">
      <c r="A471">
        <v>170000</v>
      </c>
      <c r="B471" t="s">
        <v>2865</v>
      </c>
    </row>
    <row r="472" spans="1:2" x14ac:dyDescent="0.25">
      <c r="A472">
        <v>140000</v>
      </c>
      <c r="B472" t="s">
        <v>2866</v>
      </c>
    </row>
    <row r="473" spans="1:2" x14ac:dyDescent="0.25">
      <c r="A473">
        <v>140000</v>
      </c>
      <c r="B473" t="s">
        <v>2867</v>
      </c>
    </row>
    <row r="474" spans="1:2" x14ac:dyDescent="0.25">
      <c r="A474">
        <v>140000</v>
      </c>
      <c r="B474" t="s">
        <v>2868</v>
      </c>
    </row>
    <row r="475" spans="1:2" x14ac:dyDescent="0.25">
      <c r="A475">
        <v>0</v>
      </c>
      <c r="B475" t="s">
        <v>2869</v>
      </c>
    </row>
    <row r="476" spans="1:2" x14ac:dyDescent="0.25">
      <c r="A476">
        <v>0</v>
      </c>
      <c r="B476" t="s">
        <v>2870</v>
      </c>
    </row>
    <row r="477" spans="1:2" x14ac:dyDescent="0.25">
      <c r="A477">
        <v>0</v>
      </c>
      <c r="B477" t="s">
        <v>2871</v>
      </c>
    </row>
    <row r="478" spans="1:2" x14ac:dyDescent="0.25">
      <c r="A478">
        <v>0</v>
      </c>
      <c r="B478" t="s">
        <v>2872</v>
      </c>
    </row>
    <row r="479" spans="1:2" x14ac:dyDescent="0.25">
      <c r="A479">
        <v>0</v>
      </c>
      <c r="B479" t="s">
        <v>2873</v>
      </c>
    </row>
    <row r="480" spans="1:2" x14ac:dyDescent="0.25">
      <c r="A480">
        <v>0</v>
      </c>
      <c r="B480" t="s">
        <v>2874</v>
      </c>
    </row>
    <row r="481" spans="1:2" x14ac:dyDescent="0.25">
      <c r="A481">
        <v>151892602056508</v>
      </c>
      <c r="B481" t="s">
        <v>2875</v>
      </c>
    </row>
    <row r="482" spans="1:2" x14ac:dyDescent="0.25">
      <c r="A482">
        <v>129707891467333</v>
      </c>
      <c r="B482" t="s">
        <v>2876</v>
      </c>
    </row>
    <row r="483" spans="1:2" x14ac:dyDescent="0.25">
      <c r="A483">
        <v>78043051082689</v>
      </c>
      <c r="B483" t="s">
        <v>2877</v>
      </c>
    </row>
    <row r="484" spans="1:2" x14ac:dyDescent="0.25">
      <c r="A484">
        <v>220781153412157</v>
      </c>
      <c r="B484" t="s">
        <v>2878</v>
      </c>
    </row>
    <row r="485" spans="1:2" x14ac:dyDescent="0.25">
      <c r="A485">
        <v>304228268499621</v>
      </c>
      <c r="B485" t="s">
        <v>2879</v>
      </c>
    </row>
    <row r="486" spans="1:2" x14ac:dyDescent="0.25">
      <c r="A486">
        <v>656892804338624</v>
      </c>
      <c r="B486" t="s">
        <v>2880</v>
      </c>
    </row>
    <row r="487" spans="1:2" x14ac:dyDescent="0.25">
      <c r="A487">
        <v>823461074703704</v>
      </c>
      <c r="B487" t="s">
        <v>2881</v>
      </c>
    </row>
    <row r="488" spans="1:2" x14ac:dyDescent="0.25">
      <c r="A488">
        <v>810348682014815</v>
      </c>
      <c r="B488" t="s">
        <v>2882</v>
      </c>
    </row>
    <row r="489" spans="1:2" x14ac:dyDescent="0.25">
      <c r="A489">
        <v>841070352965926</v>
      </c>
      <c r="B489" t="s">
        <v>2883</v>
      </c>
    </row>
    <row r="490" spans="1:2" x14ac:dyDescent="0.25">
      <c r="A490">
        <v>870460686242815</v>
      </c>
      <c r="B490" t="s">
        <v>2884</v>
      </c>
    </row>
    <row r="491" spans="1:2" x14ac:dyDescent="0.25">
      <c r="A491">
        <v>905242873147749</v>
      </c>
      <c r="B491" t="s">
        <v>2885</v>
      </c>
    </row>
    <row r="492" spans="1:2" x14ac:dyDescent="0.25">
      <c r="A492">
        <v>51096017425898</v>
      </c>
      <c r="B492" t="s">
        <v>2886</v>
      </c>
    </row>
    <row r="493" spans="1:2" x14ac:dyDescent="0.25">
      <c r="A493">
        <v>0</v>
      </c>
      <c r="B493" t="s">
        <v>2887</v>
      </c>
    </row>
    <row r="494" spans="1:2" x14ac:dyDescent="0.25">
      <c r="A494">
        <v>16500</v>
      </c>
      <c r="B494" t="s">
        <v>2888</v>
      </c>
    </row>
    <row r="495" spans="1:2" x14ac:dyDescent="0.25">
      <c r="A495">
        <v>16500</v>
      </c>
      <c r="B495" t="s">
        <v>2889</v>
      </c>
    </row>
    <row r="496" spans="1:2" x14ac:dyDescent="0.25">
      <c r="A496">
        <v>16500</v>
      </c>
      <c r="B496" t="s">
        <v>2890</v>
      </c>
    </row>
    <row r="497" spans="1:2" x14ac:dyDescent="0.25">
      <c r="A497">
        <v>0</v>
      </c>
      <c r="B497" t="s">
        <v>2891</v>
      </c>
    </row>
    <row r="498" spans="1:2" x14ac:dyDescent="0.25">
      <c r="A498">
        <v>0</v>
      </c>
      <c r="B498" t="s">
        <v>2892</v>
      </c>
    </row>
    <row r="499" spans="1:2" x14ac:dyDescent="0.25">
      <c r="A499">
        <v>0</v>
      </c>
      <c r="B499" t="s">
        <v>2893</v>
      </c>
    </row>
    <row r="500" spans="1:2" x14ac:dyDescent="0.25">
      <c r="A500">
        <v>0</v>
      </c>
      <c r="B500" t="s">
        <v>2894</v>
      </c>
    </row>
    <row r="501" spans="1:2" x14ac:dyDescent="0.25">
      <c r="A501">
        <v>0</v>
      </c>
      <c r="B501" t="s">
        <v>2895</v>
      </c>
    </row>
    <row r="502" spans="1:2" x14ac:dyDescent="0.25">
      <c r="A502">
        <v>0</v>
      </c>
      <c r="B502" t="s">
        <v>2896</v>
      </c>
    </row>
    <row r="503" spans="1:2" x14ac:dyDescent="0.25">
      <c r="A503">
        <v>0</v>
      </c>
      <c r="B503" t="s">
        <v>2897</v>
      </c>
    </row>
    <row r="504" spans="1:2" x14ac:dyDescent="0.25">
      <c r="A504">
        <v>0</v>
      </c>
      <c r="B504" t="s">
        <v>2898</v>
      </c>
    </row>
    <row r="505" spans="1:2" x14ac:dyDescent="0.25">
      <c r="A505">
        <v>0</v>
      </c>
      <c r="B505" t="s">
        <v>2899</v>
      </c>
    </row>
    <row r="506" spans="1:2" x14ac:dyDescent="0.25">
      <c r="A506">
        <v>25000</v>
      </c>
      <c r="B506" t="s">
        <v>2900</v>
      </c>
    </row>
    <row r="507" spans="1:2" x14ac:dyDescent="0.25">
      <c r="A507">
        <v>25000</v>
      </c>
      <c r="B507" t="s">
        <v>2901</v>
      </c>
    </row>
    <row r="508" spans="1:2" x14ac:dyDescent="0.25">
      <c r="A508">
        <v>26250</v>
      </c>
      <c r="B508" t="s">
        <v>2902</v>
      </c>
    </row>
    <row r="509" spans="1:2" x14ac:dyDescent="0.25">
      <c r="A509">
        <v>21000</v>
      </c>
      <c r="B509" t="s">
        <v>2903</v>
      </c>
    </row>
    <row r="510" spans="1:2" x14ac:dyDescent="0.25">
      <c r="A510">
        <v>4200</v>
      </c>
      <c r="B510" t="s">
        <v>2904</v>
      </c>
    </row>
    <row r="511" spans="1:2" x14ac:dyDescent="0.25">
      <c r="A511">
        <v>0</v>
      </c>
      <c r="B511" t="s">
        <v>2905</v>
      </c>
    </row>
    <row r="512" spans="1:2" x14ac:dyDescent="0.25">
      <c r="A512">
        <v>0</v>
      </c>
      <c r="B512" t="s">
        <v>2906</v>
      </c>
    </row>
    <row r="513" spans="1:2" x14ac:dyDescent="0.25">
      <c r="A513">
        <v>0</v>
      </c>
      <c r="B513" t="s">
        <v>2907</v>
      </c>
    </row>
    <row r="514" spans="1:2" x14ac:dyDescent="0.25">
      <c r="A514">
        <v>0</v>
      </c>
      <c r="B514" t="s">
        <v>2908</v>
      </c>
    </row>
    <row r="515" spans="1:2" x14ac:dyDescent="0.25">
      <c r="A515">
        <v>0</v>
      </c>
      <c r="B515" t="s">
        <v>2909</v>
      </c>
    </row>
    <row r="516" spans="1:2" x14ac:dyDescent="0.25">
      <c r="A516">
        <v>0</v>
      </c>
      <c r="B516" t="s">
        <v>2910</v>
      </c>
    </row>
    <row r="517" spans="1:2" x14ac:dyDescent="0.25">
      <c r="A517">
        <v>165322549450549</v>
      </c>
      <c r="B517" t="s">
        <v>2911</v>
      </c>
    </row>
    <row r="518" spans="1:2" x14ac:dyDescent="0.25">
      <c r="A518">
        <v>295273978021978</v>
      </c>
      <c r="B518" t="s">
        <v>2912</v>
      </c>
    </row>
    <row r="519" spans="1:2" x14ac:dyDescent="0.25">
      <c r="A519">
        <v>93529978021978</v>
      </c>
      <c r="B519" t="s">
        <v>2913</v>
      </c>
    </row>
    <row r="520" spans="1:2" x14ac:dyDescent="0.25">
      <c r="A520">
        <v>711534065934066</v>
      </c>
      <c r="B520" t="s">
        <v>2914</v>
      </c>
    </row>
    <row r="521" spans="1:2" x14ac:dyDescent="0.25">
      <c r="A521">
        <v>104839120879121</v>
      </c>
      <c r="B521" t="s">
        <v>2915</v>
      </c>
    </row>
    <row r="522" spans="1:2" x14ac:dyDescent="0.25">
      <c r="A522">
        <v>694562637362638</v>
      </c>
      <c r="B522" t="s">
        <v>2916</v>
      </c>
    </row>
    <row r="523" spans="1:2" x14ac:dyDescent="0.25">
      <c r="A523">
        <v>623642637362636</v>
      </c>
      <c r="B523" t="s">
        <v>2917</v>
      </c>
    </row>
    <row r="524" spans="1:2" x14ac:dyDescent="0.25">
      <c r="A524">
        <v>146804835164835</v>
      </c>
      <c r="B524" t="s">
        <v>2918</v>
      </c>
    </row>
    <row r="525" spans="1:2" x14ac:dyDescent="0.25">
      <c r="A525">
        <v>245136263736264</v>
      </c>
      <c r="B525" t="s">
        <v>2919</v>
      </c>
    </row>
    <row r="526" spans="1:2" x14ac:dyDescent="0.25">
      <c r="A526">
        <v>280344263736264</v>
      </c>
      <c r="B526" t="s">
        <v>2920</v>
      </c>
    </row>
    <row r="527" spans="1:2" x14ac:dyDescent="0.25">
      <c r="A527">
        <v>287252571428571</v>
      </c>
      <c r="B527" t="s">
        <v>2921</v>
      </c>
    </row>
    <row r="528" spans="1:2" x14ac:dyDescent="0.25">
      <c r="A528">
        <v>188093571428571</v>
      </c>
      <c r="B528" t="s">
        <v>2922</v>
      </c>
    </row>
    <row r="529" spans="1:2" x14ac:dyDescent="0.25">
      <c r="A529">
        <v>711098292352355</v>
      </c>
      <c r="B529" t="s">
        <v>2923</v>
      </c>
    </row>
    <row r="530" spans="1:2" x14ac:dyDescent="0.25">
      <c r="A530">
        <v>390118728581676</v>
      </c>
      <c r="B530" t="s">
        <v>2924</v>
      </c>
    </row>
    <row r="531" spans="1:2" x14ac:dyDescent="0.25">
      <c r="A531">
        <v>246928732513374</v>
      </c>
      <c r="B531" t="s">
        <v>2925</v>
      </c>
    </row>
    <row r="532" spans="1:2" x14ac:dyDescent="0.25">
      <c r="A532">
        <v>255396491973432</v>
      </c>
      <c r="B532" t="s">
        <v>2926</v>
      </c>
    </row>
    <row r="533" spans="1:2" x14ac:dyDescent="0.25">
      <c r="A533">
        <v>749754336104626</v>
      </c>
      <c r="B533" t="s">
        <v>2927</v>
      </c>
    </row>
    <row r="534" spans="1:2" x14ac:dyDescent="0.25">
      <c r="A534">
        <v>414442026854715</v>
      </c>
      <c r="B534" t="s">
        <v>2928</v>
      </c>
    </row>
    <row r="535" spans="1:2" x14ac:dyDescent="0.25">
      <c r="A535">
        <v>307209143222902</v>
      </c>
      <c r="B535" t="s">
        <v>2929</v>
      </c>
    </row>
    <row r="536" spans="1:2" x14ac:dyDescent="0.25">
      <c r="A536">
        <v>176003514371283</v>
      </c>
      <c r="B536" t="s">
        <v>2930</v>
      </c>
    </row>
    <row r="537" spans="1:2" x14ac:dyDescent="0.25">
      <c r="A537">
        <v>278711182511519</v>
      </c>
      <c r="B537" t="s">
        <v>2931</v>
      </c>
    </row>
    <row r="538" spans="1:2" x14ac:dyDescent="0.25">
      <c r="A538">
        <v>255911257686233</v>
      </c>
      <c r="B538" t="s">
        <v>2932</v>
      </c>
    </row>
    <row r="539" spans="1:2" x14ac:dyDescent="0.25">
      <c r="A539">
        <v>693050967618966</v>
      </c>
      <c r="B539" t="s">
        <v>2933</v>
      </c>
    </row>
    <row r="540" spans="1:2" x14ac:dyDescent="0.25">
      <c r="A540">
        <v>324885564799107</v>
      </c>
      <c r="B540" t="s">
        <v>2934</v>
      </c>
    </row>
    <row r="541" spans="1:2" x14ac:dyDescent="0.25">
      <c r="A541" t="s">
        <v>3605</v>
      </c>
      <c r="B541" t="s">
        <v>2935</v>
      </c>
    </row>
    <row r="542" spans="1:2" x14ac:dyDescent="0.25">
      <c r="A542" t="s">
        <v>3606</v>
      </c>
      <c r="B542" t="s">
        <v>2936</v>
      </c>
    </row>
    <row r="543" spans="1:2" x14ac:dyDescent="0.25">
      <c r="A543" t="s">
        <v>3607</v>
      </c>
      <c r="B543" t="s">
        <v>2937</v>
      </c>
    </row>
    <row r="544" spans="1:2" x14ac:dyDescent="0.25">
      <c r="A544">
        <v>50666</v>
      </c>
      <c r="B544" t="s">
        <v>2938</v>
      </c>
    </row>
    <row r="545" spans="1:2" x14ac:dyDescent="0.25">
      <c r="A545" t="s">
        <v>3608</v>
      </c>
      <c r="B545" t="s">
        <v>2939</v>
      </c>
    </row>
    <row r="546" spans="1:2" x14ac:dyDescent="0.25">
      <c r="A546">
        <v>37873</v>
      </c>
      <c r="B546" t="s">
        <v>2940</v>
      </c>
    </row>
    <row r="547" spans="1:2" x14ac:dyDescent="0.25">
      <c r="A547" t="s">
        <v>3609</v>
      </c>
      <c r="B547" t="s">
        <v>2941</v>
      </c>
    </row>
    <row r="548" spans="1:2" x14ac:dyDescent="0.25">
      <c r="A548" t="s">
        <v>3610</v>
      </c>
      <c r="B548" t="s">
        <v>2942</v>
      </c>
    </row>
    <row r="549" spans="1:2" x14ac:dyDescent="0.25">
      <c r="A549" t="s">
        <v>3611</v>
      </c>
      <c r="B549" t="s">
        <v>2943</v>
      </c>
    </row>
    <row r="550" spans="1:2" x14ac:dyDescent="0.25">
      <c r="A550">
        <v>152053</v>
      </c>
      <c r="B550" t="s">
        <v>2944</v>
      </c>
    </row>
    <row r="551" spans="1:2" x14ac:dyDescent="0.25">
      <c r="A551" t="s">
        <v>3612</v>
      </c>
      <c r="B551" t="s">
        <v>2945</v>
      </c>
    </row>
    <row r="552" spans="1:2" x14ac:dyDescent="0.25">
      <c r="A552" t="s">
        <v>3613</v>
      </c>
      <c r="B552" t="s">
        <v>2946</v>
      </c>
    </row>
    <row r="553" spans="1:2" x14ac:dyDescent="0.25">
      <c r="A553">
        <v>0</v>
      </c>
      <c r="B553" t="s">
        <v>3614</v>
      </c>
    </row>
    <row r="554" spans="1:2" x14ac:dyDescent="0.25">
      <c r="A554">
        <v>170000</v>
      </c>
      <c r="B554" t="s">
        <v>3615</v>
      </c>
    </row>
    <row r="555" spans="1:2" x14ac:dyDescent="0.25">
      <c r="A555">
        <v>150000</v>
      </c>
      <c r="B555" t="s">
        <v>3616</v>
      </c>
    </row>
    <row r="556" spans="1:2" x14ac:dyDescent="0.25">
      <c r="A556">
        <v>100000</v>
      </c>
      <c r="B556" t="s">
        <v>3617</v>
      </c>
    </row>
    <row r="557" spans="1:2" x14ac:dyDescent="0.25">
      <c r="A557">
        <v>70000</v>
      </c>
      <c r="B557" t="s">
        <v>3618</v>
      </c>
    </row>
    <row r="558" spans="1:2" x14ac:dyDescent="0.25">
      <c r="A558">
        <v>60000</v>
      </c>
      <c r="B558" t="s">
        <v>3619</v>
      </c>
    </row>
    <row r="559" spans="1:2" x14ac:dyDescent="0.25">
      <c r="A559">
        <v>0</v>
      </c>
      <c r="B559" t="s">
        <v>3620</v>
      </c>
    </row>
    <row r="560" spans="1:2" x14ac:dyDescent="0.25">
      <c r="A560">
        <v>0</v>
      </c>
      <c r="B560" t="s">
        <v>3621</v>
      </c>
    </row>
    <row r="561" spans="1:2" x14ac:dyDescent="0.25">
      <c r="A561">
        <v>0</v>
      </c>
      <c r="B561" t="s">
        <v>3622</v>
      </c>
    </row>
    <row r="562" spans="1:2" x14ac:dyDescent="0.25">
      <c r="A562">
        <v>0</v>
      </c>
      <c r="B562" t="s">
        <v>3623</v>
      </c>
    </row>
    <row r="563" spans="1:2" x14ac:dyDescent="0.25">
      <c r="A563">
        <v>0</v>
      </c>
      <c r="B563" t="s">
        <v>3624</v>
      </c>
    </row>
    <row r="564" spans="1:2" x14ac:dyDescent="0.25">
      <c r="A564">
        <v>0</v>
      </c>
      <c r="B564" t="s">
        <v>3625</v>
      </c>
    </row>
    <row r="565" spans="1:2" x14ac:dyDescent="0.25">
      <c r="B565" t="s">
        <v>3644</v>
      </c>
    </row>
    <row r="566" spans="1:2" x14ac:dyDescent="0.25">
      <c r="A566">
        <v>28798</v>
      </c>
      <c r="B566" t="s">
        <v>1567</v>
      </c>
    </row>
    <row r="567" spans="1:2" x14ac:dyDescent="0.25">
      <c r="A567">
        <v>28798</v>
      </c>
      <c r="B567" t="s">
        <v>1568</v>
      </c>
    </row>
    <row r="568" spans="1:2" x14ac:dyDescent="0.25">
      <c r="A568">
        <v>23998</v>
      </c>
      <c r="B568" t="s">
        <v>1569</v>
      </c>
    </row>
    <row r="569" spans="1:2" x14ac:dyDescent="0.25">
      <c r="A569">
        <v>14143</v>
      </c>
      <c r="B569" t="s">
        <v>1570</v>
      </c>
    </row>
    <row r="570" spans="1:2" x14ac:dyDescent="0.25">
      <c r="A570">
        <v>15911</v>
      </c>
      <c r="B570" t="s">
        <v>1571</v>
      </c>
    </row>
    <row r="571" spans="1:2" x14ac:dyDescent="0.25">
      <c r="A571">
        <v>24151</v>
      </c>
      <c r="B571" t="s">
        <v>1572</v>
      </c>
    </row>
    <row r="572" spans="1:2" x14ac:dyDescent="0.25">
      <c r="A572">
        <v>23151</v>
      </c>
      <c r="B572" t="s">
        <v>1573</v>
      </c>
    </row>
    <row r="573" spans="1:2" x14ac:dyDescent="0.25">
      <c r="A573">
        <v>35961</v>
      </c>
      <c r="B573" t="s">
        <v>1574</v>
      </c>
    </row>
    <row r="574" spans="1:2" x14ac:dyDescent="0.25">
      <c r="A574">
        <v>35699</v>
      </c>
      <c r="B574" t="s">
        <v>1575</v>
      </c>
    </row>
    <row r="575" spans="1:2" x14ac:dyDescent="0.25">
      <c r="A575">
        <v>38397</v>
      </c>
      <c r="B575" t="s">
        <v>1576</v>
      </c>
    </row>
    <row r="576" spans="1:2" x14ac:dyDescent="0.25">
      <c r="A576">
        <v>48536</v>
      </c>
      <c r="B576" t="s">
        <v>1577</v>
      </c>
    </row>
    <row r="577" spans="1:2" x14ac:dyDescent="0.25">
      <c r="A577">
        <v>21572</v>
      </c>
      <c r="B577" t="s">
        <v>1578</v>
      </c>
    </row>
    <row r="578" spans="1:2" x14ac:dyDescent="0.25">
      <c r="A578">
        <v>0</v>
      </c>
      <c r="B578" t="s">
        <v>1579</v>
      </c>
    </row>
    <row r="579" spans="1:2" x14ac:dyDescent="0.25">
      <c r="A579">
        <v>0</v>
      </c>
      <c r="B579" t="s">
        <v>1580</v>
      </c>
    </row>
    <row r="580" spans="1:2" x14ac:dyDescent="0.25">
      <c r="A580">
        <v>0</v>
      </c>
      <c r="B580" t="s">
        <v>1581</v>
      </c>
    </row>
    <row r="581" spans="1:2" x14ac:dyDescent="0.25">
      <c r="A581">
        <v>0</v>
      </c>
      <c r="B581" t="s">
        <v>1582</v>
      </c>
    </row>
    <row r="582" spans="1:2" x14ac:dyDescent="0.25">
      <c r="A582">
        <v>0</v>
      </c>
      <c r="B582" t="s">
        <v>1583</v>
      </c>
    </row>
    <row r="583" spans="1:2" x14ac:dyDescent="0.25">
      <c r="A583">
        <v>0</v>
      </c>
      <c r="B583" t="s">
        <v>1584</v>
      </c>
    </row>
    <row r="584" spans="1:2" x14ac:dyDescent="0.25">
      <c r="A584">
        <v>0</v>
      </c>
      <c r="B584" t="s">
        <v>1585</v>
      </c>
    </row>
    <row r="585" spans="1:2" x14ac:dyDescent="0.25">
      <c r="A585">
        <v>0</v>
      </c>
      <c r="B585" t="s">
        <v>1586</v>
      </c>
    </row>
    <row r="586" spans="1:2" x14ac:dyDescent="0.25">
      <c r="A586">
        <v>0</v>
      </c>
      <c r="B586" t="s">
        <v>1587</v>
      </c>
    </row>
    <row r="587" spans="1:2" x14ac:dyDescent="0.25">
      <c r="A587">
        <v>0</v>
      </c>
      <c r="B587" t="s">
        <v>1588</v>
      </c>
    </row>
    <row r="588" spans="1:2" x14ac:dyDescent="0.25">
      <c r="A588">
        <v>0</v>
      </c>
      <c r="B588" t="s">
        <v>1589</v>
      </c>
    </row>
    <row r="589" spans="1:2" x14ac:dyDescent="0.25">
      <c r="A589">
        <v>0</v>
      </c>
      <c r="B589" t="s">
        <v>1590</v>
      </c>
    </row>
    <row r="590" spans="1:2" x14ac:dyDescent="0.25">
      <c r="A590">
        <v>0</v>
      </c>
      <c r="B590" t="s">
        <v>1591</v>
      </c>
    </row>
    <row r="591" spans="1:2" x14ac:dyDescent="0.25">
      <c r="A591">
        <v>0</v>
      </c>
      <c r="B591" t="s">
        <v>1592</v>
      </c>
    </row>
    <row r="592" spans="1:2" x14ac:dyDescent="0.25">
      <c r="A592">
        <v>0</v>
      </c>
      <c r="B592" t="s">
        <v>1593</v>
      </c>
    </row>
    <row r="593" spans="1:2" x14ac:dyDescent="0.25">
      <c r="A593">
        <v>0</v>
      </c>
      <c r="B593" t="s">
        <v>1594</v>
      </c>
    </row>
    <row r="594" spans="1:2" x14ac:dyDescent="0.25">
      <c r="A594">
        <v>0</v>
      </c>
      <c r="B594" t="s">
        <v>1595</v>
      </c>
    </row>
    <row r="595" spans="1:2" x14ac:dyDescent="0.25">
      <c r="A595">
        <v>0</v>
      </c>
      <c r="B595" t="s">
        <v>1596</v>
      </c>
    </row>
    <row r="596" spans="1:2" x14ac:dyDescent="0.25">
      <c r="A596">
        <v>0</v>
      </c>
      <c r="B596" t="s">
        <v>1597</v>
      </c>
    </row>
    <row r="597" spans="1:2" x14ac:dyDescent="0.25">
      <c r="A597">
        <v>0</v>
      </c>
      <c r="B597" t="s">
        <v>1598</v>
      </c>
    </row>
    <row r="598" spans="1:2" x14ac:dyDescent="0.25">
      <c r="A598">
        <v>0</v>
      </c>
      <c r="B598" t="s">
        <v>1599</v>
      </c>
    </row>
    <row r="599" spans="1:2" x14ac:dyDescent="0.25">
      <c r="A599">
        <v>0</v>
      </c>
      <c r="B599" t="s">
        <v>1600</v>
      </c>
    </row>
    <row r="600" spans="1:2" x14ac:dyDescent="0.25">
      <c r="A600">
        <v>0</v>
      </c>
      <c r="B600" t="s">
        <v>1601</v>
      </c>
    </row>
    <row r="601" spans="1:2" x14ac:dyDescent="0.25">
      <c r="A601">
        <v>0</v>
      </c>
      <c r="B601" t="s">
        <v>1602</v>
      </c>
    </row>
    <row r="602" spans="1:2" x14ac:dyDescent="0.25">
      <c r="A602">
        <v>0</v>
      </c>
      <c r="B602" t="s">
        <v>1603</v>
      </c>
    </row>
    <row r="603" spans="1:2" x14ac:dyDescent="0.25">
      <c r="A603">
        <v>0</v>
      </c>
      <c r="B603" t="s">
        <v>1604</v>
      </c>
    </row>
    <row r="604" spans="1:2" x14ac:dyDescent="0.25">
      <c r="A604">
        <v>0</v>
      </c>
      <c r="B604" t="s">
        <v>1605</v>
      </c>
    </row>
    <row r="605" spans="1:2" x14ac:dyDescent="0.25">
      <c r="A605">
        <v>0</v>
      </c>
      <c r="B605" t="s">
        <v>1606</v>
      </c>
    </row>
    <row r="606" spans="1:2" x14ac:dyDescent="0.25">
      <c r="A606">
        <v>0</v>
      </c>
      <c r="B606" t="s">
        <v>1607</v>
      </c>
    </row>
    <row r="607" spans="1:2" x14ac:dyDescent="0.25">
      <c r="A607">
        <v>0</v>
      </c>
      <c r="B607" t="s">
        <v>1608</v>
      </c>
    </row>
    <row r="608" spans="1:2" x14ac:dyDescent="0.25">
      <c r="A608">
        <v>0</v>
      </c>
      <c r="B608" t="s">
        <v>1609</v>
      </c>
    </row>
    <row r="609" spans="1:2" x14ac:dyDescent="0.25">
      <c r="A609">
        <v>0</v>
      </c>
      <c r="B609" t="s">
        <v>1610</v>
      </c>
    </row>
    <row r="610" spans="1:2" x14ac:dyDescent="0.25">
      <c r="A610">
        <v>0</v>
      </c>
      <c r="B610" t="s">
        <v>1611</v>
      </c>
    </row>
    <row r="611" spans="1:2" x14ac:dyDescent="0.25">
      <c r="A611">
        <v>0</v>
      </c>
      <c r="B611" t="s">
        <v>1612</v>
      </c>
    </row>
    <row r="612" spans="1:2" x14ac:dyDescent="0.25">
      <c r="A612">
        <v>0</v>
      </c>
      <c r="B612" t="s">
        <v>1613</v>
      </c>
    </row>
    <row r="613" spans="1:2" x14ac:dyDescent="0.25">
      <c r="A613">
        <v>0</v>
      </c>
      <c r="B613" t="s">
        <v>1614</v>
      </c>
    </row>
    <row r="614" spans="1:2" x14ac:dyDescent="0.25">
      <c r="A614">
        <v>0</v>
      </c>
      <c r="B614" t="s">
        <v>1615</v>
      </c>
    </row>
    <row r="615" spans="1:2" x14ac:dyDescent="0.25">
      <c r="A615">
        <v>0</v>
      </c>
      <c r="B615" t="s">
        <v>1616</v>
      </c>
    </row>
    <row r="616" spans="1:2" x14ac:dyDescent="0.25">
      <c r="A616">
        <v>0</v>
      </c>
      <c r="B616" t="s">
        <v>1617</v>
      </c>
    </row>
    <row r="617" spans="1:2" x14ac:dyDescent="0.25">
      <c r="A617">
        <v>0</v>
      </c>
      <c r="B617" t="s">
        <v>1618</v>
      </c>
    </row>
    <row r="618" spans="1:2" x14ac:dyDescent="0.25">
      <c r="A618">
        <v>0</v>
      </c>
      <c r="B618" t="s">
        <v>1619</v>
      </c>
    </row>
    <row r="619" spans="1:2" x14ac:dyDescent="0.25">
      <c r="A619">
        <v>0</v>
      </c>
      <c r="B619" t="s">
        <v>1620</v>
      </c>
    </row>
    <row r="620" spans="1:2" x14ac:dyDescent="0.25">
      <c r="A620">
        <v>0</v>
      </c>
      <c r="B620" t="s">
        <v>1621</v>
      </c>
    </row>
    <row r="621" spans="1:2" x14ac:dyDescent="0.25">
      <c r="A621">
        <v>0</v>
      </c>
      <c r="B621" t="s">
        <v>1622</v>
      </c>
    </row>
    <row r="622" spans="1:2" x14ac:dyDescent="0.25">
      <c r="A622">
        <v>0</v>
      </c>
      <c r="B622" t="s">
        <v>1623</v>
      </c>
    </row>
    <row r="623" spans="1:2" x14ac:dyDescent="0.25">
      <c r="A623">
        <v>0</v>
      </c>
      <c r="B623" t="s">
        <v>1624</v>
      </c>
    </row>
    <row r="624" spans="1:2" x14ac:dyDescent="0.25">
      <c r="A624">
        <v>0</v>
      </c>
      <c r="B624" t="s">
        <v>1625</v>
      </c>
    </row>
    <row r="625" spans="1:2" x14ac:dyDescent="0.25">
      <c r="A625">
        <v>0</v>
      </c>
      <c r="B625" t="s">
        <v>1626</v>
      </c>
    </row>
    <row r="626" spans="1:2" x14ac:dyDescent="0.25">
      <c r="A626">
        <v>176256</v>
      </c>
      <c r="B626" t="s">
        <v>1627</v>
      </c>
    </row>
    <row r="627" spans="1:2" x14ac:dyDescent="0.25">
      <c r="A627">
        <v>176256</v>
      </c>
      <c r="B627" t="s">
        <v>1628</v>
      </c>
    </row>
    <row r="628" spans="1:2" x14ac:dyDescent="0.25">
      <c r="A628">
        <v>176256</v>
      </c>
      <c r="B628" t="s">
        <v>1629</v>
      </c>
    </row>
    <row r="629" spans="1:2" x14ac:dyDescent="0.25">
      <c r="A629">
        <v>105093</v>
      </c>
      <c r="B629" t="s">
        <v>1630</v>
      </c>
    </row>
    <row r="630" spans="1:2" x14ac:dyDescent="0.25">
      <c r="A630">
        <v>105093</v>
      </c>
      <c r="B630" t="s">
        <v>1631</v>
      </c>
    </row>
    <row r="631" spans="1:2" x14ac:dyDescent="0.25">
      <c r="A631">
        <v>105093</v>
      </c>
      <c r="B631" t="s">
        <v>1632</v>
      </c>
    </row>
    <row r="632" spans="1:2" x14ac:dyDescent="0.25">
      <c r="A632">
        <v>105093</v>
      </c>
      <c r="B632" t="s">
        <v>1633</v>
      </c>
    </row>
    <row r="633" spans="1:2" x14ac:dyDescent="0.25">
      <c r="A633">
        <v>143208</v>
      </c>
      <c r="B633" t="s">
        <v>1634</v>
      </c>
    </row>
    <row r="634" spans="1:2" x14ac:dyDescent="0.25">
      <c r="A634">
        <v>143208</v>
      </c>
      <c r="B634" t="s">
        <v>1635</v>
      </c>
    </row>
    <row r="635" spans="1:2" x14ac:dyDescent="0.25">
      <c r="A635">
        <v>121176</v>
      </c>
      <c r="B635" t="s">
        <v>1636</v>
      </c>
    </row>
    <row r="636" spans="1:2" x14ac:dyDescent="0.25">
      <c r="A636">
        <v>121176</v>
      </c>
      <c r="B636" t="s">
        <v>1637</v>
      </c>
    </row>
    <row r="637" spans="1:2" x14ac:dyDescent="0.25">
      <c r="A637">
        <v>110160</v>
      </c>
      <c r="B637" t="s">
        <v>1638</v>
      </c>
    </row>
    <row r="638" spans="1:2" x14ac:dyDescent="0.25">
      <c r="A638">
        <v>79872</v>
      </c>
      <c r="B638" t="s">
        <v>1639</v>
      </c>
    </row>
    <row r="639" spans="1:2" x14ac:dyDescent="0.25">
      <c r="A639">
        <v>65490</v>
      </c>
      <c r="B639" t="s">
        <v>1640</v>
      </c>
    </row>
    <row r="640" spans="1:2" x14ac:dyDescent="0.25">
      <c r="A640">
        <v>65490</v>
      </c>
      <c r="B640" t="s">
        <v>1641</v>
      </c>
    </row>
    <row r="641" spans="1:2" x14ac:dyDescent="0.25">
      <c r="A641">
        <v>40211</v>
      </c>
      <c r="B641" t="s">
        <v>1642</v>
      </c>
    </row>
    <row r="642" spans="1:2" x14ac:dyDescent="0.25">
      <c r="A642">
        <v>89029</v>
      </c>
      <c r="B642" t="s">
        <v>1643</v>
      </c>
    </row>
    <row r="643" spans="1:2" x14ac:dyDescent="0.25">
      <c r="A643">
        <v>96620</v>
      </c>
      <c r="B643" t="s">
        <v>1644</v>
      </c>
    </row>
    <row r="644" spans="1:2" x14ac:dyDescent="0.25">
      <c r="A644">
        <v>30719</v>
      </c>
      <c r="B644" t="s">
        <v>1645</v>
      </c>
    </row>
    <row r="645" spans="1:2" x14ac:dyDescent="0.25">
      <c r="A645">
        <v>85307</v>
      </c>
      <c r="B645" t="s">
        <v>1646</v>
      </c>
    </row>
    <row r="646" spans="1:2" x14ac:dyDescent="0.25">
      <c r="A646">
        <v>39917</v>
      </c>
      <c r="B646" t="s">
        <v>1647</v>
      </c>
    </row>
    <row r="647" spans="1:2" x14ac:dyDescent="0.25">
      <c r="A647">
        <v>100000</v>
      </c>
      <c r="B647" t="s">
        <v>1648</v>
      </c>
    </row>
    <row r="648" spans="1:2" x14ac:dyDescent="0.25">
      <c r="A648">
        <v>219102</v>
      </c>
      <c r="B648" t="s">
        <v>1649</v>
      </c>
    </row>
    <row r="649" spans="1:2" x14ac:dyDescent="0.25">
      <c r="A649">
        <v>51421</v>
      </c>
      <c r="B649" t="s">
        <v>1650</v>
      </c>
    </row>
    <row r="650" spans="1:2" x14ac:dyDescent="0.25">
      <c r="A650">
        <v>8000</v>
      </c>
      <c r="B650" t="s">
        <v>1651</v>
      </c>
    </row>
    <row r="651" spans="1:2" x14ac:dyDescent="0.25">
      <c r="A651">
        <v>8000</v>
      </c>
      <c r="B651" t="s">
        <v>1652</v>
      </c>
    </row>
    <row r="652" spans="1:2" x14ac:dyDescent="0.25">
      <c r="A652">
        <v>8000</v>
      </c>
      <c r="B652" t="s">
        <v>1653</v>
      </c>
    </row>
    <row r="653" spans="1:2" x14ac:dyDescent="0.25">
      <c r="A653">
        <v>8000</v>
      </c>
      <c r="B653" t="s">
        <v>1654</v>
      </c>
    </row>
    <row r="654" spans="1:2" x14ac:dyDescent="0.25">
      <c r="A654">
        <v>8000</v>
      </c>
      <c r="B654" t="s">
        <v>1655</v>
      </c>
    </row>
    <row r="655" spans="1:2" x14ac:dyDescent="0.25">
      <c r="A655">
        <v>8000</v>
      </c>
      <c r="B655" t="s">
        <v>1656</v>
      </c>
    </row>
    <row r="656" spans="1:2" x14ac:dyDescent="0.25">
      <c r="A656">
        <v>8000</v>
      </c>
      <c r="B656" t="s">
        <v>1657</v>
      </c>
    </row>
    <row r="657" spans="1:2" x14ac:dyDescent="0.25">
      <c r="A657">
        <v>8000</v>
      </c>
      <c r="B657" t="s">
        <v>1658</v>
      </c>
    </row>
    <row r="658" spans="1:2" x14ac:dyDescent="0.25">
      <c r="A658">
        <v>10000</v>
      </c>
      <c r="B658" t="s">
        <v>1659</v>
      </c>
    </row>
    <row r="659" spans="1:2" x14ac:dyDescent="0.25">
      <c r="A659">
        <v>10000</v>
      </c>
      <c r="B659" t="s">
        <v>1660</v>
      </c>
    </row>
    <row r="660" spans="1:2" x14ac:dyDescent="0.25">
      <c r="A660">
        <v>10000</v>
      </c>
      <c r="B660" t="s">
        <v>1661</v>
      </c>
    </row>
    <row r="661" spans="1:2" x14ac:dyDescent="0.25">
      <c r="A661">
        <v>10000</v>
      </c>
      <c r="B661" t="s">
        <v>1662</v>
      </c>
    </row>
    <row r="662" spans="1:2" x14ac:dyDescent="0.25">
      <c r="A662">
        <v>0</v>
      </c>
      <c r="B662" t="s">
        <v>1663</v>
      </c>
    </row>
    <row r="663" spans="1:2" x14ac:dyDescent="0.25">
      <c r="A663">
        <v>0</v>
      </c>
      <c r="B663" t="s">
        <v>1664</v>
      </c>
    </row>
    <row r="664" spans="1:2" x14ac:dyDescent="0.25">
      <c r="A664">
        <v>0</v>
      </c>
      <c r="B664" t="s">
        <v>1665</v>
      </c>
    </row>
    <row r="665" spans="1:2" x14ac:dyDescent="0.25">
      <c r="A665">
        <v>0</v>
      </c>
      <c r="B665" t="s">
        <v>1666</v>
      </c>
    </row>
    <row r="666" spans="1:2" x14ac:dyDescent="0.25">
      <c r="A666">
        <v>0</v>
      </c>
      <c r="B666" t="s">
        <v>1667</v>
      </c>
    </row>
    <row r="667" spans="1:2" x14ac:dyDescent="0.25">
      <c r="A667">
        <v>0</v>
      </c>
      <c r="B667" t="s">
        <v>1668</v>
      </c>
    </row>
    <row r="668" spans="1:2" x14ac:dyDescent="0.25">
      <c r="A668">
        <v>0</v>
      </c>
      <c r="B668" t="s">
        <v>1669</v>
      </c>
    </row>
    <row r="669" spans="1:2" x14ac:dyDescent="0.25">
      <c r="A669">
        <v>0</v>
      </c>
      <c r="B669" t="s">
        <v>1670</v>
      </c>
    </row>
    <row r="670" spans="1:2" x14ac:dyDescent="0.25">
      <c r="A670">
        <v>0</v>
      </c>
      <c r="B670" t="s">
        <v>1671</v>
      </c>
    </row>
    <row r="671" spans="1:2" x14ac:dyDescent="0.25">
      <c r="A671">
        <v>0</v>
      </c>
      <c r="B671" t="s">
        <v>1672</v>
      </c>
    </row>
    <row r="672" spans="1:2" x14ac:dyDescent="0.25">
      <c r="A672">
        <v>0</v>
      </c>
      <c r="B672" t="s">
        <v>1673</v>
      </c>
    </row>
    <row r="673" spans="1:2" x14ac:dyDescent="0.25">
      <c r="A673">
        <v>0</v>
      </c>
      <c r="B673" t="s">
        <v>1674</v>
      </c>
    </row>
    <row r="674" spans="1:2" x14ac:dyDescent="0.25">
      <c r="A674">
        <v>0</v>
      </c>
      <c r="B674" t="s">
        <v>1675</v>
      </c>
    </row>
    <row r="675" spans="1:2" x14ac:dyDescent="0.25">
      <c r="A675">
        <v>0</v>
      </c>
      <c r="B675" t="s">
        <v>1676</v>
      </c>
    </row>
    <row r="676" spans="1:2" x14ac:dyDescent="0.25">
      <c r="A676">
        <v>0</v>
      </c>
      <c r="B676" t="s">
        <v>1677</v>
      </c>
    </row>
    <row r="677" spans="1:2" x14ac:dyDescent="0.25">
      <c r="A677">
        <v>0</v>
      </c>
      <c r="B677" t="s">
        <v>1678</v>
      </c>
    </row>
    <row r="678" spans="1:2" x14ac:dyDescent="0.25">
      <c r="A678">
        <v>0</v>
      </c>
      <c r="B678" t="s">
        <v>1679</v>
      </c>
    </row>
    <row r="679" spans="1:2" x14ac:dyDescent="0.25">
      <c r="A679">
        <v>0</v>
      </c>
      <c r="B679" t="s">
        <v>1680</v>
      </c>
    </row>
    <row r="680" spans="1:2" x14ac:dyDescent="0.25">
      <c r="A680">
        <v>0</v>
      </c>
      <c r="B680" t="s">
        <v>1681</v>
      </c>
    </row>
    <row r="681" spans="1:2" x14ac:dyDescent="0.25">
      <c r="A681">
        <v>0</v>
      </c>
      <c r="B681" t="s">
        <v>1682</v>
      </c>
    </row>
    <row r="682" spans="1:2" x14ac:dyDescent="0.25">
      <c r="A682">
        <v>0</v>
      </c>
      <c r="B682" t="s">
        <v>1683</v>
      </c>
    </row>
    <row r="683" spans="1:2" x14ac:dyDescent="0.25">
      <c r="A683">
        <v>0</v>
      </c>
      <c r="B683" t="s">
        <v>1684</v>
      </c>
    </row>
    <row r="684" spans="1:2" x14ac:dyDescent="0.25">
      <c r="A684">
        <v>0</v>
      </c>
      <c r="B684" t="s">
        <v>1685</v>
      </c>
    </row>
    <row r="685" spans="1:2" x14ac:dyDescent="0.25">
      <c r="A685">
        <v>0</v>
      </c>
      <c r="B685" t="s">
        <v>1686</v>
      </c>
    </row>
    <row r="686" spans="1:2" x14ac:dyDescent="0.25">
      <c r="A686">
        <v>253711</v>
      </c>
      <c r="B686" t="s">
        <v>1687</v>
      </c>
    </row>
    <row r="687" spans="1:2" x14ac:dyDescent="0.25">
      <c r="A687">
        <v>226528</v>
      </c>
      <c r="B687" t="s">
        <v>1688</v>
      </c>
    </row>
    <row r="688" spans="1:2" x14ac:dyDescent="0.25">
      <c r="A688">
        <v>181223</v>
      </c>
      <c r="B688" t="s">
        <v>1689</v>
      </c>
    </row>
    <row r="689" spans="1:2" x14ac:dyDescent="0.25">
      <c r="A689">
        <v>144979</v>
      </c>
      <c r="B689" t="s">
        <v>1690</v>
      </c>
    </row>
    <row r="690" spans="1:2" x14ac:dyDescent="0.25">
      <c r="A690">
        <v>117795</v>
      </c>
      <c r="B690" t="s">
        <v>1691</v>
      </c>
    </row>
    <row r="691" spans="1:2" x14ac:dyDescent="0.25">
      <c r="A691">
        <v>90612</v>
      </c>
      <c r="B691" t="s">
        <v>1692</v>
      </c>
    </row>
    <row r="692" spans="1:2" x14ac:dyDescent="0.25">
      <c r="A692">
        <v>90612</v>
      </c>
      <c r="B692" t="s">
        <v>1693</v>
      </c>
    </row>
    <row r="693" spans="1:2" x14ac:dyDescent="0.25">
      <c r="A693">
        <v>90612</v>
      </c>
      <c r="B693" t="s">
        <v>1694</v>
      </c>
    </row>
    <row r="694" spans="1:2" x14ac:dyDescent="0.25">
      <c r="A694">
        <v>163101</v>
      </c>
      <c r="B694" t="s">
        <v>1695</v>
      </c>
    </row>
    <row r="695" spans="1:2" x14ac:dyDescent="0.25">
      <c r="A695">
        <v>163101</v>
      </c>
      <c r="B695" t="s">
        <v>1696</v>
      </c>
    </row>
    <row r="696" spans="1:2" x14ac:dyDescent="0.25">
      <c r="A696">
        <v>181223</v>
      </c>
      <c r="B696" t="s">
        <v>1697</v>
      </c>
    </row>
    <row r="697" spans="1:2" x14ac:dyDescent="0.25">
      <c r="A697">
        <v>135918</v>
      </c>
      <c r="B697" t="s">
        <v>1698</v>
      </c>
    </row>
    <row r="698" spans="1:2" x14ac:dyDescent="0.25">
      <c r="A698">
        <v>85409</v>
      </c>
      <c r="B698" t="s">
        <v>1699</v>
      </c>
    </row>
    <row r="699" spans="1:2" x14ac:dyDescent="0.25">
      <c r="A699">
        <v>85409</v>
      </c>
      <c r="B699" t="s">
        <v>1700</v>
      </c>
    </row>
    <row r="700" spans="1:2" x14ac:dyDescent="0.25">
      <c r="A700">
        <v>85409</v>
      </c>
      <c r="B700" t="s">
        <v>1701</v>
      </c>
    </row>
    <row r="701" spans="1:2" x14ac:dyDescent="0.25">
      <c r="A701">
        <v>65365</v>
      </c>
      <c r="B701" t="s">
        <v>1702</v>
      </c>
    </row>
    <row r="702" spans="1:2" x14ac:dyDescent="0.25">
      <c r="A702">
        <v>46690</v>
      </c>
      <c r="B702" t="s">
        <v>1703</v>
      </c>
    </row>
    <row r="703" spans="1:2" x14ac:dyDescent="0.25">
      <c r="A703">
        <v>46690</v>
      </c>
      <c r="B703" t="s">
        <v>1704</v>
      </c>
    </row>
    <row r="704" spans="1:2" x14ac:dyDescent="0.25">
      <c r="A704">
        <v>46690</v>
      </c>
      <c r="B704" t="s">
        <v>1705</v>
      </c>
    </row>
    <row r="705" spans="1:2" x14ac:dyDescent="0.25">
      <c r="A705">
        <v>62191</v>
      </c>
      <c r="B705" t="s">
        <v>1706</v>
      </c>
    </row>
    <row r="706" spans="1:2" x14ac:dyDescent="0.25">
      <c r="A706">
        <v>72555</v>
      </c>
      <c r="B706" t="s">
        <v>1707</v>
      </c>
    </row>
    <row r="707" spans="1:2" x14ac:dyDescent="0.25">
      <c r="A707">
        <v>82921</v>
      </c>
      <c r="B707" t="s">
        <v>1708</v>
      </c>
    </row>
    <row r="708" spans="1:2" x14ac:dyDescent="0.25">
      <c r="A708">
        <v>82921</v>
      </c>
      <c r="B708" t="s">
        <v>1709</v>
      </c>
    </row>
    <row r="709" spans="1:2" x14ac:dyDescent="0.25">
      <c r="A709">
        <v>72555</v>
      </c>
      <c r="B709" t="s">
        <v>1710</v>
      </c>
    </row>
    <row r="710" spans="1:2" x14ac:dyDescent="0.25">
      <c r="A710">
        <v>66353</v>
      </c>
      <c r="B710" t="s">
        <v>1711</v>
      </c>
    </row>
    <row r="711" spans="1:2" x14ac:dyDescent="0.25">
      <c r="A711">
        <v>66353</v>
      </c>
      <c r="B711" t="s">
        <v>1712</v>
      </c>
    </row>
    <row r="712" spans="1:2" x14ac:dyDescent="0.25">
      <c r="A712">
        <v>56146</v>
      </c>
      <c r="B712" t="s">
        <v>1713</v>
      </c>
    </row>
    <row r="713" spans="1:2" x14ac:dyDescent="0.25">
      <c r="A713">
        <v>35728</v>
      </c>
      <c r="B713" t="s">
        <v>1714</v>
      </c>
    </row>
    <row r="714" spans="1:2" x14ac:dyDescent="0.25">
      <c r="A714">
        <v>35730</v>
      </c>
      <c r="B714" t="s">
        <v>1715</v>
      </c>
    </row>
    <row r="715" spans="1:2" x14ac:dyDescent="0.25">
      <c r="A715">
        <v>30626</v>
      </c>
      <c r="B715" t="s">
        <v>1716</v>
      </c>
    </row>
    <row r="716" spans="1:2" x14ac:dyDescent="0.25">
      <c r="A716">
        <v>30626</v>
      </c>
      <c r="B716" t="s">
        <v>1717</v>
      </c>
    </row>
    <row r="717" spans="1:2" x14ac:dyDescent="0.25">
      <c r="A717">
        <v>30626</v>
      </c>
      <c r="B717" t="s">
        <v>1718</v>
      </c>
    </row>
    <row r="718" spans="1:2" x14ac:dyDescent="0.25">
      <c r="A718">
        <v>66353</v>
      </c>
      <c r="B718" t="s">
        <v>1719</v>
      </c>
    </row>
    <row r="719" spans="1:2" x14ac:dyDescent="0.25">
      <c r="A719">
        <v>66351</v>
      </c>
      <c r="B719" t="s">
        <v>1720</v>
      </c>
    </row>
    <row r="720" spans="1:2" x14ac:dyDescent="0.25">
      <c r="A720">
        <v>66351</v>
      </c>
      <c r="B720" t="s">
        <v>1721</v>
      </c>
    </row>
    <row r="721" spans="1:2" x14ac:dyDescent="0.25">
      <c r="A721">
        <v>45938</v>
      </c>
      <c r="B721" t="s">
        <v>1722</v>
      </c>
    </row>
    <row r="722" spans="1:2" x14ac:dyDescent="0.25">
      <c r="A722">
        <v>263304</v>
      </c>
      <c r="B722" t="s">
        <v>1723</v>
      </c>
    </row>
    <row r="723" spans="1:2" x14ac:dyDescent="0.25">
      <c r="A723">
        <v>263304</v>
      </c>
      <c r="B723" t="s">
        <v>1724</v>
      </c>
    </row>
    <row r="724" spans="1:2" x14ac:dyDescent="0.25">
      <c r="A724">
        <v>188075</v>
      </c>
      <c r="B724" t="s">
        <v>1725</v>
      </c>
    </row>
    <row r="725" spans="1:2" x14ac:dyDescent="0.25">
      <c r="A725">
        <v>91687</v>
      </c>
      <c r="B725" t="s">
        <v>1726</v>
      </c>
    </row>
    <row r="726" spans="1:2" x14ac:dyDescent="0.25">
      <c r="A726">
        <v>91687</v>
      </c>
      <c r="B726" t="s">
        <v>1727</v>
      </c>
    </row>
    <row r="727" spans="1:2" x14ac:dyDescent="0.25">
      <c r="A727">
        <v>91687</v>
      </c>
      <c r="B727" t="s">
        <v>1728</v>
      </c>
    </row>
    <row r="728" spans="1:2" x14ac:dyDescent="0.25">
      <c r="A728">
        <v>87456</v>
      </c>
      <c r="B728" t="s">
        <v>1729</v>
      </c>
    </row>
    <row r="729" spans="1:2" x14ac:dyDescent="0.25">
      <c r="A729">
        <v>91687</v>
      </c>
      <c r="B729" t="s">
        <v>1730</v>
      </c>
    </row>
    <row r="730" spans="1:2" x14ac:dyDescent="0.25">
      <c r="A730">
        <v>188075</v>
      </c>
      <c r="B730" t="s">
        <v>1731</v>
      </c>
    </row>
    <row r="731" spans="1:2" x14ac:dyDescent="0.25">
      <c r="A731">
        <v>235093</v>
      </c>
      <c r="B731" t="s">
        <v>1732</v>
      </c>
    </row>
    <row r="732" spans="1:2" x14ac:dyDescent="0.25">
      <c r="A732">
        <v>188075</v>
      </c>
      <c r="B732" t="s">
        <v>1733</v>
      </c>
    </row>
    <row r="733" spans="1:2" x14ac:dyDescent="0.25">
      <c r="A733">
        <v>169267</v>
      </c>
      <c r="B733" t="s">
        <v>1734</v>
      </c>
    </row>
    <row r="734" spans="1:2" x14ac:dyDescent="0.25">
      <c r="A734">
        <v>1091018</v>
      </c>
      <c r="B734" t="s">
        <v>1735</v>
      </c>
    </row>
    <row r="735" spans="1:2" x14ac:dyDescent="0.25">
      <c r="A735">
        <v>1000100</v>
      </c>
      <c r="B735" t="s">
        <v>1736</v>
      </c>
    </row>
    <row r="736" spans="1:2" x14ac:dyDescent="0.25">
      <c r="A736">
        <v>863722</v>
      </c>
      <c r="B736" t="s">
        <v>1737</v>
      </c>
    </row>
    <row r="737" spans="1:2" x14ac:dyDescent="0.25">
      <c r="A737">
        <v>578240</v>
      </c>
      <c r="B737" t="s">
        <v>1738</v>
      </c>
    </row>
    <row r="738" spans="1:2" x14ac:dyDescent="0.25">
      <c r="A738">
        <v>578240</v>
      </c>
      <c r="B738" t="s">
        <v>1739</v>
      </c>
    </row>
    <row r="739" spans="1:2" x14ac:dyDescent="0.25">
      <c r="A739">
        <v>530054</v>
      </c>
      <c r="B739" t="s">
        <v>1740</v>
      </c>
    </row>
    <row r="740" spans="1:2" x14ac:dyDescent="0.25">
      <c r="A740">
        <v>530054</v>
      </c>
      <c r="B740" t="s">
        <v>1741</v>
      </c>
    </row>
    <row r="741" spans="1:2" x14ac:dyDescent="0.25">
      <c r="A741">
        <v>818263</v>
      </c>
      <c r="B741" t="s">
        <v>1742</v>
      </c>
    </row>
    <row r="742" spans="1:2" x14ac:dyDescent="0.25">
      <c r="A742">
        <v>863722</v>
      </c>
      <c r="B742" t="s">
        <v>1743</v>
      </c>
    </row>
    <row r="743" spans="1:2" x14ac:dyDescent="0.25">
      <c r="A743">
        <v>1000100</v>
      </c>
      <c r="B743" t="s">
        <v>1744</v>
      </c>
    </row>
    <row r="744" spans="1:2" x14ac:dyDescent="0.25">
      <c r="A744">
        <v>1000100</v>
      </c>
      <c r="B744" t="s">
        <v>1745</v>
      </c>
    </row>
    <row r="745" spans="1:2" x14ac:dyDescent="0.25">
      <c r="A745">
        <v>727345</v>
      </c>
      <c r="B745" t="s">
        <v>1746</v>
      </c>
    </row>
    <row r="746" spans="1:2" x14ac:dyDescent="0.25">
      <c r="A746">
        <v>14883</v>
      </c>
      <c r="B746" t="s">
        <v>1747</v>
      </c>
    </row>
    <row r="747" spans="1:2" x14ac:dyDescent="0.25">
      <c r="A747">
        <v>14883</v>
      </c>
      <c r="B747" t="s">
        <v>1748</v>
      </c>
    </row>
    <row r="748" spans="1:2" x14ac:dyDescent="0.25">
      <c r="A748">
        <v>14883</v>
      </c>
      <c r="B748" t="s">
        <v>1749</v>
      </c>
    </row>
    <row r="749" spans="1:2" x14ac:dyDescent="0.25">
      <c r="A749">
        <v>14883</v>
      </c>
      <c r="B749" t="s">
        <v>1750</v>
      </c>
    </row>
    <row r="750" spans="1:2" x14ac:dyDescent="0.25">
      <c r="A750">
        <v>14883</v>
      </c>
      <c r="B750" t="s">
        <v>1751</v>
      </c>
    </row>
    <row r="751" spans="1:2" x14ac:dyDescent="0.25">
      <c r="A751">
        <v>14883</v>
      </c>
      <c r="B751" t="s">
        <v>1752</v>
      </c>
    </row>
    <row r="752" spans="1:2" x14ac:dyDescent="0.25">
      <c r="A752">
        <v>14883</v>
      </c>
      <c r="B752" t="s">
        <v>1753</v>
      </c>
    </row>
    <row r="753" spans="1:2" x14ac:dyDescent="0.25">
      <c r="A753">
        <v>14883</v>
      </c>
      <c r="B753" t="s">
        <v>1754</v>
      </c>
    </row>
    <row r="754" spans="1:2" x14ac:dyDescent="0.25">
      <c r="A754">
        <v>14883</v>
      </c>
      <c r="B754" t="s">
        <v>1755</v>
      </c>
    </row>
    <row r="755" spans="1:2" x14ac:dyDescent="0.25">
      <c r="A755">
        <v>14883</v>
      </c>
      <c r="B755" t="s">
        <v>1756</v>
      </c>
    </row>
    <row r="756" spans="1:2" x14ac:dyDescent="0.25">
      <c r="A756">
        <v>14883</v>
      </c>
      <c r="B756" t="s">
        <v>1757</v>
      </c>
    </row>
    <row r="757" spans="1:2" x14ac:dyDescent="0.25">
      <c r="A757">
        <v>14883</v>
      </c>
      <c r="B757" t="s">
        <v>1758</v>
      </c>
    </row>
    <row r="758" spans="1:2" x14ac:dyDescent="0.25">
      <c r="A758">
        <v>28737</v>
      </c>
      <c r="B758" t="s">
        <v>1759</v>
      </c>
    </row>
    <row r="759" spans="1:2" x14ac:dyDescent="0.25">
      <c r="A759">
        <v>23948</v>
      </c>
      <c r="B759" t="s">
        <v>1760</v>
      </c>
    </row>
    <row r="760" spans="1:2" x14ac:dyDescent="0.25">
      <c r="A760">
        <v>23948</v>
      </c>
      <c r="B760" t="s">
        <v>1761</v>
      </c>
    </row>
    <row r="761" spans="1:2" x14ac:dyDescent="0.25">
      <c r="A761">
        <v>25146</v>
      </c>
      <c r="B761" t="s">
        <v>1762</v>
      </c>
    </row>
    <row r="762" spans="1:2" x14ac:dyDescent="0.25">
      <c r="A762">
        <v>20116</v>
      </c>
      <c r="B762" t="s">
        <v>1763</v>
      </c>
    </row>
    <row r="763" spans="1:2" x14ac:dyDescent="0.25">
      <c r="A763">
        <v>4024</v>
      </c>
      <c r="B763" t="s">
        <v>1764</v>
      </c>
    </row>
    <row r="764" spans="1:2" x14ac:dyDescent="0.25">
      <c r="A764">
        <v>4024</v>
      </c>
      <c r="B764" t="s">
        <v>1765</v>
      </c>
    </row>
    <row r="765" spans="1:2" x14ac:dyDescent="0.25">
      <c r="A765">
        <v>3018</v>
      </c>
      <c r="B765" t="s">
        <v>1766</v>
      </c>
    </row>
    <row r="766" spans="1:2" x14ac:dyDescent="0.25">
      <c r="A766">
        <v>11495</v>
      </c>
      <c r="B766" t="s">
        <v>1767</v>
      </c>
    </row>
    <row r="767" spans="1:2" x14ac:dyDescent="0.25">
      <c r="A767">
        <v>19158</v>
      </c>
      <c r="B767" t="s">
        <v>1768</v>
      </c>
    </row>
    <row r="768" spans="1:2" x14ac:dyDescent="0.25">
      <c r="A768">
        <v>25146</v>
      </c>
      <c r="B768" t="s">
        <v>1769</v>
      </c>
    </row>
    <row r="769" spans="1:2" x14ac:dyDescent="0.25">
      <c r="A769">
        <v>25146</v>
      </c>
      <c r="B769" t="s">
        <v>1770</v>
      </c>
    </row>
    <row r="770" spans="1:2" x14ac:dyDescent="0.25">
      <c r="A770">
        <v>40000</v>
      </c>
      <c r="B770" t="s">
        <v>1771</v>
      </c>
    </row>
    <row r="771" spans="1:2" x14ac:dyDescent="0.25">
      <c r="A771">
        <v>30000</v>
      </c>
      <c r="B771" t="s">
        <v>1772</v>
      </c>
    </row>
    <row r="772" spans="1:2" x14ac:dyDescent="0.25">
      <c r="A772">
        <v>23000</v>
      </c>
      <c r="B772" t="s">
        <v>1773</v>
      </c>
    </row>
    <row r="773" spans="1:2" x14ac:dyDescent="0.25">
      <c r="A773">
        <v>16250</v>
      </c>
      <c r="B773" t="s">
        <v>1774</v>
      </c>
    </row>
    <row r="774" spans="1:2" x14ac:dyDescent="0.25">
      <c r="A774">
        <v>18000</v>
      </c>
      <c r="B774" t="s">
        <v>1775</v>
      </c>
    </row>
    <row r="775" spans="1:2" x14ac:dyDescent="0.25">
      <c r="A775">
        <v>8400</v>
      </c>
      <c r="B775" t="s">
        <v>1776</v>
      </c>
    </row>
    <row r="776" spans="1:2" x14ac:dyDescent="0.25">
      <c r="A776">
        <v>8400</v>
      </c>
      <c r="B776" t="s">
        <v>1777</v>
      </c>
    </row>
    <row r="777" spans="1:2" x14ac:dyDescent="0.25">
      <c r="A777">
        <v>10000</v>
      </c>
      <c r="B777" t="s">
        <v>1778</v>
      </c>
    </row>
    <row r="778" spans="1:2" x14ac:dyDescent="0.25">
      <c r="A778">
        <v>20000</v>
      </c>
      <c r="B778" t="s">
        <v>1779</v>
      </c>
    </row>
    <row r="779" spans="1:2" x14ac:dyDescent="0.25">
      <c r="A779">
        <v>30000</v>
      </c>
      <c r="B779" t="s">
        <v>1780</v>
      </c>
    </row>
    <row r="780" spans="1:2" x14ac:dyDescent="0.25">
      <c r="A780">
        <v>30000</v>
      </c>
      <c r="B780" t="s">
        <v>1781</v>
      </c>
    </row>
    <row r="781" spans="1:2" x14ac:dyDescent="0.25">
      <c r="A781">
        <v>22000</v>
      </c>
      <c r="B781" t="s">
        <v>1782</v>
      </c>
    </row>
    <row r="782" spans="1:2" x14ac:dyDescent="0.25">
      <c r="A782">
        <v>12000</v>
      </c>
      <c r="B782" t="s">
        <v>1783</v>
      </c>
    </row>
    <row r="783" spans="1:2" x14ac:dyDescent="0.25">
      <c r="A783">
        <v>8800</v>
      </c>
      <c r="B783" t="s">
        <v>1784</v>
      </c>
    </row>
    <row r="784" spans="1:2" x14ac:dyDescent="0.25">
      <c r="A784">
        <v>7700</v>
      </c>
      <c r="B784" t="s">
        <v>1785</v>
      </c>
    </row>
    <row r="785" spans="1:2" x14ac:dyDescent="0.25">
      <c r="A785">
        <v>7700</v>
      </c>
      <c r="B785" t="s">
        <v>1786</v>
      </c>
    </row>
    <row r="786" spans="1:2" x14ac:dyDescent="0.25">
      <c r="A786">
        <v>7700</v>
      </c>
      <c r="B786" t="s">
        <v>1787</v>
      </c>
    </row>
    <row r="787" spans="1:2" x14ac:dyDescent="0.25">
      <c r="A787">
        <v>4400</v>
      </c>
      <c r="B787" t="s">
        <v>1788</v>
      </c>
    </row>
    <row r="788" spans="1:2" x14ac:dyDescent="0.25">
      <c r="A788">
        <v>4400</v>
      </c>
      <c r="B788" t="s">
        <v>1789</v>
      </c>
    </row>
    <row r="789" spans="1:2" x14ac:dyDescent="0.25">
      <c r="A789">
        <v>13200</v>
      </c>
      <c r="B789" t="s">
        <v>1790</v>
      </c>
    </row>
    <row r="790" spans="1:2" x14ac:dyDescent="0.25">
      <c r="A790">
        <v>16500</v>
      </c>
      <c r="B790" t="s">
        <v>1791</v>
      </c>
    </row>
    <row r="791" spans="1:2" x14ac:dyDescent="0.25">
      <c r="A791">
        <v>16500</v>
      </c>
      <c r="B791" t="s">
        <v>1792</v>
      </c>
    </row>
    <row r="792" spans="1:2" x14ac:dyDescent="0.25">
      <c r="A792">
        <v>16500</v>
      </c>
      <c r="B792" t="s">
        <v>1793</v>
      </c>
    </row>
    <row r="793" spans="1:2" x14ac:dyDescent="0.25">
      <c r="A793">
        <v>16500</v>
      </c>
      <c r="B793" t="s">
        <v>1794</v>
      </c>
    </row>
    <row r="794" spans="1:2" x14ac:dyDescent="0.25">
      <c r="A794">
        <v>94462</v>
      </c>
      <c r="B794" t="s">
        <v>1795</v>
      </c>
    </row>
    <row r="795" spans="1:2" x14ac:dyDescent="0.25">
      <c r="A795">
        <v>136562</v>
      </c>
      <c r="B795" t="s">
        <v>1796</v>
      </c>
    </row>
    <row r="796" spans="1:2" x14ac:dyDescent="0.25">
      <c r="A796">
        <v>98700</v>
      </c>
      <c r="B796" t="s">
        <v>1797</v>
      </c>
    </row>
    <row r="797" spans="1:2" x14ac:dyDescent="0.25">
      <c r="A797">
        <v>59220</v>
      </c>
      <c r="B797" t="s">
        <v>1798</v>
      </c>
    </row>
    <row r="798" spans="1:2" x14ac:dyDescent="0.25">
      <c r="A798">
        <v>59220</v>
      </c>
      <c r="B798" t="s">
        <v>1799</v>
      </c>
    </row>
    <row r="799" spans="1:2" x14ac:dyDescent="0.25">
      <c r="A799">
        <v>59220</v>
      </c>
      <c r="B799" t="s">
        <v>1800</v>
      </c>
    </row>
    <row r="800" spans="1:2" x14ac:dyDescent="0.25">
      <c r="A800">
        <v>59220</v>
      </c>
      <c r="B800" t="s">
        <v>1801</v>
      </c>
    </row>
    <row r="801" spans="1:2" x14ac:dyDescent="0.25">
      <c r="A801">
        <v>78960</v>
      </c>
      <c r="B801" t="s">
        <v>1802</v>
      </c>
    </row>
    <row r="802" spans="1:2" x14ac:dyDescent="0.25">
      <c r="A802">
        <v>128310</v>
      </c>
      <c r="B802" t="s">
        <v>1803</v>
      </c>
    </row>
    <row r="803" spans="1:2" x14ac:dyDescent="0.25">
      <c r="A803">
        <v>138180</v>
      </c>
      <c r="B803" t="s">
        <v>1804</v>
      </c>
    </row>
    <row r="804" spans="1:2" x14ac:dyDescent="0.25">
      <c r="A804">
        <v>138180</v>
      </c>
      <c r="B804" t="s">
        <v>1805</v>
      </c>
    </row>
    <row r="805" spans="1:2" x14ac:dyDescent="0.25">
      <c r="A805">
        <v>78960</v>
      </c>
      <c r="B805" t="s">
        <v>1806</v>
      </c>
    </row>
    <row r="806" spans="1:2" x14ac:dyDescent="0.25">
      <c r="A806">
        <v>200000</v>
      </c>
      <c r="B806" t="s">
        <v>1807</v>
      </c>
    </row>
    <row r="807" spans="1:2" x14ac:dyDescent="0.25">
      <c r="A807">
        <v>180000</v>
      </c>
      <c r="B807" t="s">
        <v>1808</v>
      </c>
    </row>
    <row r="808" spans="1:2" x14ac:dyDescent="0.25">
      <c r="A808">
        <v>150000</v>
      </c>
      <c r="B808" t="s">
        <v>1809</v>
      </c>
    </row>
    <row r="809" spans="1:2" x14ac:dyDescent="0.25">
      <c r="A809">
        <v>70000</v>
      </c>
      <c r="B809" t="s">
        <v>1810</v>
      </c>
    </row>
    <row r="810" spans="1:2" x14ac:dyDescent="0.25">
      <c r="A810">
        <v>72800</v>
      </c>
      <c r="B810" t="s">
        <v>1811</v>
      </c>
    </row>
    <row r="811" spans="1:2" x14ac:dyDescent="0.25">
      <c r="A811">
        <v>62400</v>
      </c>
      <c r="B811" t="s">
        <v>1812</v>
      </c>
    </row>
    <row r="812" spans="1:2" x14ac:dyDescent="0.25">
      <c r="A812">
        <v>62400</v>
      </c>
      <c r="B812" t="s">
        <v>1813</v>
      </c>
    </row>
    <row r="813" spans="1:2" x14ac:dyDescent="0.25">
      <c r="A813">
        <v>62400</v>
      </c>
      <c r="B813" t="s">
        <v>1814</v>
      </c>
    </row>
    <row r="814" spans="1:2" x14ac:dyDescent="0.25">
      <c r="A814">
        <v>124800</v>
      </c>
      <c r="B814" t="s">
        <v>1815</v>
      </c>
    </row>
    <row r="815" spans="1:2" x14ac:dyDescent="0.25">
      <c r="A815">
        <v>145600</v>
      </c>
      <c r="B815" t="s">
        <v>1816</v>
      </c>
    </row>
    <row r="816" spans="1:2" x14ac:dyDescent="0.25">
      <c r="A816">
        <v>145600</v>
      </c>
      <c r="B816" t="s">
        <v>1817</v>
      </c>
    </row>
    <row r="817" spans="1:2" x14ac:dyDescent="0.25">
      <c r="A817">
        <v>104000</v>
      </c>
      <c r="B817" t="s">
        <v>1818</v>
      </c>
    </row>
    <row r="818" spans="1:2" x14ac:dyDescent="0.25">
      <c r="A818">
        <v>4320</v>
      </c>
      <c r="B818" t="s">
        <v>1819</v>
      </c>
    </row>
    <row r="819" spans="1:2" x14ac:dyDescent="0.25">
      <c r="A819">
        <v>0</v>
      </c>
      <c r="B819" t="s">
        <v>1820</v>
      </c>
    </row>
    <row r="820" spans="1:2" x14ac:dyDescent="0.25">
      <c r="A820">
        <v>8640</v>
      </c>
      <c r="B820" t="s">
        <v>1821</v>
      </c>
    </row>
    <row r="821" spans="1:2" x14ac:dyDescent="0.25">
      <c r="A821">
        <v>0</v>
      </c>
      <c r="B821" t="s">
        <v>1822</v>
      </c>
    </row>
    <row r="822" spans="1:2" x14ac:dyDescent="0.25">
      <c r="A822">
        <v>0</v>
      </c>
      <c r="B822" t="s">
        <v>1823</v>
      </c>
    </row>
    <row r="823" spans="1:2" x14ac:dyDescent="0.25">
      <c r="A823">
        <v>0</v>
      </c>
      <c r="B823" t="s">
        <v>1824</v>
      </c>
    </row>
    <row r="824" spans="1:2" x14ac:dyDescent="0.25">
      <c r="A824">
        <v>0</v>
      </c>
      <c r="B824" t="s">
        <v>1825</v>
      </c>
    </row>
    <row r="825" spans="1:2" x14ac:dyDescent="0.25">
      <c r="A825">
        <v>4320</v>
      </c>
      <c r="B825" t="s">
        <v>1826</v>
      </c>
    </row>
    <row r="826" spans="1:2" x14ac:dyDescent="0.25">
      <c r="A826">
        <v>0</v>
      </c>
      <c r="B826" t="s">
        <v>1827</v>
      </c>
    </row>
    <row r="827" spans="1:2" x14ac:dyDescent="0.25">
      <c r="A827">
        <v>4320</v>
      </c>
      <c r="B827" t="s">
        <v>1828</v>
      </c>
    </row>
    <row r="828" spans="1:2" x14ac:dyDescent="0.25">
      <c r="A828">
        <v>4320</v>
      </c>
      <c r="B828" t="s">
        <v>1829</v>
      </c>
    </row>
    <row r="829" spans="1:2" x14ac:dyDescent="0.25">
      <c r="A829">
        <v>4320</v>
      </c>
      <c r="B829" t="s">
        <v>1830</v>
      </c>
    </row>
    <row r="830" spans="1:2" x14ac:dyDescent="0.25">
      <c r="A830">
        <v>0</v>
      </c>
      <c r="B830" t="s">
        <v>1831</v>
      </c>
    </row>
    <row r="831" spans="1:2" x14ac:dyDescent="0.25">
      <c r="A831">
        <v>10400</v>
      </c>
      <c r="B831" t="s">
        <v>1832</v>
      </c>
    </row>
    <row r="832" spans="1:2" x14ac:dyDescent="0.25">
      <c r="A832">
        <v>0</v>
      </c>
      <c r="B832" t="s">
        <v>1833</v>
      </c>
    </row>
    <row r="833" spans="1:2" x14ac:dyDescent="0.25">
      <c r="A833">
        <v>0</v>
      </c>
      <c r="B833" t="s">
        <v>1834</v>
      </c>
    </row>
    <row r="834" spans="1:2" x14ac:dyDescent="0.25">
      <c r="A834">
        <v>10400</v>
      </c>
      <c r="B834" t="s">
        <v>1835</v>
      </c>
    </row>
    <row r="835" spans="1:2" x14ac:dyDescent="0.25">
      <c r="A835">
        <v>0</v>
      </c>
      <c r="B835" t="s">
        <v>1836</v>
      </c>
    </row>
    <row r="836" spans="1:2" x14ac:dyDescent="0.25">
      <c r="A836">
        <v>5200</v>
      </c>
      <c r="B836" t="s">
        <v>1837</v>
      </c>
    </row>
    <row r="837" spans="1:2" x14ac:dyDescent="0.25">
      <c r="A837">
        <v>0</v>
      </c>
      <c r="B837" t="s">
        <v>1838</v>
      </c>
    </row>
    <row r="838" spans="1:2" x14ac:dyDescent="0.25">
      <c r="A838">
        <v>10400</v>
      </c>
      <c r="B838" t="s">
        <v>1839</v>
      </c>
    </row>
    <row r="839" spans="1:2" x14ac:dyDescent="0.25">
      <c r="A839">
        <v>0</v>
      </c>
      <c r="B839" t="s">
        <v>1840</v>
      </c>
    </row>
    <row r="840" spans="1:2" x14ac:dyDescent="0.25">
      <c r="A840">
        <v>10400</v>
      </c>
      <c r="B840" t="s">
        <v>1841</v>
      </c>
    </row>
    <row r="841" spans="1:2" x14ac:dyDescent="0.25">
      <c r="A841">
        <v>0</v>
      </c>
      <c r="B841" t="s">
        <v>1842</v>
      </c>
    </row>
    <row r="842" spans="1:2" x14ac:dyDescent="0.25">
      <c r="A842">
        <v>10400</v>
      </c>
      <c r="B842" t="s">
        <v>1843</v>
      </c>
    </row>
    <row r="843" spans="1:2" x14ac:dyDescent="0.25">
      <c r="A843">
        <v>10400</v>
      </c>
      <c r="B843" t="s">
        <v>1844</v>
      </c>
    </row>
    <row r="844" spans="1:2" x14ac:dyDescent="0.25">
      <c r="A844">
        <v>0</v>
      </c>
      <c r="B844" t="s">
        <v>1845</v>
      </c>
    </row>
    <row r="845" spans="1:2" x14ac:dyDescent="0.25">
      <c r="A845">
        <v>10400</v>
      </c>
      <c r="B845" t="s">
        <v>1846</v>
      </c>
    </row>
    <row r="846" spans="1:2" x14ac:dyDescent="0.25">
      <c r="A846">
        <v>0</v>
      </c>
      <c r="B846" t="s">
        <v>1847</v>
      </c>
    </row>
    <row r="847" spans="1:2" x14ac:dyDescent="0.25">
      <c r="A847">
        <v>10400</v>
      </c>
      <c r="B847" t="s">
        <v>1848</v>
      </c>
    </row>
    <row r="848" spans="1:2" x14ac:dyDescent="0.25">
      <c r="A848">
        <v>0</v>
      </c>
      <c r="B848" t="s">
        <v>1849</v>
      </c>
    </row>
    <row r="849" spans="1:2" x14ac:dyDescent="0.25">
      <c r="A849">
        <v>0</v>
      </c>
      <c r="B849" t="s">
        <v>1850</v>
      </c>
    </row>
    <row r="850" spans="1:2" x14ac:dyDescent="0.25">
      <c r="A850">
        <v>10400</v>
      </c>
      <c r="B850" t="s">
        <v>1851</v>
      </c>
    </row>
    <row r="851" spans="1:2" x14ac:dyDescent="0.25">
      <c r="A851">
        <v>0</v>
      </c>
      <c r="B851" t="s">
        <v>1852</v>
      </c>
    </row>
    <row r="852" spans="1:2" x14ac:dyDescent="0.25">
      <c r="A852">
        <v>10400</v>
      </c>
      <c r="B852" t="s">
        <v>1853</v>
      </c>
    </row>
    <row r="853" spans="1:2" x14ac:dyDescent="0.25">
      <c r="A853">
        <v>0</v>
      </c>
      <c r="B853" t="s">
        <v>1854</v>
      </c>
    </row>
    <row r="854" spans="1:2" x14ac:dyDescent="0.25">
      <c r="A854">
        <v>0</v>
      </c>
      <c r="B854" t="s">
        <v>1855</v>
      </c>
    </row>
    <row r="855" spans="1:2" x14ac:dyDescent="0.25">
      <c r="A855">
        <v>0</v>
      </c>
      <c r="B855" t="s">
        <v>1856</v>
      </c>
    </row>
    <row r="856" spans="1:2" x14ac:dyDescent="0.25">
      <c r="A856">
        <v>0</v>
      </c>
      <c r="B856" t="s">
        <v>1857</v>
      </c>
    </row>
    <row r="857" spans="1:2" x14ac:dyDescent="0.25">
      <c r="A857">
        <v>0</v>
      </c>
      <c r="B857" t="s">
        <v>1858</v>
      </c>
    </row>
    <row r="858" spans="1:2" x14ac:dyDescent="0.25">
      <c r="A858">
        <v>0</v>
      </c>
      <c r="B858" t="s">
        <v>1859</v>
      </c>
    </row>
    <row r="859" spans="1:2" x14ac:dyDescent="0.25">
      <c r="A859">
        <v>0</v>
      </c>
      <c r="B859" t="s">
        <v>1860</v>
      </c>
    </row>
    <row r="860" spans="1:2" x14ac:dyDescent="0.25">
      <c r="A860">
        <v>0</v>
      </c>
      <c r="B860" t="s">
        <v>1861</v>
      </c>
    </row>
    <row r="861" spans="1:2" x14ac:dyDescent="0.25">
      <c r="A861">
        <v>0</v>
      </c>
      <c r="B861" t="s">
        <v>1862</v>
      </c>
    </row>
    <row r="862" spans="1:2" x14ac:dyDescent="0.25">
      <c r="A862">
        <v>0</v>
      </c>
      <c r="B862" t="s">
        <v>1863</v>
      </c>
    </row>
    <row r="863" spans="1:2" x14ac:dyDescent="0.25">
      <c r="A863">
        <v>0</v>
      </c>
      <c r="B863" t="s">
        <v>1864</v>
      </c>
    </row>
    <row r="864" spans="1:2" x14ac:dyDescent="0.25">
      <c r="A864">
        <v>0</v>
      </c>
      <c r="B864" t="s">
        <v>1865</v>
      </c>
    </row>
    <row r="865" spans="1:2" x14ac:dyDescent="0.25">
      <c r="A865">
        <v>0</v>
      </c>
      <c r="B865" t="s">
        <v>1866</v>
      </c>
    </row>
    <row r="866" spans="1:2" x14ac:dyDescent="0.25">
      <c r="A866">
        <v>30462</v>
      </c>
      <c r="B866" t="s">
        <v>3015</v>
      </c>
    </row>
    <row r="867" spans="1:2" x14ac:dyDescent="0.25">
      <c r="A867">
        <v>30462</v>
      </c>
      <c r="B867" t="s">
        <v>3016</v>
      </c>
    </row>
    <row r="868" spans="1:2" x14ac:dyDescent="0.25">
      <c r="A868">
        <v>25385</v>
      </c>
      <c r="B868" t="s">
        <v>3017</v>
      </c>
    </row>
    <row r="869" spans="1:2" x14ac:dyDescent="0.25">
      <c r="A869">
        <v>14960</v>
      </c>
      <c r="B869" t="s">
        <v>3018</v>
      </c>
    </row>
    <row r="870" spans="1:2" x14ac:dyDescent="0.25">
      <c r="A870">
        <v>16831</v>
      </c>
      <c r="B870" t="s">
        <v>3019</v>
      </c>
    </row>
    <row r="871" spans="1:2" x14ac:dyDescent="0.25">
      <c r="A871">
        <v>25548</v>
      </c>
      <c r="B871" t="s">
        <v>3020</v>
      </c>
    </row>
    <row r="872" spans="1:2" x14ac:dyDescent="0.25">
      <c r="A872">
        <v>24489</v>
      </c>
      <c r="B872" t="s">
        <v>3021</v>
      </c>
    </row>
    <row r="873" spans="1:2" x14ac:dyDescent="0.25">
      <c r="A873">
        <v>38040</v>
      </c>
      <c r="B873" t="s">
        <v>3022</v>
      </c>
    </row>
    <row r="874" spans="1:2" x14ac:dyDescent="0.25">
      <c r="A874">
        <v>37761</v>
      </c>
      <c r="B874" t="s">
        <v>3023</v>
      </c>
    </row>
    <row r="875" spans="1:2" x14ac:dyDescent="0.25">
      <c r="A875">
        <v>40616</v>
      </c>
      <c r="B875" t="s">
        <v>3024</v>
      </c>
    </row>
    <row r="876" spans="1:2" x14ac:dyDescent="0.25">
      <c r="A876">
        <v>51341</v>
      </c>
      <c r="B876" t="s">
        <v>3025</v>
      </c>
    </row>
    <row r="877" spans="1:2" x14ac:dyDescent="0.25">
      <c r="A877">
        <v>22819</v>
      </c>
      <c r="B877" t="s">
        <v>3026</v>
      </c>
    </row>
    <row r="878" spans="1:2" x14ac:dyDescent="0.25">
      <c r="A878">
        <v>0</v>
      </c>
      <c r="B878" t="s">
        <v>3027</v>
      </c>
    </row>
    <row r="879" spans="1:2" x14ac:dyDescent="0.25">
      <c r="A879">
        <v>0</v>
      </c>
      <c r="B879" t="s">
        <v>3028</v>
      </c>
    </row>
    <row r="880" spans="1:2" x14ac:dyDescent="0.25">
      <c r="A880">
        <v>0</v>
      </c>
      <c r="B880" t="s">
        <v>3029</v>
      </c>
    </row>
    <row r="881" spans="1:2" x14ac:dyDescent="0.25">
      <c r="A881">
        <v>0</v>
      </c>
      <c r="B881" t="s">
        <v>3030</v>
      </c>
    </row>
    <row r="882" spans="1:2" x14ac:dyDescent="0.25">
      <c r="A882">
        <v>0</v>
      </c>
      <c r="B882" t="s">
        <v>3031</v>
      </c>
    </row>
    <row r="883" spans="1:2" x14ac:dyDescent="0.25">
      <c r="A883">
        <v>0</v>
      </c>
      <c r="B883" t="s">
        <v>3032</v>
      </c>
    </row>
    <row r="884" spans="1:2" x14ac:dyDescent="0.25">
      <c r="A884">
        <v>0</v>
      </c>
      <c r="B884" t="s">
        <v>3033</v>
      </c>
    </row>
    <row r="885" spans="1:2" x14ac:dyDescent="0.25">
      <c r="A885">
        <v>0</v>
      </c>
      <c r="B885" t="s">
        <v>3034</v>
      </c>
    </row>
    <row r="886" spans="1:2" x14ac:dyDescent="0.25">
      <c r="A886">
        <v>0</v>
      </c>
      <c r="B886" t="s">
        <v>3035</v>
      </c>
    </row>
    <row r="887" spans="1:2" x14ac:dyDescent="0.25">
      <c r="A887">
        <v>0</v>
      </c>
      <c r="B887" t="s">
        <v>3036</v>
      </c>
    </row>
    <row r="888" spans="1:2" x14ac:dyDescent="0.25">
      <c r="A888">
        <v>0</v>
      </c>
      <c r="B888" t="s">
        <v>3037</v>
      </c>
    </row>
    <row r="889" spans="1:2" x14ac:dyDescent="0.25">
      <c r="A889">
        <v>0</v>
      </c>
      <c r="B889" t="s">
        <v>3038</v>
      </c>
    </row>
    <row r="890" spans="1:2" x14ac:dyDescent="0.25">
      <c r="A890">
        <v>0</v>
      </c>
      <c r="B890" t="s">
        <v>3039</v>
      </c>
    </row>
    <row r="891" spans="1:2" x14ac:dyDescent="0.25">
      <c r="A891">
        <v>0</v>
      </c>
      <c r="B891" t="s">
        <v>3040</v>
      </c>
    </row>
    <row r="892" spans="1:2" x14ac:dyDescent="0.25">
      <c r="A892">
        <v>0</v>
      </c>
      <c r="B892" t="s">
        <v>3041</v>
      </c>
    </row>
    <row r="893" spans="1:2" x14ac:dyDescent="0.25">
      <c r="A893">
        <v>0</v>
      </c>
      <c r="B893" t="s">
        <v>3042</v>
      </c>
    </row>
    <row r="894" spans="1:2" x14ac:dyDescent="0.25">
      <c r="A894">
        <v>0</v>
      </c>
      <c r="B894" t="s">
        <v>3043</v>
      </c>
    </row>
    <row r="895" spans="1:2" x14ac:dyDescent="0.25">
      <c r="A895">
        <v>0</v>
      </c>
      <c r="B895" t="s">
        <v>3044</v>
      </c>
    </row>
    <row r="896" spans="1:2" x14ac:dyDescent="0.25">
      <c r="A896">
        <v>0</v>
      </c>
      <c r="B896" t="s">
        <v>3045</v>
      </c>
    </row>
    <row r="897" spans="1:2" x14ac:dyDescent="0.25">
      <c r="A897">
        <v>0</v>
      </c>
      <c r="B897" t="s">
        <v>3046</v>
      </c>
    </row>
    <row r="898" spans="1:2" x14ac:dyDescent="0.25">
      <c r="A898">
        <v>0</v>
      </c>
      <c r="B898" t="s">
        <v>3047</v>
      </c>
    </row>
    <row r="899" spans="1:2" x14ac:dyDescent="0.25">
      <c r="A899">
        <v>0</v>
      </c>
      <c r="B899" t="s">
        <v>3048</v>
      </c>
    </row>
    <row r="900" spans="1:2" x14ac:dyDescent="0.25">
      <c r="A900">
        <v>0</v>
      </c>
      <c r="B900" t="s">
        <v>3049</v>
      </c>
    </row>
    <row r="901" spans="1:2" x14ac:dyDescent="0.25">
      <c r="A901">
        <v>0</v>
      </c>
      <c r="B901" t="s">
        <v>3050</v>
      </c>
    </row>
    <row r="902" spans="1:2" x14ac:dyDescent="0.25">
      <c r="A902">
        <v>0</v>
      </c>
      <c r="B902" t="s">
        <v>3051</v>
      </c>
    </row>
    <row r="903" spans="1:2" x14ac:dyDescent="0.25">
      <c r="A903">
        <v>0</v>
      </c>
      <c r="B903" t="s">
        <v>3052</v>
      </c>
    </row>
    <row r="904" spans="1:2" x14ac:dyDescent="0.25">
      <c r="A904">
        <v>0</v>
      </c>
      <c r="B904" t="s">
        <v>3053</v>
      </c>
    </row>
    <row r="905" spans="1:2" x14ac:dyDescent="0.25">
      <c r="A905">
        <v>0</v>
      </c>
      <c r="B905" t="s">
        <v>3054</v>
      </c>
    </row>
    <row r="906" spans="1:2" x14ac:dyDescent="0.25">
      <c r="A906">
        <v>0</v>
      </c>
      <c r="B906" t="s">
        <v>3055</v>
      </c>
    </row>
    <row r="907" spans="1:2" x14ac:dyDescent="0.25">
      <c r="A907">
        <v>0</v>
      </c>
      <c r="B907" t="s">
        <v>3056</v>
      </c>
    </row>
    <row r="908" spans="1:2" x14ac:dyDescent="0.25">
      <c r="A908">
        <v>0</v>
      </c>
      <c r="B908" t="s">
        <v>3057</v>
      </c>
    </row>
    <row r="909" spans="1:2" x14ac:dyDescent="0.25">
      <c r="A909">
        <v>0</v>
      </c>
      <c r="B909" t="s">
        <v>3058</v>
      </c>
    </row>
    <row r="910" spans="1:2" x14ac:dyDescent="0.25">
      <c r="A910">
        <v>0</v>
      </c>
      <c r="B910" t="s">
        <v>3059</v>
      </c>
    </row>
    <row r="911" spans="1:2" x14ac:dyDescent="0.25">
      <c r="A911">
        <v>0</v>
      </c>
      <c r="B911" t="s">
        <v>3060</v>
      </c>
    </row>
    <row r="912" spans="1:2" x14ac:dyDescent="0.25">
      <c r="A912">
        <v>0</v>
      </c>
      <c r="B912" t="s">
        <v>3061</v>
      </c>
    </row>
    <row r="913" spans="1:2" x14ac:dyDescent="0.25">
      <c r="A913">
        <v>0</v>
      </c>
      <c r="B913" t="s">
        <v>3062</v>
      </c>
    </row>
    <row r="914" spans="1:2" x14ac:dyDescent="0.25">
      <c r="A914">
        <v>0</v>
      </c>
      <c r="B914" t="s">
        <v>3063</v>
      </c>
    </row>
    <row r="915" spans="1:2" x14ac:dyDescent="0.25">
      <c r="A915">
        <v>0</v>
      </c>
      <c r="B915" t="s">
        <v>3064</v>
      </c>
    </row>
    <row r="916" spans="1:2" x14ac:dyDescent="0.25">
      <c r="A916">
        <v>0</v>
      </c>
      <c r="B916" t="s">
        <v>3065</v>
      </c>
    </row>
    <row r="917" spans="1:2" x14ac:dyDescent="0.25">
      <c r="A917">
        <v>0</v>
      </c>
      <c r="B917" t="s">
        <v>3066</v>
      </c>
    </row>
    <row r="918" spans="1:2" x14ac:dyDescent="0.25">
      <c r="A918">
        <v>0</v>
      </c>
      <c r="B918" t="s">
        <v>3067</v>
      </c>
    </row>
    <row r="919" spans="1:2" x14ac:dyDescent="0.25">
      <c r="A919">
        <v>0</v>
      </c>
      <c r="B919" t="s">
        <v>3068</v>
      </c>
    </row>
    <row r="920" spans="1:2" x14ac:dyDescent="0.25">
      <c r="A920">
        <v>0</v>
      </c>
      <c r="B920" t="s">
        <v>3069</v>
      </c>
    </row>
    <row r="921" spans="1:2" x14ac:dyDescent="0.25">
      <c r="A921">
        <v>0</v>
      </c>
      <c r="B921" t="s">
        <v>3070</v>
      </c>
    </row>
    <row r="922" spans="1:2" x14ac:dyDescent="0.25">
      <c r="A922">
        <v>0</v>
      </c>
      <c r="B922" t="s">
        <v>3071</v>
      </c>
    </row>
    <row r="923" spans="1:2" x14ac:dyDescent="0.25">
      <c r="A923">
        <v>0</v>
      </c>
      <c r="B923" t="s">
        <v>3072</v>
      </c>
    </row>
    <row r="924" spans="1:2" x14ac:dyDescent="0.25">
      <c r="A924">
        <v>0</v>
      </c>
      <c r="B924" t="s">
        <v>3073</v>
      </c>
    </row>
    <row r="925" spans="1:2" x14ac:dyDescent="0.25">
      <c r="A925">
        <v>0</v>
      </c>
      <c r="B925" t="s">
        <v>3074</v>
      </c>
    </row>
    <row r="926" spans="1:2" x14ac:dyDescent="0.25">
      <c r="A926">
        <v>186884</v>
      </c>
      <c r="B926" t="s">
        <v>3075</v>
      </c>
    </row>
    <row r="927" spans="1:2" x14ac:dyDescent="0.25">
      <c r="A927">
        <v>186884</v>
      </c>
      <c r="B927" t="s">
        <v>3076</v>
      </c>
    </row>
    <row r="928" spans="1:2" x14ac:dyDescent="0.25">
      <c r="A928">
        <v>186884</v>
      </c>
      <c r="B928" t="s">
        <v>3077</v>
      </c>
    </row>
    <row r="929" spans="1:2" x14ac:dyDescent="0.25">
      <c r="A929">
        <v>111431</v>
      </c>
      <c r="B929" t="s">
        <v>3078</v>
      </c>
    </row>
    <row r="930" spans="1:2" x14ac:dyDescent="0.25">
      <c r="A930">
        <v>111431</v>
      </c>
      <c r="B930" t="s">
        <v>3079</v>
      </c>
    </row>
    <row r="931" spans="1:2" x14ac:dyDescent="0.25">
      <c r="A931">
        <v>111431</v>
      </c>
      <c r="B931" t="s">
        <v>3080</v>
      </c>
    </row>
    <row r="932" spans="1:2" x14ac:dyDescent="0.25">
      <c r="A932">
        <v>111431</v>
      </c>
      <c r="B932" t="s">
        <v>3081</v>
      </c>
    </row>
    <row r="933" spans="1:2" x14ac:dyDescent="0.25">
      <c r="A933">
        <v>151843</v>
      </c>
      <c r="B933" t="s">
        <v>3082</v>
      </c>
    </row>
    <row r="934" spans="1:2" x14ac:dyDescent="0.25">
      <c r="A934">
        <v>151843</v>
      </c>
      <c r="B934" t="s">
        <v>3083</v>
      </c>
    </row>
    <row r="935" spans="1:2" x14ac:dyDescent="0.25">
      <c r="A935">
        <v>128483</v>
      </c>
      <c r="B935" t="s">
        <v>3084</v>
      </c>
    </row>
    <row r="936" spans="1:2" x14ac:dyDescent="0.25">
      <c r="A936">
        <v>128483</v>
      </c>
      <c r="B936" t="s">
        <v>3085</v>
      </c>
    </row>
    <row r="937" spans="1:2" x14ac:dyDescent="0.25">
      <c r="A937">
        <v>116802</v>
      </c>
      <c r="B937" t="s">
        <v>3086</v>
      </c>
    </row>
    <row r="938" spans="1:2" x14ac:dyDescent="0.25">
      <c r="A938">
        <v>84665</v>
      </c>
      <c r="B938" t="s">
        <v>3087</v>
      </c>
    </row>
    <row r="939" spans="1:2" x14ac:dyDescent="0.25">
      <c r="A939">
        <v>69420</v>
      </c>
      <c r="B939" t="s">
        <v>3088</v>
      </c>
    </row>
    <row r="940" spans="1:2" x14ac:dyDescent="0.25">
      <c r="A940">
        <v>69420</v>
      </c>
      <c r="B940" t="s">
        <v>3089</v>
      </c>
    </row>
    <row r="941" spans="1:2" x14ac:dyDescent="0.25">
      <c r="A941">
        <v>42624</v>
      </c>
      <c r="B941" t="s">
        <v>3090</v>
      </c>
    </row>
    <row r="942" spans="1:2" x14ac:dyDescent="0.25">
      <c r="A942">
        <v>94371</v>
      </c>
      <c r="B942" t="s">
        <v>3091</v>
      </c>
    </row>
    <row r="943" spans="1:2" x14ac:dyDescent="0.25">
      <c r="A943">
        <v>102418</v>
      </c>
      <c r="B943" t="s">
        <v>3092</v>
      </c>
    </row>
    <row r="944" spans="1:2" x14ac:dyDescent="0.25">
      <c r="A944">
        <v>32563</v>
      </c>
      <c r="B944" t="s">
        <v>3093</v>
      </c>
    </row>
    <row r="945" spans="1:2" x14ac:dyDescent="0.25">
      <c r="A945">
        <v>90426</v>
      </c>
      <c r="B945" t="s">
        <v>3094</v>
      </c>
    </row>
    <row r="946" spans="1:2" x14ac:dyDescent="0.25">
      <c r="A946">
        <v>42313</v>
      </c>
      <c r="B946" t="s">
        <v>3095</v>
      </c>
    </row>
    <row r="947" spans="1:2" x14ac:dyDescent="0.25">
      <c r="A947">
        <v>106000</v>
      </c>
      <c r="B947" t="s">
        <v>3096</v>
      </c>
    </row>
    <row r="948" spans="1:2" x14ac:dyDescent="0.25">
      <c r="A948">
        <v>232249</v>
      </c>
      <c r="B948" t="s">
        <v>3097</v>
      </c>
    </row>
    <row r="949" spans="1:2" x14ac:dyDescent="0.25">
      <c r="A949">
        <v>54507</v>
      </c>
      <c r="B949" t="s">
        <v>3098</v>
      </c>
    </row>
    <row r="950" spans="1:2" x14ac:dyDescent="0.25">
      <c r="A950">
        <v>8480</v>
      </c>
      <c r="B950" t="s">
        <v>3099</v>
      </c>
    </row>
    <row r="951" spans="1:2" x14ac:dyDescent="0.25">
      <c r="A951">
        <v>8480</v>
      </c>
      <c r="B951" t="s">
        <v>3100</v>
      </c>
    </row>
    <row r="952" spans="1:2" x14ac:dyDescent="0.25">
      <c r="A952">
        <v>8480</v>
      </c>
      <c r="B952" t="s">
        <v>3101</v>
      </c>
    </row>
    <row r="953" spans="1:2" x14ac:dyDescent="0.25">
      <c r="A953">
        <v>8480</v>
      </c>
      <c r="B953" t="s">
        <v>3102</v>
      </c>
    </row>
    <row r="954" spans="1:2" x14ac:dyDescent="0.25">
      <c r="A954">
        <v>8480</v>
      </c>
      <c r="B954" t="s">
        <v>3103</v>
      </c>
    </row>
    <row r="955" spans="1:2" x14ac:dyDescent="0.25">
      <c r="A955">
        <v>8480</v>
      </c>
      <c r="B955" t="s">
        <v>3104</v>
      </c>
    </row>
    <row r="956" spans="1:2" x14ac:dyDescent="0.25">
      <c r="A956">
        <v>8480</v>
      </c>
      <c r="B956" t="s">
        <v>3105</v>
      </c>
    </row>
    <row r="957" spans="1:2" x14ac:dyDescent="0.25">
      <c r="A957">
        <v>8480</v>
      </c>
      <c r="B957" t="s">
        <v>3106</v>
      </c>
    </row>
    <row r="958" spans="1:2" x14ac:dyDescent="0.25">
      <c r="A958">
        <v>10600</v>
      </c>
      <c r="B958" t="s">
        <v>3107</v>
      </c>
    </row>
    <row r="959" spans="1:2" x14ac:dyDescent="0.25">
      <c r="A959">
        <v>10600</v>
      </c>
      <c r="B959" t="s">
        <v>3108</v>
      </c>
    </row>
    <row r="960" spans="1:2" x14ac:dyDescent="0.25">
      <c r="A960">
        <v>10600</v>
      </c>
      <c r="B960" t="s">
        <v>3109</v>
      </c>
    </row>
    <row r="961" spans="1:2" x14ac:dyDescent="0.25">
      <c r="A961">
        <v>10600</v>
      </c>
      <c r="B961" t="s">
        <v>3110</v>
      </c>
    </row>
    <row r="962" spans="1:2" x14ac:dyDescent="0.25">
      <c r="A962">
        <v>0</v>
      </c>
      <c r="B962" t="s">
        <v>3111</v>
      </c>
    </row>
    <row r="963" spans="1:2" x14ac:dyDescent="0.25">
      <c r="A963">
        <v>0</v>
      </c>
      <c r="B963" t="s">
        <v>3112</v>
      </c>
    </row>
    <row r="964" spans="1:2" x14ac:dyDescent="0.25">
      <c r="A964">
        <v>0</v>
      </c>
      <c r="B964" t="s">
        <v>3113</v>
      </c>
    </row>
    <row r="965" spans="1:2" x14ac:dyDescent="0.25">
      <c r="A965">
        <v>0</v>
      </c>
      <c r="B965" t="s">
        <v>3114</v>
      </c>
    </row>
    <row r="966" spans="1:2" x14ac:dyDescent="0.25">
      <c r="A966">
        <v>0</v>
      </c>
      <c r="B966" t="s">
        <v>3115</v>
      </c>
    </row>
    <row r="967" spans="1:2" x14ac:dyDescent="0.25">
      <c r="A967">
        <v>0</v>
      </c>
      <c r="B967" t="s">
        <v>3116</v>
      </c>
    </row>
    <row r="968" spans="1:2" x14ac:dyDescent="0.25">
      <c r="A968">
        <v>0</v>
      </c>
      <c r="B968" t="s">
        <v>3117</v>
      </c>
    </row>
    <row r="969" spans="1:2" x14ac:dyDescent="0.25">
      <c r="A969">
        <v>0</v>
      </c>
      <c r="B969" t="s">
        <v>3118</v>
      </c>
    </row>
    <row r="970" spans="1:2" x14ac:dyDescent="0.25">
      <c r="A970">
        <v>0</v>
      </c>
      <c r="B970" t="s">
        <v>3119</v>
      </c>
    </row>
    <row r="971" spans="1:2" x14ac:dyDescent="0.25">
      <c r="A971">
        <v>0</v>
      </c>
      <c r="B971" t="s">
        <v>3120</v>
      </c>
    </row>
    <row r="972" spans="1:2" x14ac:dyDescent="0.25">
      <c r="A972">
        <v>0</v>
      </c>
      <c r="B972" t="s">
        <v>3121</v>
      </c>
    </row>
    <row r="973" spans="1:2" x14ac:dyDescent="0.25">
      <c r="A973">
        <v>0</v>
      </c>
      <c r="B973" t="s">
        <v>3122</v>
      </c>
    </row>
    <row r="974" spans="1:2" x14ac:dyDescent="0.25">
      <c r="A974">
        <v>0</v>
      </c>
      <c r="B974" t="s">
        <v>3123</v>
      </c>
    </row>
    <row r="975" spans="1:2" x14ac:dyDescent="0.25">
      <c r="A975">
        <v>0</v>
      </c>
      <c r="B975" t="s">
        <v>3124</v>
      </c>
    </row>
    <row r="976" spans="1:2" x14ac:dyDescent="0.25">
      <c r="A976">
        <v>0</v>
      </c>
      <c r="B976" t="s">
        <v>3125</v>
      </c>
    </row>
    <row r="977" spans="1:2" x14ac:dyDescent="0.25">
      <c r="A977">
        <v>0</v>
      </c>
      <c r="B977" t="s">
        <v>3126</v>
      </c>
    </row>
    <row r="978" spans="1:2" x14ac:dyDescent="0.25">
      <c r="A978">
        <v>0</v>
      </c>
      <c r="B978" t="s">
        <v>3127</v>
      </c>
    </row>
    <row r="979" spans="1:2" x14ac:dyDescent="0.25">
      <c r="A979">
        <v>0</v>
      </c>
      <c r="B979" t="s">
        <v>3128</v>
      </c>
    </row>
    <row r="980" spans="1:2" x14ac:dyDescent="0.25">
      <c r="A980">
        <v>0</v>
      </c>
      <c r="B980" t="s">
        <v>3129</v>
      </c>
    </row>
    <row r="981" spans="1:2" x14ac:dyDescent="0.25">
      <c r="A981">
        <v>0</v>
      </c>
      <c r="B981" t="s">
        <v>3130</v>
      </c>
    </row>
    <row r="982" spans="1:2" x14ac:dyDescent="0.25">
      <c r="A982">
        <v>0</v>
      </c>
      <c r="B982" t="s">
        <v>3131</v>
      </c>
    </row>
    <row r="983" spans="1:2" x14ac:dyDescent="0.25">
      <c r="A983">
        <v>0</v>
      </c>
      <c r="B983" t="s">
        <v>3132</v>
      </c>
    </row>
    <row r="984" spans="1:2" x14ac:dyDescent="0.25">
      <c r="A984">
        <v>0</v>
      </c>
      <c r="B984" t="s">
        <v>3133</v>
      </c>
    </row>
    <row r="985" spans="1:2" x14ac:dyDescent="0.25">
      <c r="A985">
        <v>0</v>
      </c>
      <c r="B985" t="s">
        <v>3134</v>
      </c>
    </row>
    <row r="986" spans="1:2" x14ac:dyDescent="0.25">
      <c r="A986">
        <v>269759</v>
      </c>
      <c r="B986" t="s">
        <v>3135</v>
      </c>
    </row>
    <row r="987" spans="1:2" x14ac:dyDescent="0.25">
      <c r="A987">
        <v>240856</v>
      </c>
      <c r="B987" t="s">
        <v>3136</v>
      </c>
    </row>
    <row r="988" spans="1:2" x14ac:dyDescent="0.25">
      <c r="A988">
        <v>192685</v>
      </c>
      <c r="B988" t="s">
        <v>3137</v>
      </c>
    </row>
    <row r="989" spans="1:2" x14ac:dyDescent="0.25">
      <c r="A989">
        <v>154149</v>
      </c>
      <c r="B989" t="s">
        <v>3138</v>
      </c>
    </row>
    <row r="990" spans="1:2" x14ac:dyDescent="0.25">
      <c r="A990">
        <v>125247</v>
      </c>
      <c r="B990" t="s">
        <v>3139</v>
      </c>
    </row>
    <row r="991" spans="1:2" x14ac:dyDescent="0.25">
      <c r="A991">
        <v>96343</v>
      </c>
      <c r="B991" t="s">
        <v>3140</v>
      </c>
    </row>
    <row r="992" spans="1:2" x14ac:dyDescent="0.25">
      <c r="A992">
        <v>96343</v>
      </c>
      <c r="B992" t="s">
        <v>3141</v>
      </c>
    </row>
    <row r="993" spans="1:2" x14ac:dyDescent="0.25">
      <c r="A993">
        <v>96343</v>
      </c>
      <c r="B993" t="s">
        <v>3142</v>
      </c>
    </row>
    <row r="994" spans="1:2" x14ac:dyDescent="0.25">
      <c r="A994">
        <v>173417</v>
      </c>
      <c r="B994" t="s">
        <v>3143</v>
      </c>
    </row>
    <row r="995" spans="1:2" x14ac:dyDescent="0.25">
      <c r="A995">
        <v>173417</v>
      </c>
      <c r="B995" t="s">
        <v>3144</v>
      </c>
    </row>
    <row r="996" spans="1:2" x14ac:dyDescent="0.25">
      <c r="A996">
        <v>192685</v>
      </c>
      <c r="B996" t="s">
        <v>3145</v>
      </c>
    </row>
    <row r="997" spans="1:2" x14ac:dyDescent="0.25">
      <c r="A997">
        <v>144514</v>
      </c>
      <c r="B997" t="s">
        <v>3146</v>
      </c>
    </row>
    <row r="998" spans="1:2" x14ac:dyDescent="0.25">
      <c r="A998">
        <v>89991</v>
      </c>
      <c r="B998" t="s">
        <v>3147</v>
      </c>
    </row>
    <row r="999" spans="1:2" x14ac:dyDescent="0.25">
      <c r="A999">
        <v>89991</v>
      </c>
      <c r="B999" t="s">
        <v>3148</v>
      </c>
    </row>
    <row r="1000" spans="1:2" x14ac:dyDescent="0.25">
      <c r="A1000">
        <v>89991</v>
      </c>
      <c r="B1000" t="s">
        <v>3149</v>
      </c>
    </row>
    <row r="1001" spans="1:2" x14ac:dyDescent="0.25">
      <c r="A1001">
        <v>68872</v>
      </c>
      <c r="B1001" t="s">
        <v>3150</v>
      </c>
    </row>
    <row r="1002" spans="1:2" x14ac:dyDescent="0.25">
      <c r="A1002">
        <v>49194</v>
      </c>
      <c r="B1002" t="s">
        <v>3151</v>
      </c>
    </row>
    <row r="1003" spans="1:2" x14ac:dyDescent="0.25">
      <c r="A1003">
        <v>49194</v>
      </c>
      <c r="B1003" t="s">
        <v>3152</v>
      </c>
    </row>
    <row r="1004" spans="1:2" x14ac:dyDescent="0.25">
      <c r="A1004">
        <v>49194</v>
      </c>
      <c r="B1004" t="s">
        <v>3153</v>
      </c>
    </row>
    <row r="1005" spans="1:2" x14ac:dyDescent="0.25">
      <c r="A1005">
        <v>65528</v>
      </c>
      <c r="B1005" t="s">
        <v>3154</v>
      </c>
    </row>
    <row r="1006" spans="1:2" x14ac:dyDescent="0.25">
      <c r="A1006">
        <v>76450</v>
      </c>
      <c r="B1006" t="s">
        <v>3155</v>
      </c>
    </row>
    <row r="1007" spans="1:2" x14ac:dyDescent="0.25">
      <c r="A1007">
        <v>87371</v>
      </c>
      <c r="B1007" t="s">
        <v>3156</v>
      </c>
    </row>
    <row r="1008" spans="1:2" x14ac:dyDescent="0.25">
      <c r="A1008">
        <v>87371</v>
      </c>
      <c r="B1008" t="s">
        <v>3157</v>
      </c>
    </row>
    <row r="1009" spans="1:2" x14ac:dyDescent="0.25">
      <c r="A1009">
        <v>76450</v>
      </c>
      <c r="B1009" t="s">
        <v>3158</v>
      </c>
    </row>
    <row r="1010" spans="1:2" x14ac:dyDescent="0.25">
      <c r="A1010">
        <v>70323</v>
      </c>
      <c r="B1010" t="s">
        <v>3159</v>
      </c>
    </row>
    <row r="1011" spans="1:2" x14ac:dyDescent="0.25">
      <c r="A1011">
        <v>70323</v>
      </c>
      <c r="B1011" t="s">
        <v>3160</v>
      </c>
    </row>
    <row r="1012" spans="1:2" x14ac:dyDescent="0.25">
      <c r="A1012">
        <v>59504</v>
      </c>
      <c r="B1012" t="s">
        <v>3161</v>
      </c>
    </row>
    <row r="1013" spans="1:2" x14ac:dyDescent="0.25">
      <c r="A1013">
        <v>37865</v>
      </c>
      <c r="B1013" t="s">
        <v>3162</v>
      </c>
    </row>
    <row r="1014" spans="1:2" x14ac:dyDescent="0.25">
      <c r="A1014">
        <v>37867</v>
      </c>
      <c r="B1014" t="s">
        <v>3163</v>
      </c>
    </row>
    <row r="1015" spans="1:2" x14ac:dyDescent="0.25">
      <c r="A1015">
        <v>32459</v>
      </c>
      <c r="B1015" t="s">
        <v>3164</v>
      </c>
    </row>
    <row r="1016" spans="1:2" x14ac:dyDescent="0.25">
      <c r="A1016">
        <v>32459</v>
      </c>
      <c r="B1016" t="s">
        <v>3165</v>
      </c>
    </row>
    <row r="1017" spans="1:2" x14ac:dyDescent="0.25">
      <c r="A1017">
        <v>32459</v>
      </c>
      <c r="B1017" t="s">
        <v>3166</v>
      </c>
    </row>
    <row r="1018" spans="1:2" x14ac:dyDescent="0.25">
      <c r="A1018">
        <v>70323</v>
      </c>
      <c r="B1018" t="s">
        <v>3167</v>
      </c>
    </row>
    <row r="1019" spans="1:2" x14ac:dyDescent="0.25">
      <c r="A1019">
        <v>70320</v>
      </c>
      <c r="B1019" t="s">
        <v>3168</v>
      </c>
    </row>
    <row r="1020" spans="1:2" x14ac:dyDescent="0.25">
      <c r="A1020">
        <v>70320</v>
      </c>
      <c r="B1020" t="s">
        <v>3169</v>
      </c>
    </row>
    <row r="1021" spans="1:2" x14ac:dyDescent="0.25">
      <c r="A1021">
        <v>48686</v>
      </c>
      <c r="B1021" t="s">
        <v>3170</v>
      </c>
    </row>
    <row r="1022" spans="1:2" x14ac:dyDescent="0.25">
      <c r="A1022">
        <v>279102</v>
      </c>
      <c r="B1022" t="s">
        <v>3171</v>
      </c>
    </row>
    <row r="1023" spans="1:2" x14ac:dyDescent="0.25">
      <c r="A1023">
        <v>279102</v>
      </c>
      <c r="B1023" t="s">
        <v>3172</v>
      </c>
    </row>
    <row r="1024" spans="1:2" x14ac:dyDescent="0.25">
      <c r="A1024">
        <v>199360</v>
      </c>
      <c r="B1024" t="s">
        <v>3173</v>
      </c>
    </row>
    <row r="1025" spans="1:2" x14ac:dyDescent="0.25">
      <c r="A1025">
        <v>97189</v>
      </c>
      <c r="B1025" t="s">
        <v>3174</v>
      </c>
    </row>
    <row r="1026" spans="1:2" x14ac:dyDescent="0.25">
      <c r="A1026">
        <v>97189</v>
      </c>
      <c r="B1026" t="s">
        <v>3175</v>
      </c>
    </row>
    <row r="1027" spans="1:2" x14ac:dyDescent="0.25">
      <c r="A1027">
        <v>97189</v>
      </c>
      <c r="B1027" t="s">
        <v>3176</v>
      </c>
    </row>
    <row r="1028" spans="1:2" x14ac:dyDescent="0.25">
      <c r="A1028">
        <v>92704</v>
      </c>
      <c r="B1028" t="s">
        <v>3177</v>
      </c>
    </row>
    <row r="1029" spans="1:2" x14ac:dyDescent="0.25">
      <c r="A1029">
        <v>97189</v>
      </c>
      <c r="B1029" t="s">
        <v>3178</v>
      </c>
    </row>
    <row r="1030" spans="1:2" x14ac:dyDescent="0.25">
      <c r="A1030">
        <v>199360</v>
      </c>
      <c r="B1030" t="s">
        <v>3179</v>
      </c>
    </row>
    <row r="1031" spans="1:2" x14ac:dyDescent="0.25">
      <c r="A1031">
        <v>249199</v>
      </c>
      <c r="B1031" t="s">
        <v>3180</v>
      </c>
    </row>
    <row r="1032" spans="1:2" x14ac:dyDescent="0.25">
      <c r="A1032">
        <v>199360</v>
      </c>
      <c r="B1032" t="s">
        <v>3181</v>
      </c>
    </row>
    <row r="1033" spans="1:2" x14ac:dyDescent="0.25">
      <c r="A1033">
        <v>179423</v>
      </c>
      <c r="B1033" t="s">
        <v>3182</v>
      </c>
    </row>
    <row r="1034" spans="1:2" x14ac:dyDescent="0.25">
      <c r="A1034">
        <v>1153024</v>
      </c>
      <c r="B1034" t="s">
        <v>3183</v>
      </c>
    </row>
    <row r="1035" spans="1:2" x14ac:dyDescent="0.25">
      <c r="A1035">
        <v>1056939</v>
      </c>
      <c r="B1035" t="s">
        <v>3184</v>
      </c>
    </row>
    <row r="1036" spans="1:2" x14ac:dyDescent="0.25">
      <c r="A1036">
        <v>912811</v>
      </c>
      <c r="B1036" t="s">
        <v>3185</v>
      </c>
    </row>
    <row r="1037" spans="1:2" x14ac:dyDescent="0.25">
      <c r="A1037">
        <v>611103</v>
      </c>
      <c r="B1037" t="s">
        <v>3186</v>
      </c>
    </row>
    <row r="1038" spans="1:2" x14ac:dyDescent="0.25">
      <c r="A1038">
        <v>611103</v>
      </c>
      <c r="B1038" t="s">
        <v>3187</v>
      </c>
    </row>
    <row r="1039" spans="1:2" x14ac:dyDescent="0.25">
      <c r="A1039">
        <v>560179</v>
      </c>
      <c r="B1039" t="s">
        <v>3188</v>
      </c>
    </row>
    <row r="1040" spans="1:2" x14ac:dyDescent="0.25">
      <c r="A1040">
        <v>560179</v>
      </c>
      <c r="B1040" t="s">
        <v>3189</v>
      </c>
    </row>
    <row r="1041" spans="1:2" x14ac:dyDescent="0.25">
      <c r="A1041">
        <v>864769</v>
      </c>
      <c r="B1041" t="s">
        <v>3190</v>
      </c>
    </row>
    <row r="1042" spans="1:2" x14ac:dyDescent="0.25">
      <c r="A1042">
        <v>912811</v>
      </c>
      <c r="B1042" t="s">
        <v>3191</v>
      </c>
    </row>
    <row r="1043" spans="1:2" x14ac:dyDescent="0.25">
      <c r="A1043">
        <v>1056939</v>
      </c>
      <c r="B1043" t="s">
        <v>3192</v>
      </c>
    </row>
    <row r="1044" spans="1:2" x14ac:dyDescent="0.25">
      <c r="A1044">
        <v>1056939</v>
      </c>
      <c r="B1044" t="s">
        <v>3193</v>
      </c>
    </row>
    <row r="1045" spans="1:2" x14ac:dyDescent="0.25">
      <c r="A1045">
        <v>768683</v>
      </c>
      <c r="B1045" t="s">
        <v>3194</v>
      </c>
    </row>
    <row r="1046" spans="1:2" x14ac:dyDescent="0.25">
      <c r="A1046">
        <v>15776</v>
      </c>
      <c r="B1046" t="s">
        <v>3195</v>
      </c>
    </row>
    <row r="1047" spans="1:2" x14ac:dyDescent="0.25">
      <c r="A1047">
        <v>15776</v>
      </c>
      <c r="B1047" t="s">
        <v>3196</v>
      </c>
    </row>
    <row r="1048" spans="1:2" x14ac:dyDescent="0.25">
      <c r="A1048">
        <v>15776</v>
      </c>
      <c r="B1048" t="s">
        <v>3197</v>
      </c>
    </row>
    <row r="1049" spans="1:2" x14ac:dyDescent="0.25">
      <c r="A1049">
        <v>15776</v>
      </c>
      <c r="B1049" t="s">
        <v>3198</v>
      </c>
    </row>
    <row r="1050" spans="1:2" x14ac:dyDescent="0.25">
      <c r="A1050">
        <v>15776</v>
      </c>
      <c r="B1050" t="s">
        <v>3199</v>
      </c>
    </row>
    <row r="1051" spans="1:2" x14ac:dyDescent="0.25">
      <c r="A1051">
        <v>15776</v>
      </c>
      <c r="B1051" t="s">
        <v>3200</v>
      </c>
    </row>
    <row r="1052" spans="1:2" x14ac:dyDescent="0.25">
      <c r="A1052">
        <v>15776</v>
      </c>
      <c r="B1052" t="s">
        <v>3201</v>
      </c>
    </row>
    <row r="1053" spans="1:2" x14ac:dyDescent="0.25">
      <c r="A1053">
        <v>15776</v>
      </c>
      <c r="B1053" t="s">
        <v>3202</v>
      </c>
    </row>
    <row r="1054" spans="1:2" x14ac:dyDescent="0.25">
      <c r="A1054">
        <v>15776</v>
      </c>
      <c r="B1054" t="s">
        <v>3203</v>
      </c>
    </row>
    <row r="1055" spans="1:2" x14ac:dyDescent="0.25">
      <c r="A1055">
        <v>15776</v>
      </c>
      <c r="B1055" t="s">
        <v>3204</v>
      </c>
    </row>
    <row r="1056" spans="1:2" x14ac:dyDescent="0.25">
      <c r="A1056">
        <v>15776</v>
      </c>
      <c r="B1056" t="s">
        <v>3205</v>
      </c>
    </row>
    <row r="1057" spans="1:2" x14ac:dyDescent="0.25">
      <c r="A1057">
        <v>15776</v>
      </c>
      <c r="B1057" t="s">
        <v>3206</v>
      </c>
    </row>
    <row r="1058" spans="1:2" x14ac:dyDescent="0.25">
      <c r="A1058">
        <v>30462</v>
      </c>
      <c r="B1058" t="s">
        <v>3207</v>
      </c>
    </row>
    <row r="1059" spans="1:2" x14ac:dyDescent="0.25">
      <c r="A1059">
        <v>25385</v>
      </c>
      <c r="B1059" t="s">
        <v>3208</v>
      </c>
    </row>
    <row r="1060" spans="1:2" x14ac:dyDescent="0.25">
      <c r="A1060">
        <v>25385</v>
      </c>
      <c r="B1060" t="s">
        <v>3209</v>
      </c>
    </row>
    <row r="1061" spans="1:2" x14ac:dyDescent="0.25">
      <c r="A1061">
        <v>26655</v>
      </c>
      <c r="B1061" t="s">
        <v>3210</v>
      </c>
    </row>
    <row r="1062" spans="1:2" x14ac:dyDescent="0.25">
      <c r="A1062">
        <v>21324</v>
      </c>
      <c r="B1062" t="s">
        <v>3211</v>
      </c>
    </row>
    <row r="1063" spans="1:2" x14ac:dyDescent="0.25">
      <c r="A1063">
        <v>4265</v>
      </c>
      <c r="B1063" t="s">
        <v>3212</v>
      </c>
    </row>
    <row r="1064" spans="1:2" x14ac:dyDescent="0.25">
      <c r="A1064">
        <v>4265</v>
      </c>
      <c r="B1064" t="s">
        <v>3213</v>
      </c>
    </row>
    <row r="1065" spans="1:2" x14ac:dyDescent="0.25">
      <c r="A1065">
        <v>3200</v>
      </c>
      <c r="B1065" t="s">
        <v>3214</v>
      </c>
    </row>
    <row r="1066" spans="1:2" x14ac:dyDescent="0.25">
      <c r="A1066">
        <v>12185</v>
      </c>
      <c r="B1066" t="s">
        <v>3215</v>
      </c>
    </row>
    <row r="1067" spans="1:2" x14ac:dyDescent="0.25">
      <c r="A1067">
        <v>20308</v>
      </c>
      <c r="B1067" t="s">
        <v>3216</v>
      </c>
    </row>
    <row r="1068" spans="1:2" x14ac:dyDescent="0.25">
      <c r="A1068">
        <v>26655</v>
      </c>
      <c r="B1068" t="s">
        <v>3217</v>
      </c>
    </row>
    <row r="1069" spans="1:2" x14ac:dyDescent="0.25">
      <c r="A1069">
        <v>26655</v>
      </c>
      <c r="B1069" t="s">
        <v>3218</v>
      </c>
    </row>
    <row r="1070" spans="1:2" x14ac:dyDescent="0.25">
      <c r="A1070">
        <v>42000</v>
      </c>
      <c r="B1070" t="s">
        <v>3219</v>
      </c>
    </row>
    <row r="1071" spans="1:2" x14ac:dyDescent="0.25">
      <c r="A1071">
        <v>31500</v>
      </c>
      <c r="B1071" t="s">
        <v>3220</v>
      </c>
    </row>
    <row r="1072" spans="1:2" x14ac:dyDescent="0.25">
      <c r="A1072">
        <v>24150</v>
      </c>
      <c r="B1072" t="s">
        <v>3221</v>
      </c>
    </row>
    <row r="1073" spans="1:2" x14ac:dyDescent="0.25">
      <c r="A1073">
        <v>17063</v>
      </c>
      <c r="B1073" t="s">
        <v>3222</v>
      </c>
    </row>
    <row r="1074" spans="1:2" x14ac:dyDescent="0.25">
      <c r="A1074">
        <v>18900</v>
      </c>
      <c r="B1074" t="s">
        <v>3223</v>
      </c>
    </row>
    <row r="1075" spans="1:2" x14ac:dyDescent="0.25">
      <c r="A1075">
        <v>8820</v>
      </c>
      <c r="B1075" t="s">
        <v>3224</v>
      </c>
    </row>
    <row r="1076" spans="1:2" x14ac:dyDescent="0.25">
      <c r="A1076">
        <v>8820</v>
      </c>
      <c r="B1076" t="s">
        <v>3225</v>
      </c>
    </row>
    <row r="1077" spans="1:2" x14ac:dyDescent="0.25">
      <c r="A1077">
        <v>10500</v>
      </c>
      <c r="B1077" t="s">
        <v>3226</v>
      </c>
    </row>
    <row r="1078" spans="1:2" x14ac:dyDescent="0.25">
      <c r="A1078">
        <v>21000</v>
      </c>
      <c r="B1078" t="s">
        <v>3227</v>
      </c>
    </row>
    <row r="1079" spans="1:2" x14ac:dyDescent="0.25">
      <c r="A1079">
        <v>31500</v>
      </c>
      <c r="B1079" t="s">
        <v>3228</v>
      </c>
    </row>
    <row r="1080" spans="1:2" x14ac:dyDescent="0.25">
      <c r="A1080">
        <v>31500</v>
      </c>
      <c r="B1080" t="s">
        <v>3229</v>
      </c>
    </row>
    <row r="1081" spans="1:2" x14ac:dyDescent="0.25">
      <c r="A1081">
        <v>23100</v>
      </c>
      <c r="B1081" t="s">
        <v>3230</v>
      </c>
    </row>
    <row r="1082" spans="1:2" x14ac:dyDescent="0.25">
      <c r="A1082">
        <v>12720</v>
      </c>
      <c r="B1082" t="s">
        <v>3231</v>
      </c>
    </row>
    <row r="1083" spans="1:2" x14ac:dyDescent="0.25">
      <c r="A1083">
        <v>9328</v>
      </c>
      <c r="B1083" t="s">
        <v>3232</v>
      </c>
    </row>
    <row r="1084" spans="1:2" x14ac:dyDescent="0.25">
      <c r="A1084">
        <v>8162</v>
      </c>
      <c r="B1084" t="s">
        <v>3233</v>
      </c>
    </row>
    <row r="1085" spans="1:2" x14ac:dyDescent="0.25">
      <c r="A1085">
        <v>8162</v>
      </c>
      <c r="B1085" t="s">
        <v>3234</v>
      </c>
    </row>
    <row r="1086" spans="1:2" x14ac:dyDescent="0.25">
      <c r="A1086">
        <v>8162</v>
      </c>
      <c r="B1086" t="s">
        <v>3235</v>
      </c>
    </row>
    <row r="1087" spans="1:2" x14ac:dyDescent="0.25">
      <c r="A1087">
        <v>4664</v>
      </c>
      <c r="B1087" t="s">
        <v>3236</v>
      </c>
    </row>
    <row r="1088" spans="1:2" x14ac:dyDescent="0.25">
      <c r="A1088">
        <v>4664</v>
      </c>
      <c r="B1088" t="s">
        <v>3237</v>
      </c>
    </row>
    <row r="1089" spans="1:2" x14ac:dyDescent="0.25">
      <c r="A1089">
        <v>13992</v>
      </c>
      <c r="B1089" t="s">
        <v>3238</v>
      </c>
    </row>
    <row r="1090" spans="1:2" x14ac:dyDescent="0.25">
      <c r="A1090">
        <v>17490</v>
      </c>
      <c r="B1090" t="s">
        <v>3239</v>
      </c>
    </row>
    <row r="1091" spans="1:2" x14ac:dyDescent="0.25">
      <c r="A1091">
        <v>17490</v>
      </c>
      <c r="B1091" t="s">
        <v>3240</v>
      </c>
    </row>
    <row r="1092" spans="1:2" x14ac:dyDescent="0.25">
      <c r="A1092">
        <v>17490</v>
      </c>
      <c r="B1092" t="s">
        <v>3241</v>
      </c>
    </row>
    <row r="1093" spans="1:2" x14ac:dyDescent="0.25">
      <c r="A1093">
        <v>17490</v>
      </c>
      <c r="B1093" t="s">
        <v>3242</v>
      </c>
    </row>
    <row r="1094" spans="1:2" x14ac:dyDescent="0.25">
      <c r="A1094">
        <v>100130</v>
      </c>
      <c r="B1094" t="s">
        <v>3243</v>
      </c>
    </row>
    <row r="1095" spans="1:2" x14ac:dyDescent="0.25">
      <c r="A1095">
        <v>144756</v>
      </c>
      <c r="B1095" t="s">
        <v>3244</v>
      </c>
    </row>
    <row r="1096" spans="1:2" x14ac:dyDescent="0.25">
      <c r="A1096">
        <v>104622</v>
      </c>
      <c r="B1096" t="s">
        <v>3245</v>
      </c>
    </row>
    <row r="1097" spans="1:2" x14ac:dyDescent="0.25">
      <c r="A1097">
        <v>62774</v>
      </c>
      <c r="B1097" t="s">
        <v>3246</v>
      </c>
    </row>
    <row r="1098" spans="1:2" x14ac:dyDescent="0.25">
      <c r="A1098">
        <v>62774</v>
      </c>
      <c r="B1098" t="s">
        <v>3247</v>
      </c>
    </row>
    <row r="1099" spans="1:2" x14ac:dyDescent="0.25">
      <c r="A1099">
        <v>62774</v>
      </c>
      <c r="B1099" t="s">
        <v>3248</v>
      </c>
    </row>
    <row r="1100" spans="1:2" x14ac:dyDescent="0.25">
      <c r="A1100">
        <v>62774</v>
      </c>
      <c r="B1100" t="s">
        <v>3249</v>
      </c>
    </row>
    <row r="1101" spans="1:2" x14ac:dyDescent="0.25">
      <c r="A1101">
        <v>83698</v>
      </c>
      <c r="B1101" t="s">
        <v>3250</v>
      </c>
    </row>
    <row r="1102" spans="1:2" x14ac:dyDescent="0.25">
      <c r="A1102">
        <v>136009</v>
      </c>
      <c r="B1102" t="s">
        <v>3251</v>
      </c>
    </row>
    <row r="1103" spans="1:2" x14ac:dyDescent="0.25">
      <c r="A1103">
        <v>146471</v>
      </c>
      <c r="B1103" t="s">
        <v>3252</v>
      </c>
    </row>
    <row r="1104" spans="1:2" x14ac:dyDescent="0.25">
      <c r="A1104">
        <v>146471</v>
      </c>
      <c r="B1104" t="s">
        <v>3253</v>
      </c>
    </row>
    <row r="1105" spans="1:2" x14ac:dyDescent="0.25">
      <c r="A1105">
        <v>83698</v>
      </c>
      <c r="B1105" t="s">
        <v>3254</v>
      </c>
    </row>
    <row r="1106" spans="1:2" x14ac:dyDescent="0.25">
      <c r="A1106">
        <v>212000</v>
      </c>
      <c r="B1106" t="s">
        <v>3255</v>
      </c>
    </row>
    <row r="1107" spans="1:2" x14ac:dyDescent="0.25">
      <c r="A1107">
        <v>190800</v>
      </c>
      <c r="B1107" t="s">
        <v>3256</v>
      </c>
    </row>
    <row r="1108" spans="1:2" x14ac:dyDescent="0.25">
      <c r="A1108">
        <v>159000</v>
      </c>
      <c r="B1108" t="s">
        <v>3257</v>
      </c>
    </row>
    <row r="1109" spans="1:2" x14ac:dyDescent="0.25">
      <c r="A1109">
        <v>74200</v>
      </c>
      <c r="B1109" t="s">
        <v>3258</v>
      </c>
    </row>
    <row r="1110" spans="1:2" x14ac:dyDescent="0.25">
      <c r="A1110">
        <v>77168</v>
      </c>
      <c r="B1110" t="s">
        <v>3259</v>
      </c>
    </row>
    <row r="1111" spans="1:2" x14ac:dyDescent="0.25">
      <c r="A1111">
        <v>66144</v>
      </c>
      <c r="B1111" t="s">
        <v>3260</v>
      </c>
    </row>
    <row r="1112" spans="1:2" x14ac:dyDescent="0.25">
      <c r="A1112">
        <v>66144</v>
      </c>
      <c r="B1112" t="s">
        <v>3261</v>
      </c>
    </row>
    <row r="1113" spans="1:2" x14ac:dyDescent="0.25">
      <c r="A1113">
        <v>66144</v>
      </c>
      <c r="B1113" t="s">
        <v>3262</v>
      </c>
    </row>
    <row r="1114" spans="1:2" x14ac:dyDescent="0.25">
      <c r="A1114">
        <v>132288</v>
      </c>
      <c r="B1114" t="s">
        <v>3263</v>
      </c>
    </row>
    <row r="1115" spans="1:2" x14ac:dyDescent="0.25">
      <c r="A1115">
        <v>154336</v>
      </c>
      <c r="B1115" t="s">
        <v>3264</v>
      </c>
    </row>
    <row r="1116" spans="1:2" x14ac:dyDescent="0.25">
      <c r="A1116">
        <v>154336</v>
      </c>
      <c r="B1116" t="s">
        <v>3265</v>
      </c>
    </row>
    <row r="1117" spans="1:2" x14ac:dyDescent="0.25">
      <c r="A1117">
        <v>110240</v>
      </c>
      <c r="B1117" t="s">
        <v>3266</v>
      </c>
    </row>
    <row r="1118" spans="1:2" x14ac:dyDescent="0.25">
      <c r="A1118">
        <v>4536</v>
      </c>
      <c r="B1118" t="s">
        <v>3267</v>
      </c>
    </row>
    <row r="1119" spans="1:2" x14ac:dyDescent="0.25">
      <c r="A1119">
        <v>0</v>
      </c>
      <c r="B1119" t="s">
        <v>3268</v>
      </c>
    </row>
    <row r="1120" spans="1:2" x14ac:dyDescent="0.25">
      <c r="A1120">
        <v>9072</v>
      </c>
      <c r="B1120" t="s">
        <v>3269</v>
      </c>
    </row>
    <row r="1121" spans="1:2" x14ac:dyDescent="0.25">
      <c r="A1121">
        <v>0</v>
      </c>
      <c r="B1121" t="s">
        <v>3270</v>
      </c>
    </row>
    <row r="1122" spans="1:2" x14ac:dyDescent="0.25">
      <c r="A1122">
        <v>0</v>
      </c>
      <c r="B1122" t="s">
        <v>3271</v>
      </c>
    </row>
    <row r="1123" spans="1:2" x14ac:dyDescent="0.25">
      <c r="A1123">
        <v>0</v>
      </c>
      <c r="B1123" t="s">
        <v>3272</v>
      </c>
    </row>
    <row r="1124" spans="1:2" x14ac:dyDescent="0.25">
      <c r="A1124">
        <v>0</v>
      </c>
      <c r="B1124" t="s">
        <v>3273</v>
      </c>
    </row>
    <row r="1125" spans="1:2" x14ac:dyDescent="0.25">
      <c r="A1125">
        <v>4536</v>
      </c>
      <c r="B1125" t="s">
        <v>3274</v>
      </c>
    </row>
    <row r="1126" spans="1:2" x14ac:dyDescent="0.25">
      <c r="A1126">
        <v>0</v>
      </c>
      <c r="B1126" t="s">
        <v>3275</v>
      </c>
    </row>
    <row r="1127" spans="1:2" x14ac:dyDescent="0.25">
      <c r="A1127">
        <v>4536</v>
      </c>
      <c r="B1127" t="s">
        <v>3276</v>
      </c>
    </row>
    <row r="1128" spans="1:2" x14ac:dyDescent="0.25">
      <c r="A1128">
        <v>4536</v>
      </c>
      <c r="B1128" t="s">
        <v>3277</v>
      </c>
    </row>
    <row r="1129" spans="1:2" x14ac:dyDescent="0.25">
      <c r="A1129">
        <v>4536</v>
      </c>
      <c r="B1129" t="s">
        <v>3278</v>
      </c>
    </row>
    <row r="1130" spans="1:2" x14ac:dyDescent="0.25">
      <c r="A1130">
        <v>0</v>
      </c>
      <c r="B1130" t="s">
        <v>3279</v>
      </c>
    </row>
    <row r="1131" spans="1:2" x14ac:dyDescent="0.25">
      <c r="A1131">
        <v>10400</v>
      </c>
      <c r="B1131" t="s">
        <v>3280</v>
      </c>
    </row>
    <row r="1132" spans="1:2" x14ac:dyDescent="0.25">
      <c r="A1132">
        <v>0</v>
      </c>
      <c r="B1132" t="s">
        <v>3281</v>
      </c>
    </row>
    <row r="1133" spans="1:2" x14ac:dyDescent="0.25">
      <c r="A1133">
        <v>0</v>
      </c>
      <c r="B1133" t="s">
        <v>3282</v>
      </c>
    </row>
    <row r="1134" spans="1:2" x14ac:dyDescent="0.25">
      <c r="A1134">
        <v>10400</v>
      </c>
      <c r="B1134" t="s">
        <v>3283</v>
      </c>
    </row>
    <row r="1135" spans="1:2" x14ac:dyDescent="0.25">
      <c r="A1135">
        <v>0</v>
      </c>
      <c r="B1135" t="s">
        <v>3284</v>
      </c>
    </row>
    <row r="1136" spans="1:2" x14ac:dyDescent="0.25">
      <c r="A1136">
        <v>5200</v>
      </c>
      <c r="B1136" t="s">
        <v>3285</v>
      </c>
    </row>
    <row r="1137" spans="1:2" x14ac:dyDescent="0.25">
      <c r="A1137">
        <v>0</v>
      </c>
      <c r="B1137" t="s">
        <v>3286</v>
      </c>
    </row>
    <row r="1138" spans="1:2" x14ac:dyDescent="0.25">
      <c r="A1138">
        <v>10400</v>
      </c>
      <c r="B1138" t="s">
        <v>3287</v>
      </c>
    </row>
    <row r="1139" spans="1:2" x14ac:dyDescent="0.25">
      <c r="A1139">
        <v>0</v>
      </c>
      <c r="B1139" t="s">
        <v>3288</v>
      </c>
    </row>
    <row r="1140" spans="1:2" x14ac:dyDescent="0.25">
      <c r="A1140">
        <v>10400</v>
      </c>
      <c r="B1140" t="s">
        <v>3289</v>
      </c>
    </row>
    <row r="1141" spans="1:2" x14ac:dyDescent="0.25">
      <c r="A1141">
        <v>5200</v>
      </c>
      <c r="B1141" t="s">
        <v>3290</v>
      </c>
    </row>
    <row r="1142" spans="1:2" x14ac:dyDescent="0.25">
      <c r="A1142">
        <v>10400</v>
      </c>
      <c r="B1142" t="s">
        <v>3291</v>
      </c>
    </row>
    <row r="1143" spans="1:2" x14ac:dyDescent="0.25">
      <c r="A1143">
        <v>10400</v>
      </c>
      <c r="B1143" t="s">
        <v>3292</v>
      </c>
    </row>
    <row r="1144" spans="1:2" x14ac:dyDescent="0.25">
      <c r="A1144">
        <v>0</v>
      </c>
      <c r="B1144" t="s">
        <v>3293</v>
      </c>
    </row>
    <row r="1145" spans="1:2" x14ac:dyDescent="0.25">
      <c r="A1145">
        <v>10400</v>
      </c>
      <c r="B1145" t="s">
        <v>3294</v>
      </c>
    </row>
    <row r="1146" spans="1:2" x14ac:dyDescent="0.25">
      <c r="A1146">
        <v>0</v>
      </c>
      <c r="B1146" t="s">
        <v>3295</v>
      </c>
    </row>
    <row r="1147" spans="1:2" x14ac:dyDescent="0.25">
      <c r="A1147">
        <v>10400</v>
      </c>
      <c r="B1147" t="s">
        <v>3296</v>
      </c>
    </row>
    <row r="1148" spans="1:2" x14ac:dyDescent="0.25">
      <c r="A1148">
        <v>0</v>
      </c>
      <c r="B1148" t="s">
        <v>3297</v>
      </c>
    </row>
    <row r="1149" spans="1:2" x14ac:dyDescent="0.25">
      <c r="A1149">
        <v>0</v>
      </c>
      <c r="B1149" t="s">
        <v>3298</v>
      </c>
    </row>
    <row r="1150" spans="1:2" x14ac:dyDescent="0.25">
      <c r="A1150">
        <v>10400</v>
      </c>
      <c r="B1150" t="s">
        <v>3299</v>
      </c>
    </row>
    <row r="1151" spans="1:2" x14ac:dyDescent="0.25">
      <c r="A1151">
        <v>0</v>
      </c>
      <c r="B1151" t="s">
        <v>3300</v>
      </c>
    </row>
    <row r="1152" spans="1:2" x14ac:dyDescent="0.25">
      <c r="A1152">
        <v>10400</v>
      </c>
      <c r="B1152" t="s">
        <v>3301</v>
      </c>
    </row>
    <row r="1153" spans="1:2" x14ac:dyDescent="0.25">
      <c r="A1153">
        <v>5200</v>
      </c>
      <c r="B1153" t="s">
        <v>3302</v>
      </c>
    </row>
    <row r="1154" spans="1:2" x14ac:dyDescent="0.25">
      <c r="A1154">
        <v>0</v>
      </c>
      <c r="B1154" t="s">
        <v>3629</v>
      </c>
    </row>
    <row r="1155" spans="1:2" x14ac:dyDescent="0.25">
      <c r="A1155">
        <v>0</v>
      </c>
      <c r="B1155" t="s">
        <v>3630</v>
      </c>
    </row>
    <row r="1156" spans="1:2" x14ac:dyDescent="0.25">
      <c r="A1156">
        <v>0</v>
      </c>
      <c r="B1156" t="s">
        <v>3631</v>
      </c>
    </row>
    <row r="1157" spans="1:2" x14ac:dyDescent="0.25">
      <c r="A1157">
        <v>0</v>
      </c>
      <c r="B1157" t="s">
        <v>3632</v>
      </c>
    </row>
    <row r="1158" spans="1:2" x14ac:dyDescent="0.25">
      <c r="A1158">
        <v>0</v>
      </c>
      <c r="B1158" t="s">
        <v>3633</v>
      </c>
    </row>
    <row r="1159" spans="1:2" x14ac:dyDescent="0.25">
      <c r="A1159">
        <v>0</v>
      </c>
      <c r="B1159" t="s">
        <v>3634</v>
      </c>
    </row>
    <row r="1160" spans="1:2" x14ac:dyDescent="0.25">
      <c r="A1160">
        <v>0</v>
      </c>
      <c r="B1160" t="s">
        <v>3635</v>
      </c>
    </row>
    <row r="1161" spans="1:2" x14ac:dyDescent="0.25">
      <c r="A1161">
        <v>0</v>
      </c>
      <c r="B1161" t="s">
        <v>3636</v>
      </c>
    </row>
    <row r="1162" spans="1:2" x14ac:dyDescent="0.25">
      <c r="A1162">
        <v>0</v>
      </c>
      <c r="B1162" t="s">
        <v>3637</v>
      </c>
    </row>
    <row r="1163" spans="1:2" x14ac:dyDescent="0.25">
      <c r="A1163">
        <v>0</v>
      </c>
      <c r="B1163" t="s">
        <v>3638</v>
      </c>
    </row>
    <row r="1164" spans="1:2" x14ac:dyDescent="0.25">
      <c r="A1164">
        <v>0</v>
      </c>
      <c r="B1164" t="s">
        <v>3639</v>
      </c>
    </row>
    <row r="1165" spans="1:2" x14ac:dyDescent="0.25">
      <c r="A1165">
        <v>0</v>
      </c>
      <c r="B1165" t="s">
        <v>3640</v>
      </c>
    </row>
    <row r="1166" spans="1:2" x14ac:dyDescent="0.25">
      <c r="A1166">
        <v>64920</v>
      </c>
      <c r="B1166" t="s">
        <v>367</v>
      </c>
    </row>
    <row r="1167" spans="1:2" x14ac:dyDescent="0.25">
      <c r="A1167">
        <v>32160</v>
      </c>
      <c r="B1167" t="s">
        <v>368</v>
      </c>
    </row>
    <row r="1168" spans="1:2" x14ac:dyDescent="0.25">
      <c r="A1168">
        <v>11280</v>
      </c>
      <c r="B1168" t="s">
        <v>369</v>
      </c>
    </row>
    <row r="1169" spans="1:2" x14ac:dyDescent="0.25">
      <c r="A1169">
        <v>6720</v>
      </c>
      <c r="B1169" t="s">
        <v>370</v>
      </c>
    </row>
    <row r="1170" spans="1:2" x14ac:dyDescent="0.25">
      <c r="A1170">
        <v>12840</v>
      </c>
      <c r="B1170" t="s">
        <v>371</v>
      </c>
    </row>
    <row r="1171" spans="1:2" x14ac:dyDescent="0.25">
      <c r="A1171">
        <v>14760</v>
      </c>
      <c r="B1171" t="s">
        <v>372</v>
      </c>
    </row>
    <row r="1172" spans="1:2" x14ac:dyDescent="0.25">
      <c r="A1172">
        <v>24600</v>
      </c>
      <c r="B1172" t="s">
        <v>373</v>
      </c>
    </row>
    <row r="1173" spans="1:2" x14ac:dyDescent="0.25">
      <c r="A1173">
        <v>41880</v>
      </c>
      <c r="B1173" t="s">
        <v>374</v>
      </c>
    </row>
    <row r="1174" spans="1:2" x14ac:dyDescent="0.25">
      <c r="A1174">
        <v>22511</v>
      </c>
      <c r="B1174" t="s">
        <v>375</v>
      </c>
    </row>
    <row r="1175" spans="1:2" x14ac:dyDescent="0.25">
      <c r="A1175">
        <v>13360</v>
      </c>
      <c r="B1175" t="s">
        <v>376</v>
      </c>
    </row>
    <row r="1176" spans="1:2" x14ac:dyDescent="0.25">
      <c r="A1176">
        <v>42766</v>
      </c>
      <c r="B1176" t="s">
        <v>377</v>
      </c>
    </row>
    <row r="1177" spans="1:2" x14ac:dyDescent="0.25">
      <c r="A1177">
        <v>29831</v>
      </c>
      <c r="B1177" t="s">
        <v>378</v>
      </c>
    </row>
    <row r="1178" spans="1:2" x14ac:dyDescent="0.25">
      <c r="A1178">
        <v>0</v>
      </c>
      <c r="B1178" t="s">
        <v>379</v>
      </c>
    </row>
    <row r="1179" spans="1:2" x14ac:dyDescent="0.25">
      <c r="A1179">
        <v>0</v>
      </c>
      <c r="B1179" t="s">
        <v>380</v>
      </c>
    </row>
    <row r="1180" spans="1:2" x14ac:dyDescent="0.25">
      <c r="A1180">
        <v>0</v>
      </c>
      <c r="B1180" t="s">
        <v>381</v>
      </c>
    </row>
    <row r="1181" spans="1:2" x14ac:dyDescent="0.25">
      <c r="A1181">
        <v>0</v>
      </c>
      <c r="B1181" t="s">
        <v>382</v>
      </c>
    </row>
    <row r="1182" spans="1:2" x14ac:dyDescent="0.25">
      <c r="A1182">
        <v>257882</v>
      </c>
      <c r="B1182" t="s">
        <v>383</v>
      </c>
    </row>
    <row r="1183" spans="1:2" x14ac:dyDescent="0.25">
      <c r="A1183">
        <v>0</v>
      </c>
      <c r="B1183" t="s">
        <v>384</v>
      </c>
    </row>
    <row r="1184" spans="1:2" x14ac:dyDescent="0.25">
      <c r="A1184">
        <v>665501</v>
      </c>
      <c r="B1184" t="s">
        <v>385</v>
      </c>
    </row>
    <row r="1185" spans="1:2" x14ac:dyDescent="0.25">
      <c r="A1185">
        <v>363723</v>
      </c>
      <c r="B1185" t="s">
        <v>386</v>
      </c>
    </row>
    <row r="1186" spans="1:2" x14ac:dyDescent="0.25">
      <c r="A1186">
        <v>439052</v>
      </c>
      <c r="B1186" t="s">
        <v>387</v>
      </c>
    </row>
    <row r="1187" spans="1:2" x14ac:dyDescent="0.25">
      <c r="A1187">
        <v>72374</v>
      </c>
      <c r="B1187" t="s">
        <v>388</v>
      </c>
    </row>
    <row r="1188" spans="1:2" x14ac:dyDescent="0.25">
      <c r="A1188">
        <v>332016</v>
      </c>
      <c r="B1188" t="s">
        <v>389</v>
      </c>
    </row>
    <row r="1189" spans="1:2" x14ac:dyDescent="0.25">
      <c r="A1189">
        <v>0</v>
      </c>
      <c r="B1189" t="s">
        <v>390</v>
      </c>
    </row>
    <row r="1190" spans="1:2" x14ac:dyDescent="0.25">
      <c r="A1190">
        <v>0</v>
      </c>
      <c r="B1190" t="s">
        <v>391</v>
      </c>
    </row>
    <row r="1191" spans="1:2" x14ac:dyDescent="0.25">
      <c r="B1191" t="s">
        <v>392</v>
      </c>
    </row>
    <row r="1192" spans="1:2" x14ac:dyDescent="0.25">
      <c r="B1192" t="s">
        <v>393</v>
      </c>
    </row>
    <row r="1193" spans="1:2" x14ac:dyDescent="0.25">
      <c r="B1193" t="s">
        <v>394</v>
      </c>
    </row>
    <row r="1194" spans="1:2" x14ac:dyDescent="0.25">
      <c r="B1194" t="s">
        <v>395</v>
      </c>
    </row>
    <row r="1195" spans="1:2" x14ac:dyDescent="0.25">
      <c r="B1195" t="s">
        <v>396</v>
      </c>
    </row>
    <row r="1196" spans="1:2" x14ac:dyDescent="0.25">
      <c r="B1196" t="s">
        <v>397</v>
      </c>
    </row>
    <row r="1197" spans="1:2" x14ac:dyDescent="0.25">
      <c r="B1197" t="s">
        <v>398</v>
      </c>
    </row>
    <row r="1198" spans="1:2" x14ac:dyDescent="0.25">
      <c r="B1198" t="s">
        <v>399</v>
      </c>
    </row>
    <row r="1199" spans="1:2" x14ac:dyDescent="0.25">
      <c r="B1199" t="s">
        <v>400</v>
      </c>
    </row>
    <row r="1200" spans="1:2" x14ac:dyDescent="0.25">
      <c r="B1200" t="s">
        <v>401</v>
      </c>
    </row>
    <row r="1201" spans="1:2" x14ac:dyDescent="0.25">
      <c r="B1201" t="s">
        <v>402</v>
      </c>
    </row>
    <row r="1202" spans="1:2" x14ac:dyDescent="0.25">
      <c r="A1202">
        <v>27120</v>
      </c>
      <c r="B1202" t="s">
        <v>403</v>
      </c>
    </row>
    <row r="1203" spans="1:2" x14ac:dyDescent="0.25">
      <c r="A1203">
        <v>10560</v>
      </c>
      <c r="B1203" t="s">
        <v>404</v>
      </c>
    </row>
    <row r="1204" spans="1:2" x14ac:dyDescent="0.25">
      <c r="A1204">
        <v>4320</v>
      </c>
      <c r="B1204" t="s">
        <v>405</v>
      </c>
    </row>
    <row r="1205" spans="1:2" x14ac:dyDescent="0.25">
      <c r="A1205">
        <v>2640</v>
      </c>
      <c r="B1205" t="s">
        <v>406</v>
      </c>
    </row>
    <row r="1206" spans="1:2" x14ac:dyDescent="0.25">
      <c r="A1206">
        <v>5760</v>
      </c>
      <c r="B1206" t="s">
        <v>407</v>
      </c>
    </row>
    <row r="1207" spans="1:2" x14ac:dyDescent="0.25">
      <c r="A1207">
        <v>4800</v>
      </c>
      <c r="B1207" t="s">
        <v>408</v>
      </c>
    </row>
    <row r="1208" spans="1:2" x14ac:dyDescent="0.25">
      <c r="A1208">
        <v>6480</v>
      </c>
      <c r="B1208" t="s">
        <v>409</v>
      </c>
    </row>
    <row r="1209" spans="1:2" x14ac:dyDescent="0.25">
      <c r="A1209">
        <v>11760</v>
      </c>
      <c r="B1209" t="s">
        <v>410</v>
      </c>
    </row>
    <row r="1210" spans="1:2" x14ac:dyDescent="0.25">
      <c r="A1210">
        <v>11520</v>
      </c>
      <c r="B1210" t="s">
        <v>411</v>
      </c>
    </row>
    <row r="1211" spans="1:2" x14ac:dyDescent="0.25">
      <c r="A1211">
        <v>8400</v>
      </c>
      <c r="B1211" t="s">
        <v>412</v>
      </c>
    </row>
    <row r="1212" spans="1:2" x14ac:dyDescent="0.25">
      <c r="A1212">
        <v>15600</v>
      </c>
      <c r="B1212" t="s">
        <v>413</v>
      </c>
    </row>
    <row r="1213" spans="1:2" x14ac:dyDescent="0.25">
      <c r="A1213">
        <v>5040</v>
      </c>
      <c r="B1213" t="s">
        <v>414</v>
      </c>
    </row>
    <row r="1214" spans="1:2" x14ac:dyDescent="0.25">
      <c r="A1214">
        <v>13200</v>
      </c>
      <c r="B1214" t="s">
        <v>415</v>
      </c>
    </row>
    <row r="1215" spans="1:2" x14ac:dyDescent="0.25">
      <c r="A1215">
        <v>6000</v>
      </c>
      <c r="B1215" t="s">
        <v>416</v>
      </c>
    </row>
    <row r="1216" spans="1:2" x14ac:dyDescent="0.25">
      <c r="A1216">
        <v>206</v>
      </c>
      <c r="B1216" t="s">
        <v>417</v>
      </c>
    </row>
    <row r="1217" spans="1:2" x14ac:dyDescent="0.25">
      <c r="A1217">
        <v>0</v>
      </c>
      <c r="B1217" t="s">
        <v>418</v>
      </c>
    </row>
    <row r="1218" spans="1:2" x14ac:dyDescent="0.25">
      <c r="A1218">
        <v>11760</v>
      </c>
      <c r="B1218" t="s">
        <v>419</v>
      </c>
    </row>
    <row r="1219" spans="1:2" x14ac:dyDescent="0.25">
      <c r="A1219">
        <v>10560</v>
      </c>
      <c r="B1219" t="s">
        <v>420</v>
      </c>
    </row>
    <row r="1220" spans="1:2" x14ac:dyDescent="0.25">
      <c r="A1220">
        <v>4800</v>
      </c>
      <c r="B1220" t="s">
        <v>421</v>
      </c>
    </row>
    <row r="1221" spans="1:2" x14ac:dyDescent="0.25">
      <c r="A1221">
        <v>6480</v>
      </c>
      <c r="B1221" t="s">
        <v>422</v>
      </c>
    </row>
    <row r="1222" spans="1:2" x14ac:dyDescent="0.25">
      <c r="A1222">
        <v>7680</v>
      </c>
      <c r="B1222" t="s">
        <v>423</v>
      </c>
    </row>
    <row r="1223" spans="1:2" x14ac:dyDescent="0.25">
      <c r="A1223">
        <v>12960</v>
      </c>
      <c r="B1223" t="s">
        <v>424</v>
      </c>
    </row>
    <row r="1224" spans="1:2" x14ac:dyDescent="0.25">
      <c r="A1224">
        <v>10530</v>
      </c>
      <c r="B1224" t="s">
        <v>425</v>
      </c>
    </row>
    <row r="1225" spans="1:2" x14ac:dyDescent="0.25">
      <c r="A1225">
        <v>6960</v>
      </c>
      <c r="B1225" t="s">
        <v>426</v>
      </c>
    </row>
    <row r="1226" spans="1:2" x14ac:dyDescent="0.25">
      <c r="A1226">
        <v>203280</v>
      </c>
      <c r="B1226" t="s">
        <v>427</v>
      </c>
    </row>
    <row r="1227" spans="1:2" x14ac:dyDescent="0.25">
      <c r="A1227">
        <v>69840</v>
      </c>
      <c r="B1227" t="s">
        <v>428</v>
      </c>
    </row>
    <row r="1228" spans="1:2" x14ac:dyDescent="0.25">
      <c r="A1228">
        <v>61200</v>
      </c>
      <c r="B1228" t="s">
        <v>429</v>
      </c>
    </row>
    <row r="1229" spans="1:2" x14ac:dyDescent="0.25">
      <c r="A1229">
        <v>64800</v>
      </c>
      <c r="B1229" t="s">
        <v>430</v>
      </c>
    </row>
    <row r="1230" spans="1:2" x14ac:dyDescent="0.25">
      <c r="A1230">
        <v>82560</v>
      </c>
      <c r="B1230" t="s">
        <v>431</v>
      </c>
    </row>
    <row r="1231" spans="1:2" x14ac:dyDescent="0.25">
      <c r="A1231">
        <v>115680</v>
      </c>
      <c r="B1231" t="s">
        <v>432</v>
      </c>
    </row>
    <row r="1232" spans="1:2" x14ac:dyDescent="0.25">
      <c r="A1232">
        <v>109680</v>
      </c>
      <c r="B1232" t="s">
        <v>433</v>
      </c>
    </row>
    <row r="1233" spans="1:2" x14ac:dyDescent="0.25">
      <c r="A1233">
        <v>133482</v>
      </c>
      <c r="B1233" t="s">
        <v>434</v>
      </c>
    </row>
    <row r="1234" spans="1:2" x14ac:dyDescent="0.25">
      <c r="A1234">
        <v>179040</v>
      </c>
      <c r="B1234" t="s">
        <v>435</v>
      </c>
    </row>
    <row r="1235" spans="1:2" x14ac:dyDescent="0.25">
      <c r="A1235">
        <v>158558</v>
      </c>
      <c r="B1235" t="s">
        <v>436</v>
      </c>
    </row>
    <row r="1236" spans="1:2" x14ac:dyDescent="0.25">
      <c r="A1236">
        <v>128400</v>
      </c>
      <c r="B1236" t="s">
        <v>437</v>
      </c>
    </row>
    <row r="1237" spans="1:2" x14ac:dyDescent="0.25">
      <c r="A1237">
        <v>100080</v>
      </c>
      <c r="B1237" t="s">
        <v>438</v>
      </c>
    </row>
    <row r="1238" spans="1:2" x14ac:dyDescent="0.25">
      <c r="A1238">
        <v>70240</v>
      </c>
      <c r="B1238" t="s">
        <v>439</v>
      </c>
    </row>
    <row r="1239" spans="1:2" x14ac:dyDescent="0.25">
      <c r="A1239">
        <v>30462</v>
      </c>
      <c r="B1239" t="s">
        <v>440</v>
      </c>
    </row>
    <row r="1240" spans="1:2" x14ac:dyDescent="0.25">
      <c r="A1240">
        <v>45383</v>
      </c>
      <c r="B1240" t="s">
        <v>441</v>
      </c>
    </row>
    <row r="1241" spans="1:2" x14ac:dyDescent="0.25">
      <c r="A1241">
        <v>98304</v>
      </c>
      <c r="B1241" t="s">
        <v>442</v>
      </c>
    </row>
    <row r="1242" spans="1:2" x14ac:dyDescent="0.25">
      <c r="A1242">
        <v>16728</v>
      </c>
      <c r="B1242" t="s">
        <v>443</v>
      </c>
    </row>
    <row r="1243" spans="1:2" x14ac:dyDescent="0.25">
      <c r="A1243">
        <v>30719</v>
      </c>
      <c r="B1243" t="s">
        <v>444</v>
      </c>
    </row>
    <row r="1244" spans="1:2" x14ac:dyDescent="0.25">
      <c r="A1244">
        <v>106368</v>
      </c>
      <c r="B1244" t="s">
        <v>445</v>
      </c>
    </row>
    <row r="1245" spans="1:2" x14ac:dyDescent="0.25">
      <c r="A1245">
        <v>39936</v>
      </c>
      <c r="B1245" t="s">
        <v>446</v>
      </c>
    </row>
    <row r="1246" spans="1:2" x14ac:dyDescent="0.25">
      <c r="A1246">
        <v>0</v>
      </c>
      <c r="B1246" t="s">
        <v>447</v>
      </c>
    </row>
    <row r="1247" spans="1:2" x14ac:dyDescent="0.25">
      <c r="A1247">
        <v>51102</v>
      </c>
      <c r="B1247" t="s">
        <v>448</v>
      </c>
    </row>
    <row r="1248" spans="1:2" x14ac:dyDescent="0.25">
      <c r="A1248">
        <v>302672</v>
      </c>
      <c r="B1248" t="s">
        <v>449</v>
      </c>
    </row>
    <row r="1249" spans="1:2" x14ac:dyDescent="0.25">
      <c r="A1249">
        <v>0</v>
      </c>
      <c r="B1249" t="s">
        <v>450</v>
      </c>
    </row>
    <row r="1250" spans="1:2" x14ac:dyDescent="0.25">
      <c r="A1250">
        <v>0</v>
      </c>
      <c r="B1250" t="s">
        <v>451</v>
      </c>
    </row>
    <row r="1251" spans="1:2" x14ac:dyDescent="0.25">
      <c r="B1251" t="s">
        <v>452</v>
      </c>
    </row>
    <row r="1252" spans="1:2" x14ac:dyDescent="0.25">
      <c r="B1252" t="s">
        <v>453</v>
      </c>
    </row>
    <row r="1253" spans="1:2" x14ac:dyDescent="0.25">
      <c r="B1253" t="s">
        <v>454</v>
      </c>
    </row>
    <row r="1254" spans="1:2" x14ac:dyDescent="0.25">
      <c r="B1254" t="s">
        <v>455</v>
      </c>
    </row>
    <row r="1255" spans="1:2" x14ac:dyDescent="0.25">
      <c r="B1255" t="s">
        <v>456</v>
      </c>
    </row>
    <row r="1256" spans="1:2" x14ac:dyDescent="0.25">
      <c r="B1256" t="s">
        <v>457</v>
      </c>
    </row>
    <row r="1257" spans="1:2" x14ac:dyDescent="0.25">
      <c r="B1257" t="s">
        <v>458</v>
      </c>
    </row>
    <row r="1258" spans="1:2" x14ac:dyDescent="0.25">
      <c r="B1258" t="s">
        <v>459</v>
      </c>
    </row>
    <row r="1259" spans="1:2" x14ac:dyDescent="0.25">
      <c r="B1259" t="s">
        <v>460</v>
      </c>
    </row>
    <row r="1260" spans="1:2" x14ac:dyDescent="0.25">
      <c r="B1260" t="s">
        <v>461</v>
      </c>
    </row>
    <row r="1261" spans="1:2" x14ac:dyDescent="0.25">
      <c r="B1261" t="s">
        <v>462</v>
      </c>
    </row>
    <row r="1262" spans="1:2" x14ac:dyDescent="0.25">
      <c r="A1262">
        <v>0</v>
      </c>
      <c r="B1262" t="s">
        <v>463</v>
      </c>
    </row>
    <row r="1263" spans="1:2" x14ac:dyDescent="0.25">
      <c r="B1263" t="s">
        <v>464</v>
      </c>
    </row>
    <row r="1264" spans="1:2" x14ac:dyDescent="0.25">
      <c r="B1264" t="s">
        <v>465</v>
      </c>
    </row>
    <row r="1265" spans="1:2" x14ac:dyDescent="0.25">
      <c r="B1265" t="s">
        <v>466</v>
      </c>
    </row>
    <row r="1266" spans="1:2" x14ac:dyDescent="0.25">
      <c r="B1266" t="s">
        <v>467</v>
      </c>
    </row>
    <row r="1267" spans="1:2" x14ac:dyDescent="0.25">
      <c r="B1267" t="s">
        <v>468</v>
      </c>
    </row>
    <row r="1268" spans="1:2" x14ac:dyDescent="0.25">
      <c r="B1268" t="s">
        <v>469</v>
      </c>
    </row>
    <row r="1269" spans="1:2" x14ac:dyDescent="0.25">
      <c r="B1269" t="s">
        <v>470</v>
      </c>
    </row>
    <row r="1270" spans="1:2" x14ac:dyDescent="0.25">
      <c r="B1270" t="s">
        <v>471</v>
      </c>
    </row>
    <row r="1271" spans="1:2" x14ac:dyDescent="0.25">
      <c r="B1271" t="s">
        <v>472</v>
      </c>
    </row>
    <row r="1272" spans="1:2" x14ac:dyDescent="0.25">
      <c r="B1272" t="s">
        <v>473</v>
      </c>
    </row>
    <row r="1273" spans="1:2" x14ac:dyDescent="0.25">
      <c r="B1273" t="s">
        <v>474</v>
      </c>
    </row>
    <row r="1274" spans="1:2" x14ac:dyDescent="0.25">
      <c r="A1274">
        <v>31080</v>
      </c>
      <c r="B1274" t="s">
        <v>475</v>
      </c>
    </row>
    <row r="1275" spans="1:2" x14ac:dyDescent="0.25">
      <c r="A1275">
        <v>19320</v>
      </c>
      <c r="B1275" t="s">
        <v>476</v>
      </c>
    </row>
    <row r="1276" spans="1:2" x14ac:dyDescent="0.25">
      <c r="A1276">
        <v>9000</v>
      </c>
      <c r="B1276" t="s">
        <v>477</v>
      </c>
    </row>
    <row r="1277" spans="1:2" x14ac:dyDescent="0.25">
      <c r="A1277">
        <v>5400</v>
      </c>
      <c r="B1277" t="s">
        <v>478</v>
      </c>
    </row>
    <row r="1278" spans="1:2" x14ac:dyDescent="0.25">
      <c r="A1278">
        <v>7920</v>
      </c>
      <c r="B1278" t="s">
        <v>479</v>
      </c>
    </row>
    <row r="1279" spans="1:2" x14ac:dyDescent="0.25">
      <c r="A1279">
        <v>15600</v>
      </c>
      <c r="B1279" t="s">
        <v>480</v>
      </c>
    </row>
    <row r="1280" spans="1:2" x14ac:dyDescent="0.25">
      <c r="A1280">
        <v>16080</v>
      </c>
      <c r="B1280" t="s">
        <v>481</v>
      </c>
    </row>
    <row r="1281" spans="1:2" x14ac:dyDescent="0.25">
      <c r="A1281">
        <v>4492</v>
      </c>
      <c r="B1281" t="s">
        <v>482</v>
      </c>
    </row>
    <row r="1282" spans="1:2" x14ac:dyDescent="0.25">
      <c r="A1282">
        <v>0</v>
      </c>
      <c r="B1282" t="s">
        <v>483</v>
      </c>
    </row>
    <row r="1283" spans="1:2" x14ac:dyDescent="0.25">
      <c r="A1283">
        <v>0</v>
      </c>
      <c r="B1283" t="s">
        <v>484</v>
      </c>
    </row>
    <row r="1284" spans="1:2" x14ac:dyDescent="0.25">
      <c r="A1284">
        <v>0</v>
      </c>
      <c r="B1284" t="s">
        <v>485</v>
      </c>
    </row>
    <row r="1285" spans="1:2" x14ac:dyDescent="0.25">
      <c r="A1285">
        <v>0</v>
      </c>
      <c r="B1285" t="s">
        <v>486</v>
      </c>
    </row>
    <row r="1286" spans="1:2" x14ac:dyDescent="0.25">
      <c r="A1286">
        <v>314763</v>
      </c>
      <c r="B1286" t="s">
        <v>487</v>
      </c>
    </row>
    <row r="1287" spans="1:2" x14ac:dyDescent="0.25">
      <c r="A1287">
        <v>179882</v>
      </c>
      <c r="B1287" t="s">
        <v>488</v>
      </c>
    </row>
    <row r="1288" spans="1:2" x14ac:dyDescent="0.25">
      <c r="A1288">
        <v>122976</v>
      </c>
      <c r="B1288" t="s">
        <v>489</v>
      </c>
    </row>
    <row r="1289" spans="1:2" x14ac:dyDescent="0.25">
      <c r="A1289">
        <v>42912</v>
      </c>
      <c r="B1289" t="s">
        <v>490</v>
      </c>
    </row>
    <row r="1290" spans="1:2" x14ac:dyDescent="0.25">
      <c r="A1290">
        <v>89475</v>
      </c>
      <c r="B1290" t="s">
        <v>491</v>
      </c>
    </row>
    <row r="1291" spans="1:2" x14ac:dyDescent="0.25">
      <c r="A1291">
        <v>8352</v>
      </c>
      <c r="B1291" t="s">
        <v>492</v>
      </c>
    </row>
    <row r="1292" spans="1:2" x14ac:dyDescent="0.25">
      <c r="A1292">
        <v>0</v>
      </c>
      <c r="B1292" t="s">
        <v>493</v>
      </c>
    </row>
    <row r="1293" spans="1:2" x14ac:dyDescent="0.25">
      <c r="A1293">
        <v>0</v>
      </c>
      <c r="B1293" t="s">
        <v>494</v>
      </c>
    </row>
    <row r="1294" spans="1:2" x14ac:dyDescent="0.25">
      <c r="A1294">
        <v>0</v>
      </c>
      <c r="B1294" t="s">
        <v>495</v>
      </c>
    </row>
    <row r="1295" spans="1:2" x14ac:dyDescent="0.25">
      <c r="A1295">
        <v>732760</v>
      </c>
      <c r="B1295" t="s">
        <v>496</v>
      </c>
    </row>
    <row r="1296" spans="1:2" x14ac:dyDescent="0.25">
      <c r="A1296">
        <v>105840</v>
      </c>
      <c r="B1296" t="s">
        <v>497</v>
      </c>
    </row>
    <row r="1297" spans="1:2" x14ac:dyDescent="0.25">
      <c r="A1297">
        <v>296538</v>
      </c>
      <c r="B1297" t="s">
        <v>498</v>
      </c>
    </row>
    <row r="1298" spans="1:2" x14ac:dyDescent="0.25">
      <c r="A1298">
        <v>211107</v>
      </c>
      <c r="B1298" t="s">
        <v>499</v>
      </c>
    </row>
    <row r="1299" spans="1:2" x14ac:dyDescent="0.25">
      <c r="A1299">
        <v>92997</v>
      </c>
      <c r="B1299" t="s">
        <v>500</v>
      </c>
    </row>
    <row r="1300" spans="1:2" x14ac:dyDescent="0.25">
      <c r="A1300">
        <v>34684</v>
      </c>
      <c r="B1300" t="s">
        <v>501</v>
      </c>
    </row>
    <row r="1301" spans="1:2" x14ac:dyDescent="0.25">
      <c r="A1301">
        <v>25200</v>
      </c>
      <c r="B1301" t="s">
        <v>502</v>
      </c>
    </row>
    <row r="1302" spans="1:2" x14ac:dyDescent="0.25">
      <c r="A1302">
        <v>23940</v>
      </c>
      <c r="B1302" t="s">
        <v>503</v>
      </c>
    </row>
    <row r="1303" spans="1:2" x14ac:dyDescent="0.25">
      <c r="A1303">
        <v>23040</v>
      </c>
      <c r="B1303" t="s">
        <v>504</v>
      </c>
    </row>
    <row r="1304" spans="1:2" x14ac:dyDescent="0.25">
      <c r="A1304">
        <v>32760</v>
      </c>
      <c r="B1304" t="s">
        <v>505</v>
      </c>
    </row>
    <row r="1305" spans="1:2" x14ac:dyDescent="0.25">
      <c r="A1305">
        <v>57780</v>
      </c>
      <c r="B1305" t="s">
        <v>506</v>
      </c>
    </row>
    <row r="1306" spans="1:2" x14ac:dyDescent="0.25">
      <c r="A1306">
        <v>118800</v>
      </c>
      <c r="B1306" t="s">
        <v>507</v>
      </c>
    </row>
    <row r="1307" spans="1:2" x14ac:dyDescent="0.25">
      <c r="A1307">
        <v>40967</v>
      </c>
      <c r="B1307" t="s">
        <v>508</v>
      </c>
    </row>
    <row r="1308" spans="1:2" x14ac:dyDescent="0.25">
      <c r="A1308">
        <v>57070</v>
      </c>
      <c r="B1308" t="s">
        <v>509</v>
      </c>
    </row>
    <row r="1309" spans="1:2" x14ac:dyDescent="0.25">
      <c r="A1309">
        <v>32552</v>
      </c>
      <c r="B1309" t="s">
        <v>510</v>
      </c>
    </row>
    <row r="1310" spans="1:2" x14ac:dyDescent="0.25">
      <c r="A1310">
        <v>55189</v>
      </c>
      <c r="B1310" t="s">
        <v>511</v>
      </c>
    </row>
    <row r="1311" spans="1:2" x14ac:dyDescent="0.25">
      <c r="A1311">
        <v>54054</v>
      </c>
      <c r="B1311" t="s">
        <v>512</v>
      </c>
    </row>
    <row r="1312" spans="1:2" x14ac:dyDescent="0.25">
      <c r="A1312">
        <v>0</v>
      </c>
      <c r="B1312" t="s">
        <v>513</v>
      </c>
    </row>
    <row r="1313" spans="1:2" x14ac:dyDescent="0.25">
      <c r="A1313">
        <v>0</v>
      </c>
      <c r="B1313" t="s">
        <v>514</v>
      </c>
    </row>
    <row r="1314" spans="1:2" x14ac:dyDescent="0.25">
      <c r="A1314">
        <v>0</v>
      </c>
      <c r="B1314" t="s">
        <v>515</v>
      </c>
    </row>
    <row r="1315" spans="1:2" x14ac:dyDescent="0.25">
      <c r="A1315">
        <v>101245</v>
      </c>
      <c r="B1315" t="s">
        <v>516</v>
      </c>
    </row>
    <row r="1316" spans="1:2" x14ac:dyDescent="0.25">
      <c r="A1316">
        <v>54376</v>
      </c>
      <c r="B1316" t="s">
        <v>517</v>
      </c>
    </row>
    <row r="1317" spans="1:2" x14ac:dyDescent="0.25">
      <c r="A1317">
        <v>103740</v>
      </c>
      <c r="B1317" t="s">
        <v>518</v>
      </c>
    </row>
    <row r="1318" spans="1:2" x14ac:dyDescent="0.25">
      <c r="A1318">
        <v>4322</v>
      </c>
      <c r="B1318" t="s">
        <v>519</v>
      </c>
    </row>
    <row r="1319" spans="1:2" x14ac:dyDescent="0.25">
      <c r="A1319">
        <v>37590</v>
      </c>
      <c r="B1319" t="s">
        <v>520</v>
      </c>
    </row>
    <row r="1320" spans="1:2" x14ac:dyDescent="0.25">
      <c r="A1320">
        <v>63840</v>
      </c>
      <c r="B1320" t="s">
        <v>521</v>
      </c>
    </row>
    <row r="1321" spans="1:2" x14ac:dyDescent="0.25">
      <c r="A1321">
        <v>32566</v>
      </c>
      <c r="B1321" t="s">
        <v>522</v>
      </c>
    </row>
    <row r="1322" spans="1:2" x14ac:dyDescent="0.25">
      <c r="A1322">
        <v>63353</v>
      </c>
      <c r="B1322" t="s">
        <v>523</v>
      </c>
    </row>
    <row r="1323" spans="1:2" x14ac:dyDescent="0.25">
      <c r="A1323">
        <v>150646</v>
      </c>
      <c r="B1323" t="s">
        <v>524</v>
      </c>
    </row>
    <row r="1324" spans="1:2" x14ac:dyDescent="0.25">
      <c r="A1324">
        <v>360251</v>
      </c>
      <c r="B1324" t="s">
        <v>525</v>
      </c>
    </row>
    <row r="1325" spans="1:2" x14ac:dyDescent="0.25">
      <c r="A1325">
        <v>31570</v>
      </c>
      <c r="B1325" t="s">
        <v>526</v>
      </c>
    </row>
    <row r="1326" spans="1:2" x14ac:dyDescent="0.25">
      <c r="A1326">
        <v>120</v>
      </c>
      <c r="B1326" t="s">
        <v>527</v>
      </c>
    </row>
    <row r="1327" spans="1:2" x14ac:dyDescent="0.25">
      <c r="A1327">
        <v>28405</v>
      </c>
      <c r="B1327" t="s">
        <v>528</v>
      </c>
    </row>
    <row r="1328" spans="1:2" x14ac:dyDescent="0.25">
      <c r="A1328">
        <v>53201</v>
      </c>
      <c r="B1328" t="s">
        <v>529</v>
      </c>
    </row>
    <row r="1329" spans="1:2" x14ac:dyDescent="0.25">
      <c r="A1329">
        <v>2400</v>
      </c>
      <c r="B1329" t="s">
        <v>530</v>
      </c>
    </row>
    <row r="1330" spans="1:2" x14ac:dyDescent="0.25">
      <c r="A1330">
        <v>204427</v>
      </c>
      <c r="B1330" t="s">
        <v>531</v>
      </c>
    </row>
    <row r="1331" spans="1:2" x14ac:dyDescent="0.25">
      <c r="A1331">
        <v>207338</v>
      </c>
      <c r="B1331" t="s">
        <v>532</v>
      </c>
    </row>
    <row r="1332" spans="1:2" x14ac:dyDescent="0.25">
      <c r="A1332">
        <v>90768</v>
      </c>
      <c r="B1332" t="s">
        <v>533</v>
      </c>
    </row>
    <row r="1333" spans="1:2" x14ac:dyDescent="0.25">
      <c r="A1333">
        <v>193325</v>
      </c>
      <c r="B1333" t="s">
        <v>534</v>
      </c>
    </row>
    <row r="1334" spans="1:2" x14ac:dyDescent="0.25">
      <c r="A1334">
        <v>1498789</v>
      </c>
      <c r="B1334" t="s">
        <v>535</v>
      </c>
    </row>
    <row r="1335" spans="1:2" x14ac:dyDescent="0.25">
      <c r="A1335">
        <v>1337040</v>
      </c>
      <c r="B1335" t="s">
        <v>536</v>
      </c>
    </row>
    <row r="1336" spans="1:2" x14ac:dyDescent="0.25">
      <c r="A1336">
        <v>783864</v>
      </c>
      <c r="B1336" t="s">
        <v>537</v>
      </c>
    </row>
    <row r="1337" spans="1:2" x14ac:dyDescent="0.25">
      <c r="A1337">
        <v>377136</v>
      </c>
      <c r="B1337" t="s">
        <v>538</v>
      </c>
    </row>
    <row r="1338" spans="1:2" x14ac:dyDescent="0.25">
      <c r="A1338">
        <v>497692</v>
      </c>
      <c r="B1338" t="s">
        <v>539</v>
      </c>
    </row>
    <row r="1339" spans="1:2" x14ac:dyDescent="0.25">
      <c r="A1339">
        <v>506304</v>
      </c>
      <c r="B1339" t="s">
        <v>540</v>
      </c>
    </row>
    <row r="1340" spans="1:2" x14ac:dyDescent="0.25">
      <c r="A1340">
        <v>636841</v>
      </c>
      <c r="B1340" t="s">
        <v>541</v>
      </c>
    </row>
    <row r="1341" spans="1:2" x14ac:dyDescent="0.25">
      <c r="A1341">
        <v>960223</v>
      </c>
      <c r="B1341" t="s">
        <v>542</v>
      </c>
    </row>
    <row r="1342" spans="1:2" x14ac:dyDescent="0.25">
      <c r="A1342">
        <v>1176626</v>
      </c>
      <c r="B1342" t="s">
        <v>543</v>
      </c>
    </row>
    <row r="1343" spans="1:2" x14ac:dyDescent="0.25">
      <c r="A1343">
        <v>646296</v>
      </c>
      <c r="B1343" t="s">
        <v>544</v>
      </c>
    </row>
    <row r="1344" spans="1:2" x14ac:dyDescent="0.25">
      <c r="A1344">
        <v>930423</v>
      </c>
      <c r="B1344" t="s">
        <v>545</v>
      </c>
    </row>
    <row r="1345" spans="1:2" x14ac:dyDescent="0.25">
      <c r="A1345">
        <v>350784</v>
      </c>
      <c r="B1345" t="s">
        <v>546</v>
      </c>
    </row>
    <row r="1346" spans="1:2" x14ac:dyDescent="0.25">
      <c r="A1346">
        <v>0</v>
      </c>
      <c r="B1346" t="s">
        <v>547</v>
      </c>
    </row>
    <row r="1347" spans="1:2" x14ac:dyDescent="0.25">
      <c r="B1347" t="s">
        <v>548</v>
      </c>
    </row>
    <row r="1348" spans="1:2" x14ac:dyDescent="0.25">
      <c r="B1348" t="s">
        <v>549</v>
      </c>
    </row>
    <row r="1349" spans="1:2" x14ac:dyDescent="0.25">
      <c r="B1349" t="s">
        <v>550</v>
      </c>
    </row>
    <row r="1350" spans="1:2" x14ac:dyDescent="0.25">
      <c r="B1350" t="s">
        <v>551</v>
      </c>
    </row>
    <row r="1351" spans="1:2" x14ac:dyDescent="0.25">
      <c r="B1351" t="s">
        <v>552</v>
      </c>
    </row>
    <row r="1352" spans="1:2" x14ac:dyDescent="0.25">
      <c r="B1352" t="s">
        <v>553</v>
      </c>
    </row>
    <row r="1353" spans="1:2" x14ac:dyDescent="0.25">
      <c r="B1353" t="s">
        <v>554</v>
      </c>
    </row>
    <row r="1354" spans="1:2" x14ac:dyDescent="0.25">
      <c r="B1354" t="s">
        <v>555</v>
      </c>
    </row>
    <row r="1355" spans="1:2" x14ac:dyDescent="0.25">
      <c r="B1355" t="s">
        <v>556</v>
      </c>
    </row>
    <row r="1356" spans="1:2" x14ac:dyDescent="0.25">
      <c r="B1356" t="s">
        <v>557</v>
      </c>
    </row>
    <row r="1357" spans="1:2" x14ac:dyDescent="0.25">
      <c r="B1357" t="s">
        <v>558</v>
      </c>
    </row>
    <row r="1358" spans="1:2" x14ac:dyDescent="0.25">
      <c r="A1358">
        <v>11942</v>
      </c>
      <c r="B1358" t="s">
        <v>559</v>
      </c>
    </row>
    <row r="1359" spans="1:2" x14ac:dyDescent="0.25">
      <c r="A1359">
        <v>120</v>
      </c>
      <c r="B1359" t="s">
        <v>560</v>
      </c>
    </row>
    <row r="1360" spans="1:2" x14ac:dyDescent="0.25">
      <c r="A1360">
        <v>0</v>
      </c>
      <c r="B1360" t="s">
        <v>561</v>
      </c>
    </row>
    <row r="1361" spans="1:2" x14ac:dyDescent="0.25">
      <c r="A1361">
        <v>0</v>
      </c>
      <c r="B1361" t="s">
        <v>562</v>
      </c>
    </row>
    <row r="1362" spans="1:2" x14ac:dyDescent="0.25">
      <c r="A1362">
        <v>33480</v>
      </c>
      <c r="B1362" t="s">
        <v>563</v>
      </c>
    </row>
    <row r="1363" spans="1:2" x14ac:dyDescent="0.25">
      <c r="A1363">
        <v>8040</v>
      </c>
      <c r="B1363" t="s">
        <v>564</v>
      </c>
    </row>
    <row r="1364" spans="1:2" x14ac:dyDescent="0.25">
      <c r="A1364">
        <v>4560</v>
      </c>
      <c r="B1364" t="s">
        <v>565</v>
      </c>
    </row>
    <row r="1365" spans="1:2" x14ac:dyDescent="0.25">
      <c r="A1365">
        <v>120</v>
      </c>
      <c r="B1365" t="s">
        <v>566</v>
      </c>
    </row>
    <row r="1366" spans="1:2" x14ac:dyDescent="0.25">
      <c r="A1366">
        <v>21463</v>
      </c>
      <c r="B1366" t="s">
        <v>567</v>
      </c>
    </row>
    <row r="1367" spans="1:2" x14ac:dyDescent="0.25">
      <c r="A1367">
        <v>7763</v>
      </c>
      <c r="B1367" t="s">
        <v>568</v>
      </c>
    </row>
    <row r="1368" spans="1:2" x14ac:dyDescent="0.25">
      <c r="A1368">
        <v>120</v>
      </c>
      <c r="B1368" t="s">
        <v>569</v>
      </c>
    </row>
    <row r="1369" spans="1:2" x14ac:dyDescent="0.25">
      <c r="A1369">
        <v>0</v>
      </c>
      <c r="B1369" t="s">
        <v>570</v>
      </c>
    </row>
    <row r="1370" spans="1:2" x14ac:dyDescent="0.25">
      <c r="A1370">
        <v>0</v>
      </c>
      <c r="B1370" t="s">
        <v>571</v>
      </c>
    </row>
    <row r="1371" spans="1:2" x14ac:dyDescent="0.25">
      <c r="A1371">
        <v>68520</v>
      </c>
      <c r="B1371" t="s">
        <v>572</v>
      </c>
    </row>
    <row r="1372" spans="1:2" x14ac:dyDescent="0.25">
      <c r="A1372">
        <v>4716</v>
      </c>
      <c r="B1372" t="s">
        <v>573</v>
      </c>
    </row>
    <row r="1373" spans="1:2" x14ac:dyDescent="0.25">
      <c r="A1373">
        <v>0</v>
      </c>
      <c r="B1373" t="s">
        <v>574</v>
      </c>
    </row>
    <row r="1374" spans="1:2" x14ac:dyDescent="0.25">
      <c r="A1374">
        <v>10920</v>
      </c>
      <c r="B1374" t="s">
        <v>575</v>
      </c>
    </row>
    <row r="1375" spans="1:2" x14ac:dyDescent="0.25">
      <c r="A1375">
        <v>9240</v>
      </c>
      <c r="B1375" t="s">
        <v>576</v>
      </c>
    </row>
    <row r="1376" spans="1:2" x14ac:dyDescent="0.25">
      <c r="A1376">
        <v>5160</v>
      </c>
      <c r="B1376" t="s">
        <v>577</v>
      </c>
    </row>
    <row r="1377" spans="1:2" x14ac:dyDescent="0.25">
      <c r="A1377">
        <v>19680</v>
      </c>
      <c r="B1377" t="s">
        <v>578</v>
      </c>
    </row>
    <row r="1378" spans="1:2" x14ac:dyDescent="0.25">
      <c r="A1378">
        <v>24840</v>
      </c>
      <c r="B1378" t="s">
        <v>579</v>
      </c>
    </row>
    <row r="1379" spans="1:2" x14ac:dyDescent="0.25">
      <c r="A1379">
        <v>32105</v>
      </c>
      <c r="B1379" t="s">
        <v>580</v>
      </c>
    </row>
    <row r="1380" spans="1:2" x14ac:dyDescent="0.25">
      <c r="A1380">
        <v>22673</v>
      </c>
      <c r="B1380" t="s">
        <v>581</v>
      </c>
    </row>
    <row r="1381" spans="1:2" x14ac:dyDescent="0.25">
      <c r="A1381">
        <v>12840</v>
      </c>
      <c r="B1381" t="s">
        <v>582</v>
      </c>
    </row>
    <row r="1382" spans="1:2" x14ac:dyDescent="0.25">
      <c r="A1382">
        <v>0</v>
      </c>
      <c r="B1382" t="s">
        <v>583</v>
      </c>
    </row>
    <row r="1383" spans="1:2" x14ac:dyDescent="0.25">
      <c r="A1383">
        <v>0</v>
      </c>
      <c r="B1383" t="s">
        <v>584</v>
      </c>
    </row>
    <row r="1384" spans="1:2" x14ac:dyDescent="0.25">
      <c r="A1384">
        <v>0</v>
      </c>
      <c r="B1384" t="s">
        <v>585</v>
      </c>
    </row>
    <row r="1385" spans="1:2" x14ac:dyDescent="0.25">
      <c r="A1385">
        <v>0</v>
      </c>
      <c r="B1385" t="s">
        <v>586</v>
      </c>
    </row>
    <row r="1386" spans="1:2" x14ac:dyDescent="0.25">
      <c r="A1386">
        <v>27120</v>
      </c>
      <c r="B1386" t="s">
        <v>587</v>
      </c>
    </row>
    <row r="1387" spans="1:2" x14ac:dyDescent="0.25">
      <c r="A1387">
        <v>2160</v>
      </c>
      <c r="B1387" t="s">
        <v>588</v>
      </c>
    </row>
    <row r="1388" spans="1:2" x14ac:dyDescent="0.25">
      <c r="A1388">
        <v>1320</v>
      </c>
      <c r="B1388" t="s">
        <v>589</v>
      </c>
    </row>
    <row r="1389" spans="1:2" x14ac:dyDescent="0.25">
      <c r="A1389">
        <v>2520</v>
      </c>
      <c r="B1389" t="s">
        <v>590</v>
      </c>
    </row>
    <row r="1390" spans="1:2" x14ac:dyDescent="0.25">
      <c r="A1390">
        <v>3960</v>
      </c>
      <c r="B1390" t="s">
        <v>591</v>
      </c>
    </row>
    <row r="1391" spans="1:2" x14ac:dyDescent="0.25">
      <c r="A1391">
        <v>3700</v>
      </c>
      <c r="B1391" t="s">
        <v>592</v>
      </c>
    </row>
    <row r="1392" spans="1:2" x14ac:dyDescent="0.25">
      <c r="A1392">
        <v>4680</v>
      </c>
      <c r="B1392" t="s">
        <v>593</v>
      </c>
    </row>
    <row r="1393" spans="1:2" x14ac:dyDescent="0.25">
      <c r="A1393">
        <v>4560</v>
      </c>
      <c r="B1393" t="s">
        <v>594</v>
      </c>
    </row>
    <row r="1394" spans="1:2" x14ac:dyDescent="0.25">
      <c r="A1394">
        <v>239135</v>
      </c>
      <c r="B1394" t="s">
        <v>595</v>
      </c>
    </row>
    <row r="1395" spans="1:2" x14ac:dyDescent="0.25">
      <c r="A1395">
        <v>177484</v>
      </c>
      <c r="B1395" t="s">
        <v>596</v>
      </c>
    </row>
    <row r="1396" spans="1:2" x14ac:dyDescent="0.25">
      <c r="A1396">
        <v>181420</v>
      </c>
      <c r="B1396" t="s">
        <v>597</v>
      </c>
    </row>
    <row r="1397" spans="1:2" x14ac:dyDescent="0.25">
      <c r="A1397">
        <v>182277</v>
      </c>
      <c r="B1397" t="s">
        <v>598</v>
      </c>
    </row>
    <row r="1398" spans="1:2" x14ac:dyDescent="0.25">
      <c r="A1398">
        <v>76400</v>
      </c>
      <c r="B1398" t="s">
        <v>599</v>
      </c>
    </row>
    <row r="1399" spans="1:2" x14ac:dyDescent="0.25">
      <c r="A1399">
        <v>18640</v>
      </c>
      <c r="B1399" t="s">
        <v>600</v>
      </c>
    </row>
    <row r="1400" spans="1:2" x14ac:dyDescent="0.25">
      <c r="A1400">
        <v>9400</v>
      </c>
      <c r="B1400" t="s">
        <v>601</v>
      </c>
    </row>
    <row r="1401" spans="1:2" x14ac:dyDescent="0.25">
      <c r="A1401">
        <v>42480</v>
      </c>
      <c r="B1401" t="s">
        <v>602</v>
      </c>
    </row>
    <row r="1402" spans="1:2" x14ac:dyDescent="0.25">
      <c r="A1402">
        <v>55880</v>
      </c>
      <c r="B1402" t="s">
        <v>603</v>
      </c>
    </row>
    <row r="1403" spans="1:2" x14ac:dyDescent="0.25">
      <c r="A1403">
        <v>79423</v>
      </c>
      <c r="B1403" t="s">
        <v>604</v>
      </c>
    </row>
    <row r="1404" spans="1:2" x14ac:dyDescent="0.25">
      <c r="A1404">
        <v>61744</v>
      </c>
      <c r="B1404" t="s">
        <v>605</v>
      </c>
    </row>
    <row r="1405" spans="1:2" x14ac:dyDescent="0.25">
      <c r="A1405">
        <v>71784</v>
      </c>
      <c r="B1405" t="s">
        <v>606</v>
      </c>
    </row>
    <row r="1406" spans="1:2" x14ac:dyDescent="0.25">
      <c r="A1406">
        <v>0</v>
      </c>
      <c r="B1406" t="s">
        <v>607</v>
      </c>
    </row>
    <row r="1407" spans="1:2" x14ac:dyDescent="0.25">
      <c r="A1407">
        <v>0</v>
      </c>
      <c r="B1407" t="s">
        <v>608</v>
      </c>
    </row>
    <row r="1408" spans="1:2" x14ac:dyDescent="0.25">
      <c r="A1408">
        <v>305856</v>
      </c>
      <c r="B1408" t="s">
        <v>609</v>
      </c>
    </row>
    <row r="1409" spans="1:2" x14ac:dyDescent="0.25">
      <c r="A1409">
        <v>316796</v>
      </c>
      <c r="B1409" t="s">
        <v>610</v>
      </c>
    </row>
    <row r="1410" spans="1:2" x14ac:dyDescent="0.25">
      <c r="A1410">
        <v>82944</v>
      </c>
      <c r="B1410" t="s">
        <v>611</v>
      </c>
    </row>
    <row r="1411" spans="1:2" x14ac:dyDescent="0.25">
      <c r="A1411">
        <v>26064</v>
      </c>
      <c r="B1411" t="s">
        <v>612</v>
      </c>
    </row>
    <row r="1412" spans="1:2" x14ac:dyDescent="0.25">
      <c r="A1412">
        <v>20880</v>
      </c>
      <c r="B1412" t="s">
        <v>613</v>
      </c>
    </row>
    <row r="1413" spans="1:2" x14ac:dyDescent="0.25">
      <c r="A1413">
        <v>69696</v>
      </c>
      <c r="B1413" t="s">
        <v>614</v>
      </c>
    </row>
    <row r="1414" spans="1:2" x14ac:dyDescent="0.25">
      <c r="A1414">
        <v>136368</v>
      </c>
      <c r="B1414" t="s">
        <v>615</v>
      </c>
    </row>
    <row r="1415" spans="1:2" x14ac:dyDescent="0.25">
      <c r="A1415">
        <v>87037</v>
      </c>
      <c r="B1415" t="s">
        <v>616</v>
      </c>
    </row>
    <row r="1416" spans="1:2" x14ac:dyDescent="0.25">
      <c r="A1416">
        <v>109847</v>
      </c>
      <c r="B1416" t="s">
        <v>617</v>
      </c>
    </row>
    <row r="1417" spans="1:2" x14ac:dyDescent="0.25">
      <c r="A1417">
        <v>81504</v>
      </c>
      <c r="B1417" t="s">
        <v>618</v>
      </c>
    </row>
    <row r="1418" spans="1:2" x14ac:dyDescent="0.25">
      <c r="A1418">
        <v>0</v>
      </c>
      <c r="B1418" t="s">
        <v>619</v>
      </c>
    </row>
    <row r="1419" spans="1:2" x14ac:dyDescent="0.25">
      <c r="A1419">
        <v>1290</v>
      </c>
      <c r="B1419" t="s">
        <v>620</v>
      </c>
    </row>
    <row r="1420" spans="1:2" x14ac:dyDescent="0.25">
      <c r="A1420">
        <v>0</v>
      </c>
      <c r="B1420" t="s">
        <v>621</v>
      </c>
    </row>
    <row r="1421" spans="1:2" x14ac:dyDescent="0.25">
      <c r="A1421">
        <v>400</v>
      </c>
      <c r="B1421" t="s">
        <v>622</v>
      </c>
    </row>
    <row r="1422" spans="1:2" x14ac:dyDescent="0.25">
      <c r="A1422">
        <v>10224</v>
      </c>
      <c r="B1422" t="s">
        <v>623</v>
      </c>
    </row>
    <row r="1423" spans="1:2" x14ac:dyDescent="0.25">
      <c r="A1423">
        <v>0</v>
      </c>
      <c r="B1423" t="s">
        <v>624</v>
      </c>
    </row>
    <row r="1424" spans="1:2" x14ac:dyDescent="0.25">
      <c r="A1424">
        <v>0</v>
      </c>
      <c r="B1424" t="s">
        <v>625</v>
      </c>
    </row>
    <row r="1425" spans="1:2" x14ac:dyDescent="0.25">
      <c r="A1425">
        <v>0</v>
      </c>
      <c r="B1425" t="s">
        <v>626</v>
      </c>
    </row>
    <row r="1426" spans="1:2" x14ac:dyDescent="0.25">
      <c r="A1426">
        <v>0</v>
      </c>
      <c r="B1426" t="s">
        <v>627</v>
      </c>
    </row>
    <row r="1427" spans="1:2" x14ac:dyDescent="0.25">
      <c r="A1427">
        <v>0</v>
      </c>
      <c r="B1427" t="s">
        <v>628</v>
      </c>
    </row>
    <row r="1428" spans="1:2" x14ac:dyDescent="0.25">
      <c r="A1428">
        <v>5373</v>
      </c>
      <c r="B1428" t="s">
        <v>629</v>
      </c>
    </row>
    <row r="1429" spans="1:2" x14ac:dyDescent="0.25">
      <c r="A1429">
        <v>0</v>
      </c>
      <c r="B1429" t="s">
        <v>630</v>
      </c>
    </row>
    <row r="1430" spans="1:2" x14ac:dyDescent="0.25">
      <c r="A1430">
        <v>0</v>
      </c>
      <c r="B1430" t="s">
        <v>631</v>
      </c>
    </row>
    <row r="1431" spans="1:2" x14ac:dyDescent="0.25">
      <c r="A1431">
        <v>5200</v>
      </c>
      <c r="B1431" t="s">
        <v>632</v>
      </c>
    </row>
    <row r="1432" spans="1:2" x14ac:dyDescent="0.25">
      <c r="A1432">
        <v>0</v>
      </c>
      <c r="B1432" t="s">
        <v>633</v>
      </c>
    </row>
    <row r="1433" spans="1:2" x14ac:dyDescent="0.25">
      <c r="A1433">
        <v>5200</v>
      </c>
      <c r="B1433" t="s">
        <v>634</v>
      </c>
    </row>
    <row r="1434" spans="1:2" x14ac:dyDescent="0.25">
      <c r="A1434">
        <v>25523</v>
      </c>
      <c r="B1434" t="s">
        <v>635</v>
      </c>
    </row>
    <row r="1435" spans="1:2" x14ac:dyDescent="0.25">
      <c r="A1435">
        <v>0</v>
      </c>
      <c r="B1435" t="s">
        <v>636</v>
      </c>
    </row>
    <row r="1436" spans="1:2" x14ac:dyDescent="0.25">
      <c r="A1436">
        <v>0</v>
      </c>
      <c r="B1436" t="s">
        <v>637</v>
      </c>
    </row>
    <row r="1437" spans="1:2" x14ac:dyDescent="0.25">
      <c r="A1437">
        <v>0</v>
      </c>
      <c r="B1437" t="s">
        <v>638</v>
      </c>
    </row>
    <row r="1438" spans="1:2" x14ac:dyDescent="0.25">
      <c r="A1438">
        <v>0</v>
      </c>
      <c r="B1438" t="s">
        <v>639</v>
      </c>
    </row>
    <row r="1439" spans="1:2" x14ac:dyDescent="0.25">
      <c r="A1439">
        <v>0</v>
      </c>
      <c r="B1439" t="s">
        <v>640</v>
      </c>
    </row>
    <row r="1440" spans="1:2" x14ac:dyDescent="0.25">
      <c r="A1440">
        <v>0</v>
      </c>
      <c r="B1440" t="s">
        <v>641</v>
      </c>
    </row>
    <row r="1441" spans="1:2" x14ac:dyDescent="0.25">
      <c r="A1441">
        <v>0</v>
      </c>
      <c r="B1441" t="s">
        <v>642</v>
      </c>
    </row>
    <row r="1442" spans="1:2" x14ac:dyDescent="0.25">
      <c r="A1442">
        <v>5200</v>
      </c>
      <c r="B1442" t="s">
        <v>643</v>
      </c>
    </row>
    <row r="1443" spans="1:2" x14ac:dyDescent="0.25">
      <c r="A1443">
        <v>0</v>
      </c>
      <c r="B1443" t="s">
        <v>644</v>
      </c>
    </row>
    <row r="1444" spans="1:2" x14ac:dyDescent="0.25">
      <c r="A1444">
        <v>0</v>
      </c>
      <c r="B1444" t="s">
        <v>645</v>
      </c>
    </row>
    <row r="1445" spans="1:2" x14ac:dyDescent="0.25">
      <c r="A1445">
        <v>5200</v>
      </c>
      <c r="B1445" t="s">
        <v>646</v>
      </c>
    </row>
    <row r="1446" spans="1:2" x14ac:dyDescent="0.25">
      <c r="A1446">
        <v>16518</v>
      </c>
      <c r="B1446" t="s">
        <v>647</v>
      </c>
    </row>
    <row r="1447" spans="1:2" x14ac:dyDescent="0.25">
      <c r="A1447">
        <v>0</v>
      </c>
      <c r="B1447" t="s">
        <v>648</v>
      </c>
    </row>
    <row r="1448" spans="1:2" x14ac:dyDescent="0.25">
      <c r="A1448">
        <v>0</v>
      </c>
      <c r="B1448" t="s">
        <v>649</v>
      </c>
    </row>
    <row r="1449" spans="1:2" x14ac:dyDescent="0.25">
      <c r="A1449">
        <v>0</v>
      </c>
      <c r="B1449" t="s">
        <v>650</v>
      </c>
    </row>
    <row r="1450" spans="1:2" x14ac:dyDescent="0.25">
      <c r="A1450">
        <v>0</v>
      </c>
      <c r="B1450" t="s">
        <v>651</v>
      </c>
    </row>
    <row r="1451" spans="1:2" x14ac:dyDescent="0.25">
      <c r="A1451">
        <v>0</v>
      </c>
      <c r="B1451" t="s">
        <v>652</v>
      </c>
    </row>
    <row r="1452" spans="1:2" x14ac:dyDescent="0.25">
      <c r="A1452">
        <v>0</v>
      </c>
      <c r="B1452" t="s">
        <v>653</v>
      </c>
    </row>
    <row r="1453" spans="1:2" x14ac:dyDescent="0.25">
      <c r="A1453">
        <v>0</v>
      </c>
      <c r="B1453" t="s">
        <v>654</v>
      </c>
    </row>
    <row r="1454" spans="1:2" x14ac:dyDescent="0.25">
      <c r="A1454">
        <v>0</v>
      </c>
      <c r="B1454" t="s">
        <v>655</v>
      </c>
    </row>
    <row r="1455" spans="1:2" x14ac:dyDescent="0.25">
      <c r="B1455" t="s">
        <v>656</v>
      </c>
    </row>
    <row r="1456" spans="1:2" x14ac:dyDescent="0.25">
      <c r="B1456" t="s">
        <v>657</v>
      </c>
    </row>
    <row r="1457" spans="1:2" x14ac:dyDescent="0.25">
      <c r="B1457" t="s">
        <v>658</v>
      </c>
    </row>
    <row r="1458" spans="1:2" x14ac:dyDescent="0.25">
      <c r="B1458" t="s">
        <v>659</v>
      </c>
    </row>
    <row r="1459" spans="1:2" x14ac:dyDescent="0.25">
      <c r="B1459" t="s">
        <v>660</v>
      </c>
    </row>
    <row r="1460" spans="1:2" x14ac:dyDescent="0.25">
      <c r="B1460" t="s">
        <v>661</v>
      </c>
    </row>
    <row r="1461" spans="1:2" x14ac:dyDescent="0.25">
      <c r="B1461" t="s">
        <v>662</v>
      </c>
    </row>
    <row r="1462" spans="1:2" x14ac:dyDescent="0.25">
      <c r="B1462" t="s">
        <v>663</v>
      </c>
    </row>
    <row r="1463" spans="1:2" x14ac:dyDescent="0.25">
      <c r="B1463" t="s">
        <v>664</v>
      </c>
    </row>
    <row r="1464" spans="1:2" x14ac:dyDescent="0.25">
      <c r="B1464" t="s">
        <v>665</v>
      </c>
    </row>
    <row r="1465" spans="1:2" x14ac:dyDescent="0.25">
      <c r="B1465" t="s">
        <v>666</v>
      </c>
    </row>
    <row r="1466" spans="1:2" x14ac:dyDescent="0.25">
      <c r="A1466">
        <v>17389</v>
      </c>
      <c r="B1466" t="s">
        <v>667</v>
      </c>
    </row>
    <row r="1467" spans="1:2" x14ac:dyDescent="0.25">
      <c r="A1467">
        <v>36000</v>
      </c>
      <c r="B1467" t="s">
        <v>668</v>
      </c>
    </row>
    <row r="1468" spans="1:2" x14ac:dyDescent="0.25">
      <c r="A1468">
        <v>25000</v>
      </c>
      <c r="B1468" t="s">
        <v>669</v>
      </c>
    </row>
    <row r="1469" spans="1:2" x14ac:dyDescent="0.25">
      <c r="A1469">
        <v>13111</v>
      </c>
      <c r="B1469" t="s">
        <v>670</v>
      </c>
    </row>
    <row r="1470" spans="1:2" x14ac:dyDescent="0.25">
      <c r="A1470">
        <v>14750</v>
      </c>
      <c r="B1470" t="s">
        <v>671</v>
      </c>
    </row>
    <row r="1471" spans="1:2" x14ac:dyDescent="0.25">
      <c r="A1471">
        <v>22391</v>
      </c>
      <c r="B1471" t="s">
        <v>672</v>
      </c>
    </row>
    <row r="1472" spans="1:2" x14ac:dyDescent="0.25">
      <c r="A1472">
        <v>21463</v>
      </c>
      <c r="B1472" t="s">
        <v>673</v>
      </c>
    </row>
    <row r="1473" spans="1:2" x14ac:dyDescent="0.25">
      <c r="A1473">
        <v>33341</v>
      </c>
      <c r="B1473" t="s">
        <v>674</v>
      </c>
    </row>
    <row r="1474" spans="1:2" x14ac:dyDescent="0.25">
      <c r="A1474">
        <v>34421</v>
      </c>
      <c r="B1474" t="s">
        <v>675</v>
      </c>
    </row>
    <row r="1475" spans="1:2" x14ac:dyDescent="0.25">
      <c r="A1475">
        <v>35000</v>
      </c>
      <c r="B1475" t="s">
        <v>676</v>
      </c>
    </row>
    <row r="1476" spans="1:2" x14ac:dyDescent="0.25">
      <c r="A1476">
        <v>35000</v>
      </c>
      <c r="B1476" t="s">
        <v>677</v>
      </c>
    </row>
    <row r="1477" spans="1:2" x14ac:dyDescent="0.25">
      <c r="A1477">
        <v>20000</v>
      </c>
      <c r="B1477" t="s">
        <v>678</v>
      </c>
    </row>
    <row r="1478" spans="1:2" x14ac:dyDescent="0.25">
      <c r="A1478">
        <v>92277</v>
      </c>
      <c r="B1478" t="s">
        <v>679</v>
      </c>
    </row>
    <row r="1479" spans="1:2" x14ac:dyDescent="0.25">
      <c r="A1479">
        <v>0</v>
      </c>
      <c r="B1479" t="s">
        <v>680</v>
      </c>
    </row>
    <row r="1480" spans="1:2" x14ac:dyDescent="0.25">
      <c r="A1480">
        <v>0</v>
      </c>
      <c r="B1480" t="s">
        <v>681</v>
      </c>
    </row>
    <row r="1481" spans="1:2" x14ac:dyDescent="0.25">
      <c r="A1481">
        <v>0</v>
      </c>
      <c r="B1481" t="s">
        <v>682</v>
      </c>
    </row>
    <row r="1482" spans="1:2" x14ac:dyDescent="0.25">
      <c r="A1482">
        <v>0</v>
      </c>
      <c r="B1482" t="s">
        <v>683</v>
      </c>
    </row>
    <row r="1483" spans="1:2" x14ac:dyDescent="0.25">
      <c r="A1483">
        <v>0</v>
      </c>
      <c r="B1483" t="s">
        <v>684</v>
      </c>
    </row>
    <row r="1484" spans="1:2" x14ac:dyDescent="0.25">
      <c r="A1484">
        <v>0</v>
      </c>
      <c r="B1484" t="s">
        <v>685</v>
      </c>
    </row>
    <row r="1485" spans="1:2" x14ac:dyDescent="0.25">
      <c r="A1485">
        <v>0</v>
      </c>
      <c r="B1485" t="s">
        <v>686</v>
      </c>
    </row>
    <row r="1486" spans="1:2" x14ac:dyDescent="0.25">
      <c r="A1486">
        <v>0</v>
      </c>
      <c r="B1486" t="s">
        <v>687</v>
      </c>
    </row>
    <row r="1487" spans="1:2" x14ac:dyDescent="0.25">
      <c r="A1487">
        <v>0</v>
      </c>
      <c r="B1487" t="s">
        <v>688</v>
      </c>
    </row>
    <row r="1488" spans="1:2" x14ac:dyDescent="0.25">
      <c r="A1488">
        <v>0</v>
      </c>
      <c r="B1488" t="s">
        <v>689</v>
      </c>
    </row>
    <row r="1489" spans="1:2" x14ac:dyDescent="0.25">
      <c r="A1489">
        <v>0</v>
      </c>
      <c r="B1489" t="s">
        <v>690</v>
      </c>
    </row>
    <row r="1490" spans="1:2" x14ac:dyDescent="0.25">
      <c r="A1490">
        <v>0</v>
      </c>
      <c r="B1490" t="s">
        <v>691</v>
      </c>
    </row>
    <row r="1491" spans="1:2" x14ac:dyDescent="0.25">
      <c r="A1491">
        <v>0</v>
      </c>
      <c r="B1491" t="s">
        <v>692</v>
      </c>
    </row>
    <row r="1492" spans="1:2" x14ac:dyDescent="0.25">
      <c r="A1492">
        <v>0</v>
      </c>
      <c r="B1492" t="s">
        <v>693</v>
      </c>
    </row>
    <row r="1493" spans="1:2" x14ac:dyDescent="0.25">
      <c r="A1493">
        <v>0</v>
      </c>
      <c r="B1493" t="s">
        <v>694</v>
      </c>
    </row>
    <row r="1494" spans="1:2" x14ac:dyDescent="0.25">
      <c r="A1494">
        <v>0</v>
      </c>
      <c r="B1494" t="s">
        <v>695</v>
      </c>
    </row>
    <row r="1495" spans="1:2" x14ac:dyDescent="0.25">
      <c r="A1495">
        <v>0</v>
      </c>
      <c r="B1495" t="s">
        <v>696</v>
      </c>
    </row>
    <row r="1496" spans="1:2" x14ac:dyDescent="0.25">
      <c r="A1496">
        <v>0</v>
      </c>
      <c r="B1496" t="s">
        <v>697</v>
      </c>
    </row>
    <row r="1497" spans="1:2" x14ac:dyDescent="0.25">
      <c r="A1497">
        <v>0</v>
      </c>
      <c r="B1497" t="s">
        <v>698</v>
      </c>
    </row>
    <row r="1498" spans="1:2" x14ac:dyDescent="0.25">
      <c r="A1498">
        <v>0</v>
      </c>
      <c r="B1498" t="s">
        <v>699</v>
      </c>
    </row>
    <row r="1499" spans="1:2" x14ac:dyDescent="0.25">
      <c r="A1499">
        <v>0</v>
      </c>
      <c r="B1499" t="s">
        <v>700</v>
      </c>
    </row>
    <row r="1500" spans="1:2" x14ac:dyDescent="0.25">
      <c r="A1500">
        <v>0</v>
      </c>
      <c r="B1500" t="s">
        <v>701</v>
      </c>
    </row>
    <row r="1501" spans="1:2" x14ac:dyDescent="0.25">
      <c r="A1501">
        <v>0</v>
      </c>
      <c r="B1501" t="s">
        <v>702</v>
      </c>
    </row>
    <row r="1502" spans="1:2" x14ac:dyDescent="0.25">
      <c r="A1502">
        <v>10560</v>
      </c>
      <c r="B1502" t="s">
        <v>703</v>
      </c>
    </row>
    <row r="1503" spans="1:2" x14ac:dyDescent="0.25">
      <c r="A1503">
        <v>10000</v>
      </c>
      <c r="B1503" t="s">
        <v>704</v>
      </c>
    </row>
    <row r="1504" spans="1:2" x14ac:dyDescent="0.25">
      <c r="A1504">
        <v>15000</v>
      </c>
      <c r="B1504" t="s">
        <v>705</v>
      </c>
    </row>
    <row r="1505" spans="1:2" x14ac:dyDescent="0.25">
      <c r="A1505">
        <v>10000</v>
      </c>
      <c r="B1505" t="s">
        <v>706</v>
      </c>
    </row>
    <row r="1506" spans="1:2" x14ac:dyDescent="0.25">
      <c r="A1506">
        <v>7000</v>
      </c>
      <c r="B1506" t="s">
        <v>707</v>
      </c>
    </row>
    <row r="1507" spans="1:2" x14ac:dyDescent="0.25">
      <c r="A1507">
        <v>7369</v>
      </c>
      <c r="B1507" t="s">
        <v>708</v>
      </c>
    </row>
    <row r="1508" spans="1:2" x14ac:dyDescent="0.25">
      <c r="A1508">
        <v>7368</v>
      </c>
      <c r="B1508" t="s">
        <v>709</v>
      </c>
    </row>
    <row r="1509" spans="1:2" x14ac:dyDescent="0.25">
      <c r="A1509">
        <v>11868</v>
      </c>
      <c r="B1509" t="s">
        <v>710</v>
      </c>
    </row>
    <row r="1510" spans="1:2" x14ac:dyDescent="0.25">
      <c r="A1510">
        <v>15869</v>
      </c>
      <c r="B1510" t="s">
        <v>711</v>
      </c>
    </row>
    <row r="1511" spans="1:2" x14ac:dyDescent="0.25">
      <c r="A1511">
        <v>17000</v>
      </c>
      <c r="B1511" t="s">
        <v>712</v>
      </c>
    </row>
    <row r="1512" spans="1:2" x14ac:dyDescent="0.25">
      <c r="A1512">
        <v>20000</v>
      </c>
      <c r="B1512" t="s">
        <v>713</v>
      </c>
    </row>
    <row r="1513" spans="1:2" x14ac:dyDescent="0.25">
      <c r="A1513">
        <v>15000</v>
      </c>
      <c r="B1513" t="s">
        <v>714</v>
      </c>
    </row>
    <row r="1514" spans="1:2" x14ac:dyDescent="0.25">
      <c r="A1514">
        <v>7540</v>
      </c>
      <c r="B1514" t="s">
        <v>715</v>
      </c>
    </row>
    <row r="1515" spans="1:2" x14ac:dyDescent="0.25">
      <c r="A1515">
        <v>0</v>
      </c>
      <c r="B1515" t="s">
        <v>716</v>
      </c>
    </row>
    <row r="1516" spans="1:2" x14ac:dyDescent="0.25">
      <c r="A1516">
        <v>0</v>
      </c>
      <c r="B1516" t="s">
        <v>717</v>
      </c>
    </row>
    <row r="1517" spans="1:2" x14ac:dyDescent="0.25">
      <c r="A1517">
        <v>0</v>
      </c>
      <c r="B1517" t="s">
        <v>718</v>
      </c>
    </row>
    <row r="1518" spans="1:2" x14ac:dyDescent="0.25">
      <c r="A1518">
        <v>0</v>
      </c>
      <c r="B1518" t="s">
        <v>719</v>
      </c>
    </row>
    <row r="1519" spans="1:2" x14ac:dyDescent="0.25">
      <c r="A1519">
        <v>0</v>
      </c>
      <c r="B1519" t="s">
        <v>720</v>
      </c>
    </row>
    <row r="1520" spans="1:2" x14ac:dyDescent="0.25">
      <c r="A1520">
        <v>0</v>
      </c>
      <c r="B1520" t="s">
        <v>721</v>
      </c>
    </row>
    <row r="1521" spans="1:2" x14ac:dyDescent="0.25">
      <c r="A1521">
        <v>0</v>
      </c>
      <c r="B1521" t="s">
        <v>722</v>
      </c>
    </row>
    <row r="1522" spans="1:2" x14ac:dyDescent="0.25">
      <c r="A1522">
        <v>0</v>
      </c>
      <c r="B1522" t="s">
        <v>723</v>
      </c>
    </row>
    <row r="1523" spans="1:2" x14ac:dyDescent="0.25">
      <c r="A1523">
        <v>0</v>
      </c>
      <c r="B1523" t="s">
        <v>724</v>
      </c>
    </row>
    <row r="1524" spans="1:2" x14ac:dyDescent="0.25">
      <c r="A1524">
        <v>0</v>
      </c>
      <c r="B1524" t="s">
        <v>725</v>
      </c>
    </row>
    <row r="1525" spans="1:2" x14ac:dyDescent="0.25">
      <c r="A1525">
        <v>0</v>
      </c>
      <c r="B1525" t="s">
        <v>726</v>
      </c>
    </row>
    <row r="1526" spans="1:2" x14ac:dyDescent="0.25">
      <c r="A1526">
        <v>157149</v>
      </c>
      <c r="B1526" t="s">
        <v>727</v>
      </c>
    </row>
    <row r="1527" spans="1:2" x14ac:dyDescent="0.25">
      <c r="A1527">
        <v>160000</v>
      </c>
      <c r="B1527" t="s">
        <v>728</v>
      </c>
    </row>
    <row r="1528" spans="1:2" x14ac:dyDescent="0.25">
      <c r="A1528">
        <v>60000</v>
      </c>
      <c r="B1528" t="s">
        <v>729</v>
      </c>
    </row>
    <row r="1529" spans="1:2" x14ac:dyDescent="0.25">
      <c r="A1529">
        <v>90000</v>
      </c>
      <c r="B1529" t="s">
        <v>730</v>
      </c>
    </row>
    <row r="1530" spans="1:2" x14ac:dyDescent="0.25">
      <c r="A1530">
        <v>90000</v>
      </c>
      <c r="B1530" t="s">
        <v>731</v>
      </c>
    </row>
    <row r="1531" spans="1:2" x14ac:dyDescent="0.25">
      <c r="A1531">
        <v>90000</v>
      </c>
      <c r="B1531" t="s">
        <v>732</v>
      </c>
    </row>
    <row r="1532" spans="1:2" x14ac:dyDescent="0.25">
      <c r="A1532">
        <v>90000</v>
      </c>
      <c r="B1532" t="s">
        <v>733</v>
      </c>
    </row>
    <row r="1533" spans="1:2" x14ac:dyDescent="0.25">
      <c r="A1533">
        <v>120000</v>
      </c>
      <c r="B1533" t="s">
        <v>734</v>
      </c>
    </row>
    <row r="1534" spans="1:2" x14ac:dyDescent="0.25">
      <c r="A1534">
        <v>120000</v>
      </c>
      <c r="B1534" t="s">
        <v>735</v>
      </c>
    </row>
    <row r="1535" spans="1:2" x14ac:dyDescent="0.25">
      <c r="A1535">
        <v>120000</v>
      </c>
      <c r="B1535" t="s">
        <v>736</v>
      </c>
    </row>
    <row r="1536" spans="1:2" x14ac:dyDescent="0.25">
      <c r="A1536">
        <v>120000</v>
      </c>
      <c r="B1536" t="s">
        <v>737</v>
      </c>
    </row>
    <row r="1537" spans="1:2" x14ac:dyDescent="0.25">
      <c r="A1537">
        <v>100000</v>
      </c>
      <c r="B1537" t="s">
        <v>738</v>
      </c>
    </row>
    <row r="1538" spans="1:2" x14ac:dyDescent="0.25">
      <c r="A1538">
        <v>79872</v>
      </c>
      <c r="B1538" t="s">
        <v>739</v>
      </c>
    </row>
    <row r="1539" spans="1:2" x14ac:dyDescent="0.25">
      <c r="A1539">
        <v>65490</v>
      </c>
      <c r="B1539" t="s">
        <v>740</v>
      </c>
    </row>
    <row r="1540" spans="1:2" x14ac:dyDescent="0.25">
      <c r="A1540">
        <v>36780</v>
      </c>
      <c r="B1540" t="s">
        <v>741</v>
      </c>
    </row>
    <row r="1541" spans="1:2" x14ac:dyDescent="0.25">
      <c r="A1541">
        <v>40211</v>
      </c>
      <c r="B1541" t="s">
        <v>742</v>
      </c>
    </row>
    <row r="1542" spans="1:2" x14ac:dyDescent="0.25">
      <c r="A1542">
        <v>89029</v>
      </c>
      <c r="B1542" t="s">
        <v>743</v>
      </c>
    </row>
    <row r="1543" spans="1:2" x14ac:dyDescent="0.25">
      <c r="A1543">
        <v>96620</v>
      </c>
      <c r="B1543" t="s">
        <v>744</v>
      </c>
    </row>
    <row r="1544" spans="1:2" x14ac:dyDescent="0.25">
      <c r="A1544">
        <v>30719</v>
      </c>
      <c r="B1544" t="s">
        <v>745</v>
      </c>
    </row>
    <row r="1545" spans="1:2" x14ac:dyDescent="0.25">
      <c r="A1545">
        <v>85307</v>
      </c>
      <c r="B1545" t="s">
        <v>746</v>
      </c>
    </row>
    <row r="1546" spans="1:2" x14ac:dyDescent="0.25">
      <c r="A1546">
        <v>39917</v>
      </c>
      <c r="B1546" t="s">
        <v>747</v>
      </c>
    </row>
    <row r="1547" spans="1:2" x14ac:dyDescent="0.25">
      <c r="A1547">
        <v>100000</v>
      </c>
      <c r="B1547" t="s">
        <v>748</v>
      </c>
    </row>
    <row r="1548" spans="1:2" x14ac:dyDescent="0.25">
      <c r="A1548">
        <v>219102</v>
      </c>
      <c r="B1548" t="s">
        <v>749</v>
      </c>
    </row>
    <row r="1549" spans="1:2" x14ac:dyDescent="0.25">
      <c r="A1549">
        <v>51421</v>
      </c>
      <c r="B1549" t="s">
        <v>750</v>
      </c>
    </row>
    <row r="1550" spans="1:2" x14ac:dyDescent="0.25">
      <c r="A1550">
        <v>0</v>
      </c>
      <c r="B1550" t="s">
        <v>751</v>
      </c>
    </row>
    <row r="1551" spans="1:2" x14ac:dyDescent="0.25">
      <c r="A1551">
        <v>0</v>
      </c>
      <c r="B1551" t="s">
        <v>752</v>
      </c>
    </row>
    <row r="1552" spans="1:2" x14ac:dyDescent="0.25">
      <c r="A1552">
        <v>0</v>
      </c>
      <c r="B1552" t="s">
        <v>753</v>
      </c>
    </row>
    <row r="1553" spans="1:2" x14ac:dyDescent="0.25">
      <c r="A1553">
        <v>0</v>
      </c>
      <c r="B1553" t="s">
        <v>754</v>
      </c>
    </row>
    <row r="1554" spans="1:2" x14ac:dyDescent="0.25">
      <c r="A1554">
        <v>0</v>
      </c>
      <c r="B1554" t="s">
        <v>755</v>
      </c>
    </row>
    <row r="1555" spans="1:2" x14ac:dyDescent="0.25">
      <c r="A1555">
        <v>0</v>
      </c>
      <c r="B1555" t="s">
        <v>756</v>
      </c>
    </row>
    <row r="1556" spans="1:2" x14ac:dyDescent="0.25">
      <c r="A1556">
        <v>0</v>
      </c>
      <c r="B1556" t="s">
        <v>757</v>
      </c>
    </row>
    <row r="1557" spans="1:2" x14ac:dyDescent="0.25">
      <c r="A1557">
        <v>0</v>
      </c>
      <c r="B1557" t="s">
        <v>758</v>
      </c>
    </row>
    <row r="1558" spans="1:2" x14ac:dyDescent="0.25">
      <c r="A1558">
        <v>0</v>
      </c>
      <c r="B1558" t="s">
        <v>759</v>
      </c>
    </row>
    <row r="1559" spans="1:2" x14ac:dyDescent="0.25">
      <c r="A1559">
        <v>0</v>
      </c>
      <c r="B1559" t="s">
        <v>760</v>
      </c>
    </row>
    <row r="1560" spans="1:2" x14ac:dyDescent="0.25">
      <c r="A1560">
        <v>0</v>
      </c>
      <c r="B1560" t="s">
        <v>761</v>
      </c>
    </row>
    <row r="1561" spans="1:2" x14ac:dyDescent="0.25">
      <c r="A1561">
        <v>10000</v>
      </c>
      <c r="B1561" t="s">
        <v>762</v>
      </c>
    </row>
    <row r="1562" spans="1:2" x14ac:dyDescent="0.25">
      <c r="A1562">
        <v>0</v>
      </c>
      <c r="B1562" t="s">
        <v>763</v>
      </c>
    </row>
    <row r="1563" spans="1:2" x14ac:dyDescent="0.25">
      <c r="A1563">
        <v>0</v>
      </c>
      <c r="B1563" t="s">
        <v>764</v>
      </c>
    </row>
    <row r="1564" spans="1:2" x14ac:dyDescent="0.25">
      <c r="A1564">
        <v>0</v>
      </c>
      <c r="B1564" t="s">
        <v>765</v>
      </c>
    </row>
    <row r="1565" spans="1:2" x14ac:dyDescent="0.25">
      <c r="A1565">
        <v>0</v>
      </c>
      <c r="B1565" t="s">
        <v>766</v>
      </c>
    </row>
    <row r="1566" spans="1:2" x14ac:dyDescent="0.25">
      <c r="A1566">
        <v>0</v>
      </c>
      <c r="B1566" t="s">
        <v>767</v>
      </c>
    </row>
    <row r="1567" spans="1:2" x14ac:dyDescent="0.25">
      <c r="A1567">
        <v>0</v>
      </c>
      <c r="B1567" t="s">
        <v>768</v>
      </c>
    </row>
    <row r="1568" spans="1:2" x14ac:dyDescent="0.25">
      <c r="A1568">
        <v>0</v>
      </c>
      <c r="B1568" t="s">
        <v>769</v>
      </c>
    </row>
    <row r="1569" spans="1:2" x14ac:dyDescent="0.25">
      <c r="A1569">
        <v>0</v>
      </c>
      <c r="B1569" t="s">
        <v>770</v>
      </c>
    </row>
    <row r="1570" spans="1:2" x14ac:dyDescent="0.25">
      <c r="A1570">
        <v>0</v>
      </c>
      <c r="B1570" t="s">
        <v>771</v>
      </c>
    </row>
    <row r="1571" spans="1:2" x14ac:dyDescent="0.25">
      <c r="A1571">
        <v>0</v>
      </c>
      <c r="B1571" t="s">
        <v>772</v>
      </c>
    </row>
    <row r="1572" spans="1:2" x14ac:dyDescent="0.25">
      <c r="A1572">
        <v>0</v>
      </c>
      <c r="B1572" t="s">
        <v>773</v>
      </c>
    </row>
    <row r="1573" spans="1:2" x14ac:dyDescent="0.25">
      <c r="A1573">
        <v>0</v>
      </c>
      <c r="B1573" t="s">
        <v>774</v>
      </c>
    </row>
    <row r="1574" spans="1:2" x14ac:dyDescent="0.25">
      <c r="A1574">
        <v>0</v>
      </c>
      <c r="B1574" t="s">
        <v>775</v>
      </c>
    </row>
    <row r="1575" spans="1:2" x14ac:dyDescent="0.25">
      <c r="A1575">
        <v>0</v>
      </c>
      <c r="B1575" t="s">
        <v>776</v>
      </c>
    </row>
    <row r="1576" spans="1:2" x14ac:dyDescent="0.25">
      <c r="A1576">
        <v>0</v>
      </c>
      <c r="B1576" t="s">
        <v>777</v>
      </c>
    </row>
    <row r="1577" spans="1:2" x14ac:dyDescent="0.25">
      <c r="A1577">
        <v>0</v>
      </c>
      <c r="B1577" t="s">
        <v>778</v>
      </c>
    </row>
    <row r="1578" spans="1:2" x14ac:dyDescent="0.25">
      <c r="A1578">
        <v>0</v>
      </c>
      <c r="B1578" t="s">
        <v>779</v>
      </c>
    </row>
    <row r="1579" spans="1:2" x14ac:dyDescent="0.25">
      <c r="A1579">
        <v>0</v>
      </c>
      <c r="B1579" t="s">
        <v>780</v>
      </c>
    </row>
    <row r="1580" spans="1:2" x14ac:dyDescent="0.25">
      <c r="A1580">
        <v>0</v>
      </c>
      <c r="B1580" t="s">
        <v>781</v>
      </c>
    </row>
    <row r="1581" spans="1:2" x14ac:dyDescent="0.25">
      <c r="A1581">
        <v>0</v>
      </c>
      <c r="B1581" t="s">
        <v>782</v>
      </c>
    </row>
    <row r="1582" spans="1:2" x14ac:dyDescent="0.25">
      <c r="A1582">
        <v>0</v>
      </c>
      <c r="B1582" t="s">
        <v>783</v>
      </c>
    </row>
    <row r="1583" spans="1:2" x14ac:dyDescent="0.25">
      <c r="A1583">
        <v>0</v>
      </c>
      <c r="B1583" t="s">
        <v>784</v>
      </c>
    </row>
    <row r="1584" spans="1:2" x14ac:dyDescent="0.25">
      <c r="A1584">
        <v>0</v>
      </c>
      <c r="B1584" t="s">
        <v>785</v>
      </c>
    </row>
    <row r="1585" spans="1:2" x14ac:dyDescent="0.25">
      <c r="A1585">
        <v>0</v>
      </c>
      <c r="B1585" t="s">
        <v>786</v>
      </c>
    </row>
    <row r="1586" spans="1:2" x14ac:dyDescent="0.25">
      <c r="A1586">
        <v>85968</v>
      </c>
      <c r="B1586" t="s">
        <v>787</v>
      </c>
    </row>
    <row r="1587" spans="1:2" x14ac:dyDescent="0.25">
      <c r="A1587">
        <v>350000</v>
      </c>
      <c r="B1587" t="s">
        <v>788</v>
      </c>
    </row>
    <row r="1588" spans="1:2" x14ac:dyDescent="0.25">
      <c r="A1588">
        <v>50000</v>
      </c>
      <c r="B1588" t="s">
        <v>789</v>
      </c>
    </row>
    <row r="1589" spans="1:2" x14ac:dyDescent="0.25">
      <c r="A1589">
        <v>100000</v>
      </c>
      <c r="B1589" t="s">
        <v>790</v>
      </c>
    </row>
    <row r="1590" spans="1:2" x14ac:dyDescent="0.25">
      <c r="A1590">
        <v>129600</v>
      </c>
      <c r="B1590" t="s">
        <v>791</v>
      </c>
    </row>
    <row r="1591" spans="1:2" x14ac:dyDescent="0.25">
      <c r="A1591">
        <v>129600</v>
      </c>
      <c r="B1591" t="s">
        <v>792</v>
      </c>
    </row>
    <row r="1592" spans="1:2" x14ac:dyDescent="0.25">
      <c r="A1592">
        <v>100000</v>
      </c>
      <c r="B1592" t="s">
        <v>793</v>
      </c>
    </row>
    <row r="1593" spans="1:2" x14ac:dyDescent="0.25">
      <c r="A1593">
        <v>100000</v>
      </c>
      <c r="B1593" t="s">
        <v>794</v>
      </c>
    </row>
    <row r="1594" spans="1:2" x14ac:dyDescent="0.25">
      <c r="A1594">
        <v>150000</v>
      </c>
      <c r="B1594" t="s">
        <v>795</v>
      </c>
    </row>
    <row r="1595" spans="1:2" x14ac:dyDescent="0.25">
      <c r="A1595">
        <v>150000</v>
      </c>
      <c r="B1595" t="s">
        <v>796</v>
      </c>
    </row>
    <row r="1596" spans="1:2" x14ac:dyDescent="0.25">
      <c r="A1596">
        <v>150000</v>
      </c>
      <c r="B1596" t="s">
        <v>797</v>
      </c>
    </row>
    <row r="1597" spans="1:2" x14ac:dyDescent="0.25">
      <c r="A1597">
        <v>80000</v>
      </c>
      <c r="B1597" t="s">
        <v>798</v>
      </c>
    </row>
    <row r="1598" spans="1:2" x14ac:dyDescent="0.25">
      <c r="A1598">
        <v>59483</v>
      </c>
      <c r="B1598" t="s">
        <v>799</v>
      </c>
    </row>
    <row r="1599" spans="1:2" x14ac:dyDescent="0.25">
      <c r="A1599">
        <v>130000</v>
      </c>
      <c r="B1599" t="s">
        <v>800</v>
      </c>
    </row>
    <row r="1600" spans="1:2" x14ac:dyDescent="0.25">
      <c r="A1600">
        <v>30000</v>
      </c>
      <c r="B1600" t="s">
        <v>801</v>
      </c>
    </row>
    <row r="1601" spans="1:2" x14ac:dyDescent="0.25">
      <c r="A1601">
        <v>50000</v>
      </c>
      <c r="B1601" t="s">
        <v>802</v>
      </c>
    </row>
    <row r="1602" spans="1:2" x14ac:dyDescent="0.25">
      <c r="A1602">
        <v>50000</v>
      </c>
      <c r="B1602" t="s">
        <v>803</v>
      </c>
    </row>
    <row r="1603" spans="1:2" x14ac:dyDescent="0.25">
      <c r="A1603">
        <v>55000</v>
      </c>
      <c r="B1603" t="s">
        <v>804</v>
      </c>
    </row>
    <row r="1604" spans="1:2" x14ac:dyDescent="0.25">
      <c r="A1604">
        <v>55000</v>
      </c>
      <c r="B1604" t="s">
        <v>805</v>
      </c>
    </row>
    <row r="1605" spans="1:2" x14ac:dyDescent="0.25">
      <c r="A1605">
        <v>60000</v>
      </c>
      <c r="B1605" t="s">
        <v>806</v>
      </c>
    </row>
    <row r="1606" spans="1:2" x14ac:dyDescent="0.25">
      <c r="A1606">
        <v>60000</v>
      </c>
      <c r="B1606" t="s">
        <v>807</v>
      </c>
    </row>
    <row r="1607" spans="1:2" x14ac:dyDescent="0.25">
      <c r="A1607">
        <v>60000</v>
      </c>
      <c r="B1607" t="s">
        <v>808</v>
      </c>
    </row>
    <row r="1608" spans="1:2" x14ac:dyDescent="0.25">
      <c r="A1608">
        <v>60000</v>
      </c>
      <c r="B1608" t="s">
        <v>809</v>
      </c>
    </row>
    <row r="1609" spans="1:2" x14ac:dyDescent="0.25">
      <c r="A1609">
        <v>30000</v>
      </c>
      <c r="B1609" t="s">
        <v>810</v>
      </c>
    </row>
    <row r="1610" spans="1:2" x14ac:dyDescent="0.25">
      <c r="A1610">
        <v>30570</v>
      </c>
      <c r="B1610" t="s">
        <v>811</v>
      </c>
    </row>
    <row r="1611" spans="1:2" x14ac:dyDescent="0.25">
      <c r="A1611">
        <v>40000</v>
      </c>
      <c r="B1611" t="s">
        <v>812</v>
      </c>
    </row>
    <row r="1612" spans="1:2" x14ac:dyDescent="0.25">
      <c r="A1612">
        <v>52500</v>
      </c>
      <c r="B1612" t="s">
        <v>813</v>
      </c>
    </row>
    <row r="1613" spans="1:2" x14ac:dyDescent="0.25">
      <c r="A1613">
        <v>30000</v>
      </c>
      <c r="B1613" t="s">
        <v>814</v>
      </c>
    </row>
    <row r="1614" spans="1:2" x14ac:dyDescent="0.25">
      <c r="A1614">
        <v>30000</v>
      </c>
      <c r="B1614" t="s">
        <v>815</v>
      </c>
    </row>
    <row r="1615" spans="1:2" x14ac:dyDescent="0.25">
      <c r="A1615">
        <v>40000</v>
      </c>
      <c r="B1615" t="s">
        <v>816</v>
      </c>
    </row>
    <row r="1616" spans="1:2" x14ac:dyDescent="0.25">
      <c r="A1616">
        <v>40000</v>
      </c>
      <c r="B1616" t="s">
        <v>817</v>
      </c>
    </row>
    <row r="1617" spans="1:2" x14ac:dyDescent="0.25">
      <c r="A1617">
        <v>40000</v>
      </c>
      <c r="B1617" t="s">
        <v>818</v>
      </c>
    </row>
    <row r="1618" spans="1:2" x14ac:dyDescent="0.25">
      <c r="A1618">
        <v>40000</v>
      </c>
      <c r="B1618" t="s">
        <v>819</v>
      </c>
    </row>
    <row r="1619" spans="1:2" x14ac:dyDescent="0.25">
      <c r="A1619">
        <v>40000</v>
      </c>
      <c r="B1619" t="s">
        <v>820</v>
      </c>
    </row>
    <row r="1620" spans="1:2" x14ac:dyDescent="0.25">
      <c r="A1620">
        <v>40000</v>
      </c>
      <c r="B1620" t="s">
        <v>821</v>
      </c>
    </row>
    <row r="1621" spans="1:2" x14ac:dyDescent="0.25">
      <c r="A1621">
        <v>40000</v>
      </c>
      <c r="B1621" t="s">
        <v>822</v>
      </c>
    </row>
    <row r="1622" spans="1:2" x14ac:dyDescent="0.25">
      <c r="A1622">
        <v>237085</v>
      </c>
      <c r="B1622" t="s">
        <v>823</v>
      </c>
    </row>
    <row r="1623" spans="1:2" x14ac:dyDescent="0.25">
      <c r="A1623">
        <v>98000</v>
      </c>
      <c r="B1623" t="s">
        <v>824</v>
      </c>
    </row>
    <row r="1624" spans="1:2" x14ac:dyDescent="0.25">
      <c r="A1624">
        <v>200000</v>
      </c>
      <c r="B1624" t="s">
        <v>825</v>
      </c>
    </row>
    <row r="1625" spans="1:2" x14ac:dyDescent="0.25">
      <c r="A1625">
        <v>80000</v>
      </c>
      <c r="B1625" t="s">
        <v>826</v>
      </c>
    </row>
    <row r="1626" spans="1:2" x14ac:dyDescent="0.25">
      <c r="A1626">
        <v>80000</v>
      </c>
      <c r="B1626" t="s">
        <v>827</v>
      </c>
    </row>
    <row r="1627" spans="1:2" x14ac:dyDescent="0.25">
      <c r="A1627">
        <v>80000</v>
      </c>
      <c r="B1627" t="s">
        <v>828</v>
      </c>
    </row>
    <row r="1628" spans="1:2" x14ac:dyDescent="0.25">
      <c r="A1628">
        <v>93000</v>
      </c>
      <c r="B1628" t="s">
        <v>829</v>
      </c>
    </row>
    <row r="1629" spans="1:2" x14ac:dyDescent="0.25">
      <c r="A1629">
        <v>97500</v>
      </c>
      <c r="B1629" t="s">
        <v>830</v>
      </c>
    </row>
    <row r="1630" spans="1:2" x14ac:dyDescent="0.25">
      <c r="A1630">
        <v>200000</v>
      </c>
      <c r="B1630" t="s">
        <v>831</v>
      </c>
    </row>
    <row r="1631" spans="1:2" x14ac:dyDescent="0.25">
      <c r="A1631">
        <v>200000</v>
      </c>
      <c r="B1631" t="s">
        <v>832</v>
      </c>
    </row>
    <row r="1632" spans="1:2" x14ac:dyDescent="0.25">
      <c r="A1632">
        <v>170000</v>
      </c>
      <c r="B1632" t="s">
        <v>833</v>
      </c>
    </row>
    <row r="1633" spans="1:2" x14ac:dyDescent="0.25">
      <c r="A1633">
        <v>130000</v>
      </c>
      <c r="B1633" t="s">
        <v>834</v>
      </c>
    </row>
    <row r="1634" spans="1:2" x14ac:dyDescent="0.25">
      <c r="A1634">
        <v>853230</v>
      </c>
      <c r="B1634" t="s">
        <v>835</v>
      </c>
    </row>
    <row r="1635" spans="1:2" x14ac:dyDescent="0.25">
      <c r="A1635">
        <v>1800000</v>
      </c>
      <c r="B1635" t="s">
        <v>836</v>
      </c>
    </row>
    <row r="1636" spans="1:2" x14ac:dyDescent="0.25">
      <c r="A1636">
        <v>200000</v>
      </c>
      <c r="B1636" t="s">
        <v>837</v>
      </c>
    </row>
    <row r="1637" spans="1:2" x14ac:dyDescent="0.25">
      <c r="A1637">
        <v>400000</v>
      </c>
      <c r="B1637" t="s">
        <v>838</v>
      </c>
    </row>
    <row r="1638" spans="1:2" x14ac:dyDescent="0.25">
      <c r="A1638">
        <v>600000</v>
      </c>
      <c r="B1638" t="s">
        <v>839</v>
      </c>
    </row>
    <row r="1639" spans="1:2" x14ac:dyDescent="0.25">
      <c r="A1639">
        <v>550000</v>
      </c>
      <c r="B1639" t="s">
        <v>840</v>
      </c>
    </row>
    <row r="1640" spans="1:2" x14ac:dyDescent="0.25">
      <c r="A1640">
        <v>550000</v>
      </c>
      <c r="B1640" t="s">
        <v>841</v>
      </c>
    </row>
    <row r="1641" spans="1:2" x14ac:dyDescent="0.25">
      <c r="A1641">
        <v>850000</v>
      </c>
      <c r="B1641" t="s">
        <v>842</v>
      </c>
    </row>
    <row r="1642" spans="1:2" x14ac:dyDescent="0.25">
      <c r="A1642">
        <v>800000</v>
      </c>
      <c r="B1642" t="s">
        <v>843</v>
      </c>
    </row>
    <row r="1643" spans="1:2" x14ac:dyDescent="0.25">
      <c r="A1643">
        <v>800000</v>
      </c>
      <c r="B1643" t="s">
        <v>844</v>
      </c>
    </row>
    <row r="1644" spans="1:2" x14ac:dyDescent="0.25">
      <c r="A1644">
        <v>800000</v>
      </c>
      <c r="B1644" t="s">
        <v>845</v>
      </c>
    </row>
    <row r="1645" spans="1:2" x14ac:dyDescent="0.25">
      <c r="A1645">
        <v>400000</v>
      </c>
      <c r="B1645" t="s">
        <v>846</v>
      </c>
    </row>
    <row r="1646" spans="1:2" x14ac:dyDescent="0.25">
      <c r="A1646">
        <v>0</v>
      </c>
      <c r="B1646" t="s">
        <v>847</v>
      </c>
    </row>
    <row r="1647" spans="1:2" x14ac:dyDescent="0.25">
      <c r="A1647">
        <v>0</v>
      </c>
      <c r="B1647" t="s">
        <v>848</v>
      </c>
    </row>
    <row r="1648" spans="1:2" x14ac:dyDescent="0.25">
      <c r="A1648">
        <v>13000</v>
      </c>
      <c r="B1648" t="s">
        <v>849</v>
      </c>
    </row>
    <row r="1649" spans="1:2" x14ac:dyDescent="0.25">
      <c r="A1649">
        <v>13000</v>
      </c>
      <c r="B1649" t="s">
        <v>850</v>
      </c>
    </row>
    <row r="1650" spans="1:2" x14ac:dyDescent="0.25">
      <c r="A1650">
        <v>13000</v>
      </c>
      <c r="B1650" t="s">
        <v>851</v>
      </c>
    </row>
    <row r="1651" spans="1:2" x14ac:dyDescent="0.25">
      <c r="A1651">
        <v>13000</v>
      </c>
      <c r="B1651" t="s">
        <v>852</v>
      </c>
    </row>
    <row r="1652" spans="1:2" x14ac:dyDescent="0.25">
      <c r="A1652">
        <v>13000</v>
      </c>
      <c r="B1652" t="s">
        <v>853</v>
      </c>
    </row>
    <row r="1653" spans="1:2" x14ac:dyDescent="0.25">
      <c r="A1653">
        <v>13000</v>
      </c>
      <c r="B1653" t="s">
        <v>854</v>
      </c>
    </row>
    <row r="1654" spans="1:2" x14ac:dyDescent="0.25">
      <c r="A1654">
        <v>13000</v>
      </c>
      <c r="B1654" t="s">
        <v>855</v>
      </c>
    </row>
    <row r="1655" spans="1:2" x14ac:dyDescent="0.25">
      <c r="A1655">
        <v>13000</v>
      </c>
      <c r="B1655" t="s">
        <v>856</v>
      </c>
    </row>
    <row r="1656" spans="1:2" x14ac:dyDescent="0.25">
      <c r="A1656">
        <v>13000</v>
      </c>
      <c r="B1656" t="s">
        <v>857</v>
      </c>
    </row>
    <row r="1657" spans="1:2" x14ac:dyDescent="0.25">
      <c r="A1657">
        <v>13000</v>
      </c>
      <c r="B1657" t="s">
        <v>858</v>
      </c>
    </row>
    <row r="1658" spans="1:2" x14ac:dyDescent="0.25">
      <c r="A1658">
        <v>0</v>
      </c>
      <c r="B1658" t="s">
        <v>859</v>
      </c>
    </row>
    <row r="1659" spans="1:2" x14ac:dyDescent="0.25">
      <c r="A1659">
        <v>55000</v>
      </c>
      <c r="B1659" t="s">
        <v>860</v>
      </c>
    </row>
    <row r="1660" spans="1:2" x14ac:dyDescent="0.25">
      <c r="A1660">
        <v>25000</v>
      </c>
      <c r="B1660" t="s">
        <v>861</v>
      </c>
    </row>
    <row r="1661" spans="1:2" x14ac:dyDescent="0.25">
      <c r="A1661">
        <v>22000</v>
      </c>
      <c r="B1661" t="s">
        <v>862</v>
      </c>
    </row>
    <row r="1662" spans="1:2" x14ac:dyDescent="0.25">
      <c r="A1662">
        <v>17000</v>
      </c>
      <c r="B1662" t="s">
        <v>863</v>
      </c>
    </row>
    <row r="1663" spans="1:2" x14ac:dyDescent="0.25">
      <c r="A1663">
        <v>4000</v>
      </c>
      <c r="B1663" t="s">
        <v>864</v>
      </c>
    </row>
    <row r="1664" spans="1:2" x14ac:dyDescent="0.25">
      <c r="A1664">
        <v>4000</v>
      </c>
      <c r="B1664" t="s">
        <v>865</v>
      </c>
    </row>
    <row r="1665" spans="1:2" x14ac:dyDescent="0.25">
      <c r="A1665">
        <v>3000</v>
      </c>
      <c r="B1665" t="s">
        <v>866</v>
      </c>
    </row>
    <row r="1666" spans="1:2" x14ac:dyDescent="0.25">
      <c r="A1666">
        <v>12000</v>
      </c>
      <c r="B1666" t="s">
        <v>867</v>
      </c>
    </row>
    <row r="1667" spans="1:2" x14ac:dyDescent="0.25">
      <c r="A1667">
        <v>20000</v>
      </c>
      <c r="B1667" t="s">
        <v>868</v>
      </c>
    </row>
    <row r="1668" spans="1:2" x14ac:dyDescent="0.25">
      <c r="A1668">
        <v>25000</v>
      </c>
      <c r="B1668" t="s">
        <v>869</v>
      </c>
    </row>
    <row r="1669" spans="1:2" x14ac:dyDescent="0.25">
      <c r="A1669">
        <v>25000</v>
      </c>
      <c r="B1669" t="s">
        <v>870</v>
      </c>
    </row>
    <row r="1670" spans="1:2" x14ac:dyDescent="0.25">
      <c r="A1670">
        <v>21168</v>
      </c>
      <c r="B1670" t="s">
        <v>871</v>
      </c>
    </row>
    <row r="1671" spans="1:2" x14ac:dyDescent="0.25">
      <c r="A1671">
        <v>20000</v>
      </c>
      <c r="B1671" t="s">
        <v>872</v>
      </c>
    </row>
    <row r="1672" spans="1:2" x14ac:dyDescent="0.25">
      <c r="A1672">
        <v>23000</v>
      </c>
      <c r="B1672" t="s">
        <v>873</v>
      </c>
    </row>
    <row r="1673" spans="1:2" x14ac:dyDescent="0.25">
      <c r="A1673">
        <v>18000</v>
      </c>
      <c r="B1673" t="s">
        <v>874</v>
      </c>
    </row>
    <row r="1674" spans="1:2" x14ac:dyDescent="0.25">
      <c r="A1674">
        <v>21000</v>
      </c>
      <c r="B1674" t="s">
        <v>875</v>
      </c>
    </row>
    <row r="1675" spans="1:2" x14ac:dyDescent="0.25">
      <c r="A1675">
        <v>11000</v>
      </c>
      <c r="B1675" t="s">
        <v>876</v>
      </c>
    </row>
    <row r="1676" spans="1:2" x14ac:dyDescent="0.25">
      <c r="A1676">
        <v>11000</v>
      </c>
      <c r="B1676" t="s">
        <v>877</v>
      </c>
    </row>
    <row r="1677" spans="1:2" x14ac:dyDescent="0.25">
      <c r="A1677">
        <v>11000</v>
      </c>
      <c r="B1677" t="s">
        <v>878</v>
      </c>
    </row>
    <row r="1678" spans="1:2" x14ac:dyDescent="0.25">
      <c r="A1678">
        <v>18000</v>
      </c>
      <c r="B1678" t="s">
        <v>879</v>
      </c>
    </row>
    <row r="1679" spans="1:2" x14ac:dyDescent="0.25">
      <c r="A1679">
        <v>33000</v>
      </c>
      <c r="B1679" t="s">
        <v>880</v>
      </c>
    </row>
    <row r="1680" spans="1:2" x14ac:dyDescent="0.25">
      <c r="A1680">
        <v>33000</v>
      </c>
      <c r="B1680" t="s">
        <v>881</v>
      </c>
    </row>
    <row r="1681" spans="1:2" x14ac:dyDescent="0.25">
      <c r="A1681">
        <v>23000</v>
      </c>
      <c r="B1681" t="s">
        <v>882</v>
      </c>
    </row>
    <row r="1682" spans="1:2" x14ac:dyDescent="0.25">
      <c r="A1682">
        <v>7985</v>
      </c>
      <c r="B1682" t="s">
        <v>883</v>
      </c>
    </row>
    <row r="1683" spans="1:2" x14ac:dyDescent="0.25">
      <c r="A1683">
        <v>8000</v>
      </c>
      <c r="B1683" t="s">
        <v>884</v>
      </c>
    </row>
    <row r="1684" spans="1:2" x14ac:dyDescent="0.25">
      <c r="A1684">
        <v>7000</v>
      </c>
      <c r="B1684" t="s">
        <v>885</v>
      </c>
    </row>
    <row r="1685" spans="1:2" x14ac:dyDescent="0.25">
      <c r="A1685">
        <v>7000</v>
      </c>
      <c r="B1685" t="s">
        <v>886</v>
      </c>
    </row>
    <row r="1686" spans="1:2" x14ac:dyDescent="0.25">
      <c r="A1686">
        <v>7000</v>
      </c>
      <c r="B1686" t="s">
        <v>887</v>
      </c>
    </row>
    <row r="1687" spans="1:2" x14ac:dyDescent="0.25">
      <c r="A1687">
        <v>4000</v>
      </c>
      <c r="B1687" t="s">
        <v>888</v>
      </c>
    </row>
    <row r="1688" spans="1:2" x14ac:dyDescent="0.25">
      <c r="A1688">
        <v>4000</v>
      </c>
      <c r="B1688" t="s">
        <v>889</v>
      </c>
    </row>
    <row r="1689" spans="1:2" x14ac:dyDescent="0.25">
      <c r="A1689">
        <v>12000</v>
      </c>
      <c r="B1689" t="s">
        <v>890</v>
      </c>
    </row>
    <row r="1690" spans="1:2" x14ac:dyDescent="0.25">
      <c r="A1690">
        <v>15000</v>
      </c>
      <c r="B1690" t="s">
        <v>891</v>
      </c>
    </row>
    <row r="1691" spans="1:2" x14ac:dyDescent="0.25">
      <c r="A1691">
        <v>15000</v>
      </c>
      <c r="B1691" t="s">
        <v>892</v>
      </c>
    </row>
    <row r="1692" spans="1:2" x14ac:dyDescent="0.25">
      <c r="A1692">
        <v>15000</v>
      </c>
      <c r="B1692" t="s">
        <v>893</v>
      </c>
    </row>
    <row r="1693" spans="1:2" x14ac:dyDescent="0.25">
      <c r="A1693">
        <v>15000</v>
      </c>
      <c r="B1693" t="s">
        <v>894</v>
      </c>
    </row>
    <row r="1694" spans="1:2" x14ac:dyDescent="0.25">
      <c r="A1694">
        <v>95705</v>
      </c>
      <c r="B1694" t="s">
        <v>895</v>
      </c>
    </row>
    <row r="1695" spans="1:2" x14ac:dyDescent="0.25">
      <c r="A1695">
        <v>180000</v>
      </c>
      <c r="B1695" t="s">
        <v>896</v>
      </c>
    </row>
    <row r="1696" spans="1:2" x14ac:dyDescent="0.25">
      <c r="A1696">
        <v>150000</v>
      </c>
      <c r="B1696" t="s">
        <v>897</v>
      </c>
    </row>
    <row r="1697" spans="1:2" x14ac:dyDescent="0.25">
      <c r="A1697">
        <v>80000</v>
      </c>
      <c r="B1697" t="s">
        <v>898</v>
      </c>
    </row>
    <row r="1698" spans="1:2" x14ac:dyDescent="0.25">
      <c r="A1698">
        <v>60000</v>
      </c>
      <c r="B1698" t="s">
        <v>899</v>
      </c>
    </row>
    <row r="1699" spans="1:2" x14ac:dyDescent="0.25">
      <c r="A1699">
        <v>60000</v>
      </c>
      <c r="B1699" t="s">
        <v>900</v>
      </c>
    </row>
    <row r="1700" spans="1:2" x14ac:dyDescent="0.25">
      <c r="A1700">
        <v>60000</v>
      </c>
      <c r="B1700" t="s">
        <v>901</v>
      </c>
    </row>
    <row r="1701" spans="1:2" x14ac:dyDescent="0.25">
      <c r="A1701">
        <v>80000</v>
      </c>
      <c r="B1701" t="s">
        <v>902</v>
      </c>
    </row>
    <row r="1702" spans="1:2" x14ac:dyDescent="0.25">
      <c r="A1702">
        <v>130000</v>
      </c>
      <c r="B1702" t="s">
        <v>903</v>
      </c>
    </row>
    <row r="1703" spans="1:2" x14ac:dyDescent="0.25">
      <c r="A1703">
        <v>140000</v>
      </c>
      <c r="B1703" t="s">
        <v>904</v>
      </c>
    </row>
    <row r="1704" spans="1:2" x14ac:dyDescent="0.25">
      <c r="A1704">
        <v>140000</v>
      </c>
      <c r="B1704" t="s">
        <v>905</v>
      </c>
    </row>
    <row r="1705" spans="1:2" x14ac:dyDescent="0.25">
      <c r="A1705">
        <v>125000</v>
      </c>
      <c r="B1705" t="s">
        <v>906</v>
      </c>
    </row>
    <row r="1706" spans="1:2" x14ac:dyDescent="0.25">
      <c r="A1706">
        <v>180246</v>
      </c>
      <c r="B1706" t="s">
        <v>907</v>
      </c>
    </row>
    <row r="1707" spans="1:2" x14ac:dyDescent="0.25">
      <c r="A1707">
        <v>200000</v>
      </c>
      <c r="B1707" t="s">
        <v>908</v>
      </c>
    </row>
    <row r="1708" spans="1:2" x14ac:dyDescent="0.25">
      <c r="A1708">
        <v>130000</v>
      </c>
      <c r="B1708" t="s">
        <v>909</v>
      </c>
    </row>
    <row r="1709" spans="1:2" x14ac:dyDescent="0.25">
      <c r="A1709">
        <v>80000</v>
      </c>
      <c r="B1709" t="s">
        <v>910</v>
      </c>
    </row>
    <row r="1710" spans="1:2" x14ac:dyDescent="0.25">
      <c r="A1710">
        <v>70000</v>
      </c>
      <c r="B1710" t="s">
        <v>911</v>
      </c>
    </row>
    <row r="1711" spans="1:2" x14ac:dyDescent="0.25">
      <c r="A1711">
        <v>55000</v>
      </c>
      <c r="B1711" t="s">
        <v>912</v>
      </c>
    </row>
    <row r="1712" spans="1:2" x14ac:dyDescent="0.25">
      <c r="A1712">
        <v>55000</v>
      </c>
      <c r="B1712" t="s">
        <v>913</v>
      </c>
    </row>
    <row r="1713" spans="1:2" x14ac:dyDescent="0.25">
      <c r="A1713">
        <v>55000</v>
      </c>
      <c r="B1713" t="s">
        <v>914</v>
      </c>
    </row>
    <row r="1714" spans="1:2" x14ac:dyDescent="0.25">
      <c r="A1714">
        <v>115000</v>
      </c>
      <c r="B1714" t="s">
        <v>915</v>
      </c>
    </row>
    <row r="1715" spans="1:2" x14ac:dyDescent="0.25">
      <c r="A1715">
        <v>150000</v>
      </c>
      <c r="B1715" t="s">
        <v>916</v>
      </c>
    </row>
    <row r="1716" spans="1:2" x14ac:dyDescent="0.25">
      <c r="A1716">
        <v>150000</v>
      </c>
      <c r="B1716" t="s">
        <v>917</v>
      </c>
    </row>
    <row r="1717" spans="1:2" x14ac:dyDescent="0.25">
      <c r="A1717">
        <v>120000</v>
      </c>
      <c r="B1717" t="s">
        <v>918</v>
      </c>
    </row>
    <row r="1718" spans="1:2" x14ac:dyDescent="0.25">
      <c r="A1718">
        <v>0</v>
      </c>
      <c r="B1718" t="s">
        <v>919</v>
      </c>
    </row>
    <row r="1719" spans="1:2" x14ac:dyDescent="0.25">
      <c r="A1719">
        <v>0</v>
      </c>
      <c r="B1719" t="s">
        <v>920</v>
      </c>
    </row>
    <row r="1720" spans="1:2" x14ac:dyDescent="0.25">
      <c r="A1720">
        <v>4320</v>
      </c>
      <c r="B1720" t="s">
        <v>921</v>
      </c>
    </row>
    <row r="1721" spans="1:2" x14ac:dyDescent="0.25">
      <c r="A1721">
        <v>4320</v>
      </c>
      <c r="B1721" t="s">
        <v>922</v>
      </c>
    </row>
    <row r="1722" spans="1:2" x14ac:dyDescent="0.25">
      <c r="A1722">
        <v>4320</v>
      </c>
      <c r="B1722" t="s">
        <v>923</v>
      </c>
    </row>
    <row r="1723" spans="1:2" x14ac:dyDescent="0.25">
      <c r="A1723">
        <v>0</v>
      </c>
      <c r="B1723" t="s">
        <v>924</v>
      </c>
    </row>
    <row r="1724" spans="1:2" x14ac:dyDescent="0.25">
      <c r="A1724">
        <v>0</v>
      </c>
      <c r="B1724" t="s">
        <v>925</v>
      </c>
    </row>
    <row r="1725" spans="1:2" x14ac:dyDescent="0.25">
      <c r="A1725">
        <v>4320</v>
      </c>
      <c r="B1725" t="s">
        <v>926</v>
      </c>
    </row>
    <row r="1726" spans="1:2" x14ac:dyDescent="0.25">
      <c r="A1726">
        <v>0</v>
      </c>
      <c r="B1726" t="s">
        <v>927</v>
      </c>
    </row>
    <row r="1727" spans="1:2" x14ac:dyDescent="0.25">
      <c r="A1727">
        <v>0</v>
      </c>
      <c r="B1727" t="s">
        <v>928</v>
      </c>
    </row>
    <row r="1728" spans="1:2" x14ac:dyDescent="0.25">
      <c r="A1728">
        <v>0</v>
      </c>
      <c r="B1728" t="s">
        <v>929</v>
      </c>
    </row>
    <row r="1729" spans="1:2" x14ac:dyDescent="0.25">
      <c r="A1729">
        <v>4320</v>
      </c>
      <c r="B1729" t="s">
        <v>930</v>
      </c>
    </row>
    <row r="1730" spans="1:2" x14ac:dyDescent="0.25">
      <c r="A1730">
        <v>0</v>
      </c>
      <c r="B1730" t="s">
        <v>931</v>
      </c>
    </row>
    <row r="1731" spans="1:2" x14ac:dyDescent="0.25">
      <c r="A1731">
        <v>10400</v>
      </c>
      <c r="B1731" t="s">
        <v>932</v>
      </c>
    </row>
    <row r="1732" spans="1:2" x14ac:dyDescent="0.25">
      <c r="A1732">
        <v>0</v>
      </c>
      <c r="B1732" t="s">
        <v>933</v>
      </c>
    </row>
    <row r="1733" spans="1:2" x14ac:dyDescent="0.25">
      <c r="A1733">
        <v>0</v>
      </c>
      <c r="B1733" t="s">
        <v>934</v>
      </c>
    </row>
    <row r="1734" spans="1:2" x14ac:dyDescent="0.25">
      <c r="A1734">
        <v>0</v>
      </c>
      <c r="B1734" t="s">
        <v>935</v>
      </c>
    </row>
    <row r="1735" spans="1:2" x14ac:dyDescent="0.25">
      <c r="A1735">
        <v>5200</v>
      </c>
      <c r="B1735" t="s">
        <v>936</v>
      </c>
    </row>
    <row r="1736" spans="1:2" x14ac:dyDescent="0.25">
      <c r="A1736">
        <v>0</v>
      </c>
      <c r="B1736" t="s">
        <v>937</v>
      </c>
    </row>
    <row r="1737" spans="1:2" x14ac:dyDescent="0.25">
      <c r="A1737">
        <v>0</v>
      </c>
      <c r="B1737" t="s">
        <v>938</v>
      </c>
    </row>
    <row r="1738" spans="1:2" x14ac:dyDescent="0.25">
      <c r="A1738">
        <v>10400</v>
      </c>
      <c r="B1738" t="s">
        <v>939</v>
      </c>
    </row>
    <row r="1739" spans="1:2" x14ac:dyDescent="0.25">
      <c r="A1739">
        <v>0</v>
      </c>
      <c r="B1739" t="s">
        <v>940</v>
      </c>
    </row>
    <row r="1740" spans="1:2" x14ac:dyDescent="0.25">
      <c r="A1740">
        <v>10400</v>
      </c>
      <c r="B1740" t="s">
        <v>941</v>
      </c>
    </row>
    <row r="1741" spans="1:2" x14ac:dyDescent="0.25">
      <c r="A1741">
        <v>0</v>
      </c>
      <c r="B1741" t="s">
        <v>942</v>
      </c>
    </row>
    <row r="1742" spans="1:2" x14ac:dyDescent="0.25">
      <c r="A1742">
        <v>0</v>
      </c>
      <c r="B1742" t="s">
        <v>943</v>
      </c>
    </row>
    <row r="1743" spans="1:2" x14ac:dyDescent="0.25">
      <c r="A1743">
        <v>10400</v>
      </c>
      <c r="B1743" t="s">
        <v>944</v>
      </c>
    </row>
    <row r="1744" spans="1:2" x14ac:dyDescent="0.25">
      <c r="A1744">
        <v>5200</v>
      </c>
      <c r="B1744" t="s">
        <v>945</v>
      </c>
    </row>
    <row r="1745" spans="1:2" x14ac:dyDescent="0.25">
      <c r="A1745">
        <v>5200</v>
      </c>
      <c r="B1745" t="s">
        <v>946</v>
      </c>
    </row>
    <row r="1746" spans="1:2" x14ac:dyDescent="0.25">
      <c r="A1746">
        <v>0</v>
      </c>
      <c r="B1746" t="s">
        <v>947</v>
      </c>
    </row>
    <row r="1747" spans="1:2" x14ac:dyDescent="0.25">
      <c r="A1747">
        <v>10400</v>
      </c>
      <c r="B1747" t="s">
        <v>948</v>
      </c>
    </row>
    <row r="1748" spans="1:2" x14ac:dyDescent="0.25">
      <c r="A1748">
        <v>0</v>
      </c>
      <c r="B1748" t="s">
        <v>949</v>
      </c>
    </row>
    <row r="1749" spans="1:2" x14ac:dyDescent="0.25">
      <c r="A1749">
        <v>0</v>
      </c>
      <c r="B1749" t="s">
        <v>950</v>
      </c>
    </row>
    <row r="1750" spans="1:2" x14ac:dyDescent="0.25">
      <c r="A1750">
        <v>0</v>
      </c>
      <c r="B1750" t="s">
        <v>951</v>
      </c>
    </row>
    <row r="1751" spans="1:2" x14ac:dyDescent="0.25">
      <c r="A1751">
        <v>10400</v>
      </c>
      <c r="B1751" t="s">
        <v>952</v>
      </c>
    </row>
    <row r="1752" spans="1:2" x14ac:dyDescent="0.25">
      <c r="A1752">
        <v>10400</v>
      </c>
      <c r="B1752" t="s">
        <v>953</v>
      </c>
    </row>
    <row r="1753" spans="1:2" x14ac:dyDescent="0.25">
      <c r="A1753">
        <v>5200</v>
      </c>
      <c r="B1753" t="s">
        <v>954</v>
      </c>
    </row>
    <row r="1754" spans="1:2" x14ac:dyDescent="0.25">
      <c r="A1754">
        <v>0</v>
      </c>
      <c r="B1754" t="s">
        <v>955</v>
      </c>
    </row>
    <row r="1755" spans="1:2" x14ac:dyDescent="0.25">
      <c r="A1755">
        <v>0</v>
      </c>
      <c r="B1755" t="s">
        <v>956</v>
      </c>
    </row>
    <row r="1756" spans="1:2" x14ac:dyDescent="0.25">
      <c r="A1756">
        <v>0</v>
      </c>
      <c r="B1756" t="s">
        <v>957</v>
      </c>
    </row>
    <row r="1757" spans="1:2" x14ac:dyDescent="0.25">
      <c r="A1757">
        <v>0</v>
      </c>
      <c r="B1757" t="s">
        <v>958</v>
      </c>
    </row>
    <row r="1758" spans="1:2" x14ac:dyDescent="0.25">
      <c r="A1758">
        <v>0</v>
      </c>
      <c r="B1758" t="s">
        <v>959</v>
      </c>
    </row>
    <row r="1759" spans="1:2" x14ac:dyDescent="0.25">
      <c r="A1759">
        <v>0</v>
      </c>
      <c r="B1759" t="s">
        <v>960</v>
      </c>
    </row>
    <row r="1760" spans="1:2" x14ac:dyDescent="0.25">
      <c r="A1760">
        <v>0</v>
      </c>
      <c r="B1760" t="s">
        <v>961</v>
      </c>
    </row>
    <row r="1761" spans="1:2" x14ac:dyDescent="0.25">
      <c r="A1761">
        <v>0</v>
      </c>
      <c r="B1761" t="s">
        <v>962</v>
      </c>
    </row>
    <row r="1762" spans="1:2" x14ac:dyDescent="0.25">
      <c r="A1762">
        <v>0</v>
      </c>
      <c r="B1762" t="s">
        <v>963</v>
      </c>
    </row>
    <row r="1763" spans="1:2" x14ac:dyDescent="0.25">
      <c r="A1763">
        <v>0</v>
      </c>
      <c r="B1763" t="s">
        <v>964</v>
      </c>
    </row>
    <row r="1764" spans="1:2" x14ac:dyDescent="0.25">
      <c r="A1764">
        <v>0</v>
      </c>
      <c r="B1764" t="s">
        <v>965</v>
      </c>
    </row>
    <row r="1765" spans="1:2" x14ac:dyDescent="0.25">
      <c r="A1765">
        <v>0</v>
      </c>
      <c r="B1765" t="s">
        <v>966</v>
      </c>
    </row>
    <row r="1766" spans="1:2" x14ac:dyDescent="0.25">
      <c r="A1766">
        <v>41505566</v>
      </c>
      <c r="B1766" t="s">
        <v>967</v>
      </c>
    </row>
    <row r="1767" spans="1:2" x14ac:dyDescent="0.25">
      <c r="A1767">
        <v>59999186</v>
      </c>
      <c r="B1767" t="s">
        <v>968</v>
      </c>
    </row>
    <row r="1768" spans="1:2" x14ac:dyDescent="0.25">
      <c r="A1768">
        <v>44999946</v>
      </c>
      <c r="B1768" t="s">
        <v>969</v>
      </c>
    </row>
    <row r="1769" spans="1:2" x14ac:dyDescent="0.25">
      <c r="A1769">
        <v>14999886</v>
      </c>
      <c r="B1769" t="s">
        <v>970</v>
      </c>
    </row>
    <row r="1770" spans="1:2" x14ac:dyDescent="0.25">
      <c r="A1770">
        <v>14999276</v>
      </c>
      <c r="B1770" t="s">
        <v>971</v>
      </c>
    </row>
    <row r="1771" spans="1:2" x14ac:dyDescent="0.25">
      <c r="A1771">
        <v>15000576</v>
      </c>
      <c r="B1771" t="s">
        <v>972</v>
      </c>
    </row>
    <row r="1772" spans="1:2" x14ac:dyDescent="0.25">
      <c r="A1772">
        <v>20000826</v>
      </c>
      <c r="B1772" t="s">
        <v>973</v>
      </c>
    </row>
    <row r="1773" spans="1:2" x14ac:dyDescent="0.25">
      <c r="A1773">
        <v>21000116</v>
      </c>
      <c r="B1773" t="s">
        <v>974</v>
      </c>
    </row>
    <row r="1774" spans="1:2" x14ac:dyDescent="0.25">
      <c r="A1774">
        <v>30000307</v>
      </c>
      <c r="B1774" t="s">
        <v>975</v>
      </c>
    </row>
    <row r="1775" spans="1:2" x14ac:dyDescent="0.25">
      <c r="A1775">
        <v>44999232</v>
      </c>
      <c r="B1775" t="s">
        <v>976</v>
      </c>
    </row>
    <row r="1776" spans="1:2" x14ac:dyDescent="0.25">
      <c r="A1776">
        <v>52499057</v>
      </c>
      <c r="B1776" t="s">
        <v>977</v>
      </c>
    </row>
    <row r="1777" spans="1:2" x14ac:dyDescent="0.25">
      <c r="A1777">
        <v>45000882</v>
      </c>
      <c r="B1777" t="s">
        <v>978</v>
      </c>
    </row>
    <row r="1778" spans="1:2" x14ac:dyDescent="0.25">
      <c r="A1778">
        <v>0</v>
      </c>
      <c r="B1778" t="s">
        <v>979</v>
      </c>
    </row>
    <row r="1779" spans="1:2" x14ac:dyDescent="0.25">
      <c r="B1779" t="s">
        <v>980</v>
      </c>
    </row>
    <row r="1780" spans="1:2" x14ac:dyDescent="0.25">
      <c r="B1780" t="s">
        <v>981</v>
      </c>
    </row>
    <row r="1781" spans="1:2" x14ac:dyDescent="0.25">
      <c r="B1781" t="s">
        <v>982</v>
      </c>
    </row>
    <row r="1782" spans="1:2" x14ac:dyDescent="0.25">
      <c r="B1782" t="s">
        <v>983</v>
      </c>
    </row>
    <row r="1783" spans="1:2" x14ac:dyDescent="0.25">
      <c r="B1783" t="s">
        <v>984</v>
      </c>
    </row>
    <row r="1784" spans="1:2" x14ac:dyDescent="0.25">
      <c r="B1784" t="s">
        <v>985</v>
      </c>
    </row>
    <row r="1785" spans="1:2" x14ac:dyDescent="0.25">
      <c r="B1785" t="s">
        <v>986</v>
      </c>
    </row>
    <row r="1786" spans="1:2" x14ac:dyDescent="0.25">
      <c r="B1786" t="s">
        <v>987</v>
      </c>
    </row>
    <row r="1787" spans="1:2" x14ac:dyDescent="0.25">
      <c r="B1787" t="s">
        <v>988</v>
      </c>
    </row>
    <row r="1788" spans="1:2" x14ac:dyDescent="0.25">
      <c r="B1788" t="s">
        <v>989</v>
      </c>
    </row>
    <row r="1789" spans="1:2" x14ac:dyDescent="0.25">
      <c r="B1789" t="s">
        <v>990</v>
      </c>
    </row>
    <row r="1790" spans="1:2" x14ac:dyDescent="0.25">
      <c r="A1790">
        <v>0</v>
      </c>
      <c r="B1790" t="s">
        <v>991</v>
      </c>
    </row>
    <row r="1791" spans="1:2" x14ac:dyDescent="0.25">
      <c r="B1791" t="s">
        <v>992</v>
      </c>
    </row>
    <row r="1792" spans="1:2" x14ac:dyDescent="0.25">
      <c r="B1792" t="s">
        <v>993</v>
      </c>
    </row>
    <row r="1793" spans="1:2" x14ac:dyDescent="0.25">
      <c r="B1793" t="s">
        <v>994</v>
      </c>
    </row>
    <row r="1794" spans="1:2" x14ac:dyDescent="0.25">
      <c r="B1794" t="s">
        <v>995</v>
      </c>
    </row>
    <row r="1795" spans="1:2" x14ac:dyDescent="0.25">
      <c r="B1795" t="s">
        <v>996</v>
      </c>
    </row>
    <row r="1796" spans="1:2" x14ac:dyDescent="0.25">
      <c r="B1796" t="s">
        <v>997</v>
      </c>
    </row>
    <row r="1797" spans="1:2" x14ac:dyDescent="0.25">
      <c r="B1797" t="s">
        <v>998</v>
      </c>
    </row>
    <row r="1798" spans="1:2" x14ac:dyDescent="0.25">
      <c r="B1798" t="s">
        <v>999</v>
      </c>
    </row>
    <row r="1799" spans="1:2" x14ac:dyDescent="0.25">
      <c r="B1799" t="s">
        <v>1000</v>
      </c>
    </row>
    <row r="1800" spans="1:2" x14ac:dyDescent="0.25">
      <c r="B1800" t="s">
        <v>1001</v>
      </c>
    </row>
    <row r="1801" spans="1:2" x14ac:dyDescent="0.25">
      <c r="B1801" t="s">
        <v>1002</v>
      </c>
    </row>
    <row r="1802" spans="1:2" x14ac:dyDescent="0.25">
      <c r="A1802">
        <v>25000</v>
      </c>
      <c r="B1802" t="s">
        <v>1003</v>
      </c>
    </row>
    <row r="1803" spans="1:2" x14ac:dyDescent="0.25">
      <c r="A1803">
        <v>20000</v>
      </c>
      <c r="B1803" t="s">
        <v>1004</v>
      </c>
    </row>
    <row r="1804" spans="1:2" x14ac:dyDescent="0.25">
      <c r="A1804">
        <v>15000</v>
      </c>
      <c r="B1804" t="s">
        <v>1005</v>
      </c>
    </row>
    <row r="1805" spans="1:2" x14ac:dyDescent="0.25">
      <c r="A1805">
        <v>10000</v>
      </c>
      <c r="B1805" t="s">
        <v>1006</v>
      </c>
    </row>
    <row r="1806" spans="1:2" x14ac:dyDescent="0.25">
      <c r="A1806">
        <v>7000</v>
      </c>
      <c r="B1806" t="s">
        <v>1007</v>
      </c>
    </row>
    <row r="1807" spans="1:2" x14ac:dyDescent="0.25">
      <c r="A1807">
        <v>7369</v>
      </c>
      <c r="B1807" t="s">
        <v>1008</v>
      </c>
    </row>
    <row r="1808" spans="1:2" x14ac:dyDescent="0.25">
      <c r="A1808">
        <v>7368</v>
      </c>
      <c r="B1808" t="s">
        <v>1009</v>
      </c>
    </row>
    <row r="1809" spans="1:2" x14ac:dyDescent="0.25">
      <c r="A1809">
        <v>11868</v>
      </c>
      <c r="B1809" t="s">
        <v>1010</v>
      </c>
    </row>
    <row r="1810" spans="1:2" x14ac:dyDescent="0.25">
      <c r="A1810">
        <v>15869</v>
      </c>
      <c r="B1810" t="s">
        <v>1011</v>
      </c>
    </row>
    <row r="1811" spans="1:2" x14ac:dyDescent="0.25">
      <c r="A1811">
        <v>17000</v>
      </c>
      <c r="B1811" t="s">
        <v>1012</v>
      </c>
    </row>
    <row r="1812" spans="1:2" x14ac:dyDescent="0.25">
      <c r="A1812">
        <v>20000</v>
      </c>
      <c r="B1812" t="s">
        <v>1013</v>
      </c>
    </row>
    <row r="1813" spans="1:2" x14ac:dyDescent="0.25">
      <c r="A1813">
        <v>15000</v>
      </c>
      <c r="B1813" t="s">
        <v>1014</v>
      </c>
    </row>
    <row r="1814" spans="1:2" x14ac:dyDescent="0.25">
      <c r="A1814">
        <v>7000</v>
      </c>
      <c r="B1814" t="s">
        <v>1015</v>
      </c>
    </row>
    <row r="1815" spans="1:2" x14ac:dyDescent="0.25">
      <c r="A1815">
        <v>7000</v>
      </c>
      <c r="B1815" t="s">
        <v>1016</v>
      </c>
    </row>
    <row r="1816" spans="1:2" x14ac:dyDescent="0.25">
      <c r="A1816">
        <v>7000</v>
      </c>
      <c r="B1816" t="s">
        <v>1017</v>
      </c>
    </row>
    <row r="1817" spans="1:2" x14ac:dyDescent="0.25">
      <c r="A1817">
        <v>7000</v>
      </c>
      <c r="B1817" t="s">
        <v>1018</v>
      </c>
    </row>
    <row r="1818" spans="1:2" x14ac:dyDescent="0.25">
      <c r="A1818">
        <v>0</v>
      </c>
      <c r="B1818" t="s">
        <v>1019</v>
      </c>
    </row>
    <row r="1819" spans="1:2" x14ac:dyDescent="0.25">
      <c r="A1819">
        <v>0</v>
      </c>
      <c r="B1819" t="s">
        <v>1020</v>
      </c>
    </row>
    <row r="1820" spans="1:2" x14ac:dyDescent="0.25">
      <c r="A1820">
        <v>0</v>
      </c>
      <c r="B1820" t="s">
        <v>1021</v>
      </c>
    </row>
    <row r="1821" spans="1:2" x14ac:dyDescent="0.25">
      <c r="A1821">
        <v>0</v>
      </c>
      <c r="B1821" t="s">
        <v>1022</v>
      </c>
    </row>
    <row r="1822" spans="1:2" x14ac:dyDescent="0.25">
      <c r="A1822">
        <v>0</v>
      </c>
      <c r="B1822" t="s">
        <v>1023</v>
      </c>
    </row>
    <row r="1823" spans="1:2" x14ac:dyDescent="0.25">
      <c r="A1823">
        <v>0</v>
      </c>
      <c r="B1823" t="s">
        <v>1024</v>
      </c>
    </row>
    <row r="1824" spans="1:2" x14ac:dyDescent="0.25">
      <c r="A1824">
        <v>0</v>
      </c>
      <c r="B1824" t="s">
        <v>1025</v>
      </c>
    </row>
    <row r="1825" spans="1:2" x14ac:dyDescent="0.25">
      <c r="A1825">
        <v>0</v>
      </c>
      <c r="B1825" t="s">
        <v>1026</v>
      </c>
    </row>
    <row r="1826" spans="1:2" x14ac:dyDescent="0.25">
      <c r="A1826">
        <v>100000</v>
      </c>
      <c r="B1826" t="s">
        <v>1027</v>
      </c>
    </row>
    <row r="1827" spans="1:2" x14ac:dyDescent="0.25">
      <c r="A1827">
        <v>100000</v>
      </c>
      <c r="B1827" t="s">
        <v>1028</v>
      </c>
    </row>
    <row r="1828" spans="1:2" x14ac:dyDescent="0.25">
      <c r="A1828">
        <v>100000</v>
      </c>
      <c r="B1828" t="s">
        <v>1029</v>
      </c>
    </row>
    <row r="1829" spans="1:2" x14ac:dyDescent="0.25">
      <c r="A1829">
        <v>100000</v>
      </c>
      <c r="B1829" t="s">
        <v>1030</v>
      </c>
    </row>
    <row r="1830" spans="1:2" x14ac:dyDescent="0.25">
      <c r="A1830">
        <v>100000</v>
      </c>
      <c r="B1830" t="s">
        <v>1031</v>
      </c>
    </row>
    <row r="1831" spans="1:2" x14ac:dyDescent="0.25">
      <c r="A1831">
        <v>100000</v>
      </c>
      <c r="B1831" t="s">
        <v>1032</v>
      </c>
    </row>
    <row r="1832" spans="1:2" x14ac:dyDescent="0.25">
      <c r="A1832">
        <v>100000</v>
      </c>
      <c r="B1832" t="s">
        <v>1033</v>
      </c>
    </row>
    <row r="1833" spans="1:2" x14ac:dyDescent="0.25">
      <c r="A1833">
        <v>100000</v>
      </c>
      <c r="B1833" t="s">
        <v>1034</v>
      </c>
    </row>
    <row r="1834" spans="1:2" x14ac:dyDescent="0.25">
      <c r="A1834">
        <v>100000</v>
      </c>
      <c r="B1834" t="s">
        <v>1035</v>
      </c>
    </row>
    <row r="1835" spans="1:2" x14ac:dyDescent="0.25">
      <c r="A1835">
        <v>100000</v>
      </c>
      <c r="B1835" t="s">
        <v>1036</v>
      </c>
    </row>
    <row r="1836" spans="1:2" x14ac:dyDescent="0.25">
      <c r="A1836">
        <v>100000</v>
      </c>
      <c r="B1836" t="s">
        <v>1037</v>
      </c>
    </row>
    <row r="1837" spans="1:2" x14ac:dyDescent="0.25">
      <c r="A1837">
        <v>100000</v>
      </c>
      <c r="B1837" t="s">
        <v>1038</v>
      </c>
    </row>
    <row r="1838" spans="1:2" x14ac:dyDescent="0.25">
      <c r="A1838">
        <v>87502</v>
      </c>
      <c r="B1838" t="s">
        <v>1039</v>
      </c>
    </row>
    <row r="1839" spans="1:2" x14ac:dyDescent="0.25">
      <c r="A1839">
        <v>112708</v>
      </c>
      <c r="B1839" t="s">
        <v>1040</v>
      </c>
    </row>
    <row r="1840" spans="1:2" x14ac:dyDescent="0.25">
      <c r="A1840">
        <v>83998</v>
      </c>
      <c r="B1840" t="s">
        <v>1041</v>
      </c>
    </row>
    <row r="1841" spans="1:2" x14ac:dyDescent="0.25">
      <c r="A1841">
        <v>87430</v>
      </c>
      <c r="B1841" t="s">
        <v>1042</v>
      </c>
    </row>
    <row r="1842" spans="1:2" x14ac:dyDescent="0.25">
      <c r="A1842">
        <v>136247</v>
      </c>
      <c r="B1842" t="s">
        <v>1043</v>
      </c>
    </row>
    <row r="1843" spans="1:2" x14ac:dyDescent="0.25">
      <c r="A1843">
        <v>143839</v>
      </c>
      <c r="B1843" t="s">
        <v>1044</v>
      </c>
    </row>
    <row r="1844" spans="1:2" x14ac:dyDescent="0.25">
      <c r="A1844">
        <v>77937</v>
      </c>
      <c r="B1844" t="s">
        <v>1045</v>
      </c>
    </row>
    <row r="1845" spans="1:2" x14ac:dyDescent="0.25">
      <c r="A1845">
        <v>132525</v>
      </c>
      <c r="B1845" t="s">
        <v>1046</v>
      </c>
    </row>
    <row r="1846" spans="1:2" x14ac:dyDescent="0.25">
      <c r="A1846">
        <v>87135</v>
      </c>
      <c r="B1846" t="s">
        <v>1047</v>
      </c>
    </row>
    <row r="1847" spans="1:2" x14ac:dyDescent="0.25">
      <c r="A1847">
        <v>47218</v>
      </c>
      <c r="B1847" t="s">
        <v>1048</v>
      </c>
    </row>
    <row r="1848" spans="1:2" x14ac:dyDescent="0.25">
      <c r="A1848">
        <v>98321</v>
      </c>
      <c r="B1848" t="s">
        <v>1049</v>
      </c>
    </row>
    <row r="1849" spans="1:2" x14ac:dyDescent="0.25">
      <c r="A1849">
        <v>98640</v>
      </c>
      <c r="B1849" t="s">
        <v>1050</v>
      </c>
    </row>
    <row r="1850" spans="1:2" x14ac:dyDescent="0.25">
      <c r="A1850">
        <v>0</v>
      </c>
      <c r="B1850" t="s">
        <v>1051</v>
      </c>
    </row>
    <row r="1851" spans="1:2" x14ac:dyDescent="0.25">
      <c r="B1851" t="s">
        <v>1052</v>
      </c>
    </row>
    <row r="1852" spans="1:2" x14ac:dyDescent="0.25">
      <c r="B1852" t="s">
        <v>1053</v>
      </c>
    </row>
    <row r="1853" spans="1:2" x14ac:dyDescent="0.25">
      <c r="B1853" t="s">
        <v>1054</v>
      </c>
    </row>
    <row r="1854" spans="1:2" x14ac:dyDescent="0.25">
      <c r="B1854" t="s">
        <v>1055</v>
      </c>
    </row>
    <row r="1855" spans="1:2" x14ac:dyDescent="0.25">
      <c r="B1855" t="s">
        <v>1056</v>
      </c>
    </row>
    <row r="1856" spans="1:2" x14ac:dyDescent="0.25">
      <c r="B1856" t="s">
        <v>1057</v>
      </c>
    </row>
    <row r="1857" spans="1:2" x14ac:dyDescent="0.25">
      <c r="B1857" t="s">
        <v>1058</v>
      </c>
    </row>
    <row r="1858" spans="1:2" x14ac:dyDescent="0.25">
      <c r="B1858" t="s">
        <v>1059</v>
      </c>
    </row>
    <row r="1859" spans="1:2" x14ac:dyDescent="0.25">
      <c r="B1859" t="s">
        <v>1060</v>
      </c>
    </row>
    <row r="1860" spans="1:2" x14ac:dyDescent="0.25">
      <c r="B1860" t="s">
        <v>1061</v>
      </c>
    </row>
    <row r="1861" spans="1:2" x14ac:dyDescent="0.25">
      <c r="B1861" t="s">
        <v>1062</v>
      </c>
    </row>
    <row r="1862" spans="1:2" x14ac:dyDescent="0.25">
      <c r="A1862" t="s">
        <v>3641</v>
      </c>
      <c r="B1862" t="s">
        <v>1063</v>
      </c>
    </row>
    <row r="1863" spans="1:2" x14ac:dyDescent="0.25">
      <c r="A1863" t="s">
        <v>3641</v>
      </c>
      <c r="B1863" t="s">
        <v>1064</v>
      </c>
    </row>
    <row r="1864" spans="1:2" x14ac:dyDescent="0.25">
      <c r="A1864" t="s">
        <v>3641</v>
      </c>
      <c r="B1864" t="s">
        <v>1065</v>
      </c>
    </row>
    <row r="1865" spans="1:2" x14ac:dyDescent="0.25">
      <c r="A1865" t="s">
        <v>3641</v>
      </c>
      <c r="B1865" t="s">
        <v>1066</v>
      </c>
    </row>
    <row r="1866" spans="1:2" x14ac:dyDescent="0.25">
      <c r="A1866" t="s">
        <v>3641</v>
      </c>
      <c r="B1866" t="s">
        <v>1067</v>
      </c>
    </row>
    <row r="1867" spans="1:2" x14ac:dyDescent="0.25">
      <c r="A1867" t="s">
        <v>3641</v>
      </c>
      <c r="B1867" t="s">
        <v>1068</v>
      </c>
    </row>
    <row r="1868" spans="1:2" x14ac:dyDescent="0.25">
      <c r="A1868" t="s">
        <v>3641</v>
      </c>
      <c r="B1868" t="s">
        <v>1069</v>
      </c>
    </row>
    <row r="1869" spans="1:2" x14ac:dyDescent="0.25">
      <c r="A1869" t="s">
        <v>3641</v>
      </c>
      <c r="B1869" t="s">
        <v>1070</v>
      </c>
    </row>
    <row r="1870" spans="1:2" x14ac:dyDescent="0.25">
      <c r="A1870" t="s">
        <v>3641</v>
      </c>
      <c r="B1870" t="s">
        <v>1071</v>
      </c>
    </row>
    <row r="1871" spans="1:2" x14ac:dyDescent="0.25">
      <c r="A1871" t="s">
        <v>3641</v>
      </c>
      <c r="B1871" t="s">
        <v>1072</v>
      </c>
    </row>
    <row r="1872" spans="1:2" x14ac:dyDescent="0.25">
      <c r="A1872" t="s">
        <v>3641</v>
      </c>
      <c r="B1872" t="s">
        <v>1073</v>
      </c>
    </row>
    <row r="1873" spans="1:2" x14ac:dyDescent="0.25">
      <c r="A1873" t="s">
        <v>3641</v>
      </c>
      <c r="B1873" t="s">
        <v>1074</v>
      </c>
    </row>
    <row r="1874" spans="1:2" x14ac:dyDescent="0.25">
      <c r="A1874">
        <v>0</v>
      </c>
      <c r="B1874" t="s">
        <v>1075</v>
      </c>
    </row>
    <row r="1875" spans="1:2" x14ac:dyDescent="0.25">
      <c r="B1875" t="s">
        <v>1076</v>
      </c>
    </row>
    <row r="1876" spans="1:2" x14ac:dyDescent="0.25">
      <c r="B1876" t="s">
        <v>1077</v>
      </c>
    </row>
    <row r="1877" spans="1:2" x14ac:dyDescent="0.25">
      <c r="B1877" t="s">
        <v>1078</v>
      </c>
    </row>
    <row r="1878" spans="1:2" x14ac:dyDescent="0.25">
      <c r="B1878" t="s">
        <v>1079</v>
      </c>
    </row>
    <row r="1879" spans="1:2" x14ac:dyDescent="0.25">
      <c r="B1879" t="s">
        <v>1080</v>
      </c>
    </row>
    <row r="1880" spans="1:2" x14ac:dyDescent="0.25">
      <c r="B1880" t="s">
        <v>1081</v>
      </c>
    </row>
    <row r="1881" spans="1:2" x14ac:dyDescent="0.25">
      <c r="B1881" t="s">
        <v>1082</v>
      </c>
    </row>
    <row r="1882" spans="1:2" x14ac:dyDescent="0.25">
      <c r="B1882" t="s">
        <v>1083</v>
      </c>
    </row>
    <row r="1883" spans="1:2" x14ac:dyDescent="0.25">
      <c r="B1883" t="s">
        <v>1084</v>
      </c>
    </row>
    <row r="1884" spans="1:2" x14ac:dyDescent="0.25">
      <c r="B1884" t="s">
        <v>1085</v>
      </c>
    </row>
    <row r="1885" spans="1:2" x14ac:dyDescent="0.25">
      <c r="B1885" t="s">
        <v>1086</v>
      </c>
    </row>
    <row r="1886" spans="1:2" x14ac:dyDescent="0.25">
      <c r="A1886">
        <v>180000</v>
      </c>
      <c r="B1886" t="s">
        <v>1087</v>
      </c>
    </row>
    <row r="1887" spans="1:2" x14ac:dyDescent="0.25">
      <c r="A1887">
        <v>180000</v>
      </c>
      <c r="B1887" t="s">
        <v>1088</v>
      </c>
    </row>
    <row r="1888" spans="1:2" x14ac:dyDescent="0.25">
      <c r="A1888">
        <v>180000</v>
      </c>
      <c r="B1888" t="s">
        <v>1089</v>
      </c>
    </row>
    <row r="1889" spans="1:2" x14ac:dyDescent="0.25">
      <c r="A1889">
        <v>150000</v>
      </c>
      <c r="B1889" t="s">
        <v>1090</v>
      </c>
    </row>
    <row r="1890" spans="1:2" x14ac:dyDescent="0.25">
      <c r="A1890">
        <v>120000</v>
      </c>
      <c r="B1890" t="s">
        <v>1091</v>
      </c>
    </row>
    <row r="1891" spans="1:2" x14ac:dyDescent="0.25">
      <c r="A1891">
        <v>120000</v>
      </c>
      <c r="B1891" t="s">
        <v>1092</v>
      </c>
    </row>
    <row r="1892" spans="1:2" x14ac:dyDescent="0.25">
      <c r="A1892">
        <v>120000</v>
      </c>
      <c r="B1892" t="s">
        <v>1093</v>
      </c>
    </row>
    <row r="1893" spans="1:2" x14ac:dyDescent="0.25">
      <c r="A1893">
        <v>120000</v>
      </c>
      <c r="B1893" t="s">
        <v>1094</v>
      </c>
    </row>
    <row r="1894" spans="1:2" x14ac:dyDescent="0.25">
      <c r="A1894">
        <v>180000</v>
      </c>
      <c r="B1894" t="s">
        <v>1095</v>
      </c>
    </row>
    <row r="1895" spans="1:2" x14ac:dyDescent="0.25">
      <c r="A1895">
        <v>180000</v>
      </c>
      <c r="B1895" t="s">
        <v>1096</v>
      </c>
    </row>
    <row r="1896" spans="1:2" x14ac:dyDescent="0.25">
      <c r="A1896">
        <v>180000</v>
      </c>
      <c r="B1896" t="s">
        <v>1097</v>
      </c>
    </row>
    <row r="1897" spans="1:2" x14ac:dyDescent="0.25">
      <c r="A1897">
        <v>150000</v>
      </c>
      <c r="B1897" t="s">
        <v>1098</v>
      </c>
    </row>
    <row r="1898" spans="1:2" x14ac:dyDescent="0.25">
      <c r="A1898">
        <v>80000</v>
      </c>
      <c r="B1898" t="s">
        <v>1099</v>
      </c>
    </row>
    <row r="1899" spans="1:2" x14ac:dyDescent="0.25">
      <c r="A1899">
        <v>80000</v>
      </c>
      <c r="B1899" t="s">
        <v>1100</v>
      </c>
    </row>
    <row r="1900" spans="1:2" x14ac:dyDescent="0.25">
      <c r="A1900">
        <v>80000</v>
      </c>
      <c r="B1900" t="s">
        <v>1101</v>
      </c>
    </row>
    <row r="1901" spans="1:2" x14ac:dyDescent="0.25">
      <c r="A1901">
        <v>70000</v>
      </c>
      <c r="B1901" t="s">
        <v>1102</v>
      </c>
    </row>
    <row r="1902" spans="1:2" x14ac:dyDescent="0.25">
      <c r="A1902">
        <v>50000</v>
      </c>
      <c r="B1902" t="s">
        <v>1103</v>
      </c>
    </row>
    <row r="1903" spans="1:2" x14ac:dyDescent="0.25">
      <c r="A1903">
        <v>50000</v>
      </c>
      <c r="B1903" t="s">
        <v>1104</v>
      </c>
    </row>
    <row r="1904" spans="1:2" x14ac:dyDescent="0.25">
      <c r="A1904">
        <v>50000</v>
      </c>
      <c r="B1904" t="s">
        <v>1105</v>
      </c>
    </row>
    <row r="1905" spans="1:2" x14ac:dyDescent="0.25">
      <c r="A1905">
        <v>60000</v>
      </c>
      <c r="B1905" t="s">
        <v>1106</v>
      </c>
    </row>
    <row r="1906" spans="1:2" x14ac:dyDescent="0.25">
      <c r="A1906">
        <v>70000</v>
      </c>
      <c r="B1906" t="s">
        <v>1107</v>
      </c>
    </row>
    <row r="1907" spans="1:2" x14ac:dyDescent="0.25">
      <c r="A1907">
        <v>80000</v>
      </c>
      <c r="B1907" t="s">
        <v>1108</v>
      </c>
    </row>
    <row r="1908" spans="1:2" x14ac:dyDescent="0.25">
      <c r="A1908">
        <v>80000</v>
      </c>
      <c r="B1908" t="s">
        <v>1109</v>
      </c>
    </row>
    <row r="1909" spans="1:2" x14ac:dyDescent="0.25">
      <c r="A1909">
        <v>70000</v>
      </c>
      <c r="B1909" t="s">
        <v>1110</v>
      </c>
    </row>
    <row r="1910" spans="1:2" x14ac:dyDescent="0.25">
      <c r="A1910">
        <v>65000297</v>
      </c>
      <c r="B1910" t="s">
        <v>1111</v>
      </c>
    </row>
    <row r="1911" spans="1:2" x14ac:dyDescent="0.25">
      <c r="A1911">
        <v>65000488</v>
      </c>
      <c r="B1911" t="s">
        <v>1112</v>
      </c>
    </row>
    <row r="1912" spans="1:2" x14ac:dyDescent="0.25">
      <c r="A1912">
        <v>40000045</v>
      </c>
      <c r="B1912" t="s">
        <v>1113</v>
      </c>
    </row>
    <row r="1913" spans="1:2" x14ac:dyDescent="0.25">
      <c r="A1913">
        <v>29999561</v>
      </c>
      <c r="B1913" t="s">
        <v>1114</v>
      </c>
    </row>
    <row r="1914" spans="1:2" x14ac:dyDescent="0.25">
      <c r="A1914">
        <v>30000141</v>
      </c>
      <c r="B1914" t="s">
        <v>1115</v>
      </c>
    </row>
    <row r="1915" spans="1:2" x14ac:dyDescent="0.25">
      <c r="A1915">
        <v>29999995</v>
      </c>
      <c r="B1915" t="s">
        <v>1116</v>
      </c>
    </row>
    <row r="1916" spans="1:2" x14ac:dyDescent="0.25">
      <c r="A1916">
        <v>30000891</v>
      </c>
      <c r="B1916" t="s">
        <v>1117</v>
      </c>
    </row>
    <row r="1917" spans="1:2" x14ac:dyDescent="0.25">
      <c r="A1917">
        <v>30000856</v>
      </c>
      <c r="B1917" t="s">
        <v>1118</v>
      </c>
    </row>
    <row r="1918" spans="1:2" x14ac:dyDescent="0.25">
      <c r="A1918">
        <v>50000034</v>
      </c>
      <c r="B1918" t="s">
        <v>1119</v>
      </c>
    </row>
    <row r="1919" spans="1:2" x14ac:dyDescent="0.25">
      <c r="A1919">
        <v>50000784</v>
      </c>
      <c r="B1919" t="s">
        <v>1120</v>
      </c>
    </row>
    <row r="1920" spans="1:2" x14ac:dyDescent="0.25">
      <c r="A1920">
        <v>50000441</v>
      </c>
      <c r="B1920" t="s">
        <v>1121</v>
      </c>
    </row>
    <row r="1921" spans="1:2" x14ac:dyDescent="0.25">
      <c r="A1921" t="s">
        <v>3642</v>
      </c>
      <c r="B1921" t="s">
        <v>1122</v>
      </c>
    </row>
    <row r="1922" spans="1:2" x14ac:dyDescent="0.25">
      <c r="A1922">
        <v>150000</v>
      </c>
      <c r="B1922" t="s">
        <v>1123</v>
      </c>
    </row>
    <row r="1923" spans="1:2" x14ac:dyDescent="0.25">
      <c r="A1923">
        <v>150000</v>
      </c>
      <c r="B1923" t="s">
        <v>1124</v>
      </c>
    </row>
    <row r="1924" spans="1:2" x14ac:dyDescent="0.25">
      <c r="A1924">
        <v>112500</v>
      </c>
      <c r="B1924" t="s">
        <v>1125</v>
      </c>
    </row>
    <row r="1925" spans="1:2" x14ac:dyDescent="0.25">
      <c r="A1925">
        <v>97500</v>
      </c>
      <c r="B1925" t="s">
        <v>1126</v>
      </c>
    </row>
    <row r="1926" spans="1:2" x14ac:dyDescent="0.25">
      <c r="A1926">
        <v>97500</v>
      </c>
      <c r="B1926" t="s">
        <v>1127</v>
      </c>
    </row>
    <row r="1927" spans="1:2" x14ac:dyDescent="0.25">
      <c r="A1927">
        <v>97500</v>
      </c>
      <c r="B1927" t="s">
        <v>1128</v>
      </c>
    </row>
    <row r="1928" spans="1:2" x14ac:dyDescent="0.25">
      <c r="A1928">
        <v>93000</v>
      </c>
      <c r="B1928" t="s">
        <v>1129</v>
      </c>
    </row>
    <row r="1929" spans="1:2" x14ac:dyDescent="0.25">
      <c r="A1929">
        <v>97500</v>
      </c>
      <c r="B1929" t="s">
        <v>1130</v>
      </c>
    </row>
    <row r="1930" spans="1:2" x14ac:dyDescent="0.25">
      <c r="A1930">
        <v>127500</v>
      </c>
      <c r="B1930" t="s">
        <v>1131</v>
      </c>
    </row>
    <row r="1931" spans="1:2" x14ac:dyDescent="0.25">
      <c r="A1931">
        <v>127500</v>
      </c>
      <c r="B1931" t="s">
        <v>1132</v>
      </c>
    </row>
    <row r="1932" spans="1:2" x14ac:dyDescent="0.25">
      <c r="A1932">
        <v>127500</v>
      </c>
      <c r="B1932" t="s">
        <v>1133</v>
      </c>
    </row>
    <row r="1933" spans="1:2" x14ac:dyDescent="0.25">
      <c r="A1933">
        <v>112500</v>
      </c>
      <c r="B1933" t="s">
        <v>1134</v>
      </c>
    </row>
    <row r="1934" spans="1:2" x14ac:dyDescent="0.25">
      <c r="A1934">
        <v>1000000</v>
      </c>
      <c r="B1934" t="s">
        <v>1135</v>
      </c>
    </row>
    <row r="1935" spans="1:2" x14ac:dyDescent="0.25">
      <c r="A1935">
        <v>1000000</v>
      </c>
      <c r="B1935" t="s">
        <v>1136</v>
      </c>
    </row>
    <row r="1936" spans="1:2" x14ac:dyDescent="0.25">
      <c r="A1936">
        <v>950000</v>
      </c>
      <c r="B1936" t="s">
        <v>1137</v>
      </c>
    </row>
    <row r="1937" spans="1:2" x14ac:dyDescent="0.25">
      <c r="A1937">
        <v>800000</v>
      </c>
      <c r="B1937" t="s">
        <v>1138</v>
      </c>
    </row>
    <row r="1938" spans="1:2" x14ac:dyDescent="0.25">
      <c r="A1938">
        <v>700000</v>
      </c>
      <c r="B1938" t="s">
        <v>1139</v>
      </c>
    </row>
    <row r="1939" spans="1:2" x14ac:dyDescent="0.25">
      <c r="A1939">
        <v>600000</v>
      </c>
      <c r="B1939" t="s">
        <v>1140</v>
      </c>
    </row>
    <row r="1940" spans="1:2" x14ac:dyDescent="0.25">
      <c r="A1940">
        <v>600000</v>
      </c>
      <c r="B1940" t="s">
        <v>1141</v>
      </c>
    </row>
    <row r="1941" spans="1:2" x14ac:dyDescent="0.25">
      <c r="A1941">
        <v>700000</v>
      </c>
      <c r="B1941" t="s">
        <v>1142</v>
      </c>
    </row>
    <row r="1942" spans="1:2" x14ac:dyDescent="0.25">
      <c r="A1942">
        <v>900000</v>
      </c>
      <c r="B1942" t="s">
        <v>1143</v>
      </c>
    </row>
    <row r="1943" spans="1:2" x14ac:dyDescent="0.25">
      <c r="A1943">
        <v>1100000</v>
      </c>
      <c r="B1943" t="s">
        <v>1144</v>
      </c>
    </row>
    <row r="1944" spans="1:2" x14ac:dyDescent="0.25">
      <c r="A1944">
        <v>1100000</v>
      </c>
      <c r="B1944" t="s">
        <v>1145</v>
      </c>
    </row>
    <row r="1945" spans="1:2" x14ac:dyDescent="0.25">
      <c r="A1945">
        <v>800000</v>
      </c>
      <c r="B1945" t="s">
        <v>1146</v>
      </c>
    </row>
    <row r="1946" spans="1:2" x14ac:dyDescent="0.25">
      <c r="A1946">
        <v>13000192</v>
      </c>
      <c r="B1946" t="s">
        <v>1147</v>
      </c>
    </row>
    <row r="1947" spans="1:2" x14ac:dyDescent="0.25">
      <c r="A1947">
        <v>13000152</v>
      </c>
      <c r="B1947" t="s">
        <v>1148</v>
      </c>
    </row>
    <row r="1948" spans="1:2" x14ac:dyDescent="0.25">
      <c r="A1948">
        <v>12999596</v>
      </c>
      <c r="B1948" t="s">
        <v>1149</v>
      </c>
    </row>
    <row r="1949" spans="1:2" x14ac:dyDescent="0.25">
      <c r="A1949">
        <v>12999857</v>
      </c>
      <c r="B1949" t="s">
        <v>1150</v>
      </c>
    </row>
    <row r="1950" spans="1:2" x14ac:dyDescent="0.25">
      <c r="A1950">
        <v>12999753</v>
      </c>
      <c r="B1950" t="s">
        <v>1151</v>
      </c>
    </row>
    <row r="1951" spans="1:2" x14ac:dyDescent="0.25">
      <c r="A1951">
        <v>13000168</v>
      </c>
      <c r="B1951" t="s">
        <v>1152</v>
      </c>
    </row>
    <row r="1952" spans="1:2" x14ac:dyDescent="0.25">
      <c r="A1952">
        <v>12999563</v>
      </c>
      <c r="B1952" t="s">
        <v>1153</v>
      </c>
    </row>
    <row r="1953" spans="1:2" x14ac:dyDescent="0.25">
      <c r="A1953">
        <v>13000316</v>
      </c>
      <c r="B1953" t="s">
        <v>1154</v>
      </c>
    </row>
    <row r="1954" spans="1:2" x14ac:dyDescent="0.25">
      <c r="A1954" t="s">
        <v>3643</v>
      </c>
      <c r="B1954" t="s">
        <v>1155</v>
      </c>
    </row>
    <row r="1955" spans="1:2" x14ac:dyDescent="0.25">
      <c r="A1955">
        <v>13000442</v>
      </c>
      <c r="B1955" t="s">
        <v>1156</v>
      </c>
    </row>
    <row r="1956" spans="1:2" x14ac:dyDescent="0.25">
      <c r="A1956">
        <v>13000137</v>
      </c>
      <c r="B1956" t="s">
        <v>1157</v>
      </c>
    </row>
    <row r="1957" spans="1:2" x14ac:dyDescent="0.25">
      <c r="A1957">
        <v>13000438</v>
      </c>
      <c r="B1957" t="s">
        <v>1158</v>
      </c>
    </row>
    <row r="1958" spans="1:2" x14ac:dyDescent="0.25">
      <c r="A1958">
        <v>30000</v>
      </c>
      <c r="B1958" t="s">
        <v>1159</v>
      </c>
    </row>
    <row r="1959" spans="1:2" x14ac:dyDescent="0.25">
      <c r="A1959">
        <v>25000</v>
      </c>
      <c r="B1959" t="s">
        <v>1160</v>
      </c>
    </row>
    <row r="1960" spans="1:2" x14ac:dyDescent="0.25">
      <c r="A1960">
        <v>25000</v>
      </c>
      <c r="B1960" t="s">
        <v>1161</v>
      </c>
    </row>
    <row r="1961" spans="1:2" x14ac:dyDescent="0.25">
      <c r="A1961">
        <v>22000</v>
      </c>
      <c r="B1961" t="s">
        <v>1162</v>
      </c>
    </row>
    <row r="1962" spans="1:2" x14ac:dyDescent="0.25">
      <c r="A1962">
        <v>17000</v>
      </c>
      <c r="B1962" t="s">
        <v>1163</v>
      </c>
    </row>
    <row r="1963" spans="1:2" x14ac:dyDescent="0.25">
      <c r="A1963">
        <v>4000</v>
      </c>
      <c r="B1963" t="s">
        <v>1164</v>
      </c>
    </row>
    <row r="1964" spans="1:2" x14ac:dyDescent="0.25">
      <c r="A1964">
        <v>4000</v>
      </c>
      <c r="B1964" t="s">
        <v>1165</v>
      </c>
    </row>
    <row r="1965" spans="1:2" x14ac:dyDescent="0.25">
      <c r="A1965">
        <v>3000</v>
      </c>
      <c r="B1965" t="s">
        <v>1166</v>
      </c>
    </row>
    <row r="1966" spans="1:2" x14ac:dyDescent="0.25">
      <c r="A1966">
        <v>12000</v>
      </c>
      <c r="B1966" t="s">
        <v>1167</v>
      </c>
    </row>
    <row r="1967" spans="1:2" x14ac:dyDescent="0.25">
      <c r="A1967">
        <v>20000</v>
      </c>
      <c r="B1967" t="s">
        <v>1168</v>
      </c>
    </row>
    <row r="1968" spans="1:2" x14ac:dyDescent="0.25">
      <c r="A1968">
        <v>25000</v>
      </c>
      <c r="B1968" t="s">
        <v>1169</v>
      </c>
    </row>
    <row r="1969" spans="1:2" x14ac:dyDescent="0.25">
      <c r="A1969">
        <v>25000</v>
      </c>
      <c r="B1969" t="s">
        <v>1170</v>
      </c>
    </row>
    <row r="1970" spans="1:2" x14ac:dyDescent="0.25">
      <c r="A1970">
        <v>30000</v>
      </c>
      <c r="B1970" t="s">
        <v>1171</v>
      </c>
    </row>
    <row r="1971" spans="1:2" x14ac:dyDescent="0.25">
      <c r="A1971">
        <v>30000</v>
      </c>
      <c r="B1971" t="s">
        <v>1172</v>
      </c>
    </row>
    <row r="1972" spans="1:2" x14ac:dyDescent="0.25">
      <c r="A1972">
        <v>30000</v>
      </c>
      <c r="B1972" t="s">
        <v>1173</v>
      </c>
    </row>
    <row r="1973" spans="1:2" x14ac:dyDescent="0.25">
      <c r="A1973">
        <v>25000</v>
      </c>
      <c r="B1973" t="s">
        <v>1174</v>
      </c>
    </row>
    <row r="1974" spans="1:2" x14ac:dyDescent="0.25">
      <c r="A1974">
        <v>18000</v>
      </c>
      <c r="B1974" t="s">
        <v>1175</v>
      </c>
    </row>
    <row r="1975" spans="1:2" x14ac:dyDescent="0.25">
      <c r="A1975">
        <v>8000</v>
      </c>
      <c r="B1975" t="s">
        <v>1176</v>
      </c>
    </row>
    <row r="1976" spans="1:2" x14ac:dyDescent="0.25">
      <c r="A1976">
        <v>8000</v>
      </c>
      <c r="B1976" t="s">
        <v>1177</v>
      </c>
    </row>
    <row r="1977" spans="1:2" x14ac:dyDescent="0.25">
      <c r="A1977">
        <v>8000</v>
      </c>
      <c r="B1977" t="s">
        <v>1178</v>
      </c>
    </row>
    <row r="1978" spans="1:2" x14ac:dyDescent="0.25">
      <c r="A1978">
        <v>15000</v>
      </c>
      <c r="B1978" t="s">
        <v>1179</v>
      </c>
    </row>
    <row r="1979" spans="1:2" x14ac:dyDescent="0.25">
      <c r="A1979">
        <v>25000</v>
      </c>
      <c r="B1979" t="s">
        <v>1180</v>
      </c>
    </row>
    <row r="1980" spans="1:2" x14ac:dyDescent="0.25">
      <c r="A1980">
        <v>25000</v>
      </c>
      <c r="B1980" t="s">
        <v>1181</v>
      </c>
    </row>
    <row r="1981" spans="1:2" x14ac:dyDescent="0.25">
      <c r="A1981">
        <v>20000</v>
      </c>
      <c r="B1981" t="s">
        <v>1182</v>
      </c>
    </row>
    <row r="1982" spans="1:2" x14ac:dyDescent="0.25">
      <c r="A1982">
        <v>15000477</v>
      </c>
      <c r="B1982" t="s">
        <v>1183</v>
      </c>
    </row>
    <row r="1983" spans="1:2" x14ac:dyDescent="0.25">
      <c r="A1983">
        <v>10000477</v>
      </c>
      <c r="B1983" t="s">
        <v>1184</v>
      </c>
    </row>
    <row r="1984" spans="1:2" x14ac:dyDescent="0.25">
      <c r="A1984">
        <v>10000477</v>
      </c>
      <c r="B1984" t="s">
        <v>1185</v>
      </c>
    </row>
    <row r="1985" spans="1:2" x14ac:dyDescent="0.25">
      <c r="A1985">
        <v>7000477</v>
      </c>
      <c r="B1985" t="s">
        <v>1186</v>
      </c>
    </row>
    <row r="1986" spans="1:2" x14ac:dyDescent="0.25">
      <c r="A1986">
        <v>7000477</v>
      </c>
      <c r="B1986" t="s">
        <v>1187</v>
      </c>
    </row>
    <row r="1987" spans="1:2" x14ac:dyDescent="0.25">
      <c r="A1987">
        <v>7000477</v>
      </c>
      <c r="B1987" t="s">
        <v>1188</v>
      </c>
    </row>
    <row r="1988" spans="1:2" x14ac:dyDescent="0.25">
      <c r="A1988">
        <v>7000477</v>
      </c>
      <c r="B1988" t="s">
        <v>1189</v>
      </c>
    </row>
    <row r="1989" spans="1:2" x14ac:dyDescent="0.25">
      <c r="A1989">
        <v>7000477</v>
      </c>
      <c r="B1989" t="s">
        <v>1190</v>
      </c>
    </row>
    <row r="1990" spans="1:2" x14ac:dyDescent="0.25">
      <c r="A1990">
        <v>12000477</v>
      </c>
      <c r="B1990" t="s">
        <v>1191</v>
      </c>
    </row>
    <row r="1991" spans="1:2" x14ac:dyDescent="0.25">
      <c r="A1991">
        <v>12000477</v>
      </c>
      <c r="B1991" t="s">
        <v>1192</v>
      </c>
    </row>
    <row r="1992" spans="1:2" x14ac:dyDescent="0.25">
      <c r="A1992">
        <v>12000477</v>
      </c>
      <c r="B1992" t="s">
        <v>1193</v>
      </c>
    </row>
    <row r="1993" spans="1:2" x14ac:dyDescent="0.25">
      <c r="A1993">
        <v>7000477</v>
      </c>
      <c r="B1993" t="s">
        <v>1194</v>
      </c>
    </row>
    <row r="1994" spans="1:2" x14ac:dyDescent="0.25">
      <c r="A1994">
        <v>150000</v>
      </c>
      <c r="B1994" t="s">
        <v>1195</v>
      </c>
    </row>
    <row r="1995" spans="1:2" x14ac:dyDescent="0.25">
      <c r="A1995">
        <v>150000</v>
      </c>
      <c r="B1995" t="s">
        <v>1196</v>
      </c>
    </row>
    <row r="1996" spans="1:2" x14ac:dyDescent="0.25">
      <c r="A1996">
        <v>150000</v>
      </c>
      <c r="B1996" t="s">
        <v>1197</v>
      </c>
    </row>
    <row r="1997" spans="1:2" x14ac:dyDescent="0.25">
      <c r="A1997">
        <v>80000</v>
      </c>
      <c r="B1997" t="s">
        <v>1198</v>
      </c>
    </row>
    <row r="1998" spans="1:2" x14ac:dyDescent="0.25">
      <c r="A1998">
        <v>60000</v>
      </c>
      <c r="B1998" t="s">
        <v>1199</v>
      </c>
    </row>
    <row r="1999" spans="1:2" x14ac:dyDescent="0.25">
      <c r="A1999">
        <v>60000</v>
      </c>
      <c r="B1999" t="s">
        <v>1200</v>
      </c>
    </row>
    <row r="2000" spans="1:2" x14ac:dyDescent="0.25">
      <c r="A2000">
        <v>60000</v>
      </c>
      <c r="B2000" t="s">
        <v>1201</v>
      </c>
    </row>
    <row r="2001" spans="1:2" x14ac:dyDescent="0.25">
      <c r="A2001">
        <v>80000</v>
      </c>
      <c r="B2001" t="s">
        <v>1202</v>
      </c>
    </row>
    <row r="2002" spans="1:2" x14ac:dyDescent="0.25">
      <c r="A2002">
        <v>130000</v>
      </c>
      <c r="B2002" t="s">
        <v>1203</v>
      </c>
    </row>
    <row r="2003" spans="1:2" x14ac:dyDescent="0.25">
      <c r="A2003">
        <v>140000</v>
      </c>
      <c r="B2003" t="s">
        <v>1204</v>
      </c>
    </row>
    <row r="2004" spans="1:2" x14ac:dyDescent="0.25">
      <c r="A2004">
        <v>140000</v>
      </c>
      <c r="B2004" t="s">
        <v>1205</v>
      </c>
    </row>
    <row r="2005" spans="1:2" x14ac:dyDescent="0.25">
      <c r="A2005">
        <v>100000</v>
      </c>
      <c r="B2005" t="s">
        <v>1206</v>
      </c>
    </row>
    <row r="2006" spans="1:2" x14ac:dyDescent="0.25">
      <c r="A2006">
        <v>170000</v>
      </c>
      <c r="B2006" t="s">
        <v>1207</v>
      </c>
    </row>
    <row r="2007" spans="1:2" x14ac:dyDescent="0.25">
      <c r="A2007">
        <v>170000</v>
      </c>
      <c r="B2007" t="s">
        <v>1208</v>
      </c>
    </row>
    <row r="2008" spans="1:2" x14ac:dyDescent="0.25">
      <c r="A2008">
        <v>130000</v>
      </c>
      <c r="B2008" t="s">
        <v>1209</v>
      </c>
    </row>
    <row r="2009" spans="1:2" x14ac:dyDescent="0.25">
      <c r="A2009">
        <v>100000</v>
      </c>
      <c r="B2009" t="s">
        <v>1210</v>
      </c>
    </row>
    <row r="2010" spans="1:2" x14ac:dyDescent="0.25">
      <c r="A2010">
        <v>70000</v>
      </c>
      <c r="B2010" t="s">
        <v>1211</v>
      </c>
    </row>
    <row r="2011" spans="1:2" x14ac:dyDescent="0.25">
      <c r="A2011">
        <v>50000</v>
      </c>
      <c r="B2011" t="s">
        <v>1212</v>
      </c>
    </row>
    <row r="2012" spans="1:2" x14ac:dyDescent="0.25">
      <c r="A2012">
        <v>50000</v>
      </c>
      <c r="B2012" t="s">
        <v>1213</v>
      </c>
    </row>
    <row r="2013" spans="1:2" x14ac:dyDescent="0.25">
      <c r="A2013">
        <v>80000</v>
      </c>
      <c r="B2013" t="s">
        <v>1214</v>
      </c>
    </row>
    <row r="2014" spans="1:2" x14ac:dyDescent="0.25">
      <c r="A2014">
        <v>110000</v>
      </c>
      <c r="B2014" t="s">
        <v>1215</v>
      </c>
    </row>
    <row r="2015" spans="1:2" x14ac:dyDescent="0.25">
      <c r="A2015">
        <v>150000</v>
      </c>
      <c r="B2015" t="s">
        <v>1216</v>
      </c>
    </row>
    <row r="2016" spans="1:2" x14ac:dyDescent="0.25">
      <c r="A2016">
        <v>150000</v>
      </c>
      <c r="B2016" t="s">
        <v>1217</v>
      </c>
    </row>
    <row r="2017" spans="1:2" x14ac:dyDescent="0.25">
      <c r="A2017">
        <v>130000</v>
      </c>
      <c r="B2017" t="s">
        <v>1218</v>
      </c>
    </row>
    <row r="2018" spans="1:2" x14ac:dyDescent="0.25">
      <c r="A2018">
        <v>4320</v>
      </c>
      <c r="B2018" t="s">
        <v>1219</v>
      </c>
    </row>
    <row r="2019" spans="1:2" x14ac:dyDescent="0.25">
      <c r="A2019">
        <v>0</v>
      </c>
      <c r="B2019" t="s">
        <v>1220</v>
      </c>
    </row>
    <row r="2020" spans="1:2" x14ac:dyDescent="0.25">
      <c r="A2020">
        <v>0</v>
      </c>
      <c r="B2020" t="s">
        <v>1221</v>
      </c>
    </row>
    <row r="2021" spans="1:2" x14ac:dyDescent="0.25">
      <c r="A2021">
        <v>0</v>
      </c>
      <c r="B2021" t="s">
        <v>1222</v>
      </c>
    </row>
    <row r="2022" spans="1:2" x14ac:dyDescent="0.25">
      <c r="A2022">
        <v>4320</v>
      </c>
      <c r="B2022" t="s">
        <v>1223</v>
      </c>
    </row>
    <row r="2023" spans="1:2" x14ac:dyDescent="0.25">
      <c r="A2023">
        <v>0</v>
      </c>
      <c r="B2023" t="s">
        <v>1224</v>
      </c>
    </row>
    <row r="2024" spans="1:2" x14ac:dyDescent="0.25">
      <c r="A2024">
        <v>0</v>
      </c>
      <c r="B2024" t="s">
        <v>1225</v>
      </c>
    </row>
    <row r="2025" spans="1:2" x14ac:dyDescent="0.25">
      <c r="A2025">
        <v>4320</v>
      </c>
      <c r="B2025" t="s">
        <v>1226</v>
      </c>
    </row>
    <row r="2026" spans="1:2" x14ac:dyDescent="0.25">
      <c r="A2026">
        <v>0</v>
      </c>
      <c r="B2026" t="s">
        <v>1227</v>
      </c>
    </row>
    <row r="2027" spans="1:2" x14ac:dyDescent="0.25">
      <c r="A2027">
        <v>0</v>
      </c>
      <c r="B2027" t="s">
        <v>1228</v>
      </c>
    </row>
    <row r="2028" spans="1:2" x14ac:dyDescent="0.25">
      <c r="A2028">
        <v>0</v>
      </c>
      <c r="B2028" t="s">
        <v>1229</v>
      </c>
    </row>
    <row r="2029" spans="1:2" x14ac:dyDescent="0.25">
      <c r="A2029">
        <v>4320</v>
      </c>
      <c r="B2029" t="s">
        <v>1230</v>
      </c>
    </row>
    <row r="2030" spans="1:2" x14ac:dyDescent="0.25">
      <c r="A2030">
        <v>0</v>
      </c>
      <c r="B2030" t="s">
        <v>1231</v>
      </c>
    </row>
    <row r="2031" spans="1:2" x14ac:dyDescent="0.25">
      <c r="A2031">
        <v>5200</v>
      </c>
      <c r="B2031" t="s">
        <v>1232</v>
      </c>
    </row>
    <row r="2032" spans="1:2" x14ac:dyDescent="0.25">
      <c r="A2032">
        <v>0</v>
      </c>
      <c r="B2032" t="s">
        <v>1233</v>
      </c>
    </row>
    <row r="2033" spans="1:2" x14ac:dyDescent="0.25">
      <c r="A2033">
        <v>5200</v>
      </c>
      <c r="B2033" t="s">
        <v>1234</v>
      </c>
    </row>
    <row r="2034" spans="1:2" x14ac:dyDescent="0.25">
      <c r="A2034">
        <v>0</v>
      </c>
      <c r="B2034" t="s">
        <v>1235</v>
      </c>
    </row>
    <row r="2035" spans="1:2" x14ac:dyDescent="0.25">
      <c r="A2035">
        <v>5200</v>
      </c>
      <c r="B2035" t="s">
        <v>1236</v>
      </c>
    </row>
    <row r="2036" spans="1:2" x14ac:dyDescent="0.25">
      <c r="A2036">
        <v>0</v>
      </c>
      <c r="B2036" t="s">
        <v>1237</v>
      </c>
    </row>
    <row r="2037" spans="1:2" x14ac:dyDescent="0.25">
      <c r="A2037">
        <v>0</v>
      </c>
      <c r="B2037" t="s">
        <v>1238</v>
      </c>
    </row>
    <row r="2038" spans="1:2" x14ac:dyDescent="0.25">
      <c r="A2038">
        <v>0</v>
      </c>
      <c r="B2038" t="s">
        <v>1239</v>
      </c>
    </row>
    <row r="2039" spans="1:2" x14ac:dyDescent="0.25">
      <c r="A2039">
        <v>0</v>
      </c>
      <c r="B2039" t="s">
        <v>1240</v>
      </c>
    </row>
    <row r="2040" spans="1:2" x14ac:dyDescent="0.25">
      <c r="A2040">
        <v>0</v>
      </c>
      <c r="B2040" t="s">
        <v>1241</v>
      </c>
    </row>
    <row r="2041" spans="1:2" x14ac:dyDescent="0.25">
      <c r="A2041">
        <v>5200</v>
      </c>
      <c r="B2041" t="s">
        <v>1242</v>
      </c>
    </row>
    <row r="2042" spans="1:2" x14ac:dyDescent="0.25">
      <c r="A2042">
        <v>0</v>
      </c>
      <c r="B2042" t="s">
        <v>1243</v>
      </c>
    </row>
    <row r="2043" spans="1:2" x14ac:dyDescent="0.25">
      <c r="A2043">
        <v>5200</v>
      </c>
      <c r="B2043" t="s">
        <v>1244</v>
      </c>
    </row>
    <row r="2044" spans="1:2" x14ac:dyDescent="0.25">
      <c r="A2044">
        <v>0</v>
      </c>
      <c r="B2044" t="s">
        <v>1245</v>
      </c>
    </row>
    <row r="2045" spans="1:2" x14ac:dyDescent="0.25">
      <c r="A2045">
        <v>5200</v>
      </c>
      <c r="B2045" t="s">
        <v>1246</v>
      </c>
    </row>
    <row r="2046" spans="1:2" x14ac:dyDescent="0.25">
      <c r="A2046">
        <v>0</v>
      </c>
      <c r="B2046" t="s">
        <v>1247</v>
      </c>
    </row>
    <row r="2047" spans="1:2" x14ac:dyDescent="0.25">
      <c r="A2047">
        <v>5200</v>
      </c>
      <c r="B2047" t="s">
        <v>1248</v>
      </c>
    </row>
    <row r="2048" spans="1:2" x14ac:dyDescent="0.25">
      <c r="A2048">
        <v>0</v>
      </c>
      <c r="B2048" t="s">
        <v>1249</v>
      </c>
    </row>
    <row r="2049" spans="1:2" x14ac:dyDescent="0.25">
      <c r="A2049">
        <v>0</v>
      </c>
      <c r="B2049" t="s">
        <v>1250</v>
      </c>
    </row>
    <row r="2050" spans="1:2" x14ac:dyDescent="0.25">
      <c r="A2050">
        <v>0</v>
      </c>
      <c r="B2050" t="s">
        <v>1251</v>
      </c>
    </row>
    <row r="2051" spans="1:2" x14ac:dyDescent="0.25">
      <c r="A2051">
        <v>0</v>
      </c>
      <c r="B2051" t="s">
        <v>1252</v>
      </c>
    </row>
    <row r="2052" spans="1:2" x14ac:dyDescent="0.25">
      <c r="A2052">
        <v>0</v>
      </c>
      <c r="B2052" t="s">
        <v>1253</v>
      </c>
    </row>
    <row r="2053" spans="1:2" x14ac:dyDescent="0.25">
      <c r="A2053">
        <v>5200</v>
      </c>
      <c r="B2053" t="s">
        <v>1254</v>
      </c>
    </row>
    <row r="2054" spans="1:2" x14ac:dyDescent="0.25">
      <c r="A2054">
        <v>0</v>
      </c>
      <c r="B2054" t="s">
        <v>1255</v>
      </c>
    </row>
    <row r="2055" spans="1:2" x14ac:dyDescent="0.25">
      <c r="B2055" t="s">
        <v>1256</v>
      </c>
    </row>
    <row r="2056" spans="1:2" x14ac:dyDescent="0.25">
      <c r="B2056" t="s">
        <v>1257</v>
      </c>
    </row>
    <row r="2057" spans="1:2" x14ac:dyDescent="0.25">
      <c r="B2057" t="s">
        <v>1258</v>
      </c>
    </row>
    <row r="2058" spans="1:2" x14ac:dyDescent="0.25">
      <c r="B2058" t="s">
        <v>1259</v>
      </c>
    </row>
    <row r="2059" spans="1:2" x14ac:dyDescent="0.25">
      <c r="B2059" t="s">
        <v>1260</v>
      </c>
    </row>
    <row r="2060" spans="1:2" x14ac:dyDescent="0.25">
      <c r="B2060" t="s">
        <v>1261</v>
      </c>
    </row>
    <row r="2061" spans="1:2" x14ac:dyDescent="0.25">
      <c r="B2061" t="s">
        <v>1262</v>
      </c>
    </row>
    <row r="2062" spans="1:2" x14ac:dyDescent="0.25">
      <c r="B2062" t="s">
        <v>1263</v>
      </c>
    </row>
    <row r="2063" spans="1:2" x14ac:dyDescent="0.25">
      <c r="B2063" t="s">
        <v>1264</v>
      </c>
    </row>
    <row r="2064" spans="1:2" x14ac:dyDescent="0.25">
      <c r="B2064" t="s">
        <v>1265</v>
      </c>
    </row>
    <row r="2065" spans="1:2" x14ac:dyDescent="0.25">
      <c r="B2065" t="s">
        <v>1266</v>
      </c>
    </row>
    <row r="2066" spans="1:2" x14ac:dyDescent="0.25">
      <c r="A2066">
        <v>17389</v>
      </c>
      <c r="B2066" t="s">
        <v>119</v>
      </c>
    </row>
    <row r="2067" spans="1:2" x14ac:dyDescent="0.25">
      <c r="A2067">
        <v>49560</v>
      </c>
      <c r="B2067" t="s">
        <v>77</v>
      </c>
    </row>
    <row r="2068" spans="1:2" x14ac:dyDescent="0.25">
      <c r="A2068">
        <v>15288</v>
      </c>
      <c r="B2068" t="s">
        <v>78</v>
      </c>
    </row>
    <row r="2069" spans="1:2" x14ac:dyDescent="0.25">
      <c r="A2069">
        <v>13111</v>
      </c>
      <c r="B2069" t="s">
        <v>79</v>
      </c>
    </row>
    <row r="2070" spans="1:2" x14ac:dyDescent="0.25">
      <c r="A2070">
        <v>14750</v>
      </c>
      <c r="B2070" t="s">
        <v>80</v>
      </c>
    </row>
    <row r="2071" spans="1:2" x14ac:dyDescent="0.25">
      <c r="A2071">
        <v>22391</v>
      </c>
      <c r="B2071" t="s">
        <v>81</v>
      </c>
    </row>
    <row r="2072" spans="1:2" x14ac:dyDescent="0.25">
      <c r="A2072">
        <v>21463</v>
      </c>
      <c r="B2072" t="s">
        <v>82</v>
      </c>
    </row>
    <row r="2073" spans="1:2" x14ac:dyDescent="0.25">
      <c r="A2073">
        <v>40000</v>
      </c>
      <c r="B2073" t="s">
        <v>83</v>
      </c>
    </row>
    <row r="2074" spans="1:2" x14ac:dyDescent="0.25">
      <c r="A2074">
        <v>40000</v>
      </c>
      <c r="B2074" t="s">
        <v>84</v>
      </c>
    </row>
    <row r="2075" spans="1:2" x14ac:dyDescent="0.25">
      <c r="A2075">
        <v>35000</v>
      </c>
      <c r="B2075" t="s">
        <v>85</v>
      </c>
    </row>
    <row r="2076" spans="1:2" x14ac:dyDescent="0.25">
      <c r="A2076">
        <v>35000</v>
      </c>
      <c r="B2076" t="s">
        <v>86</v>
      </c>
    </row>
    <row r="2077" spans="1:2" x14ac:dyDescent="0.25">
      <c r="A2077">
        <v>20000</v>
      </c>
      <c r="B2077" t="s">
        <v>87</v>
      </c>
    </row>
    <row r="2078" spans="1:2" x14ac:dyDescent="0.25">
      <c r="A2078">
        <v>92277</v>
      </c>
      <c r="B2078" t="s">
        <v>64</v>
      </c>
    </row>
    <row r="2079" spans="1:2" x14ac:dyDescent="0.25">
      <c r="A2079">
        <v>0</v>
      </c>
      <c r="B2079" t="s">
        <v>121</v>
      </c>
    </row>
    <row r="2080" spans="1:2" x14ac:dyDescent="0.25">
      <c r="A2080">
        <v>0</v>
      </c>
      <c r="B2080" t="s">
        <v>88</v>
      </c>
    </row>
    <row r="2081" spans="1:2" x14ac:dyDescent="0.25">
      <c r="A2081">
        <v>0</v>
      </c>
      <c r="B2081" t="s">
        <v>89</v>
      </c>
    </row>
    <row r="2082" spans="1:2" x14ac:dyDescent="0.25">
      <c r="A2082">
        <v>0</v>
      </c>
      <c r="B2082" t="s">
        <v>90</v>
      </c>
    </row>
    <row r="2083" spans="1:2" x14ac:dyDescent="0.25">
      <c r="A2083">
        <v>0</v>
      </c>
      <c r="B2083" t="s">
        <v>91</v>
      </c>
    </row>
    <row r="2084" spans="1:2" x14ac:dyDescent="0.25">
      <c r="A2084">
        <v>0</v>
      </c>
      <c r="B2084" t="s">
        <v>92</v>
      </c>
    </row>
    <row r="2085" spans="1:2" x14ac:dyDescent="0.25">
      <c r="A2085">
        <v>0</v>
      </c>
      <c r="B2085" t="s">
        <v>93</v>
      </c>
    </row>
    <row r="2086" spans="1:2" x14ac:dyDescent="0.25">
      <c r="A2086">
        <v>0</v>
      </c>
      <c r="B2086" t="s">
        <v>94</v>
      </c>
    </row>
    <row r="2087" spans="1:2" x14ac:dyDescent="0.25">
      <c r="A2087">
        <v>0</v>
      </c>
      <c r="B2087" t="s">
        <v>95</v>
      </c>
    </row>
    <row r="2088" spans="1:2" x14ac:dyDescent="0.25">
      <c r="A2088">
        <v>0</v>
      </c>
      <c r="B2088" t="s">
        <v>96</v>
      </c>
    </row>
    <row r="2089" spans="1:2" x14ac:dyDescent="0.25">
      <c r="A2089">
        <v>0</v>
      </c>
      <c r="B2089" t="s">
        <v>65</v>
      </c>
    </row>
    <row r="2090" spans="1:2" x14ac:dyDescent="0.25">
      <c r="A2090">
        <v>0</v>
      </c>
      <c r="B2090" t="s">
        <v>66</v>
      </c>
    </row>
    <row r="2091" spans="1:2" x14ac:dyDescent="0.25">
      <c r="A2091">
        <v>0</v>
      </c>
      <c r="B2091" t="s">
        <v>67</v>
      </c>
    </row>
    <row r="2092" spans="1:2" x14ac:dyDescent="0.25">
      <c r="A2092">
        <v>0</v>
      </c>
      <c r="B2092" t="s">
        <v>68</v>
      </c>
    </row>
    <row r="2093" spans="1:2" x14ac:dyDescent="0.25">
      <c r="A2093">
        <v>0</v>
      </c>
      <c r="B2093" t="s">
        <v>97</v>
      </c>
    </row>
    <row r="2094" spans="1:2" x14ac:dyDescent="0.25">
      <c r="A2094">
        <v>0</v>
      </c>
      <c r="B2094" t="s">
        <v>98</v>
      </c>
    </row>
    <row r="2095" spans="1:2" x14ac:dyDescent="0.25">
      <c r="A2095">
        <v>0</v>
      </c>
      <c r="B2095" t="s">
        <v>99</v>
      </c>
    </row>
    <row r="2096" spans="1:2" x14ac:dyDescent="0.25">
      <c r="A2096">
        <v>0</v>
      </c>
      <c r="B2096" t="s">
        <v>100</v>
      </c>
    </row>
    <row r="2097" spans="1:2" x14ac:dyDescent="0.25">
      <c r="A2097">
        <v>0</v>
      </c>
      <c r="B2097" t="s">
        <v>101</v>
      </c>
    </row>
    <row r="2098" spans="1:2" x14ac:dyDescent="0.25">
      <c r="A2098">
        <v>0</v>
      </c>
      <c r="B2098" t="s">
        <v>102</v>
      </c>
    </row>
    <row r="2099" spans="1:2" x14ac:dyDescent="0.25">
      <c r="A2099">
        <v>0</v>
      </c>
      <c r="B2099" t="s">
        <v>103</v>
      </c>
    </row>
    <row r="2100" spans="1:2" x14ac:dyDescent="0.25">
      <c r="A2100">
        <v>0</v>
      </c>
      <c r="B2100" t="s">
        <v>104</v>
      </c>
    </row>
    <row r="2101" spans="1:2" x14ac:dyDescent="0.25">
      <c r="A2101">
        <v>10560</v>
      </c>
      <c r="B2101" t="s">
        <v>69</v>
      </c>
    </row>
    <row r="2102" spans="1:2" x14ac:dyDescent="0.25">
      <c r="A2102">
        <v>30692</v>
      </c>
      <c r="B2102" t="s">
        <v>70</v>
      </c>
    </row>
    <row r="2103" spans="1:2" x14ac:dyDescent="0.25">
      <c r="A2103">
        <v>15000</v>
      </c>
      <c r="B2103" t="s">
        <v>71</v>
      </c>
    </row>
    <row r="2104" spans="1:2" x14ac:dyDescent="0.25">
      <c r="A2104">
        <v>10000</v>
      </c>
      <c r="B2104" t="s">
        <v>72</v>
      </c>
    </row>
    <row r="2105" spans="1:2" x14ac:dyDescent="0.25">
      <c r="A2105">
        <v>7000</v>
      </c>
      <c r="B2105" t="s">
        <v>105</v>
      </c>
    </row>
    <row r="2106" spans="1:2" x14ac:dyDescent="0.25">
      <c r="A2106">
        <v>7369</v>
      </c>
      <c r="B2106" t="s">
        <v>106</v>
      </c>
    </row>
    <row r="2107" spans="1:2" x14ac:dyDescent="0.25">
      <c r="A2107">
        <v>7368</v>
      </c>
      <c r="B2107" t="s">
        <v>107</v>
      </c>
    </row>
    <row r="2108" spans="1:2" x14ac:dyDescent="0.25">
      <c r="A2108">
        <v>11868</v>
      </c>
      <c r="B2108" t="s">
        <v>108</v>
      </c>
    </row>
    <row r="2109" spans="1:2" x14ac:dyDescent="0.25">
      <c r="A2109">
        <v>15869</v>
      </c>
      <c r="B2109" t="s">
        <v>109</v>
      </c>
    </row>
    <row r="2110" spans="1:2" x14ac:dyDescent="0.25">
      <c r="A2110">
        <v>17000</v>
      </c>
      <c r="B2110" t="s">
        <v>110</v>
      </c>
    </row>
    <row r="2111" spans="1:2" x14ac:dyDescent="0.25">
      <c r="A2111">
        <v>20000</v>
      </c>
      <c r="B2111" t="s">
        <v>111</v>
      </c>
    </row>
    <row r="2112" spans="1:2" x14ac:dyDescent="0.25">
      <c r="A2112">
        <v>15000</v>
      </c>
      <c r="B2112" t="s">
        <v>112</v>
      </c>
    </row>
    <row r="2113" spans="1:2" x14ac:dyDescent="0.25">
      <c r="A2113">
        <v>7540</v>
      </c>
      <c r="B2113" t="s">
        <v>73</v>
      </c>
    </row>
    <row r="2114" spans="1:2" x14ac:dyDescent="0.25">
      <c r="A2114">
        <v>0</v>
      </c>
      <c r="B2114" t="s">
        <v>113</v>
      </c>
    </row>
    <row r="2115" spans="1:2" x14ac:dyDescent="0.25">
      <c r="A2115">
        <v>0</v>
      </c>
      <c r="B2115" t="s">
        <v>114</v>
      </c>
    </row>
    <row r="2116" spans="1:2" x14ac:dyDescent="0.25">
      <c r="A2116">
        <v>0</v>
      </c>
      <c r="B2116" t="s">
        <v>115</v>
      </c>
    </row>
    <row r="2117" spans="1:2" x14ac:dyDescent="0.25">
      <c r="A2117">
        <v>0</v>
      </c>
      <c r="B2117" t="s">
        <v>116</v>
      </c>
    </row>
    <row r="2118" spans="1:2" x14ac:dyDescent="0.25">
      <c r="A2118">
        <v>0</v>
      </c>
      <c r="B2118" t="s">
        <v>117</v>
      </c>
    </row>
    <row r="2119" spans="1:2" x14ac:dyDescent="0.25">
      <c r="A2119">
        <v>0</v>
      </c>
      <c r="B2119" t="s">
        <v>118</v>
      </c>
    </row>
    <row r="2120" spans="1:2" x14ac:dyDescent="0.25">
      <c r="A2120">
        <v>0</v>
      </c>
      <c r="B2120" t="s">
        <v>127</v>
      </c>
    </row>
    <row r="2121" spans="1:2" x14ac:dyDescent="0.25">
      <c r="A2121">
        <v>0</v>
      </c>
      <c r="B2121" t="s">
        <v>128</v>
      </c>
    </row>
    <row r="2122" spans="1:2" x14ac:dyDescent="0.25">
      <c r="A2122">
        <v>0</v>
      </c>
      <c r="B2122" t="s">
        <v>129</v>
      </c>
    </row>
    <row r="2123" spans="1:2" x14ac:dyDescent="0.25">
      <c r="A2123">
        <v>0</v>
      </c>
      <c r="B2123" t="s">
        <v>130</v>
      </c>
    </row>
    <row r="2124" spans="1:2" x14ac:dyDescent="0.25">
      <c r="A2124">
        <v>0</v>
      </c>
      <c r="B2124" t="s">
        <v>131</v>
      </c>
    </row>
    <row r="2125" spans="1:2" x14ac:dyDescent="0.25">
      <c r="A2125">
        <v>157149</v>
      </c>
      <c r="B2125" t="s">
        <v>132</v>
      </c>
    </row>
    <row r="2126" spans="1:2" x14ac:dyDescent="0.25">
      <c r="A2126">
        <v>149005</v>
      </c>
      <c r="B2126" t="s">
        <v>133</v>
      </c>
    </row>
    <row r="2127" spans="1:2" x14ac:dyDescent="0.25">
      <c r="A2127">
        <v>190000</v>
      </c>
      <c r="B2127" t="s">
        <v>134</v>
      </c>
    </row>
    <row r="2128" spans="1:2" x14ac:dyDescent="0.25">
      <c r="A2128">
        <v>100000</v>
      </c>
      <c r="B2128" t="s">
        <v>135</v>
      </c>
    </row>
    <row r="2129" spans="1:2" x14ac:dyDescent="0.25">
      <c r="A2129">
        <v>100000</v>
      </c>
      <c r="B2129" t="s">
        <v>136</v>
      </c>
    </row>
    <row r="2130" spans="1:2" x14ac:dyDescent="0.25">
      <c r="A2130">
        <v>100000</v>
      </c>
      <c r="B2130" t="s">
        <v>137</v>
      </c>
    </row>
    <row r="2131" spans="1:2" x14ac:dyDescent="0.25">
      <c r="A2131">
        <v>100000</v>
      </c>
      <c r="B2131" t="s">
        <v>138</v>
      </c>
    </row>
    <row r="2132" spans="1:2" x14ac:dyDescent="0.25">
      <c r="A2132">
        <v>120000</v>
      </c>
      <c r="B2132" t="s">
        <v>139</v>
      </c>
    </row>
    <row r="2133" spans="1:2" x14ac:dyDescent="0.25">
      <c r="A2133">
        <v>120000</v>
      </c>
      <c r="B2133" t="s">
        <v>140</v>
      </c>
    </row>
    <row r="2134" spans="1:2" x14ac:dyDescent="0.25">
      <c r="A2134">
        <v>120000</v>
      </c>
      <c r="B2134" t="s">
        <v>141</v>
      </c>
    </row>
    <row r="2135" spans="1:2" x14ac:dyDescent="0.25">
      <c r="A2135">
        <v>120000</v>
      </c>
      <c r="B2135" t="s">
        <v>142</v>
      </c>
    </row>
    <row r="2136" spans="1:2" x14ac:dyDescent="0.25">
      <c r="A2136">
        <v>100000</v>
      </c>
      <c r="B2136" t="s">
        <v>143</v>
      </c>
    </row>
    <row r="2137" spans="1:2" x14ac:dyDescent="0.25">
      <c r="A2137">
        <v>79872</v>
      </c>
      <c r="B2137" t="s">
        <v>144</v>
      </c>
    </row>
    <row r="2138" spans="1:2" x14ac:dyDescent="0.25">
      <c r="A2138">
        <v>65490</v>
      </c>
      <c r="B2138" t="s">
        <v>145</v>
      </c>
    </row>
    <row r="2139" spans="1:2" x14ac:dyDescent="0.25">
      <c r="A2139">
        <v>84773</v>
      </c>
      <c r="B2139" t="s">
        <v>146</v>
      </c>
    </row>
    <row r="2140" spans="1:2" x14ac:dyDescent="0.25">
      <c r="A2140">
        <v>40211</v>
      </c>
      <c r="B2140" t="s">
        <v>147</v>
      </c>
    </row>
    <row r="2141" spans="1:2" x14ac:dyDescent="0.25">
      <c r="A2141">
        <v>89029</v>
      </c>
      <c r="B2141" t="s">
        <v>148</v>
      </c>
    </row>
    <row r="2142" spans="1:2" x14ac:dyDescent="0.25">
      <c r="A2142">
        <v>96620</v>
      </c>
      <c r="B2142" t="s">
        <v>149</v>
      </c>
    </row>
    <row r="2143" spans="1:2" x14ac:dyDescent="0.25">
      <c r="A2143">
        <v>30719</v>
      </c>
      <c r="B2143" t="s">
        <v>150</v>
      </c>
    </row>
    <row r="2144" spans="1:2" x14ac:dyDescent="0.25">
      <c r="A2144">
        <v>85307</v>
      </c>
      <c r="B2144" t="s">
        <v>151</v>
      </c>
    </row>
    <row r="2145" spans="1:2" x14ac:dyDescent="0.25">
      <c r="A2145">
        <v>39917</v>
      </c>
      <c r="B2145" t="s">
        <v>152</v>
      </c>
    </row>
    <row r="2146" spans="1:2" x14ac:dyDescent="0.25">
      <c r="A2146">
        <v>100000</v>
      </c>
      <c r="B2146" t="s">
        <v>153</v>
      </c>
    </row>
    <row r="2147" spans="1:2" x14ac:dyDescent="0.25">
      <c r="A2147">
        <v>219102</v>
      </c>
      <c r="B2147" t="s">
        <v>154</v>
      </c>
    </row>
    <row r="2148" spans="1:2" x14ac:dyDescent="0.25">
      <c r="A2148">
        <v>51421</v>
      </c>
      <c r="B2148" t="s">
        <v>155</v>
      </c>
    </row>
    <row r="2149" spans="1:2" x14ac:dyDescent="0.25">
      <c r="A2149">
        <v>0</v>
      </c>
      <c r="B2149" t="s">
        <v>122</v>
      </c>
    </row>
    <row r="2150" spans="1:2" x14ac:dyDescent="0.25">
      <c r="A2150">
        <v>0</v>
      </c>
      <c r="B2150" t="s">
        <v>156</v>
      </c>
    </row>
    <row r="2151" spans="1:2" x14ac:dyDescent="0.25">
      <c r="A2151">
        <v>0</v>
      </c>
      <c r="B2151" t="s">
        <v>157</v>
      </c>
    </row>
    <row r="2152" spans="1:2" x14ac:dyDescent="0.25">
      <c r="A2152">
        <v>0</v>
      </c>
      <c r="B2152" t="s">
        <v>158</v>
      </c>
    </row>
    <row r="2153" spans="1:2" x14ac:dyDescent="0.25">
      <c r="A2153">
        <v>0</v>
      </c>
      <c r="B2153" t="s">
        <v>159</v>
      </c>
    </row>
    <row r="2154" spans="1:2" x14ac:dyDescent="0.25">
      <c r="A2154">
        <v>0</v>
      </c>
      <c r="B2154" t="s">
        <v>160</v>
      </c>
    </row>
    <row r="2155" spans="1:2" x14ac:dyDescent="0.25">
      <c r="A2155">
        <v>0</v>
      </c>
      <c r="B2155" t="s">
        <v>161</v>
      </c>
    </row>
    <row r="2156" spans="1:2" x14ac:dyDescent="0.25">
      <c r="A2156">
        <v>0</v>
      </c>
      <c r="B2156" t="s">
        <v>162</v>
      </c>
    </row>
    <row r="2157" spans="1:2" x14ac:dyDescent="0.25">
      <c r="A2157">
        <v>0</v>
      </c>
      <c r="B2157" t="s">
        <v>163</v>
      </c>
    </row>
    <row r="2158" spans="1:2" x14ac:dyDescent="0.25">
      <c r="A2158">
        <v>0</v>
      </c>
      <c r="B2158" t="s">
        <v>164</v>
      </c>
    </row>
    <row r="2159" spans="1:2" x14ac:dyDescent="0.25">
      <c r="A2159">
        <v>0</v>
      </c>
      <c r="B2159" t="s">
        <v>165</v>
      </c>
    </row>
    <row r="2160" spans="1:2" x14ac:dyDescent="0.25">
      <c r="A2160">
        <v>10000</v>
      </c>
      <c r="B2160" t="s">
        <v>166</v>
      </c>
    </row>
    <row r="2161" spans="1:2" x14ac:dyDescent="0.25">
      <c r="A2161">
        <v>0</v>
      </c>
      <c r="B2161" t="s">
        <v>167</v>
      </c>
    </row>
    <row r="2162" spans="1:2" x14ac:dyDescent="0.25">
      <c r="A2162">
        <v>0</v>
      </c>
      <c r="B2162" t="s">
        <v>168</v>
      </c>
    </row>
    <row r="2163" spans="1:2" x14ac:dyDescent="0.25">
      <c r="A2163">
        <v>0</v>
      </c>
      <c r="B2163" t="s">
        <v>169</v>
      </c>
    </row>
    <row r="2164" spans="1:2" x14ac:dyDescent="0.25">
      <c r="A2164">
        <v>0</v>
      </c>
      <c r="B2164" t="s">
        <v>170</v>
      </c>
    </row>
    <row r="2165" spans="1:2" x14ac:dyDescent="0.25">
      <c r="A2165">
        <v>0</v>
      </c>
      <c r="B2165" t="s">
        <v>171</v>
      </c>
    </row>
    <row r="2166" spans="1:2" x14ac:dyDescent="0.25">
      <c r="A2166">
        <v>0</v>
      </c>
      <c r="B2166" t="s">
        <v>172</v>
      </c>
    </row>
    <row r="2167" spans="1:2" x14ac:dyDescent="0.25">
      <c r="A2167">
        <v>0</v>
      </c>
      <c r="B2167" t="s">
        <v>173</v>
      </c>
    </row>
    <row r="2168" spans="1:2" x14ac:dyDescent="0.25">
      <c r="A2168">
        <v>0</v>
      </c>
      <c r="B2168" t="s">
        <v>174</v>
      </c>
    </row>
    <row r="2169" spans="1:2" x14ac:dyDescent="0.25">
      <c r="A2169">
        <v>0</v>
      </c>
      <c r="B2169" t="s">
        <v>175</v>
      </c>
    </row>
    <row r="2170" spans="1:2" x14ac:dyDescent="0.25">
      <c r="A2170">
        <v>0</v>
      </c>
      <c r="B2170" t="s">
        <v>176</v>
      </c>
    </row>
    <row r="2171" spans="1:2" x14ac:dyDescent="0.25">
      <c r="A2171">
        <v>0</v>
      </c>
      <c r="B2171" t="s">
        <v>177</v>
      </c>
    </row>
    <row r="2172" spans="1:2" x14ac:dyDescent="0.25">
      <c r="A2172">
        <v>0</v>
      </c>
      <c r="B2172" t="s">
        <v>178</v>
      </c>
    </row>
    <row r="2173" spans="1:2" x14ac:dyDescent="0.25">
      <c r="A2173">
        <v>0</v>
      </c>
      <c r="B2173" t="s">
        <v>179</v>
      </c>
    </row>
    <row r="2174" spans="1:2" x14ac:dyDescent="0.25">
      <c r="A2174">
        <v>0</v>
      </c>
      <c r="B2174" t="s">
        <v>180</v>
      </c>
    </row>
    <row r="2175" spans="1:2" x14ac:dyDescent="0.25">
      <c r="A2175">
        <v>0</v>
      </c>
      <c r="B2175" t="s">
        <v>181</v>
      </c>
    </row>
    <row r="2176" spans="1:2" x14ac:dyDescent="0.25">
      <c r="A2176">
        <v>0</v>
      </c>
      <c r="B2176" t="s">
        <v>182</v>
      </c>
    </row>
    <row r="2177" spans="1:2" x14ac:dyDescent="0.25">
      <c r="A2177">
        <v>0</v>
      </c>
      <c r="B2177" t="s">
        <v>183</v>
      </c>
    </row>
    <row r="2178" spans="1:2" x14ac:dyDescent="0.25">
      <c r="A2178">
        <v>0</v>
      </c>
      <c r="B2178" t="s">
        <v>184</v>
      </c>
    </row>
    <row r="2179" spans="1:2" x14ac:dyDescent="0.25">
      <c r="A2179">
        <v>0</v>
      </c>
      <c r="B2179" t="s">
        <v>185</v>
      </c>
    </row>
    <row r="2180" spans="1:2" x14ac:dyDescent="0.25">
      <c r="A2180">
        <v>0</v>
      </c>
      <c r="B2180" t="s">
        <v>186</v>
      </c>
    </row>
    <row r="2181" spans="1:2" x14ac:dyDescent="0.25">
      <c r="A2181">
        <v>0</v>
      </c>
      <c r="B2181" t="s">
        <v>187</v>
      </c>
    </row>
    <row r="2182" spans="1:2" x14ac:dyDescent="0.25">
      <c r="A2182">
        <v>0</v>
      </c>
      <c r="B2182" t="s">
        <v>188</v>
      </c>
    </row>
    <row r="2183" spans="1:2" x14ac:dyDescent="0.25">
      <c r="A2183">
        <v>0</v>
      </c>
      <c r="B2183" t="s">
        <v>189</v>
      </c>
    </row>
    <row r="2184" spans="1:2" x14ac:dyDescent="0.25">
      <c r="A2184">
        <v>0</v>
      </c>
      <c r="B2184" t="s">
        <v>190</v>
      </c>
    </row>
    <row r="2185" spans="1:2" x14ac:dyDescent="0.25">
      <c r="A2185">
        <v>85968</v>
      </c>
      <c r="B2185" t="s">
        <v>123</v>
      </c>
    </row>
    <row r="2186" spans="1:2" x14ac:dyDescent="0.25">
      <c r="A2186">
        <v>375045</v>
      </c>
      <c r="B2186" t="s">
        <v>124</v>
      </c>
    </row>
    <row r="2187" spans="1:2" x14ac:dyDescent="0.25">
      <c r="A2187">
        <v>100000</v>
      </c>
      <c r="B2187" t="s">
        <v>125</v>
      </c>
    </row>
    <row r="2188" spans="1:2" x14ac:dyDescent="0.25">
      <c r="A2188">
        <v>100000</v>
      </c>
      <c r="B2188" t="s">
        <v>191</v>
      </c>
    </row>
    <row r="2189" spans="1:2" x14ac:dyDescent="0.25">
      <c r="A2189">
        <v>129600</v>
      </c>
      <c r="B2189" t="s">
        <v>192</v>
      </c>
    </row>
    <row r="2190" spans="1:2" x14ac:dyDescent="0.25">
      <c r="A2190">
        <v>129600</v>
      </c>
      <c r="B2190" t="s">
        <v>193</v>
      </c>
    </row>
    <row r="2191" spans="1:2" x14ac:dyDescent="0.25">
      <c r="A2191">
        <v>129600</v>
      </c>
      <c r="B2191" t="s">
        <v>194</v>
      </c>
    </row>
    <row r="2192" spans="1:2" x14ac:dyDescent="0.25">
      <c r="A2192">
        <v>129600</v>
      </c>
      <c r="B2192" t="s">
        <v>195</v>
      </c>
    </row>
    <row r="2193" spans="1:2" x14ac:dyDescent="0.25">
      <c r="A2193">
        <v>150000</v>
      </c>
      <c r="B2193" t="s">
        <v>196</v>
      </c>
    </row>
    <row r="2194" spans="1:2" x14ac:dyDescent="0.25">
      <c r="A2194">
        <v>150000</v>
      </c>
      <c r="B2194" t="s">
        <v>197</v>
      </c>
    </row>
    <row r="2195" spans="1:2" x14ac:dyDescent="0.25">
      <c r="A2195">
        <v>150000</v>
      </c>
      <c r="B2195" t="s">
        <v>198</v>
      </c>
    </row>
    <row r="2196" spans="1:2" x14ac:dyDescent="0.25">
      <c r="A2196">
        <v>100000</v>
      </c>
      <c r="B2196" t="s">
        <v>199</v>
      </c>
    </row>
    <row r="2197" spans="1:2" x14ac:dyDescent="0.25">
      <c r="A2197">
        <v>59483</v>
      </c>
      <c r="B2197" t="s">
        <v>200</v>
      </c>
    </row>
    <row r="2198" spans="1:2" x14ac:dyDescent="0.25">
      <c r="A2198">
        <v>149400</v>
      </c>
      <c r="B2198" t="s">
        <v>201</v>
      </c>
    </row>
    <row r="2199" spans="1:2" x14ac:dyDescent="0.25">
      <c r="A2199">
        <v>30000</v>
      </c>
      <c r="B2199" t="s">
        <v>202</v>
      </c>
    </row>
    <row r="2200" spans="1:2" x14ac:dyDescent="0.25">
      <c r="A2200">
        <v>50000</v>
      </c>
      <c r="B2200" t="s">
        <v>203</v>
      </c>
    </row>
    <row r="2201" spans="1:2" x14ac:dyDescent="0.25">
      <c r="A2201">
        <v>50000</v>
      </c>
      <c r="B2201" t="s">
        <v>204</v>
      </c>
    </row>
    <row r="2202" spans="1:2" x14ac:dyDescent="0.25">
      <c r="A2202">
        <v>55000</v>
      </c>
      <c r="B2202" t="s">
        <v>205</v>
      </c>
    </row>
    <row r="2203" spans="1:2" x14ac:dyDescent="0.25">
      <c r="A2203">
        <v>55000</v>
      </c>
      <c r="B2203" t="s">
        <v>206</v>
      </c>
    </row>
    <row r="2204" spans="1:2" x14ac:dyDescent="0.25">
      <c r="A2204">
        <v>60000</v>
      </c>
      <c r="B2204" t="s">
        <v>207</v>
      </c>
    </row>
    <row r="2205" spans="1:2" x14ac:dyDescent="0.25">
      <c r="A2205">
        <v>80000</v>
      </c>
      <c r="B2205" t="s">
        <v>208</v>
      </c>
    </row>
    <row r="2206" spans="1:2" x14ac:dyDescent="0.25">
      <c r="A2206">
        <v>90000</v>
      </c>
      <c r="B2206" t="s">
        <v>209</v>
      </c>
    </row>
    <row r="2207" spans="1:2" x14ac:dyDescent="0.25">
      <c r="A2207">
        <v>60000</v>
      </c>
      <c r="B2207" t="s">
        <v>210</v>
      </c>
    </row>
    <row r="2208" spans="1:2" x14ac:dyDescent="0.25">
      <c r="A2208">
        <v>50000</v>
      </c>
      <c r="B2208" t="s">
        <v>211</v>
      </c>
    </row>
    <row r="2209" spans="1:2" x14ac:dyDescent="0.25">
      <c r="A2209">
        <v>30570</v>
      </c>
      <c r="B2209" t="s">
        <v>126</v>
      </c>
    </row>
    <row r="2210" spans="1:2" x14ac:dyDescent="0.25">
      <c r="A2210">
        <v>95130</v>
      </c>
      <c r="B2210" t="s">
        <v>212</v>
      </c>
    </row>
    <row r="2211" spans="1:2" x14ac:dyDescent="0.25">
      <c r="A2211">
        <v>30000</v>
      </c>
      <c r="B2211" t="s">
        <v>213</v>
      </c>
    </row>
    <row r="2212" spans="1:2" x14ac:dyDescent="0.25">
      <c r="A2212">
        <v>30000</v>
      </c>
      <c r="B2212" t="s">
        <v>214</v>
      </c>
    </row>
    <row r="2213" spans="1:2" x14ac:dyDescent="0.25">
      <c r="A2213">
        <v>30000</v>
      </c>
      <c r="B2213" t="s">
        <v>215</v>
      </c>
    </row>
    <row r="2214" spans="1:2" x14ac:dyDescent="0.25">
      <c r="A2214">
        <v>40000</v>
      </c>
      <c r="B2214" t="s">
        <v>216</v>
      </c>
    </row>
    <row r="2215" spans="1:2" x14ac:dyDescent="0.25">
      <c r="A2215">
        <v>40000</v>
      </c>
      <c r="B2215" t="s">
        <v>217</v>
      </c>
    </row>
    <row r="2216" spans="1:2" x14ac:dyDescent="0.25">
      <c r="A2216">
        <v>40000</v>
      </c>
      <c r="B2216" t="s">
        <v>218</v>
      </c>
    </row>
    <row r="2217" spans="1:2" x14ac:dyDescent="0.25">
      <c r="A2217">
        <v>60000</v>
      </c>
      <c r="B2217" t="s">
        <v>219</v>
      </c>
    </row>
    <row r="2218" spans="1:2" x14ac:dyDescent="0.25">
      <c r="A2218">
        <v>60000</v>
      </c>
      <c r="B2218" t="s">
        <v>220</v>
      </c>
    </row>
    <row r="2219" spans="1:2" x14ac:dyDescent="0.25">
      <c r="A2219">
        <v>60000</v>
      </c>
      <c r="B2219" t="s">
        <v>221</v>
      </c>
    </row>
    <row r="2220" spans="1:2" x14ac:dyDescent="0.25">
      <c r="A2220">
        <v>45000</v>
      </c>
      <c r="B2220" t="s">
        <v>222</v>
      </c>
    </row>
    <row r="2221" spans="1:2" x14ac:dyDescent="0.25">
      <c r="A2221">
        <v>237085</v>
      </c>
      <c r="B2221" t="s">
        <v>223</v>
      </c>
    </row>
    <row r="2222" spans="1:2" x14ac:dyDescent="0.25">
      <c r="A2222">
        <v>98178</v>
      </c>
      <c r="B2222" t="s">
        <v>224</v>
      </c>
    </row>
    <row r="2223" spans="1:2" x14ac:dyDescent="0.25">
      <c r="A2223">
        <v>273000</v>
      </c>
      <c r="B2223" t="s">
        <v>225</v>
      </c>
    </row>
    <row r="2224" spans="1:2" x14ac:dyDescent="0.25">
      <c r="A2224">
        <v>80000</v>
      </c>
      <c r="B2224" t="s">
        <v>226</v>
      </c>
    </row>
    <row r="2225" spans="1:2" x14ac:dyDescent="0.25">
      <c r="A2225">
        <v>80000</v>
      </c>
      <c r="B2225" t="s">
        <v>227</v>
      </c>
    </row>
    <row r="2226" spans="1:2" x14ac:dyDescent="0.25">
      <c r="A2226">
        <v>80000</v>
      </c>
      <c r="B2226" t="s">
        <v>228</v>
      </c>
    </row>
    <row r="2227" spans="1:2" x14ac:dyDescent="0.25">
      <c r="A2227">
        <v>93000</v>
      </c>
      <c r="B2227" t="s">
        <v>229</v>
      </c>
    </row>
    <row r="2228" spans="1:2" x14ac:dyDescent="0.25">
      <c r="A2228">
        <v>97500</v>
      </c>
      <c r="B2228" t="s">
        <v>230</v>
      </c>
    </row>
    <row r="2229" spans="1:2" x14ac:dyDescent="0.25">
      <c r="A2229">
        <v>200000</v>
      </c>
      <c r="B2229" t="s">
        <v>231</v>
      </c>
    </row>
    <row r="2230" spans="1:2" x14ac:dyDescent="0.25">
      <c r="A2230">
        <v>200000</v>
      </c>
      <c r="B2230" t="s">
        <v>232</v>
      </c>
    </row>
    <row r="2231" spans="1:2" x14ac:dyDescent="0.25">
      <c r="A2231">
        <v>170000</v>
      </c>
      <c r="B2231" t="s">
        <v>233</v>
      </c>
    </row>
    <row r="2232" spans="1:2" x14ac:dyDescent="0.25">
      <c r="A2232">
        <v>130000</v>
      </c>
      <c r="B2232" t="s">
        <v>234</v>
      </c>
    </row>
    <row r="2233" spans="1:2" x14ac:dyDescent="0.25">
      <c r="A2233">
        <v>853230</v>
      </c>
      <c r="B2233" t="s">
        <v>235</v>
      </c>
    </row>
    <row r="2234" spans="1:2" x14ac:dyDescent="0.25">
      <c r="A2234">
        <v>1892916</v>
      </c>
      <c r="B2234" t="s">
        <v>236</v>
      </c>
    </row>
    <row r="2235" spans="1:2" x14ac:dyDescent="0.25">
      <c r="A2235">
        <v>350000</v>
      </c>
      <c r="B2235" t="s">
        <v>237</v>
      </c>
    </row>
    <row r="2236" spans="1:2" x14ac:dyDescent="0.25">
      <c r="A2236">
        <v>400000</v>
      </c>
      <c r="B2236" t="s">
        <v>238</v>
      </c>
    </row>
    <row r="2237" spans="1:2" x14ac:dyDescent="0.25">
      <c r="A2237">
        <v>600000</v>
      </c>
      <c r="B2237" t="s">
        <v>239</v>
      </c>
    </row>
    <row r="2238" spans="1:2" x14ac:dyDescent="0.25">
      <c r="A2238">
        <v>550000</v>
      </c>
      <c r="B2238" t="s">
        <v>240</v>
      </c>
    </row>
    <row r="2239" spans="1:2" x14ac:dyDescent="0.25">
      <c r="A2239">
        <v>550000</v>
      </c>
      <c r="B2239" t="s">
        <v>241</v>
      </c>
    </row>
    <row r="2240" spans="1:2" x14ac:dyDescent="0.25">
      <c r="A2240">
        <v>850000</v>
      </c>
      <c r="B2240" t="s">
        <v>242</v>
      </c>
    </row>
    <row r="2241" spans="1:2" x14ac:dyDescent="0.25">
      <c r="A2241">
        <v>850000</v>
      </c>
      <c r="B2241" t="s">
        <v>243</v>
      </c>
    </row>
    <row r="2242" spans="1:2" x14ac:dyDescent="0.25">
      <c r="A2242">
        <v>850000</v>
      </c>
      <c r="B2242" t="s">
        <v>244</v>
      </c>
    </row>
    <row r="2243" spans="1:2" x14ac:dyDescent="0.25">
      <c r="A2243">
        <v>850000</v>
      </c>
      <c r="B2243" t="s">
        <v>245</v>
      </c>
    </row>
    <row r="2244" spans="1:2" x14ac:dyDescent="0.25">
      <c r="A2244">
        <v>410000</v>
      </c>
      <c r="B2244" t="s">
        <v>246</v>
      </c>
    </row>
    <row r="2245" spans="1:2" x14ac:dyDescent="0.25">
      <c r="A2245">
        <v>0</v>
      </c>
      <c r="B2245" t="s">
        <v>247</v>
      </c>
    </row>
    <row r="2246" spans="1:2" x14ac:dyDescent="0.25">
      <c r="A2246">
        <v>0</v>
      </c>
      <c r="B2246" t="s">
        <v>248</v>
      </c>
    </row>
    <row r="2247" spans="1:2" x14ac:dyDescent="0.25">
      <c r="A2247">
        <v>13000</v>
      </c>
      <c r="B2247" t="s">
        <v>249</v>
      </c>
    </row>
    <row r="2248" spans="1:2" x14ac:dyDescent="0.25">
      <c r="A2248">
        <v>13000</v>
      </c>
      <c r="B2248" t="s">
        <v>250</v>
      </c>
    </row>
    <row r="2249" spans="1:2" x14ac:dyDescent="0.25">
      <c r="A2249">
        <v>13000</v>
      </c>
      <c r="B2249" t="s">
        <v>251</v>
      </c>
    </row>
    <row r="2250" spans="1:2" x14ac:dyDescent="0.25">
      <c r="A2250">
        <v>13000</v>
      </c>
      <c r="B2250" t="s">
        <v>252</v>
      </c>
    </row>
    <row r="2251" spans="1:2" x14ac:dyDescent="0.25">
      <c r="A2251">
        <v>13000</v>
      </c>
      <c r="B2251" t="s">
        <v>253</v>
      </c>
    </row>
    <row r="2252" spans="1:2" x14ac:dyDescent="0.25">
      <c r="A2252">
        <v>13000</v>
      </c>
      <c r="B2252" t="s">
        <v>254</v>
      </c>
    </row>
    <row r="2253" spans="1:2" x14ac:dyDescent="0.25">
      <c r="A2253">
        <v>13000</v>
      </c>
      <c r="B2253" t="s">
        <v>255</v>
      </c>
    </row>
    <row r="2254" spans="1:2" x14ac:dyDescent="0.25">
      <c r="A2254">
        <v>13000</v>
      </c>
      <c r="B2254" t="s">
        <v>256</v>
      </c>
    </row>
    <row r="2255" spans="1:2" x14ac:dyDescent="0.25">
      <c r="A2255">
        <v>13000</v>
      </c>
      <c r="B2255" t="s">
        <v>257</v>
      </c>
    </row>
    <row r="2256" spans="1:2" x14ac:dyDescent="0.25">
      <c r="A2256">
        <v>13000</v>
      </c>
      <c r="B2256" t="s">
        <v>258</v>
      </c>
    </row>
    <row r="2257" spans="1:2" x14ac:dyDescent="0.25">
      <c r="A2257">
        <v>0</v>
      </c>
      <c r="B2257" t="s">
        <v>259</v>
      </c>
    </row>
    <row r="2258" spans="1:2" x14ac:dyDescent="0.25">
      <c r="A2258">
        <v>0</v>
      </c>
      <c r="B2258" t="s">
        <v>260</v>
      </c>
    </row>
    <row r="2259" spans="1:2" x14ac:dyDescent="0.25">
      <c r="A2259">
        <v>70000</v>
      </c>
      <c r="B2259" t="s">
        <v>261</v>
      </c>
    </row>
    <row r="2260" spans="1:2" x14ac:dyDescent="0.25">
      <c r="A2260">
        <v>22000</v>
      </c>
      <c r="B2260" t="s">
        <v>262</v>
      </c>
    </row>
    <row r="2261" spans="1:2" x14ac:dyDescent="0.25">
      <c r="A2261">
        <v>17000</v>
      </c>
      <c r="B2261" t="s">
        <v>263</v>
      </c>
    </row>
    <row r="2262" spans="1:2" x14ac:dyDescent="0.25">
      <c r="A2262">
        <v>4000</v>
      </c>
      <c r="B2262" t="s">
        <v>264</v>
      </c>
    </row>
    <row r="2263" spans="1:2" x14ac:dyDescent="0.25">
      <c r="A2263">
        <v>4000</v>
      </c>
      <c r="B2263" t="s">
        <v>265</v>
      </c>
    </row>
    <row r="2264" spans="1:2" x14ac:dyDescent="0.25">
      <c r="A2264">
        <v>3000</v>
      </c>
      <c r="B2264" t="s">
        <v>266</v>
      </c>
    </row>
    <row r="2265" spans="1:2" x14ac:dyDescent="0.25">
      <c r="A2265">
        <v>12000</v>
      </c>
      <c r="B2265" t="s">
        <v>267</v>
      </c>
    </row>
    <row r="2266" spans="1:2" x14ac:dyDescent="0.25">
      <c r="A2266">
        <v>20000</v>
      </c>
      <c r="B2266" t="s">
        <v>268</v>
      </c>
    </row>
    <row r="2267" spans="1:2" x14ac:dyDescent="0.25">
      <c r="A2267">
        <v>25000</v>
      </c>
      <c r="B2267" t="s">
        <v>269</v>
      </c>
    </row>
    <row r="2268" spans="1:2" x14ac:dyDescent="0.25">
      <c r="A2268">
        <v>25000</v>
      </c>
      <c r="B2268" t="s">
        <v>270</v>
      </c>
    </row>
    <row r="2269" spans="1:2" x14ac:dyDescent="0.25">
      <c r="A2269">
        <v>21168</v>
      </c>
      <c r="B2269" t="s">
        <v>271</v>
      </c>
    </row>
    <row r="2270" spans="1:2" x14ac:dyDescent="0.25">
      <c r="A2270">
        <v>19561</v>
      </c>
      <c r="B2270" t="s">
        <v>272</v>
      </c>
    </row>
    <row r="2271" spans="1:2" x14ac:dyDescent="0.25">
      <c r="A2271">
        <v>5085</v>
      </c>
      <c r="B2271" t="s">
        <v>273</v>
      </c>
    </row>
    <row r="2272" spans="1:2" x14ac:dyDescent="0.25">
      <c r="A2272">
        <v>38000</v>
      </c>
      <c r="B2272" t="s">
        <v>274</v>
      </c>
    </row>
    <row r="2273" spans="1:2" x14ac:dyDescent="0.25">
      <c r="A2273">
        <v>21000</v>
      </c>
      <c r="B2273" t="s">
        <v>275</v>
      </c>
    </row>
    <row r="2274" spans="1:2" x14ac:dyDescent="0.25">
      <c r="A2274">
        <v>11000</v>
      </c>
      <c r="B2274" t="s">
        <v>276</v>
      </c>
    </row>
    <row r="2275" spans="1:2" x14ac:dyDescent="0.25">
      <c r="A2275">
        <v>11000</v>
      </c>
      <c r="B2275" t="s">
        <v>277</v>
      </c>
    </row>
    <row r="2276" spans="1:2" x14ac:dyDescent="0.25">
      <c r="A2276">
        <v>11000</v>
      </c>
      <c r="B2276" t="s">
        <v>278</v>
      </c>
    </row>
    <row r="2277" spans="1:2" x14ac:dyDescent="0.25">
      <c r="A2277">
        <v>18000</v>
      </c>
      <c r="B2277" t="s">
        <v>279</v>
      </c>
    </row>
    <row r="2278" spans="1:2" x14ac:dyDescent="0.25">
      <c r="A2278">
        <v>33000</v>
      </c>
      <c r="B2278" t="s">
        <v>280</v>
      </c>
    </row>
    <row r="2279" spans="1:2" x14ac:dyDescent="0.25">
      <c r="A2279">
        <v>33000</v>
      </c>
      <c r="B2279" t="s">
        <v>281</v>
      </c>
    </row>
    <row r="2280" spans="1:2" x14ac:dyDescent="0.25">
      <c r="A2280">
        <v>23000</v>
      </c>
      <c r="B2280" t="s">
        <v>282</v>
      </c>
    </row>
    <row r="2281" spans="1:2" x14ac:dyDescent="0.25">
      <c r="A2281">
        <v>7985</v>
      </c>
      <c r="B2281" t="s">
        <v>283</v>
      </c>
    </row>
    <row r="2282" spans="1:2" x14ac:dyDescent="0.25">
      <c r="A2282">
        <v>7200</v>
      </c>
      <c r="B2282" t="s">
        <v>284</v>
      </c>
    </row>
    <row r="2283" spans="1:2" x14ac:dyDescent="0.25">
      <c r="A2283">
        <v>7000</v>
      </c>
      <c r="B2283" t="s">
        <v>285</v>
      </c>
    </row>
    <row r="2284" spans="1:2" x14ac:dyDescent="0.25">
      <c r="A2284">
        <v>7000</v>
      </c>
      <c r="B2284" t="s">
        <v>286</v>
      </c>
    </row>
    <row r="2285" spans="1:2" x14ac:dyDescent="0.25">
      <c r="A2285">
        <v>7000</v>
      </c>
      <c r="B2285" t="s">
        <v>287</v>
      </c>
    </row>
    <row r="2286" spans="1:2" x14ac:dyDescent="0.25">
      <c r="A2286">
        <v>4000</v>
      </c>
      <c r="B2286" t="s">
        <v>288</v>
      </c>
    </row>
    <row r="2287" spans="1:2" x14ac:dyDescent="0.25">
      <c r="A2287">
        <v>4000</v>
      </c>
      <c r="B2287" t="s">
        <v>289</v>
      </c>
    </row>
    <row r="2288" spans="1:2" x14ac:dyDescent="0.25">
      <c r="A2288">
        <v>12000</v>
      </c>
      <c r="B2288" t="s">
        <v>290</v>
      </c>
    </row>
    <row r="2289" spans="1:2" x14ac:dyDescent="0.25">
      <c r="A2289">
        <v>15000</v>
      </c>
      <c r="B2289" t="s">
        <v>291</v>
      </c>
    </row>
    <row r="2290" spans="1:2" x14ac:dyDescent="0.25">
      <c r="A2290">
        <v>15000</v>
      </c>
      <c r="B2290" t="s">
        <v>292</v>
      </c>
    </row>
    <row r="2291" spans="1:2" x14ac:dyDescent="0.25">
      <c r="A2291">
        <v>15000</v>
      </c>
      <c r="B2291" t="s">
        <v>293</v>
      </c>
    </row>
    <row r="2292" spans="1:2" x14ac:dyDescent="0.25">
      <c r="A2292">
        <v>15000</v>
      </c>
      <c r="B2292" t="s">
        <v>294</v>
      </c>
    </row>
    <row r="2293" spans="1:2" x14ac:dyDescent="0.25">
      <c r="A2293">
        <v>95705</v>
      </c>
      <c r="B2293" t="s">
        <v>295</v>
      </c>
    </row>
    <row r="2294" spans="1:2" x14ac:dyDescent="0.25">
      <c r="A2294">
        <v>138360</v>
      </c>
      <c r="B2294" t="s">
        <v>296</v>
      </c>
    </row>
    <row r="2295" spans="1:2" x14ac:dyDescent="0.25">
      <c r="A2295">
        <v>100000</v>
      </c>
      <c r="B2295" t="s">
        <v>297</v>
      </c>
    </row>
    <row r="2296" spans="1:2" x14ac:dyDescent="0.25">
      <c r="A2296">
        <v>60000</v>
      </c>
      <c r="B2296" t="s">
        <v>298</v>
      </c>
    </row>
    <row r="2297" spans="1:2" x14ac:dyDescent="0.25">
      <c r="A2297">
        <v>60000</v>
      </c>
      <c r="B2297" t="s">
        <v>299</v>
      </c>
    </row>
    <row r="2298" spans="1:2" x14ac:dyDescent="0.25">
      <c r="A2298">
        <v>60000</v>
      </c>
      <c r="B2298" t="s">
        <v>300</v>
      </c>
    </row>
    <row r="2299" spans="1:2" x14ac:dyDescent="0.25">
      <c r="A2299">
        <v>60000</v>
      </c>
      <c r="B2299" t="s">
        <v>301</v>
      </c>
    </row>
    <row r="2300" spans="1:2" x14ac:dyDescent="0.25">
      <c r="A2300">
        <v>80000</v>
      </c>
      <c r="B2300" t="s">
        <v>302</v>
      </c>
    </row>
    <row r="2301" spans="1:2" x14ac:dyDescent="0.25">
      <c r="A2301">
        <v>100000</v>
      </c>
      <c r="B2301" t="s">
        <v>303</v>
      </c>
    </row>
    <row r="2302" spans="1:2" x14ac:dyDescent="0.25">
      <c r="A2302">
        <v>120000</v>
      </c>
      <c r="B2302" t="s">
        <v>304</v>
      </c>
    </row>
    <row r="2303" spans="1:2" x14ac:dyDescent="0.25">
      <c r="A2303">
        <v>120000</v>
      </c>
      <c r="B2303" t="s">
        <v>305</v>
      </c>
    </row>
    <row r="2304" spans="1:2" x14ac:dyDescent="0.25">
      <c r="A2304">
        <v>80000</v>
      </c>
      <c r="B2304" t="s">
        <v>306</v>
      </c>
    </row>
    <row r="2305" spans="1:2" x14ac:dyDescent="0.25">
      <c r="A2305">
        <v>180246</v>
      </c>
      <c r="B2305" t="s">
        <v>307</v>
      </c>
    </row>
    <row r="2306" spans="1:2" x14ac:dyDescent="0.25">
      <c r="A2306">
        <v>124771</v>
      </c>
      <c r="B2306" t="s">
        <v>308</v>
      </c>
    </row>
    <row r="2307" spans="1:2" x14ac:dyDescent="0.25">
      <c r="A2307">
        <v>130000</v>
      </c>
      <c r="B2307" t="s">
        <v>309</v>
      </c>
    </row>
    <row r="2308" spans="1:2" x14ac:dyDescent="0.25">
      <c r="A2308">
        <v>90000</v>
      </c>
      <c r="B2308" t="s">
        <v>310</v>
      </c>
    </row>
    <row r="2309" spans="1:2" x14ac:dyDescent="0.25">
      <c r="A2309">
        <v>70000</v>
      </c>
      <c r="B2309" t="s">
        <v>311</v>
      </c>
    </row>
    <row r="2310" spans="1:2" x14ac:dyDescent="0.25">
      <c r="A2310">
        <v>60000</v>
      </c>
      <c r="B2310" t="s">
        <v>312</v>
      </c>
    </row>
    <row r="2311" spans="1:2" x14ac:dyDescent="0.25">
      <c r="A2311">
        <v>60000</v>
      </c>
      <c r="B2311" t="s">
        <v>313</v>
      </c>
    </row>
    <row r="2312" spans="1:2" x14ac:dyDescent="0.25">
      <c r="A2312">
        <v>60000</v>
      </c>
      <c r="B2312" t="s">
        <v>314</v>
      </c>
    </row>
    <row r="2313" spans="1:2" x14ac:dyDescent="0.25">
      <c r="A2313">
        <v>115000</v>
      </c>
      <c r="B2313" t="s">
        <v>315</v>
      </c>
    </row>
    <row r="2314" spans="1:2" x14ac:dyDescent="0.25">
      <c r="A2314">
        <v>150000</v>
      </c>
      <c r="B2314" t="s">
        <v>316</v>
      </c>
    </row>
    <row r="2315" spans="1:2" x14ac:dyDescent="0.25">
      <c r="A2315">
        <v>150000</v>
      </c>
      <c r="B2315" t="s">
        <v>317</v>
      </c>
    </row>
    <row r="2316" spans="1:2" x14ac:dyDescent="0.25">
      <c r="A2316">
        <v>120000</v>
      </c>
      <c r="B2316" t="s">
        <v>318</v>
      </c>
    </row>
    <row r="2317" spans="1:2" x14ac:dyDescent="0.25">
      <c r="A2317">
        <v>0</v>
      </c>
      <c r="B2317" t="s">
        <v>319</v>
      </c>
    </row>
    <row r="2318" spans="1:2" x14ac:dyDescent="0.25">
      <c r="A2318">
        <v>0</v>
      </c>
      <c r="B2318" t="s">
        <v>320</v>
      </c>
    </row>
    <row r="2319" spans="1:2" x14ac:dyDescent="0.25">
      <c r="A2319">
        <v>0</v>
      </c>
      <c r="B2319" t="s">
        <v>321</v>
      </c>
    </row>
    <row r="2320" spans="1:2" x14ac:dyDescent="0.25">
      <c r="A2320">
        <v>0</v>
      </c>
      <c r="B2320" t="s">
        <v>322</v>
      </c>
    </row>
    <row r="2321" spans="1:2" x14ac:dyDescent="0.25">
      <c r="A2321">
        <v>12960</v>
      </c>
      <c r="B2321" t="s">
        <v>323</v>
      </c>
    </row>
    <row r="2322" spans="1:2" x14ac:dyDescent="0.25">
      <c r="A2322">
        <v>0</v>
      </c>
      <c r="B2322" t="s">
        <v>324</v>
      </c>
    </row>
    <row r="2323" spans="1:2" x14ac:dyDescent="0.25">
      <c r="A2323">
        <v>0</v>
      </c>
      <c r="B2323" t="s">
        <v>325</v>
      </c>
    </row>
    <row r="2324" spans="1:2" x14ac:dyDescent="0.25">
      <c r="A2324">
        <v>4320</v>
      </c>
      <c r="B2324" t="s">
        <v>326</v>
      </c>
    </row>
    <row r="2325" spans="1:2" x14ac:dyDescent="0.25">
      <c r="A2325">
        <v>0</v>
      </c>
      <c r="B2325" t="s">
        <v>327</v>
      </c>
    </row>
    <row r="2326" spans="1:2" x14ac:dyDescent="0.25">
      <c r="A2326">
        <v>0</v>
      </c>
      <c r="B2326" t="s">
        <v>328</v>
      </c>
    </row>
    <row r="2327" spans="1:2" x14ac:dyDescent="0.25">
      <c r="A2327">
        <v>0</v>
      </c>
      <c r="B2327" t="s">
        <v>329</v>
      </c>
    </row>
    <row r="2328" spans="1:2" x14ac:dyDescent="0.25">
      <c r="A2328">
        <v>4320</v>
      </c>
      <c r="B2328" t="s">
        <v>330</v>
      </c>
    </row>
    <row r="2329" spans="1:2" x14ac:dyDescent="0.25">
      <c r="A2329">
        <v>0</v>
      </c>
      <c r="B2329" t="s">
        <v>331</v>
      </c>
    </row>
    <row r="2330" spans="1:2" x14ac:dyDescent="0.25">
      <c r="A2330">
        <v>10400</v>
      </c>
      <c r="B2330" t="s">
        <v>332</v>
      </c>
    </row>
    <row r="2331" spans="1:2" x14ac:dyDescent="0.25">
      <c r="A2331">
        <v>22376</v>
      </c>
      <c r="B2331" t="s">
        <v>333</v>
      </c>
    </row>
    <row r="2332" spans="1:2" x14ac:dyDescent="0.25">
      <c r="A2332">
        <v>0</v>
      </c>
      <c r="B2332" t="s">
        <v>334</v>
      </c>
    </row>
    <row r="2333" spans="1:2" x14ac:dyDescent="0.25">
      <c r="A2333">
        <v>0</v>
      </c>
      <c r="B2333" t="s">
        <v>335</v>
      </c>
    </row>
    <row r="2334" spans="1:2" x14ac:dyDescent="0.25">
      <c r="A2334">
        <v>0</v>
      </c>
      <c r="B2334" t="s">
        <v>336</v>
      </c>
    </row>
    <row r="2335" spans="1:2" x14ac:dyDescent="0.25">
      <c r="A2335">
        <v>0</v>
      </c>
      <c r="B2335" t="s">
        <v>337</v>
      </c>
    </row>
    <row r="2336" spans="1:2" x14ac:dyDescent="0.25">
      <c r="A2336">
        <v>0</v>
      </c>
      <c r="B2336" t="s">
        <v>338</v>
      </c>
    </row>
    <row r="2337" spans="1:2" x14ac:dyDescent="0.25">
      <c r="A2337">
        <v>0</v>
      </c>
      <c r="B2337" t="s">
        <v>339</v>
      </c>
    </row>
    <row r="2338" spans="1:2" x14ac:dyDescent="0.25">
      <c r="A2338">
        <v>0</v>
      </c>
      <c r="B2338" t="s">
        <v>340</v>
      </c>
    </row>
    <row r="2339" spans="1:2" x14ac:dyDescent="0.25">
      <c r="A2339">
        <v>10400</v>
      </c>
      <c r="B2339" t="s">
        <v>341</v>
      </c>
    </row>
    <row r="2340" spans="1:2" x14ac:dyDescent="0.25">
      <c r="A2340">
        <v>0</v>
      </c>
      <c r="B2340" t="s">
        <v>342</v>
      </c>
    </row>
    <row r="2341" spans="1:2" x14ac:dyDescent="0.25">
      <c r="A2341">
        <v>0</v>
      </c>
      <c r="B2341" t="s">
        <v>343</v>
      </c>
    </row>
    <row r="2342" spans="1:2" x14ac:dyDescent="0.25">
      <c r="A2342">
        <v>10400</v>
      </c>
      <c r="B2342" t="s">
        <v>344</v>
      </c>
    </row>
    <row r="2343" spans="1:2" x14ac:dyDescent="0.25">
      <c r="A2343">
        <v>23675</v>
      </c>
      <c r="B2343" t="s">
        <v>345</v>
      </c>
    </row>
    <row r="2344" spans="1:2" x14ac:dyDescent="0.25">
      <c r="A2344">
        <v>0</v>
      </c>
      <c r="B2344" t="s">
        <v>346</v>
      </c>
    </row>
    <row r="2345" spans="1:2" x14ac:dyDescent="0.25">
      <c r="A2345">
        <v>0</v>
      </c>
      <c r="B2345" t="s">
        <v>347</v>
      </c>
    </row>
    <row r="2346" spans="1:2" x14ac:dyDescent="0.25">
      <c r="A2346">
        <v>0</v>
      </c>
      <c r="B2346" t="s">
        <v>348</v>
      </c>
    </row>
    <row r="2347" spans="1:2" x14ac:dyDescent="0.25">
      <c r="A2347">
        <v>0</v>
      </c>
      <c r="B2347" t="s">
        <v>349</v>
      </c>
    </row>
    <row r="2348" spans="1:2" x14ac:dyDescent="0.25">
      <c r="A2348">
        <v>0</v>
      </c>
      <c r="B2348" t="s">
        <v>350</v>
      </c>
    </row>
    <row r="2349" spans="1:2" x14ac:dyDescent="0.25">
      <c r="A2349">
        <v>0</v>
      </c>
      <c r="B2349" t="s">
        <v>351</v>
      </c>
    </row>
    <row r="2350" spans="1:2" x14ac:dyDescent="0.25">
      <c r="A2350">
        <v>10400</v>
      </c>
      <c r="B2350" t="s">
        <v>352</v>
      </c>
    </row>
    <row r="2351" spans="1:2" x14ac:dyDescent="0.25">
      <c r="A2351">
        <v>10400</v>
      </c>
      <c r="B2351" t="s">
        <v>353</v>
      </c>
    </row>
    <row r="2352" spans="1:2" x14ac:dyDescent="0.25">
      <c r="A2352">
        <v>5200</v>
      </c>
      <c r="B2352" t="s">
        <v>354</v>
      </c>
    </row>
    <row r="2353" spans="1:2" x14ac:dyDescent="0.25">
      <c r="A2353">
        <v>0</v>
      </c>
      <c r="B2353" t="s">
        <v>355</v>
      </c>
    </row>
    <row r="2354" spans="1:2" x14ac:dyDescent="0.25">
      <c r="A2354">
        <v>0</v>
      </c>
      <c r="B2354" t="s">
        <v>356</v>
      </c>
    </row>
    <row r="2355" spans="1:2" x14ac:dyDescent="0.25">
      <c r="A2355">
        <v>0</v>
      </c>
      <c r="B2355" t="s">
        <v>357</v>
      </c>
    </row>
    <row r="2356" spans="1:2" x14ac:dyDescent="0.25">
      <c r="A2356">
        <v>0</v>
      </c>
      <c r="B2356" t="s">
        <v>358</v>
      </c>
    </row>
    <row r="2357" spans="1:2" x14ac:dyDescent="0.25">
      <c r="A2357">
        <v>0</v>
      </c>
      <c r="B2357" t="s">
        <v>359</v>
      </c>
    </row>
    <row r="2358" spans="1:2" x14ac:dyDescent="0.25">
      <c r="A2358">
        <v>0</v>
      </c>
      <c r="B2358" t="s">
        <v>360</v>
      </c>
    </row>
    <row r="2359" spans="1:2" x14ac:dyDescent="0.25">
      <c r="A2359">
        <v>0</v>
      </c>
      <c r="B2359" t="s">
        <v>361</v>
      </c>
    </row>
    <row r="2360" spans="1:2" x14ac:dyDescent="0.25">
      <c r="A2360">
        <v>0</v>
      </c>
      <c r="B2360" t="s">
        <v>362</v>
      </c>
    </row>
    <row r="2361" spans="1:2" x14ac:dyDescent="0.25">
      <c r="A2361">
        <v>0</v>
      </c>
      <c r="B2361" t="s">
        <v>363</v>
      </c>
    </row>
    <row r="2362" spans="1:2" x14ac:dyDescent="0.25">
      <c r="A2362">
        <v>0</v>
      </c>
      <c r="B2362" t="s">
        <v>364</v>
      </c>
    </row>
    <row r="2363" spans="1:2" x14ac:dyDescent="0.25">
      <c r="A2363">
        <v>0</v>
      </c>
      <c r="B2363" t="s">
        <v>365</v>
      </c>
    </row>
    <row r="2364" spans="1:2" x14ac:dyDescent="0.25">
      <c r="A2364">
        <v>0</v>
      </c>
      <c r="B2364" t="s">
        <v>366</v>
      </c>
    </row>
    <row r="2365" spans="1:2" x14ac:dyDescent="0.25">
      <c r="A2365">
        <v>28798</v>
      </c>
      <c r="B2365" t="s">
        <v>1867</v>
      </c>
    </row>
    <row r="2366" spans="1:2" x14ac:dyDescent="0.25">
      <c r="A2366">
        <v>28798</v>
      </c>
      <c r="B2366" t="s">
        <v>1868</v>
      </c>
    </row>
    <row r="2367" spans="1:2" x14ac:dyDescent="0.25">
      <c r="A2367">
        <v>23998</v>
      </c>
      <c r="B2367" t="s">
        <v>1869</v>
      </c>
    </row>
    <row r="2368" spans="1:2" x14ac:dyDescent="0.25">
      <c r="A2368">
        <v>14143</v>
      </c>
      <c r="B2368" t="s">
        <v>1870</v>
      </c>
    </row>
    <row r="2369" spans="1:2" x14ac:dyDescent="0.25">
      <c r="A2369">
        <v>15911</v>
      </c>
      <c r="B2369" t="s">
        <v>1871</v>
      </c>
    </row>
    <row r="2370" spans="1:2" x14ac:dyDescent="0.25">
      <c r="A2370">
        <v>24151</v>
      </c>
      <c r="B2370" t="s">
        <v>1872</v>
      </c>
    </row>
    <row r="2371" spans="1:2" x14ac:dyDescent="0.25">
      <c r="A2371">
        <v>23151</v>
      </c>
      <c r="B2371" t="s">
        <v>1873</v>
      </c>
    </row>
    <row r="2372" spans="1:2" x14ac:dyDescent="0.25">
      <c r="A2372">
        <v>35961</v>
      </c>
      <c r="B2372" t="s">
        <v>1874</v>
      </c>
    </row>
    <row r="2373" spans="1:2" x14ac:dyDescent="0.25">
      <c r="A2373">
        <v>35699</v>
      </c>
      <c r="B2373" t="s">
        <v>1875</v>
      </c>
    </row>
    <row r="2374" spans="1:2" x14ac:dyDescent="0.25">
      <c r="A2374">
        <v>38397</v>
      </c>
      <c r="B2374" t="s">
        <v>1876</v>
      </c>
    </row>
    <row r="2375" spans="1:2" x14ac:dyDescent="0.25">
      <c r="A2375">
        <v>48536</v>
      </c>
      <c r="B2375" t="s">
        <v>1877</v>
      </c>
    </row>
    <row r="2376" spans="1:2" x14ac:dyDescent="0.25">
      <c r="A2376">
        <v>21572</v>
      </c>
      <c r="B2376" t="s">
        <v>1878</v>
      </c>
    </row>
    <row r="2377" spans="1:2" x14ac:dyDescent="0.25">
      <c r="A2377">
        <v>0</v>
      </c>
      <c r="B2377" t="s">
        <v>1879</v>
      </c>
    </row>
    <row r="2378" spans="1:2" x14ac:dyDescent="0.25">
      <c r="A2378">
        <v>0</v>
      </c>
      <c r="B2378" t="s">
        <v>1880</v>
      </c>
    </row>
    <row r="2379" spans="1:2" x14ac:dyDescent="0.25">
      <c r="A2379">
        <v>0</v>
      </c>
      <c r="B2379" t="s">
        <v>1881</v>
      </c>
    </row>
    <row r="2380" spans="1:2" x14ac:dyDescent="0.25">
      <c r="A2380">
        <v>0</v>
      </c>
      <c r="B2380" t="s">
        <v>1882</v>
      </c>
    </row>
    <row r="2381" spans="1:2" x14ac:dyDescent="0.25">
      <c r="A2381">
        <v>0</v>
      </c>
      <c r="B2381" t="s">
        <v>1883</v>
      </c>
    </row>
    <row r="2382" spans="1:2" x14ac:dyDescent="0.25">
      <c r="A2382">
        <v>0</v>
      </c>
      <c r="B2382" t="s">
        <v>1884</v>
      </c>
    </row>
    <row r="2383" spans="1:2" x14ac:dyDescent="0.25">
      <c r="A2383">
        <v>0</v>
      </c>
      <c r="B2383" t="s">
        <v>1885</v>
      </c>
    </row>
    <row r="2384" spans="1:2" x14ac:dyDescent="0.25">
      <c r="A2384">
        <v>0</v>
      </c>
      <c r="B2384" t="s">
        <v>1886</v>
      </c>
    </row>
    <row r="2385" spans="1:2" x14ac:dyDescent="0.25">
      <c r="A2385">
        <v>0</v>
      </c>
      <c r="B2385" t="s">
        <v>1887</v>
      </c>
    </row>
    <row r="2386" spans="1:2" x14ac:dyDescent="0.25">
      <c r="A2386">
        <v>0</v>
      </c>
      <c r="B2386" t="s">
        <v>1888</v>
      </c>
    </row>
    <row r="2387" spans="1:2" x14ac:dyDescent="0.25">
      <c r="A2387">
        <v>0</v>
      </c>
      <c r="B2387" t="s">
        <v>1889</v>
      </c>
    </row>
    <row r="2388" spans="1:2" x14ac:dyDescent="0.25">
      <c r="A2388">
        <v>0</v>
      </c>
      <c r="B2388" t="s">
        <v>1890</v>
      </c>
    </row>
    <row r="2389" spans="1:2" x14ac:dyDescent="0.25">
      <c r="A2389">
        <v>0</v>
      </c>
      <c r="B2389" t="s">
        <v>1891</v>
      </c>
    </row>
    <row r="2390" spans="1:2" x14ac:dyDescent="0.25">
      <c r="A2390">
        <v>0</v>
      </c>
      <c r="B2390" t="s">
        <v>1892</v>
      </c>
    </row>
    <row r="2391" spans="1:2" x14ac:dyDescent="0.25">
      <c r="A2391">
        <v>0</v>
      </c>
      <c r="B2391" t="s">
        <v>1893</v>
      </c>
    </row>
    <row r="2392" spans="1:2" x14ac:dyDescent="0.25">
      <c r="A2392">
        <v>0</v>
      </c>
      <c r="B2392" t="s">
        <v>1894</v>
      </c>
    </row>
    <row r="2393" spans="1:2" x14ac:dyDescent="0.25">
      <c r="A2393">
        <v>0</v>
      </c>
      <c r="B2393" t="s">
        <v>1895</v>
      </c>
    </row>
    <row r="2394" spans="1:2" x14ac:dyDescent="0.25">
      <c r="A2394">
        <v>0</v>
      </c>
      <c r="B2394" t="s">
        <v>1896</v>
      </c>
    </row>
    <row r="2395" spans="1:2" x14ac:dyDescent="0.25">
      <c r="A2395">
        <v>0</v>
      </c>
      <c r="B2395" t="s">
        <v>1897</v>
      </c>
    </row>
    <row r="2396" spans="1:2" x14ac:dyDescent="0.25">
      <c r="A2396">
        <v>0</v>
      </c>
      <c r="B2396" t="s">
        <v>1898</v>
      </c>
    </row>
    <row r="2397" spans="1:2" x14ac:dyDescent="0.25">
      <c r="A2397">
        <v>0</v>
      </c>
      <c r="B2397" t="s">
        <v>1899</v>
      </c>
    </row>
    <row r="2398" spans="1:2" x14ac:dyDescent="0.25">
      <c r="A2398">
        <v>0</v>
      </c>
      <c r="B2398" t="s">
        <v>1900</v>
      </c>
    </row>
    <row r="2399" spans="1:2" x14ac:dyDescent="0.25">
      <c r="A2399">
        <v>0</v>
      </c>
      <c r="B2399" t="s">
        <v>1901</v>
      </c>
    </row>
    <row r="2400" spans="1:2" x14ac:dyDescent="0.25">
      <c r="A2400">
        <v>0</v>
      </c>
      <c r="B2400" t="s">
        <v>1902</v>
      </c>
    </row>
    <row r="2401" spans="1:2" x14ac:dyDescent="0.25">
      <c r="A2401">
        <v>0</v>
      </c>
      <c r="B2401" t="s">
        <v>1903</v>
      </c>
    </row>
    <row r="2402" spans="1:2" x14ac:dyDescent="0.25">
      <c r="A2402">
        <v>0</v>
      </c>
      <c r="B2402" t="s">
        <v>1904</v>
      </c>
    </row>
    <row r="2403" spans="1:2" x14ac:dyDescent="0.25">
      <c r="A2403">
        <v>0</v>
      </c>
      <c r="B2403" t="s">
        <v>1905</v>
      </c>
    </row>
    <row r="2404" spans="1:2" x14ac:dyDescent="0.25">
      <c r="A2404">
        <v>0</v>
      </c>
      <c r="B2404" t="s">
        <v>1906</v>
      </c>
    </row>
    <row r="2405" spans="1:2" x14ac:dyDescent="0.25">
      <c r="A2405">
        <v>0</v>
      </c>
      <c r="B2405" t="s">
        <v>1907</v>
      </c>
    </row>
    <row r="2406" spans="1:2" x14ac:dyDescent="0.25">
      <c r="A2406">
        <v>0</v>
      </c>
      <c r="B2406" t="s">
        <v>1908</v>
      </c>
    </row>
    <row r="2407" spans="1:2" x14ac:dyDescent="0.25">
      <c r="A2407">
        <v>0</v>
      </c>
      <c r="B2407" t="s">
        <v>1909</v>
      </c>
    </row>
    <row r="2408" spans="1:2" x14ac:dyDescent="0.25">
      <c r="A2408">
        <v>0</v>
      </c>
      <c r="B2408" t="s">
        <v>1910</v>
      </c>
    </row>
    <row r="2409" spans="1:2" x14ac:dyDescent="0.25">
      <c r="A2409">
        <v>0</v>
      </c>
      <c r="B2409" t="s">
        <v>1911</v>
      </c>
    </row>
    <row r="2410" spans="1:2" x14ac:dyDescent="0.25">
      <c r="A2410">
        <v>0</v>
      </c>
      <c r="B2410" t="s">
        <v>1912</v>
      </c>
    </row>
    <row r="2411" spans="1:2" x14ac:dyDescent="0.25">
      <c r="A2411">
        <v>0</v>
      </c>
      <c r="B2411" t="s">
        <v>1913</v>
      </c>
    </row>
    <row r="2412" spans="1:2" x14ac:dyDescent="0.25">
      <c r="A2412">
        <v>0</v>
      </c>
      <c r="B2412" t="s">
        <v>1914</v>
      </c>
    </row>
    <row r="2413" spans="1:2" x14ac:dyDescent="0.25">
      <c r="A2413">
        <v>0</v>
      </c>
      <c r="B2413" t="s">
        <v>1915</v>
      </c>
    </row>
    <row r="2414" spans="1:2" x14ac:dyDescent="0.25">
      <c r="A2414">
        <v>0</v>
      </c>
      <c r="B2414" t="s">
        <v>1916</v>
      </c>
    </row>
    <row r="2415" spans="1:2" x14ac:dyDescent="0.25">
      <c r="A2415">
        <v>0</v>
      </c>
      <c r="B2415" t="s">
        <v>1917</v>
      </c>
    </row>
    <row r="2416" spans="1:2" x14ac:dyDescent="0.25">
      <c r="A2416">
        <v>0</v>
      </c>
      <c r="B2416" t="s">
        <v>1918</v>
      </c>
    </row>
    <row r="2417" spans="1:2" x14ac:dyDescent="0.25">
      <c r="A2417">
        <v>0</v>
      </c>
      <c r="B2417" t="s">
        <v>1919</v>
      </c>
    </row>
    <row r="2418" spans="1:2" x14ac:dyDescent="0.25">
      <c r="A2418">
        <v>0</v>
      </c>
      <c r="B2418" t="s">
        <v>1920</v>
      </c>
    </row>
    <row r="2419" spans="1:2" x14ac:dyDescent="0.25">
      <c r="A2419">
        <v>0</v>
      </c>
      <c r="B2419" t="s">
        <v>1921</v>
      </c>
    </row>
    <row r="2420" spans="1:2" x14ac:dyDescent="0.25">
      <c r="A2420">
        <v>0</v>
      </c>
      <c r="B2420" t="s">
        <v>1922</v>
      </c>
    </row>
    <row r="2421" spans="1:2" x14ac:dyDescent="0.25">
      <c r="A2421">
        <v>0</v>
      </c>
      <c r="B2421" t="s">
        <v>1923</v>
      </c>
    </row>
    <row r="2422" spans="1:2" x14ac:dyDescent="0.25">
      <c r="A2422">
        <v>0</v>
      </c>
      <c r="B2422" t="s">
        <v>1924</v>
      </c>
    </row>
    <row r="2423" spans="1:2" x14ac:dyDescent="0.25">
      <c r="A2423">
        <v>0</v>
      </c>
      <c r="B2423" t="s">
        <v>1925</v>
      </c>
    </row>
    <row r="2424" spans="1:2" x14ac:dyDescent="0.25">
      <c r="A2424">
        <v>0</v>
      </c>
      <c r="B2424" t="s">
        <v>1926</v>
      </c>
    </row>
    <row r="2425" spans="1:2" x14ac:dyDescent="0.25">
      <c r="A2425">
        <v>176256</v>
      </c>
      <c r="B2425" t="s">
        <v>1927</v>
      </c>
    </row>
    <row r="2426" spans="1:2" x14ac:dyDescent="0.25">
      <c r="A2426">
        <v>176256</v>
      </c>
      <c r="B2426" t="s">
        <v>1928</v>
      </c>
    </row>
    <row r="2427" spans="1:2" x14ac:dyDescent="0.25">
      <c r="A2427">
        <v>176256</v>
      </c>
      <c r="B2427" t="s">
        <v>1929</v>
      </c>
    </row>
    <row r="2428" spans="1:2" x14ac:dyDescent="0.25">
      <c r="A2428">
        <v>105093</v>
      </c>
      <c r="B2428" t="s">
        <v>1930</v>
      </c>
    </row>
    <row r="2429" spans="1:2" x14ac:dyDescent="0.25">
      <c r="A2429">
        <v>105093</v>
      </c>
      <c r="B2429" t="s">
        <v>1931</v>
      </c>
    </row>
    <row r="2430" spans="1:2" x14ac:dyDescent="0.25">
      <c r="A2430">
        <v>105093</v>
      </c>
      <c r="B2430" t="s">
        <v>1932</v>
      </c>
    </row>
    <row r="2431" spans="1:2" x14ac:dyDescent="0.25">
      <c r="A2431">
        <v>105093</v>
      </c>
      <c r="B2431" t="s">
        <v>1933</v>
      </c>
    </row>
    <row r="2432" spans="1:2" x14ac:dyDescent="0.25">
      <c r="A2432">
        <v>143208</v>
      </c>
      <c r="B2432" t="s">
        <v>1934</v>
      </c>
    </row>
    <row r="2433" spans="1:2" x14ac:dyDescent="0.25">
      <c r="A2433">
        <v>143208</v>
      </c>
      <c r="B2433" t="s">
        <v>1935</v>
      </c>
    </row>
    <row r="2434" spans="1:2" x14ac:dyDescent="0.25">
      <c r="A2434">
        <v>121176</v>
      </c>
      <c r="B2434" t="s">
        <v>1936</v>
      </c>
    </row>
    <row r="2435" spans="1:2" x14ac:dyDescent="0.25">
      <c r="A2435">
        <v>121176</v>
      </c>
      <c r="B2435" t="s">
        <v>1937</v>
      </c>
    </row>
    <row r="2436" spans="1:2" x14ac:dyDescent="0.25">
      <c r="A2436">
        <v>110160</v>
      </c>
      <c r="B2436" t="s">
        <v>1938</v>
      </c>
    </row>
    <row r="2437" spans="1:2" x14ac:dyDescent="0.25">
      <c r="A2437">
        <v>79872</v>
      </c>
      <c r="B2437" t="s">
        <v>1939</v>
      </c>
    </row>
    <row r="2438" spans="1:2" x14ac:dyDescent="0.25">
      <c r="A2438">
        <v>65490</v>
      </c>
      <c r="B2438" t="s">
        <v>1940</v>
      </c>
    </row>
    <row r="2439" spans="1:2" x14ac:dyDescent="0.25">
      <c r="A2439">
        <v>65490</v>
      </c>
      <c r="B2439" t="s">
        <v>1941</v>
      </c>
    </row>
    <row r="2440" spans="1:2" x14ac:dyDescent="0.25">
      <c r="A2440">
        <v>40211</v>
      </c>
      <c r="B2440" t="s">
        <v>1942</v>
      </c>
    </row>
    <row r="2441" spans="1:2" x14ac:dyDescent="0.25">
      <c r="A2441">
        <v>89029</v>
      </c>
      <c r="B2441" t="s">
        <v>1943</v>
      </c>
    </row>
    <row r="2442" spans="1:2" x14ac:dyDescent="0.25">
      <c r="A2442">
        <v>96620</v>
      </c>
      <c r="B2442" t="s">
        <v>1944</v>
      </c>
    </row>
    <row r="2443" spans="1:2" x14ac:dyDescent="0.25">
      <c r="A2443">
        <v>30719</v>
      </c>
      <c r="B2443" t="s">
        <v>1945</v>
      </c>
    </row>
    <row r="2444" spans="1:2" x14ac:dyDescent="0.25">
      <c r="A2444">
        <v>85307</v>
      </c>
      <c r="B2444" t="s">
        <v>1946</v>
      </c>
    </row>
    <row r="2445" spans="1:2" x14ac:dyDescent="0.25">
      <c r="A2445">
        <v>39917</v>
      </c>
      <c r="B2445" t="s">
        <v>1947</v>
      </c>
    </row>
    <row r="2446" spans="1:2" x14ac:dyDescent="0.25">
      <c r="A2446">
        <v>100000</v>
      </c>
      <c r="B2446" t="s">
        <v>1948</v>
      </c>
    </row>
    <row r="2447" spans="1:2" x14ac:dyDescent="0.25">
      <c r="A2447">
        <v>219102</v>
      </c>
      <c r="B2447" t="s">
        <v>1949</v>
      </c>
    </row>
    <row r="2448" spans="1:2" x14ac:dyDescent="0.25">
      <c r="A2448">
        <v>51421</v>
      </c>
      <c r="B2448" t="s">
        <v>1950</v>
      </c>
    </row>
    <row r="2449" spans="1:2" x14ac:dyDescent="0.25">
      <c r="A2449">
        <v>8000</v>
      </c>
      <c r="B2449" t="s">
        <v>1951</v>
      </c>
    </row>
    <row r="2450" spans="1:2" x14ac:dyDescent="0.25">
      <c r="A2450">
        <v>8000</v>
      </c>
      <c r="B2450" t="s">
        <v>1952</v>
      </c>
    </row>
    <row r="2451" spans="1:2" x14ac:dyDescent="0.25">
      <c r="A2451">
        <v>8000</v>
      </c>
      <c r="B2451" t="s">
        <v>1953</v>
      </c>
    </row>
    <row r="2452" spans="1:2" x14ac:dyDescent="0.25">
      <c r="A2452">
        <v>8000</v>
      </c>
      <c r="B2452" t="s">
        <v>1954</v>
      </c>
    </row>
    <row r="2453" spans="1:2" x14ac:dyDescent="0.25">
      <c r="A2453">
        <v>8000</v>
      </c>
      <c r="B2453" t="s">
        <v>1955</v>
      </c>
    </row>
    <row r="2454" spans="1:2" x14ac:dyDescent="0.25">
      <c r="A2454">
        <v>8000</v>
      </c>
      <c r="B2454" t="s">
        <v>1956</v>
      </c>
    </row>
    <row r="2455" spans="1:2" x14ac:dyDescent="0.25">
      <c r="A2455">
        <v>8000</v>
      </c>
      <c r="B2455" t="s">
        <v>1957</v>
      </c>
    </row>
    <row r="2456" spans="1:2" x14ac:dyDescent="0.25">
      <c r="A2456">
        <v>8000</v>
      </c>
      <c r="B2456" t="s">
        <v>1958</v>
      </c>
    </row>
    <row r="2457" spans="1:2" x14ac:dyDescent="0.25">
      <c r="A2457">
        <v>10000</v>
      </c>
      <c r="B2457" t="s">
        <v>1959</v>
      </c>
    </row>
    <row r="2458" spans="1:2" x14ac:dyDescent="0.25">
      <c r="A2458">
        <v>10000</v>
      </c>
      <c r="B2458" t="s">
        <v>1960</v>
      </c>
    </row>
    <row r="2459" spans="1:2" x14ac:dyDescent="0.25">
      <c r="A2459">
        <v>10000</v>
      </c>
      <c r="B2459" t="s">
        <v>1961</v>
      </c>
    </row>
    <row r="2460" spans="1:2" x14ac:dyDescent="0.25">
      <c r="A2460">
        <v>10000</v>
      </c>
      <c r="B2460" t="s">
        <v>1962</v>
      </c>
    </row>
    <row r="2461" spans="1:2" x14ac:dyDescent="0.25">
      <c r="A2461">
        <v>0</v>
      </c>
      <c r="B2461" t="s">
        <v>1963</v>
      </c>
    </row>
    <row r="2462" spans="1:2" x14ac:dyDescent="0.25">
      <c r="A2462">
        <v>0</v>
      </c>
      <c r="B2462" t="s">
        <v>1964</v>
      </c>
    </row>
    <row r="2463" spans="1:2" x14ac:dyDescent="0.25">
      <c r="A2463">
        <v>0</v>
      </c>
      <c r="B2463" t="s">
        <v>1965</v>
      </c>
    </row>
    <row r="2464" spans="1:2" x14ac:dyDescent="0.25">
      <c r="A2464">
        <v>0</v>
      </c>
      <c r="B2464" t="s">
        <v>1966</v>
      </c>
    </row>
    <row r="2465" spans="1:2" x14ac:dyDescent="0.25">
      <c r="A2465">
        <v>0</v>
      </c>
      <c r="B2465" t="s">
        <v>1967</v>
      </c>
    </row>
    <row r="2466" spans="1:2" x14ac:dyDescent="0.25">
      <c r="A2466">
        <v>0</v>
      </c>
      <c r="B2466" t="s">
        <v>1968</v>
      </c>
    </row>
    <row r="2467" spans="1:2" x14ac:dyDescent="0.25">
      <c r="A2467">
        <v>0</v>
      </c>
      <c r="B2467" t="s">
        <v>1969</v>
      </c>
    </row>
    <row r="2468" spans="1:2" x14ac:dyDescent="0.25">
      <c r="A2468">
        <v>0</v>
      </c>
      <c r="B2468" t="s">
        <v>1970</v>
      </c>
    </row>
    <row r="2469" spans="1:2" x14ac:dyDescent="0.25">
      <c r="A2469">
        <v>0</v>
      </c>
      <c r="B2469" t="s">
        <v>1971</v>
      </c>
    </row>
    <row r="2470" spans="1:2" x14ac:dyDescent="0.25">
      <c r="A2470">
        <v>0</v>
      </c>
      <c r="B2470" t="s">
        <v>1972</v>
      </c>
    </row>
    <row r="2471" spans="1:2" x14ac:dyDescent="0.25">
      <c r="A2471">
        <v>0</v>
      </c>
      <c r="B2471" t="s">
        <v>1973</v>
      </c>
    </row>
    <row r="2472" spans="1:2" x14ac:dyDescent="0.25">
      <c r="A2472">
        <v>0</v>
      </c>
      <c r="B2472" t="s">
        <v>1974</v>
      </c>
    </row>
    <row r="2473" spans="1:2" x14ac:dyDescent="0.25">
      <c r="A2473">
        <v>0</v>
      </c>
      <c r="B2473" t="s">
        <v>1975</v>
      </c>
    </row>
    <row r="2474" spans="1:2" x14ac:dyDescent="0.25">
      <c r="A2474">
        <v>0</v>
      </c>
      <c r="B2474" t="s">
        <v>1976</v>
      </c>
    </row>
    <row r="2475" spans="1:2" x14ac:dyDescent="0.25">
      <c r="A2475">
        <v>0</v>
      </c>
      <c r="B2475" t="s">
        <v>1977</v>
      </c>
    </row>
    <row r="2476" spans="1:2" x14ac:dyDescent="0.25">
      <c r="A2476">
        <v>0</v>
      </c>
      <c r="B2476" t="s">
        <v>1978</v>
      </c>
    </row>
    <row r="2477" spans="1:2" x14ac:dyDescent="0.25">
      <c r="A2477">
        <v>0</v>
      </c>
      <c r="B2477" t="s">
        <v>1979</v>
      </c>
    </row>
    <row r="2478" spans="1:2" x14ac:dyDescent="0.25">
      <c r="A2478">
        <v>0</v>
      </c>
      <c r="B2478" t="s">
        <v>1980</v>
      </c>
    </row>
    <row r="2479" spans="1:2" x14ac:dyDescent="0.25">
      <c r="A2479">
        <v>0</v>
      </c>
      <c r="B2479" t="s">
        <v>1981</v>
      </c>
    </row>
    <row r="2480" spans="1:2" x14ac:dyDescent="0.25">
      <c r="A2480">
        <v>0</v>
      </c>
      <c r="B2480" t="s">
        <v>1982</v>
      </c>
    </row>
    <row r="2481" spans="1:2" x14ac:dyDescent="0.25">
      <c r="A2481">
        <v>0</v>
      </c>
      <c r="B2481" t="s">
        <v>1983</v>
      </c>
    </row>
    <row r="2482" spans="1:2" x14ac:dyDescent="0.25">
      <c r="A2482">
        <v>0</v>
      </c>
      <c r="B2482" t="s">
        <v>1984</v>
      </c>
    </row>
    <row r="2483" spans="1:2" x14ac:dyDescent="0.25">
      <c r="A2483">
        <v>0</v>
      </c>
      <c r="B2483" t="s">
        <v>1985</v>
      </c>
    </row>
    <row r="2484" spans="1:2" x14ac:dyDescent="0.25">
      <c r="A2484">
        <v>0</v>
      </c>
      <c r="B2484" t="s">
        <v>1986</v>
      </c>
    </row>
    <row r="2485" spans="1:2" x14ac:dyDescent="0.25">
      <c r="A2485">
        <v>253711</v>
      </c>
      <c r="B2485" t="s">
        <v>1987</v>
      </c>
    </row>
    <row r="2486" spans="1:2" x14ac:dyDescent="0.25">
      <c r="A2486">
        <v>226528</v>
      </c>
      <c r="B2486" t="s">
        <v>1988</v>
      </c>
    </row>
    <row r="2487" spans="1:2" x14ac:dyDescent="0.25">
      <c r="A2487">
        <v>181223</v>
      </c>
      <c r="B2487" t="s">
        <v>1989</v>
      </c>
    </row>
    <row r="2488" spans="1:2" x14ac:dyDescent="0.25">
      <c r="A2488">
        <v>144979</v>
      </c>
      <c r="B2488" t="s">
        <v>1990</v>
      </c>
    </row>
    <row r="2489" spans="1:2" x14ac:dyDescent="0.25">
      <c r="A2489">
        <v>117795</v>
      </c>
      <c r="B2489" t="s">
        <v>1991</v>
      </c>
    </row>
    <row r="2490" spans="1:2" x14ac:dyDescent="0.25">
      <c r="A2490">
        <v>90612</v>
      </c>
      <c r="B2490" t="s">
        <v>1992</v>
      </c>
    </row>
    <row r="2491" spans="1:2" x14ac:dyDescent="0.25">
      <c r="A2491">
        <v>90612</v>
      </c>
      <c r="B2491" t="s">
        <v>1993</v>
      </c>
    </row>
    <row r="2492" spans="1:2" x14ac:dyDescent="0.25">
      <c r="A2492">
        <v>90612</v>
      </c>
      <c r="B2492" t="s">
        <v>1994</v>
      </c>
    </row>
    <row r="2493" spans="1:2" x14ac:dyDescent="0.25">
      <c r="A2493">
        <v>163101</v>
      </c>
      <c r="B2493" t="s">
        <v>1995</v>
      </c>
    </row>
    <row r="2494" spans="1:2" x14ac:dyDescent="0.25">
      <c r="A2494">
        <v>163101</v>
      </c>
      <c r="B2494" t="s">
        <v>1996</v>
      </c>
    </row>
    <row r="2495" spans="1:2" x14ac:dyDescent="0.25">
      <c r="A2495">
        <v>181223</v>
      </c>
      <c r="B2495" t="s">
        <v>1997</v>
      </c>
    </row>
    <row r="2496" spans="1:2" x14ac:dyDescent="0.25">
      <c r="A2496">
        <v>135918</v>
      </c>
      <c r="B2496" t="s">
        <v>1998</v>
      </c>
    </row>
    <row r="2497" spans="1:2" x14ac:dyDescent="0.25">
      <c r="A2497">
        <v>85409</v>
      </c>
      <c r="B2497" t="s">
        <v>1999</v>
      </c>
    </row>
    <row r="2498" spans="1:2" x14ac:dyDescent="0.25">
      <c r="A2498">
        <v>85409</v>
      </c>
      <c r="B2498" t="s">
        <v>2000</v>
      </c>
    </row>
    <row r="2499" spans="1:2" x14ac:dyDescent="0.25">
      <c r="A2499">
        <v>85409</v>
      </c>
      <c r="B2499" t="s">
        <v>2001</v>
      </c>
    </row>
    <row r="2500" spans="1:2" x14ac:dyDescent="0.25">
      <c r="A2500">
        <v>65365</v>
      </c>
      <c r="B2500" t="s">
        <v>2002</v>
      </c>
    </row>
    <row r="2501" spans="1:2" x14ac:dyDescent="0.25">
      <c r="A2501">
        <v>46690</v>
      </c>
      <c r="B2501" t="s">
        <v>2003</v>
      </c>
    </row>
    <row r="2502" spans="1:2" x14ac:dyDescent="0.25">
      <c r="A2502">
        <v>46690</v>
      </c>
      <c r="B2502" t="s">
        <v>2004</v>
      </c>
    </row>
    <row r="2503" spans="1:2" x14ac:dyDescent="0.25">
      <c r="A2503">
        <v>46690</v>
      </c>
      <c r="B2503" t="s">
        <v>2005</v>
      </c>
    </row>
    <row r="2504" spans="1:2" x14ac:dyDescent="0.25">
      <c r="A2504">
        <v>62191</v>
      </c>
      <c r="B2504" t="s">
        <v>2006</v>
      </c>
    </row>
    <row r="2505" spans="1:2" x14ac:dyDescent="0.25">
      <c r="A2505">
        <v>72555</v>
      </c>
      <c r="B2505" t="s">
        <v>2007</v>
      </c>
    </row>
    <row r="2506" spans="1:2" x14ac:dyDescent="0.25">
      <c r="A2506">
        <v>82921</v>
      </c>
      <c r="B2506" t="s">
        <v>2008</v>
      </c>
    </row>
    <row r="2507" spans="1:2" x14ac:dyDescent="0.25">
      <c r="A2507">
        <v>82921</v>
      </c>
      <c r="B2507" t="s">
        <v>2009</v>
      </c>
    </row>
    <row r="2508" spans="1:2" x14ac:dyDescent="0.25">
      <c r="A2508">
        <v>72555</v>
      </c>
      <c r="B2508" t="s">
        <v>2010</v>
      </c>
    </row>
    <row r="2509" spans="1:2" x14ac:dyDescent="0.25">
      <c r="A2509">
        <v>66353</v>
      </c>
      <c r="B2509" t="s">
        <v>2011</v>
      </c>
    </row>
    <row r="2510" spans="1:2" x14ac:dyDescent="0.25">
      <c r="A2510">
        <v>66353</v>
      </c>
      <c r="B2510" t="s">
        <v>2012</v>
      </c>
    </row>
    <row r="2511" spans="1:2" x14ac:dyDescent="0.25">
      <c r="A2511">
        <v>56146</v>
      </c>
      <c r="B2511" t="s">
        <v>2013</v>
      </c>
    </row>
    <row r="2512" spans="1:2" x14ac:dyDescent="0.25">
      <c r="A2512">
        <v>35728</v>
      </c>
      <c r="B2512" t="s">
        <v>2014</v>
      </c>
    </row>
    <row r="2513" spans="1:2" x14ac:dyDescent="0.25">
      <c r="A2513">
        <v>35730</v>
      </c>
      <c r="B2513" t="s">
        <v>2015</v>
      </c>
    </row>
    <row r="2514" spans="1:2" x14ac:dyDescent="0.25">
      <c r="A2514">
        <v>30626</v>
      </c>
      <c r="B2514" t="s">
        <v>2016</v>
      </c>
    </row>
    <row r="2515" spans="1:2" x14ac:dyDescent="0.25">
      <c r="A2515">
        <v>30626</v>
      </c>
      <c r="B2515" t="s">
        <v>2017</v>
      </c>
    </row>
    <row r="2516" spans="1:2" x14ac:dyDescent="0.25">
      <c r="A2516">
        <v>30626</v>
      </c>
      <c r="B2516" t="s">
        <v>2018</v>
      </c>
    </row>
    <row r="2517" spans="1:2" x14ac:dyDescent="0.25">
      <c r="A2517">
        <v>66353</v>
      </c>
      <c r="B2517" t="s">
        <v>2019</v>
      </c>
    </row>
    <row r="2518" spans="1:2" x14ac:dyDescent="0.25">
      <c r="A2518">
        <v>66351</v>
      </c>
      <c r="B2518" t="s">
        <v>2020</v>
      </c>
    </row>
    <row r="2519" spans="1:2" x14ac:dyDescent="0.25">
      <c r="A2519">
        <v>66351</v>
      </c>
      <c r="B2519" t="s">
        <v>2021</v>
      </c>
    </row>
    <row r="2520" spans="1:2" x14ac:dyDescent="0.25">
      <c r="A2520">
        <v>45938</v>
      </c>
      <c r="B2520" t="s">
        <v>2022</v>
      </c>
    </row>
    <row r="2521" spans="1:2" x14ac:dyDescent="0.25">
      <c r="A2521">
        <v>263304</v>
      </c>
      <c r="B2521" t="s">
        <v>2023</v>
      </c>
    </row>
    <row r="2522" spans="1:2" x14ac:dyDescent="0.25">
      <c r="A2522">
        <v>263304</v>
      </c>
      <c r="B2522" t="s">
        <v>2024</v>
      </c>
    </row>
    <row r="2523" spans="1:2" x14ac:dyDescent="0.25">
      <c r="A2523">
        <v>188075</v>
      </c>
      <c r="B2523" t="s">
        <v>2025</v>
      </c>
    </row>
    <row r="2524" spans="1:2" x14ac:dyDescent="0.25">
      <c r="A2524">
        <v>91687</v>
      </c>
      <c r="B2524" t="s">
        <v>2026</v>
      </c>
    </row>
    <row r="2525" spans="1:2" x14ac:dyDescent="0.25">
      <c r="A2525">
        <v>91687</v>
      </c>
      <c r="B2525" t="s">
        <v>2027</v>
      </c>
    </row>
    <row r="2526" spans="1:2" x14ac:dyDescent="0.25">
      <c r="A2526">
        <v>91687</v>
      </c>
      <c r="B2526" t="s">
        <v>2028</v>
      </c>
    </row>
    <row r="2527" spans="1:2" x14ac:dyDescent="0.25">
      <c r="A2527">
        <v>87456</v>
      </c>
      <c r="B2527" t="s">
        <v>2029</v>
      </c>
    </row>
    <row r="2528" spans="1:2" x14ac:dyDescent="0.25">
      <c r="A2528">
        <v>91687</v>
      </c>
      <c r="B2528" t="s">
        <v>2030</v>
      </c>
    </row>
    <row r="2529" spans="1:2" x14ac:dyDescent="0.25">
      <c r="A2529">
        <v>188075</v>
      </c>
      <c r="B2529" t="s">
        <v>2031</v>
      </c>
    </row>
    <row r="2530" spans="1:2" x14ac:dyDescent="0.25">
      <c r="A2530">
        <v>235093</v>
      </c>
      <c r="B2530" t="s">
        <v>2032</v>
      </c>
    </row>
    <row r="2531" spans="1:2" x14ac:dyDescent="0.25">
      <c r="A2531">
        <v>188075</v>
      </c>
      <c r="B2531" t="s">
        <v>2033</v>
      </c>
    </row>
    <row r="2532" spans="1:2" x14ac:dyDescent="0.25">
      <c r="A2532">
        <v>169267</v>
      </c>
      <c r="B2532" t="s">
        <v>2034</v>
      </c>
    </row>
    <row r="2533" spans="1:2" x14ac:dyDescent="0.25">
      <c r="A2533">
        <v>1091018</v>
      </c>
      <c r="B2533" t="s">
        <v>2035</v>
      </c>
    </row>
    <row r="2534" spans="1:2" x14ac:dyDescent="0.25">
      <c r="A2534">
        <v>1000100</v>
      </c>
      <c r="B2534" t="s">
        <v>2036</v>
      </c>
    </row>
    <row r="2535" spans="1:2" x14ac:dyDescent="0.25">
      <c r="A2535">
        <v>863722</v>
      </c>
      <c r="B2535" t="s">
        <v>2037</v>
      </c>
    </row>
    <row r="2536" spans="1:2" x14ac:dyDescent="0.25">
      <c r="A2536">
        <v>578240</v>
      </c>
      <c r="B2536" t="s">
        <v>2038</v>
      </c>
    </row>
    <row r="2537" spans="1:2" x14ac:dyDescent="0.25">
      <c r="A2537">
        <v>578240</v>
      </c>
      <c r="B2537" t="s">
        <v>2039</v>
      </c>
    </row>
    <row r="2538" spans="1:2" x14ac:dyDescent="0.25">
      <c r="A2538">
        <v>530054</v>
      </c>
      <c r="B2538" t="s">
        <v>2040</v>
      </c>
    </row>
    <row r="2539" spans="1:2" x14ac:dyDescent="0.25">
      <c r="A2539">
        <v>530054</v>
      </c>
      <c r="B2539" t="s">
        <v>2041</v>
      </c>
    </row>
    <row r="2540" spans="1:2" x14ac:dyDescent="0.25">
      <c r="A2540">
        <v>818263</v>
      </c>
      <c r="B2540" t="s">
        <v>2042</v>
      </c>
    </row>
    <row r="2541" spans="1:2" x14ac:dyDescent="0.25">
      <c r="A2541">
        <v>863722</v>
      </c>
      <c r="B2541" t="s">
        <v>2043</v>
      </c>
    </row>
    <row r="2542" spans="1:2" x14ac:dyDescent="0.25">
      <c r="A2542">
        <v>1000100</v>
      </c>
      <c r="B2542" t="s">
        <v>2044</v>
      </c>
    </row>
    <row r="2543" spans="1:2" x14ac:dyDescent="0.25">
      <c r="A2543">
        <v>1000100</v>
      </c>
      <c r="B2543" t="s">
        <v>2045</v>
      </c>
    </row>
    <row r="2544" spans="1:2" x14ac:dyDescent="0.25">
      <c r="A2544">
        <v>727345</v>
      </c>
      <c r="B2544" t="s">
        <v>2046</v>
      </c>
    </row>
    <row r="2545" spans="1:2" x14ac:dyDescent="0.25">
      <c r="A2545">
        <v>14883</v>
      </c>
      <c r="B2545" t="s">
        <v>2047</v>
      </c>
    </row>
    <row r="2546" spans="1:2" x14ac:dyDescent="0.25">
      <c r="A2546">
        <v>14883</v>
      </c>
      <c r="B2546" t="s">
        <v>2048</v>
      </c>
    </row>
    <row r="2547" spans="1:2" x14ac:dyDescent="0.25">
      <c r="A2547">
        <v>14883</v>
      </c>
      <c r="B2547" t="s">
        <v>2049</v>
      </c>
    </row>
    <row r="2548" spans="1:2" x14ac:dyDescent="0.25">
      <c r="A2548">
        <v>14883</v>
      </c>
      <c r="B2548" t="s">
        <v>2050</v>
      </c>
    </row>
    <row r="2549" spans="1:2" x14ac:dyDescent="0.25">
      <c r="A2549">
        <v>14883</v>
      </c>
      <c r="B2549" t="s">
        <v>2051</v>
      </c>
    </row>
    <row r="2550" spans="1:2" x14ac:dyDescent="0.25">
      <c r="A2550">
        <v>14883</v>
      </c>
      <c r="B2550" t="s">
        <v>2052</v>
      </c>
    </row>
    <row r="2551" spans="1:2" x14ac:dyDescent="0.25">
      <c r="A2551">
        <v>14883</v>
      </c>
      <c r="B2551" t="s">
        <v>2053</v>
      </c>
    </row>
    <row r="2552" spans="1:2" x14ac:dyDescent="0.25">
      <c r="A2552">
        <v>14883</v>
      </c>
      <c r="B2552" t="s">
        <v>2054</v>
      </c>
    </row>
    <row r="2553" spans="1:2" x14ac:dyDescent="0.25">
      <c r="A2553">
        <v>14883</v>
      </c>
      <c r="B2553" t="s">
        <v>2055</v>
      </c>
    </row>
    <row r="2554" spans="1:2" x14ac:dyDescent="0.25">
      <c r="A2554">
        <v>14883</v>
      </c>
      <c r="B2554" t="s">
        <v>2056</v>
      </c>
    </row>
    <row r="2555" spans="1:2" x14ac:dyDescent="0.25">
      <c r="A2555">
        <v>14883</v>
      </c>
      <c r="B2555" t="s">
        <v>2057</v>
      </c>
    </row>
    <row r="2556" spans="1:2" x14ac:dyDescent="0.25">
      <c r="A2556">
        <v>14883</v>
      </c>
      <c r="B2556" t="s">
        <v>2058</v>
      </c>
    </row>
    <row r="2557" spans="1:2" x14ac:dyDescent="0.25">
      <c r="A2557">
        <v>28737</v>
      </c>
      <c r="B2557" t="s">
        <v>2059</v>
      </c>
    </row>
    <row r="2558" spans="1:2" x14ac:dyDescent="0.25">
      <c r="A2558">
        <v>23948</v>
      </c>
      <c r="B2558" t="s">
        <v>2060</v>
      </c>
    </row>
    <row r="2559" spans="1:2" x14ac:dyDescent="0.25">
      <c r="A2559">
        <v>23948</v>
      </c>
      <c r="B2559" t="s">
        <v>2061</v>
      </c>
    </row>
    <row r="2560" spans="1:2" x14ac:dyDescent="0.25">
      <c r="A2560">
        <v>25146</v>
      </c>
      <c r="B2560" t="s">
        <v>2062</v>
      </c>
    </row>
    <row r="2561" spans="1:2" x14ac:dyDescent="0.25">
      <c r="A2561">
        <v>20116</v>
      </c>
      <c r="B2561" t="s">
        <v>2063</v>
      </c>
    </row>
    <row r="2562" spans="1:2" x14ac:dyDescent="0.25">
      <c r="A2562">
        <v>4024</v>
      </c>
      <c r="B2562" t="s">
        <v>2064</v>
      </c>
    </row>
    <row r="2563" spans="1:2" x14ac:dyDescent="0.25">
      <c r="A2563">
        <v>4024</v>
      </c>
      <c r="B2563" t="s">
        <v>2065</v>
      </c>
    </row>
    <row r="2564" spans="1:2" x14ac:dyDescent="0.25">
      <c r="A2564">
        <v>3018</v>
      </c>
      <c r="B2564" t="s">
        <v>2066</v>
      </c>
    </row>
    <row r="2565" spans="1:2" x14ac:dyDescent="0.25">
      <c r="A2565">
        <v>11495</v>
      </c>
      <c r="B2565" t="s">
        <v>2067</v>
      </c>
    </row>
    <row r="2566" spans="1:2" x14ac:dyDescent="0.25">
      <c r="A2566">
        <v>19158</v>
      </c>
      <c r="B2566" t="s">
        <v>2068</v>
      </c>
    </row>
    <row r="2567" spans="1:2" x14ac:dyDescent="0.25">
      <c r="A2567">
        <v>25146</v>
      </c>
      <c r="B2567" t="s">
        <v>2069</v>
      </c>
    </row>
    <row r="2568" spans="1:2" x14ac:dyDescent="0.25">
      <c r="A2568">
        <v>25146</v>
      </c>
      <c r="B2568" t="s">
        <v>2070</v>
      </c>
    </row>
    <row r="2569" spans="1:2" x14ac:dyDescent="0.25">
      <c r="A2569">
        <v>40000</v>
      </c>
      <c r="B2569" t="s">
        <v>2071</v>
      </c>
    </row>
    <row r="2570" spans="1:2" x14ac:dyDescent="0.25">
      <c r="A2570">
        <v>30000</v>
      </c>
      <c r="B2570" t="s">
        <v>2072</v>
      </c>
    </row>
    <row r="2571" spans="1:2" x14ac:dyDescent="0.25">
      <c r="A2571">
        <v>23000</v>
      </c>
      <c r="B2571" t="s">
        <v>2073</v>
      </c>
    </row>
    <row r="2572" spans="1:2" x14ac:dyDescent="0.25">
      <c r="A2572">
        <v>16250</v>
      </c>
      <c r="B2572" t="s">
        <v>2074</v>
      </c>
    </row>
    <row r="2573" spans="1:2" x14ac:dyDescent="0.25">
      <c r="A2573">
        <v>18000</v>
      </c>
      <c r="B2573" t="s">
        <v>2075</v>
      </c>
    </row>
    <row r="2574" spans="1:2" x14ac:dyDescent="0.25">
      <c r="A2574">
        <v>8400</v>
      </c>
      <c r="B2574" t="s">
        <v>2076</v>
      </c>
    </row>
    <row r="2575" spans="1:2" x14ac:dyDescent="0.25">
      <c r="A2575">
        <v>8400</v>
      </c>
      <c r="B2575" t="s">
        <v>2077</v>
      </c>
    </row>
    <row r="2576" spans="1:2" x14ac:dyDescent="0.25">
      <c r="A2576">
        <v>10000</v>
      </c>
      <c r="B2576" t="s">
        <v>2078</v>
      </c>
    </row>
    <row r="2577" spans="1:2" x14ac:dyDescent="0.25">
      <c r="A2577">
        <v>20000</v>
      </c>
      <c r="B2577" t="s">
        <v>2079</v>
      </c>
    </row>
    <row r="2578" spans="1:2" x14ac:dyDescent="0.25">
      <c r="A2578">
        <v>30000</v>
      </c>
      <c r="B2578" t="s">
        <v>2080</v>
      </c>
    </row>
    <row r="2579" spans="1:2" x14ac:dyDescent="0.25">
      <c r="A2579">
        <v>30000</v>
      </c>
      <c r="B2579" t="s">
        <v>2081</v>
      </c>
    </row>
    <row r="2580" spans="1:2" x14ac:dyDescent="0.25">
      <c r="A2580">
        <v>22000</v>
      </c>
      <c r="B2580" t="s">
        <v>2082</v>
      </c>
    </row>
    <row r="2581" spans="1:2" x14ac:dyDescent="0.25">
      <c r="A2581">
        <v>12000</v>
      </c>
      <c r="B2581" t="s">
        <v>2083</v>
      </c>
    </row>
    <row r="2582" spans="1:2" x14ac:dyDescent="0.25">
      <c r="A2582">
        <v>8800</v>
      </c>
      <c r="B2582" t="s">
        <v>2084</v>
      </c>
    </row>
    <row r="2583" spans="1:2" x14ac:dyDescent="0.25">
      <c r="A2583">
        <v>7700</v>
      </c>
      <c r="B2583" t="s">
        <v>2085</v>
      </c>
    </row>
    <row r="2584" spans="1:2" x14ac:dyDescent="0.25">
      <c r="A2584">
        <v>7700</v>
      </c>
      <c r="B2584" t="s">
        <v>2086</v>
      </c>
    </row>
    <row r="2585" spans="1:2" x14ac:dyDescent="0.25">
      <c r="A2585">
        <v>7700</v>
      </c>
      <c r="B2585" t="s">
        <v>2087</v>
      </c>
    </row>
    <row r="2586" spans="1:2" x14ac:dyDescent="0.25">
      <c r="A2586">
        <v>4400</v>
      </c>
      <c r="B2586" t="s">
        <v>2088</v>
      </c>
    </row>
    <row r="2587" spans="1:2" x14ac:dyDescent="0.25">
      <c r="A2587">
        <v>4400</v>
      </c>
      <c r="B2587" t="s">
        <v>2089</v>
      </c>
    </row>
    <row r="2588" spans="1:2" x14ac:dyDescent="0.25">
      <c r="A2588">
        <v>13200</v>
      </c>
      <c r="B2588" t="s">
        <v>2090</v>
      </c>
    </row>
    <row r="2589" spans="1:2" x14ac:dyDescent="0.25">
      <c r="A2589">
        <v>16500</v>
      </c>
      <c r="B2589" t="s">
        <v>2091</v>
      </c>
    </row>
    <row r="2590" spans="1:2" x14ac:dyDescent="0.25">
      <c r="A2590">
        <v>16500</v>
      </c>
      <c r="B2590" t="s">
        <v>2092</v>
      </c>
    </row>
    <row r="2591" spans="1:2" x14ac:dyDescent="0.25">
      <c r="A2591">
        <v>16500</v>
      </c>
      <c r="B2591" t="s">
        <v>2093</v>
      </c>
    </row>
    <row r="2592" spans="1:2" x14ac:dyDescent="0.25">
      <c r="A2592">
        <v>16500</v>
      </c>
      <c r="B2592" t="s">
        <v>2094</v>
      </c>
    </row>
    <row r="2593" spans="1:2" x14ac:dyDescent="0.25">
      <c r="A2593">
        <v>94462</v>
      </c>
      <c r="B2593" t="s">
        <v>2095</v>
      </c>
    </row>
    <row r="2594" spans="1:2" x14ac:dyDescent="0.25">
      <c r="A2594">
        <v>136562</v>
      </c>
      <c r="B2594" t="s">
        <v>2096</v>
      </c>
    </row>
    <row r="2595" spans="1:2" x14ac:dyDescent="0.25">
      <c r="A2595">
        <v>98700</v>
      </c>
      <c r="B2595" t="s">
        <v>2097</v>
      </c>
    </row>
    <row r="2596" spans="1:2" x14ac:dyDescent="0.25">
      <c r="A2596">
        <v>59220</v>
      </c>
      <c r="B2596" t="s">
        <v>2098</v>
      </c>
    </row>
    <row r="2597" spans="1:2" x14ac:dyDescent="0.25">
      <c r="A2597">
        <v>59220</v>
      </c>
      <c r="B2597" t="s">
        <v>2099</v>
      </c>
    </row>
    <row r="2598" spans="1:2" x14ac:dyDescent="0.25">
      <c r="A2598">
        <v>59220</v>
      </c>
      <c r="B2598" t="s">
        <v>2100</v>
      </c>
    </row>
    <row r="2599" spans="1:2" x14ac:dyDescent="0.25">
      <c r="A2599">
        <v>59220</v>
      </c>
      <c r="B2599" t="s">
        <v>2101</v>
      </c>
    </row>
    <row r="2600" spans="1:2" x14ac:dyDescent="0.25">
      <c r="A2600">
        <v>78960</v>
      </c>
      <c r="B2600" t="s">
        <v>2102</v>
      </c>
    </row>
    <row r="2601" spans="1:2" x14ac:dyDescent="0.25">
      <c r="A2601">
        <v>128310</v>
      </c>
      <c r="B2601" t="s">
        <v>2103</v>
      </c>
    </row>
    <row r="2602" spans="1:2" x14ac:dyDescent="0.25">
      <c r="A2602">
        <v>138180</v>
      </c>
      <c r="B2602" t="s">
        <v>2104</v>
      </c>
    </row>
    <row r="2603" spans="1:2" x14ac:dyDescent="0.25">
      <c r="A2603">
        <v>138180</v>
      </c>
      <c r="B2603" t="s">
        <v>2105</v>
      </c>
    </row>
    <row r="2604" spans="1:2" x14ac:dyDescent="0.25">
      <c r="A2604">
        <v>78960</v>
      </c>
      <c r="B2604" t="s">
        <v>2106</v>
      </c>
    </row>
    <row r="2605" spans="1:2" x14ac:dyDescent="0.25">
      <c r="A2605">
        <v>200000</v>
      </c>
      <c r="B2605" t="s">
        <v>2107</v>
      </c>
    </row>
    <row r="2606" spans="1:2" x14ac:dyDescent="0.25">
      <c r="A2606">
        <v>180000</v>
      </c>
      <c r="B2606" t="s">
        <v>2108</v>
      </c>
    </row>
    <row r="2607" spans="1:2" x14ac:dyDescent="0.25">
      <c r="A2607">
        <v>150000</v>
      </c>
      <c r="B2607" t="s">
        <v>2109</v>
      </c>
    </row>
    <row r="2608" spans="1:2" x14ac:dyDescent="0.25">
      <c r="A2608">
        <v>70000</v>
      </c>
      <c r="B2608" t="s">
        <v>2110</v>
      </c>
    </row>
    <row r="2609" spans="1:2" x14ac:dyDescent="0.25">
      <c r="A2609">
        <v>72800</v>
      </c>
      <c r="B2609" t="s">
        <v>2111</v>
      </c>
    </row>
    <row r="2610" spans="1:2" x14ac:dyDescent="0.25">
      <c r="A2610">
        <v>62400</v>
      </c>
      <c r="B2610" t="s">
        <v>2112</v>
      </c>
    </row>
    <row r="2611" spans="1:2" x14ac:dyDescent="0.25">
      <c r="A2611">
        <v>62400</v>
      </c>
      <c r="B2611" t="s">
        <v>2113</v>
      </c>
    </row>
    <row r="2612" spans="1:2" x14ac:dyDescent="0.25">
      <c r="A2612">
        <v>62400</v>
      </c>
      <c r="B2612" t="s">
        <v>2114</v>
      </c>
    </row>
    <row r="2613" spans="1:2" x14ac:dyDescent="0.25">
      <c r="A2613">
        <v>124800</v>
      </c>
      <c r="B2613" t="s">
        <v>2115</v>
      </c>
    </row>
    <row r="2614" spans="1:2" x14ac:dyDescent="0.25">
      <c r="A2614">
        <v>145600</v>
      </c>
      <c r="B2614" t="s">
        <v>2116</v>
      </c>
    </row>
    <row r="2615" spans="1:2" x14ac:dyDescent="0.25">
      <c r="A2615">
        <v>145600</v>
      </c>
      <c r="B2615" t="s">
        <v>2117</v>
      </c>
    </row>
    <row r="2616" spans="1:2" x14ac:dyDescent="0.25">
      <c r="A2616">
        <v>104000</v>
      </c>
      <c r="B2616" t="s">
        <v>2118</v>
      </c>
    </row>
    <row r="2617" spans="1:2" x14ac:dyDescent="0.25">
      <c r="A2617">
        <v>4320</v>
      </c>
      <c r="B2617" t="s">
        <v>2119</v>
      </c>
    </row>
    <row r="2618" spans="1:2" x14ac:dyDescent="0.25">
      <c r="A2618">
        <v>0</v>
      </c>
      <c r="B2618" t="s">
        <v>2120</v>
      </c>
    </row>
    <row r="2619" spans="1:2" x14ac:dyDescent="0.25">
      <c r="A2619">
        <v>8640</v>
      </c>
      <c r="B2619" t="s">
        <v>2121</v>
      </c>
    </row>
    <row r="2620" spans="1:2" x14ac:dyDescent="0.25">
      <c r="A2620">
        <v>0</v>
      </c>
      <c r="B2620" t="s">
        <v>2122</v>
      </c>
    </row>
    <row r="2621" spans="1:2" x14ac:dyDescent="0.25">
      <c r="A2621">
        <v>0</v>
      </c>
      <c r="B2621" t="s">
        <v>2123</v>
      </c>
    </row>
    <row r="2622" spans="1:2" x14ac:dyDescent="0.25">
      <c r="A2622">
        <v>0</v>
      </c>
      <c r="B2622" t="s">
        <v>2124</v>
      </c>
    </row>
    <row r="2623" spans="1:2" x14ac:dyDescent="0.25">
      <c r="A2623">
        <v>0</v>
      </c>
      <c r="B2623" t="s">
        <v>2125</v>
      </c>
    </row>
    <row r="2624" spans="1:2" x14ac:dyDescent="0.25">
      <c r="A2624">
        <v>4320</v>
      </c>
      <c r="B2624" t="s">
        <v>2126</v>
      </c>
    </row>
    <row r="2625" spans="1:2" x14ac:dyDescent="0.25">
      <c r="A2625">
        <v>0</v>
      </c>
      <c r="B2625" t="s">
        <v>2127</v>
      </c>
    </row>
    <row r="2626" spans="1:2" x14ac:dyDescent="0.25">
      <c r="A2626">
        <v>4320</v>
      </c>
      <c r="B2626" t="s">
        <v>2128</v>
      </c>
    </row>
    <row r="2627" spans="1:2" x14ac:dyDescent="0.25">
      <c r="A2627">
        <v>4320</v>
      </c>
      <c r="B2627" t="s">
        <v>2129</v>
      </c>
    </row>
    <row r="2628" spans="1:2" x14ac:dyDescent="0.25">
      <c r="A2628">
        <v>4320</v>
      </c>
      <c r="B2628" t="s">
        <v>2130</v>
      </c>
    </row>
    <row r="2629" spans="1:2" x14ac:dyDescent="0.25">
      <c r="A2629">
        <v>0</v>
      </c>
      <c r="B2629" t="s">
        <v>2131</v>
      </c>
    </row>
    <row r="2630" spans="1:2" x14ac:dyDescent="0.25">
      <c r="A2630">
        <v>10400</v>
      </c>
      <c r="B2630" t="s">
        <v>2132</v>
      </c>
    </row>
    <row r="2631" spans="1:2" x14ac:dyDescent="0.25">
      <c r="A2631">
        <v>0</v>
      </c>
      <c r="B2631" t="s">
        <v>2133</v>
      </c>
    </row>
    <row r="2632" spans="1:2" x14ac:dyDescent="0.25">
      <c r="A2632">
        <v>0</v>
      </c>
      <c r="B2632" t="s">
        <v>2134</v>
      </c>
    </row>
    <row r="2633" spans="1:2" x14ac:dyDescent="0.25">
      <c r="A2633">
        <v>10400</v>
      </c>
      <c r="B2633" t="s">
        <v>2135</v>
      </c>
    </row>
    <row r="2634" spans="1:2" x14ac:dyDescent="0.25">
      <c r="A2634">
        <v>0</v>
      </c>
      <c r="B2634" t="s">
        <v>2136</v>
      </c>
    </row>
    <row r="2635" spans="1:2" x14ac:dyDescent="0.25">
      <c r="A2635">
        <v>5200</v>
      </c>
      <c r="B2635" t="s">
        <v>2137</v>
      </c>
    </row>
    <row r="2636" spans="1:2" x14ac:dyDescent="0.25">
      <c r="A2636">
        <v>0</v>
      </c>
      <c r="B2636" t="s">
        <v>2138</v>
      </c>
    </row>
    <row r="2637" spans="1:2" x14ac:dyDescent="0.25">
      <c r="A2637">
        <v>10400</v>
      </c>
      <c r="B2637" t="s">
        <v>2139</v>
      </c>
    </row>
    <row r="2638" spans="1:2" x14ac:dyDescent="0.25">
      <c r="A2638">
        <v>0</v>
      </c>
      <c r="B2638" t="s">
        <v>2140</v>
      </c>
    </row>
    <row r="2639" spans="1:2" x14ac:dyDescent="0.25">
      <c r="A2639">
        <v>10400</v>
      </c>
      <c r="B2639" t="s">
        <v>2141</v>
      </c>
    </row>
    <row r="2640" spans="1:2" x14ac:dyDescent="0.25">
      <c r="A2640">
        <v>0</v>
      </c>
      <c r="B2640" t="s">
        <v>2142</v>
      </c>
    </row>
    <row r="2641" spans="1:2" x14ac:dyDescent="0.25">
      <c r="A2641">
        <v>10400</v>
      </c>
      <c r="B2641" t="s">
        <v>2143</v>
      </c>
    </row>
    <row r="2642" spans="1:2" x14ac:dyDescent="0.25">
      <c r="A2642">
        <v>10400</v>
      </c>
      <c r="B2642" t="s">
        <v>2144</v>
      </c>
    </row>
    <row r="2643" spans="1:2" x14ac:dyDescent="0.25">
      <c r="A2643">
        <v>0</v>
      </c>
      <c r="B2643" t="s">
        <v>2145</v>
      </c>
    </row>
    <row r="2644" spans="1:2" x14ac:dyDescent="0.25">
      <c r="A2644">
        <v>10400</v>
      </c>
      <c r="B2644" t="s">
        <v>2146</v>
      </c>
    </row>
    <row r="2645" spans="1:2" x14ac:dyDescent="0.25">
      <c r="A2645">
        <v>0</v>
      </c>
      <c r="B2645" t="s">
        <v>2147</v>
      </c>
    </row>
    <row r="2646" spans="1:2" x14ac:dyDescent="0.25">
      <c r="A2646">
        <v>10400</v>
      </c>
      <c r="B2646" t="s">
        <v>2148</v>
      </c>
    </row>
    <row r="2647" spans="1:2" x14ac:dyDescent="0.25">
      <c r="A2647">
        <v>0</v>
      </c>
      <c r="B2647" t="s">
        <v>2149</v>
      </c>
    </row>
    <row r="2648" spans="1:2" x14ac:dyDescent="0.25">
      <c r="A2648">
        <v>0</v>
      </c>
      <c r="B2648" t="s">
        <v>2150</v>
      </c>
    </row>
    <row r="2649" spans="1:2" x14ac:dyDescent="0.25">
      <c r="A2649">
        <v>10400</v>
      </c>
      <c r="B2649" t="s">
        <v>2151</v>
      </c>
    </row>
    <row r="2650" spans="1:2" x14ac:dyDescent="0.25">
      <c r="A2650">
        <v>0</v>
      </c>
      <c r="B2650" t="s">
        <v>2152</v>
      </c>
    </row>
    <row r="2651" spans="1:2" x14ac:dyDescent="0.25">
      <c r="A2651">
        <v>10400</v>
      </c>
      <c r="B2651" t="s">
        <v>2153</v>
      </c>
    </row>
    <row r="2652" spans="1:2" x14ac:dyDescent="0.25">
      <c r="A2652">
        <v>0</v>
      </c>
      <c r="B2652" t="s">
        <v>2154</v>
      </c>
    </row>
    <row r="2653" spans="1:2" x14ac:dyDescent="0.25">
      <c r="A2653">
        <v>0</v>
      </c>
      <c r="B2653" t="s">
        <v>2155</v>
      </c>
    </row>
    <row r="2654" spans="1:2" x14ac:dyDescent="0.25">
      <c r="A2654">
        <v>0</v>
      </c>
      <c r="B2654" t="s">
        <v>2156</v>
      </c>
    </row>
    <row r="2655" spans="1:2" x14ac:dyDescent="0.25">
      <c r="A2655">
        <v>0</v>
      </c>
      <c r="B2655" t="s">
        <v>2157</v>
      </c>
    </row>
    <row r="2656" spans="1:2" x14ac:dyDescent="0.25">
      <c r="A2656">
        <v>0</v>
      </c>
      <c r="B2656" t="s">
        <v>2158</v>
      </c>
    </row>
    <row r="2657" spans="1:2" x14ac:dyDescent="0.25">
      <c r="A2657">
        <v>0</v>
      </c>
      <c r="B2657" t="s">
        <v>2159</v>
      </c>
    </row>
    <row r="2658" spans="1:2" x14ac:dyDescent="0.25">
      <c r="A2658">
        <v>0</v>
      </c>
      <c r="B2658" t="s">
        <v>2160</v>
      </c>
    </row>
    <row r="2659" spans="1:2" x14ac:dyDescent="0.25">
      <c r="A2659">
        <v>0</v>
      </c>
      <c r="B2659" t="s">
        <v>2161</v>
      </c>
    </row>
    <row r="2660" spans="1:2" x14ac:dyDescent="0.25">
      <c r="A2660">
        <v>0</v>
      </c>
      <c r="B2660" t="s">
        <v>2162</v>
      </c>
    </row>
    <row r="2661" spans="1:2" x14ac:dyDescent="0.25">
      <c r="A2661">
        <v>0</v>
      </c>
      <c r="B2661" t="s">
        <v>2163</v>
      </c>
    </row>
    <row r="2662" spans="1:2" x14ac:dyDescent="0.25">
      <c r="A2662">
        <v>0</v>
      </c>
      <c r="B2662" t="s">
        <v>2164</v>
      </c>
    </row>
    <row r="2663" spans="1:2" x14ac:dyDescent="0.25">
      <c r="A2663">
        <v>0</v>
      </c>
      <c r="B2663" t="s">
        <v>2165</v>
      </c>
    </row>
    <row r="2664" spans="1:2" x14ac:dyDescent="0.25">
      <c r="A2664">
        <v>0</v>
      </c>
      <c r="B2664" t="s">
        <v>2166</v>
      </c>
    </row>
    <row r="2665" spans="1:2" x14ac:dyDescent="0.25">
      <c r="A2665">
        <v>26664</v>
      </c>
      <c r="B2665" t="s">
        <v>2167</v>
      </c>
    </row>
    <row r="2666" spans="1:2" x14ac:dyDescent="0.25">
      <c r="A2666">
        <v>26664</v>
      </c>
      <c r="B2666" t="s">
        <v>2168</v>
      </c>
    </row>
    <row r="2667" spans="1:2" x14ac:dyDescent="0.25">
      <c r="A2667">
        <v>22220</v>
      </c>
      <c r="B2667" t="s">
        <v>2169</v>
      </c>
    </row>
    <row r="2668" spans="1:2" x14ac:dyDescent="0.25">
      <c r="A2668">
        <v>13095</v>
      </c>
      <c r="B2668" t="s">
        <v>2170</v>
      </c>
    </row>
    <row r="2669" spans="1:2" x14ac:dyDescent="0.25">
      <c r="A2669">
        <v>14732</v>
      </c>
      <c r="B2669" t="s">
        <v>2171</v>
      </c>
    </row>
    <row r="2670" spans="1:2" x14ac:dyDescent="0.25">
      <c r="A2670">
        <v>22362</v>
      </c>
      <c r="B2670" t="s">
        <v>2172</v>
      </c>
    </row>
    <row r="2671" spans="1:2" x14ac:dyDescent="0.25">
      <c r="A2671">
        <v>21436</v>
      </c>
      <c r="B2671" t="s">
        <v>2173</v>
      </c>
    </row>
    <row r="2672" spans="1:2" x14ac:dyDescent="0.25">
      <c r="A2672">
        <v>33297</v>
      </c>
      <c r="B2672" t="s">
        <v>2174</v>
      </c>
    </row>
    <row r="2673" spans="1:2" x14ac:dyDescent="0.25">
      <c r="A2673">
        <v>33054</v>
      </c>
      <c r="B2673" t="s">
        <v>2175</v>
      </c>
    </row>
    <row r="2674" spans="1:2" x14ac:dyDescent="0.25">
      <c r="A2674">
        <v>35552</v>
      </c>
      <c r="B2674" t="s">
        <v>2176</v>
      </c>
    </row>
    <row r="2675" spans="1:2" x14ac:dyDescent="0.25">
      <c r="A2675">
        <v>44940</v>
      </c>
      <c r="B2675" t="s">
        <v>2177</v>
      </c>
    </row>
    <row r="2676" spans="1:2" x14ac:dyDescent="0.25">
      <c r="A2676">
        <v>19974</v>
      </c>
      <c r="B2676" t="s">
        <v>2178</v>
      </c>
    </row>
    <row r="2677" spans="1:2" x14ac:dyDescent="0.25">
      <c r="A2677">
        <v>0</v>
      </c>
      <c r="B2677" t="s">
        <v>2179</v>
      </c>
    </row>
    <row r="2678" spans="1:2" x14ac:dyDescent="0.25">
      <c r="A2678">
        <v>0</v>
      </c>
      <c r="B2678" t="s">
        <v>2180</v>
      </c>
    </row>
    <row r="2679" spans="1:2" x14ac:dyDescent="0.25">
      <c r="A2679">
        <v>0</v>
      </c>
      <c r="B2679" t="s">
        <v>2181</v>
      </c>
    </row>
    <row r="2680" spans="1:2" x14ac:dyDescent="0.25">
      <c r="A2680">
        <v>0</v>
      </c>
      <c r="B2680" t="s">
        <v>2182</v>
      </c>
    </row>
    <row r="2681" spans="1:2" x14ac:dyDescent="0.25">
      <c r="A2681">
        <v>0</v>
      </c>
      <c r="B2681" t="s">
        <v>2183</v>
      </c>
    </row>
    <row r="2682" spans="1:2" x14ac:dyDescent="0.25">
      <c r="A2682">
        <v>0</v>
      </c>
      <c r="B2682" t="s">
        <v>2184</v>
      </c>
    </row>
    <row r="2683" spans="1:2" x14ac:dyDescent="0.25">
      <c r="A2683">
        <v>0</v>
      </c>
      <c r="B2683" t="s">
        <v>2185</v>
      </c>
    </row>
    <row r="2684" spans="1:2" x14ac:dyDescent="0.25">
      <c r="A2684">
        <v>0</v>
      </c>
      <c r="B2684" t="s">
        <v>2186</v>
      </c>
    </row>
    <row r="2685" spans="1:2" x14ac:dyDescent="0.25">
      <c r="A2685">
        <v>0</v>
      </c>
      <c r="B2685" t="s">
        <v>2187</v>
      </c>
    </row>
    <row r="2686" spans="1:2" x14ac:dyDescent="0.25">
      <c r="A2686">
        <v>0</v>
      </c>
      <c r="B2686" t="s">
        <v>2188</v>
      </c>
    </row>
    <row r="2687" spans="1:2" x14ac:dyDescent="0.25">
      <c r="A2687">
        <v>0</v>
      </c>
      <c r="B2687" t="s">
        <v>2189</v>
      </c>
    </row>
    <row r="2688" spans="1:2" x14ac:dyDescent="0.25">
      <c r="A2688">
        <v>0</v>
      </c>
      <c r="B2688" t="s">
        <v>2190</v>
      </c>
    </row>
    <row r="2689" spans="1:2" x14ac:dyDescent="0.25">
      <c r="A2689">
        <v>0</v>
      </c>
      <c r="B2689" t="s">
        <v>2191</v>
      </c>
    </row>
    <row r="2690" spans="1:2" x14ac:dyDescent="0.25">
      <c r="A2690">
        <v>0</v>
      </c>
      <c r="B2690" t="s">
        <v>2192</v>
      </c>
    </row>
    <row r="2691" spans="1:2" x14ac:dyDescent="0.25">
      <c r="A2691">
        <v>0</v>
      </c>
      <c r="B2691" t="s">
        <v>2193</v>
      </c>
    </row>
    <row r="2692" spans="1:2" x14ac:dyDescent="0.25">
      <c r="A2692">
        <v>0</v>
      </c>
      <c r="B2692" t="s">
        <v>2194</v>
      </c>
    </row>
    <row r="2693" spans="1:2" x14ac:dyDescent="0.25">
      <c r="A2693">
        <v>0</v>
      </c>
      <c r="B2693" t="s">
        <v>2195</v>
      </c>
    </row>
    <row r="2694" spans="1:2" x14ac:dyDescent="0.25">
      <c r="A2694">
        <v>0</v>
      </c>
      <c r="B2694" t="s">
        <v>2196</v>
      </c>
    </row>
    <row r="2695" spans="1:2" x14ac:dyDescent="0.25">
      <c r="A2695">
        <v>0</v>
      </c>
      <c r="B2695" t="s">
        <v>2197</v>
      </c>
    </row>
    <row r="2696" spans="1:2" x14ac:dyDescent="0.25">
      <c r="A2696">
        <v>0</v>
      </c>
      <c r="B2696" t="s">
        <v>2198</v>
      </c>
    </row>
    <row r="2697" spans="1:2" x14ac:dyDescent="0.25">
      <c r="A2697">
        <v>0</v>
      </c>
      <c r="B2697" t="s">
        <v>2199</v>
      </c>
    </row>
    <row r="2698" spans="1:2" x14ac:dyDescent="0.25">
      <c r="A2698">
        <v>0</v>
      </c>
      <c r="B2698" t="s">
        <v>2200</v>
      </c>
    </row>
    <row r="2699" spans="1:2" x14ac:dyDescent="0.25">
      <c r="A2699">
        <v>0</v>
      </c>
      <c r="B2699" t="s">
        <v>2201</v>
      </c>
    </row>
    <row r="2700" spans="1:2" x14ac:dyDescent="0.25">
      <c r="A2700">
        <v>0</v>
      </c>
      <c r="B2700" t="s">
        <v>2202</v>
      </c>
    </row>
    <row r="2701" spans="1:2" x14ac:dyDescent="0.25">
      <c r="A2701">
        <v>0</v>
      </c>
      <c r="B2701" t="s">
        <v>2203</v>
      </c>
    </row>
    <row r="2702" spans="1:2" x14ac:dyDescent="0.25">
      <c r="A2702">
        <v>0</v>
      </c>
      <c r="B2702" t="s">
        <v>2204</v>
      </c>
    </row>
    <row r="2703" spans="1:2" x14ac:dyDescent="0.25">
      <c r="A2703">
        <v>0</v>
      </c>
      <c r="B2703" t="s">
        <v>2205</v>
      </c>
    </row>
    <row r="2704" spans="1:2" x14ac:dyDescent="0.25">
      <c r="A2704">
        <v>0</v>
      </c>
      <c r="B2704" t="s">
        <v>2206</v>
      </c>
    </row>
    <row r="2705" spans="1:2" x14ac:dyDescent="0.25">
      <c r="A2705">
        <v>0</v>
      </c>
      <c r="B2705" t="s">
        <v>2207</v>
      </c>
    </row>
    <row r="2706" spans="1:2" x14ac:dyDescent="0.25">
      <c r="A2706">
        <v>0</v>
      </c>
      <c r="B2706" t="s">
        <v>2208</v>
      </c>
    </row>
    <row r="2707" spans="1:2" x14ac:dyDescent="0.25">
      <c r="A2707">
        <v>0</v>
      </c>
      <c r="B2707" t="s">
        <v>2209</v>
      </c>
    </row>
    <row r="2708" spans="1:2" x14ac:dyDescent="0.25">
      <c r="A2708">
        <v>0</v>
      </c>
      <c r="B2708" t="s">
        <v>2210</v>
      </c>
    </row>
    <row r="2709" spans="1:2" x14ac:dyDescent="0.25">
      <c r="A2709">
        <v>0</v>
      </c>
      <c r="B2709" t="s">
        <v>2211</v>
      </c>
    </row>
    <row r="2710" spans="1:2" x14ac:dyDescent="0.25">
      <c r="A2710">
        <v>0</v>
      </c>
      <c r="B2710" t="s">
        <v>2212</v>
      </c>
    </row>
    <row r="2711" spans="1:2" x14ac:dyDescent="0.25">
      <c r="A2711">
        <v>0</v>
      </c>
      <c r="B2711" t="s">
        <v>2213</v>
      </c>
    </row>
    <row r="2712" spans="1:2" x14ac:dyDescent="0.25">
      <c r="A2712">
        <v>0</v>
      </c>
      <c r="B2712" t="s">
        <v>2214</v>
      </c>
    </row>
    <row r="2713" spans="1:2" x14ac:dyDescent="0.25">
      <c r="A2713">
        <v>0</v>
      </c>
      <c r="B2713" t="s">
        <v>2215</v>
      </c>
    </row>
    <row r="2714" spans="1:2" x14ac:dyDescent="0.25">
      <c r="A2714">
        <v>0</v>
      </c>
      <c r="B2714" t="s">
        <v>2216</v>
      </c>
    </row>
    <row r="2715" spans="1:2" x14ac:dyDescent="0.25">
      <c r="A2715">
        <v>0</v>
      </c>
      <c r="B2715" t="s">
        <v>2217</v>
      </c>
    </row>
    <row r="2716" spans="1:2" x14ac:dyDescent="0.25">
      <c r="A2716">
        <v>0</v>
      </c>
      <c r="B2716" t="s">
        <v>2218</v>
      </c>
    </row>
    <row r="2717" spans="1:2" x14ac:dyDescent="0.25">
      <c r="A2717">
        <v>0</v>
      </c>
      <c r="B2717" t="s">
        <v>2219</v>
      </c>
    </row>
    <row r="2718" spans="1:2" x14ac:dyDescent="0.25">
      <c r="A2718">
        <v>0</v>
      </c>
      <c r="B2718" t="s">
        <v>2220</v>
      </c>
    </row>
    <row r="2719" spans="1:2" x14ac:dyDescent="0.25">
      <c r="A2719">
        <v>0</v>
      </c>
      <c r="B2719" t="s">
        <v>2221</v>
      </c>
    </row>
    <row r="2720" spans="1:2" x14ac:dyDescent="0.25">
      <c r="A2720">
        <v>0</v>
      </c>
      <c r="B2720" t="s">
        <v>2222</v>
      </c>
    </row>
    <row r="2721" spans="1:2" x14ac:dyDescent="0.25">
      <c r="A2721">
        <v>0</v>
      </c>
      <c r="B2721" t="s">
        <v>2223</v>
      </c>
    </row>
    <row r="2722" spans="1:2" x14ac:dyDescent="0.25">
      <c r="A2722">
        <v>0</v>
      </c>
      <c r="B2722" t="s">
        <v>2224</v>
      </c>
    </row>
    <row r="2723" spans="1:2" x14ac:dyDescent="0.25">
      <c r="A2723">
        <v>0</v>
      </c>
      <c r="B2723" t="s">
        <v>2225</v>
      </c>
    </row>
    <row r="2724" spans="1:2" x14ac:dyDescent="0.25">
      <c r="A2724">
        <v>0</v>
      </c>
      <c r="B2724" t="s">
        <v>2226</v>
      </c>
    </row>
    <row r="2725" spans="1:2" x14ac:dyDescent="0.25">
      <c r="A2725">
        <v>160000</v>
      </c>
      <c r="B2725" t="s">
        <v>2227</v>
      </c>
    </row>
    <row r="2726" spans="1:2" x14ac:dyDescent="0.25">
      <c r="A2726">
        <v>160000</v>
      </c>
      <c r="B2726" t="s">
        <v>2228</v>
      </c>
    </row>
    <row r="2727" spans="1:2" x14ac:dyDescent="0.25">
      <c r="A2727">
        <v>160000</v>
      </c>
      <c r="B2727" t="s">
        <v>2229</v>
      </c>
    </row>
    <row r="2728" spans="1:2" x14ac:dyDescent="0.25">
      <c r="A2728">
        <v>95400</v>
      </c>
      <c r="B2728" t="s">
        <v>2230</v>
      </c>
    </row>
    <row r="2729" spans="1:2" x14ac:dyDescent="0.25">
      <c r="A2729">
        <v>95400</v>
      </c>
      <c r="B2729" t="s">
        <v>2231</v>
      </c>
    </row>
    <row r="2730" spans="1:2" x14ac:dyDescent="0.25">
      <c r="A2730">
        <v>95400</v>
      </c>
      <c r="B2730" t="s">
        <v>2232</v>
      </c>
    </row>
    <row r="2731" spans="1:2" x14ac:dyDescent="0.25">
      <c r="A2731">
        <v>95400</v>
      </c>
      <c r="B2731" t="s">
        <v>2233</v>
      </c>
    </row>
    <row r="2732" spans="1:2" x14ac:dyDescent="0.25">
      <c r="A2732">
        <v>130000</v>
      </c>
      <c r="B2732" t="s">
        <v>2234</v>
      </c>
    </row>
    <row r="2733" spans="1:2" x14ac:dyDescent="0.25">
      <c r="A2733">
        <v>130000</v>
      </c>
      <c r="B2733" t="s">
        <v>2235</v>
      </c>
    </row>
    <row r="2734" spans="1:2" x14ac:dyDescent="0.25">
      <c r="A2734">
        <v>110000</v>
      </c>
      <c r="B2734" t="s">
        <v>2236</v>
      </c>
    </row>
    <row r="2735" spans="1:2" x14ac:dyDescent="0.25">
      <c r="A2735">
        <v>110000</v>
      </c>
      <c r="B2735" t="s">
        <v>2237</v>
      </c>
    </row>
    <row r="2736" spans="1:2" x14ac:dyDescent="0.25">
      <c r="A2736">
        <v>100000</v>
      </c>
      <c r="B2736" t="s">
        <v>2238</v>
      </c>
    </row>
    <row r="2737" spans="1:2" x14ac:dyDescent="0.25">
      <c r="A2737">
        <v>79872</v>
      </c>
      <c r="B2737" t="s">
        <v>2239</v>
      </c>
    </row>
    <row r="2738" spans="1:2" x14ac:dyDescent="0.25">
      <c r="A2738">
        <v>65490</v>
      </c>
      <c r="B2738" t="s">
        <v>2240</v>
      </c>
    </row>
    <row r="2739" spans="1:2" x14ac:dyDescent="0.25">
      <c r="A2739">
        <v>65490</v>
      </c>
      <c r="B2739" t="s">
        <v>2241</v>
      </c>
    </row>
    <row r="2740" spans="1:2" x14ac:dyDescent="0.25">
      <c r="A2740">
        <v>40211</v>
      </c>
      <c r="B2740" t="s">
        <v>2242</v>
      </c>
    </row>
    <row r="2741" spans="1:2" x14ac:dyDescent="0.25">
      <c r="A2741">
        <v>89029</v>
      </c>
      <c r="B2741" t="s">
        <v>2243</v>
      </c>
    </row>
    <row r="2742" spans="1:2" x14ac:dyDescent="0.25">
      <c r="A2742">
        <v>96620</v>
      </c>
      <c r="B2742" t="s">
        <v>2244</v>
      </c>
    </row>
    <row r="2743" spans="1:2" x14ac:dyDescent="0.25">
      <c r="A2743">
        <v>30719</v>
      </c>
      <c r="B2743" t="s">
        <v>2245</v>
      </c>
    </row>
    <row r="2744" spans="1:2" x14ac:dyDescent="0.25">
      <c r="A2744">
        <v>85307</v>
      </c>
      <c r="B2744" t="s">
        <v>2246</v>
      </c>
    </row>
    <row r="2745" spans="1:2" x14ac:dyDescent="0.25">
      <c r="A2745">
        <v>39917</v>
      </c>
      <c r="B2745" t="s">
        <v>2247</v>
      </c>
    </row>
    <row r="2746" spans="1:2" x14ac:dyDescent="0.25">
      <c r="A2746">
        <v>100000</v>
      </c>
      <c r="B2746" t="s">
        <v>2248</v>
      </c>
    </row>
    <row r="2747" spans="1:2" x14ac:dyDescent="0.25">
      <c r="A2747">
        <v>219102</v>
      </c>
      <c r="B2747" t="s">
        <v>2249</v>
      </c>
    </row>
    <row r="2748" spans="1:2" x14ac:dyDescent="0.25">
      <c r="A2748">
        <v>51421</v>
      </c>
      <c r="B2748" t="s">
        <v>2250</v>
      </c>
    </row>
    <row r="2749" spans="1:2" x14ac:dyDescent="0.25">
      <c r="A2749">
        <v>8000</v>
      </c>
      <c r="B2749" t="s">
        <v>2251</v>
      </c>
    </row>
    <row r="2750" spans="1:2" x14ac:dyDescent="0.25">
      <c r="A2750">
        <v>8000</v>
      </c>
      <c r="B2750" t="s">
        <v>2252</v>
      </c>
    </row>
    <row r="2751" spans="1:2" x14ac:dyDescent="0.25">
      <c r="A2751">
        <v>8000</v>
      </c>
      <c r="B2751" t="s">
        <v>2253</v>
      </c>
    </row>
    <row r="2752" spans="1:2" x14ac:dyDescent="0.25">
      <c r="A2752">
        <v>8000</v>
      </c>
      <c r="B2752" t="s">
        <v>2254</v>
      </c>
    </row>
    <row r="2753" spans="1:2" x14ac:dyDescent="0.25">
      <c r="A2753">
        <v>8000</v>
      </c>
      <c r="B2753" t="s">
        <v>2255</v>
      </c>
    </row>
    <row r="2754" spans="1:2" x14ac:dyDescent="0.25">
      <c r="A2754">
        <v>8000</v>
      </c>
      <c r="B2754" t="s">
        <v>2256</v>
      </c>
    </row>
    <row r="2755" spans="1:2" x14ac:dyDescent="0.25">
      <c r="A2755">
        <v>8000</v>
      </c>
      <c r="B2755" t="s">
        <v>2257</v>
      </c>
    </row>
    <row r="2756" spans="1:2" x14ac:dyDescent="0.25">
      <c r="A2756">
        <v>8000</v>
      </c>
      <c r="B2756" t="s">
        <v>2258</v>
      </c>
    </row>
    <row r="2757" spans="1:2" x14ac:dyDescent="0.25">
      <c r="A2757">
        <v>10000</v>
      </c>
      <c r="B2757" t="s">
        <v>2259</v>
      </c>
    </row>
    <row r="2758" spans="1:2" x14ac:dyDescent="0.25">
      <c r="A2758">
        <v>10000</v>
      </c>
      <c r="B2758" t="s">
        <v>2260</v>
      </c>
    </row>
    <row r="2759" spans="1:2" x14ac:dyDescent="0.25">
      <c r="A2759">
        <v>10000</v>
      </c>
      <c r="B2759" t="s">
        <v>2261</v>
      </c>
    </row>
    <row r="2760" spans="1:2" x14ac:dyDescent="0.25">
      <c r="A2760">
        <v>10000</v>
      </c>
      <c r="B2760" t="s">
        <v>2262</v>
      </c>
    </row>
    <row r="2761" spans="1:2" x14ac:dyDescent="0.25">
      <c r="A2761">
        <v>0</v>
      </c>
      <c r="B2761" t="s">
        <v>2263</v>
      </c>
    </row>
    <row r="2762" spans="1:2" x14ac:dyDescent="0.25">
      <c r="A2762">
        <v>0</v>
      </c>
      <c r="B2762" t="s">
        <v>2264</v>
      </c>
    </row>
    <row r="2763" spans="1:2" x14ac:dyDescent="0.25">
      <c r="A2763">
        <v>0</v>
      </c>
      <c r="B2763" t="s">
        <v>2265</v>
      </c>
    </row>
    <row r="2764" spans="1:2" x14ac:dyDescent="0.25">
      <c r="A2764">
        <v>0</v>
      </c>
      <c r="B2764" t="s">
        <v>2266</v>
      </c>
    </row>
    <row r="2765" spans="1:2" x14ac:dyDescent="0.25">
      <c r="A2765">
        <v>0</v>
      </c>
      <c r="B2765" t="s">
        <v>2267</v>
      </c>
    </row>
    <row r="2766" spans="1:2" x14ac:dyDescent="0.25">
      <c r="A2766">
        <v>0</v>
      </c>
      <c r="B2766" t="s">
        <v>2268</v>
      </c>
    </row>
    <row r="2767" spans="1:2" x14ac:dyDescent="0.25">
      <c r="A2767">
        <v>0</v>
      </c>
      <c r="B2767" t="s">
        <v>2269</v>
      </c>
    </row>
    <row r="2768" spans="1:2" x14ac:dyDescent="0.25">
      <c r="A2768">
        <v>0</v>
      </c>
      <c r="B2768" t="s">
        <v>2270</v>
      </c>
    </row>
    <row r="2769" spans="1:2" x14ac:dyDescent="0.25">
      <c r="A2769">
        <v>0</v>
      </c>
      <c r="B2769" t="s">
        <v>2271</v>
      </c>
    </row>
    <row r="2770" spans="1:2" x14ac:dyDescent="0.25">
      <c r="A2770">
        <v>0</v>
      </c>
      <c r="B2770" t="s">
        <v>2272</v>
      </c>
    </row>
    <row r="2771" spans="1:2" x14ac:dyDescent="0.25">
      <c r="A2771">
        <v>0</v>
      </c>
      <c r="B2771" t="s">
        <v>2273</v>
      </c>
    </row>
    <row r="2772" spans="1:2" x14ac:dyDescent="0.25">
      <c r="A2772">
        <v>0</v>
      </c>
      <c r="B2772" t="s">
        <v>2274</v>
      </c>
    </row>
    <row r="2773" spans="1:2" x14ac:dyDescent="0.25">
      <c r="A2773">
        <v>0</v>
      </c>
      <c r="B2773" t="s">
        <v>2275</v>
      </c>
    </row>
    <row r="2774" spans="1:2" x14ac:dyDescent="0.25">
      <c r="A2774">
        <v>0</v>
      </c>
      <c r="B2774" t="s">
        <v>2276</v>
      </c>
    </row>
    <row r="2775" spans="1:2" x14ac:dyDescent="0.25">
      <c r="A2775">
        <v>0</v>
      </c>
      <c r="B2775" t="s">
        <v>2277</v>
      </c>
    </row>
    <row r="2776" spans="1:2" x14ac:dyDescent="0.25">
      <c r="A2776">
        <v>0</v>
      </c>
      <c r="B2776" t="s">
        <v>2278</v>
      </c>
    </row>
    <row r="2777" spans="1:2" x14ac:dyDescent="0.25">
      <c r="A2777">
        <v>0</v>
      </c>
      <c r="B2777" t="s">
        <v>2279</v>
      </c>
    </row>
    <row r="2778" spans="1:2" x14ac:dyDescent="0.25">
      <c r="A2778">
        <v>0</v>
      </c>
      <c r="B2778" t="s">
        <v>2280</v>
      </c>
    </row>
    <row r="2779" spans="1:2" x14ac:dyDescent="0.25">
      <c r="A2779">
        <v>0</v>
      </c>
      <c r="B2779" t="s">
        <v>2281</v>
      </c>
    </row>
    <row r="2780" spans="1:2" x14ac:dyDescent="0.25">
      <c r="A2780">
        <v>0</v>
      </c>
      <c r="B2780" t="s">
        <v>2282</v>
      </c>
    </row>
    <row r="2781" spans="1:2" x14ac:dyDescent="0.25">
      <c r="A2781">
        <v>0</v>
      </c>
      <c r="B2781" t="s">
        <v>2283</v>
      </c>
    </row>
    <row r="2782" spans="1:2" x14ac:dyDescent="0.25">
      <c r="A2782">
        <v>0</v>
      </c>
      <c r="B2782" t="s">
        <v>2284</v>
      </c>
    </row>
    <row r="2783" spans="1:2" x14ac:dyDescent="0.25">
      <c r="A2783">
        <v>0</v>
      </c>
      <c r="B2783" t="s">
        <v>2285</v>
      </c>
    </row>
    <row r="2784" spans="1:2" x14ac:dyDescent="0.25">
      <c r="A2784">
        <v>0</v>
      </c>
      <c r="B2784" t="s">
        <v>2286</v>
      </c>
    </row>
    <row r="2785" spans="1:2" x14ac:dyDescent="0.25">
      <c r="A2785">
        <v>200000</v>
      </c>
      <c r="B2785" t="s">
        <v>2287</v>
      </c>
    </row>
    <row r="2786" spans="1:2" x14ac:dyDescent="0.25">
      <c r="A2786">
        <v>209748</v>
      </c>
      <c r="B2786" t="s">
        <v>2288</v>
      </c>
    </row>
    <row r="2787" spans="1:2" x14ac:dyDescent="0.25">
      <c r="A2787">
        <v>140000</v>
      </c>
      <c r="B2787" t="s">
        <v>2289</v>
      </c>
    </row>
    <row r="2788" spans="1:2" x14ac:dyDescent="0.25">
      <c r="A2788">
        <v>134239</v>
      </c>
      <c r="B2788" t="s">
        <v>2290</v>
      </c>
    </row>
    <row r="2789" spans="1:2" x14ac:dyDescent="0.25">
      <c r="A2789">
        <v>109069</v>
      </c>
      <c r="B2789" t="s">
        <v>2291</v>
      </c>
    </row>
    <row r="2790" spans="1:2" x14ac:dyDescent="0.25">
      <c r="A2790">
        <v>83900</v>
      </c>
      <c r="B2790" t="s">
        <v>2292</v>
      </c>
    </row>
    <row r="2791" spans="1:2" x14ac:dyDescent="0.25">
      <c r="A2791">
        <v>83900</v>
      </c>
      <c r="B2791" t="s">
        <v>2293</v>
      </c>
    </row>
    <row r="2792" spans="1:2" x14ac:dyDescent="0.25">
      <c r="A2792">
        <v>83900</v>
      </c>
      <c r="B2792" t="s">
        <v>2294</v>
      </c>
    </row>
    <row r="2793" spans="1:2" x14ac:dyDescent="0.25">
      <c r="A2793">
        <v>151019</v>
      </c>
      <c r="B2793" t="s">
        <v>2295</v>
      </c>
    </row>
    <row r="2794" spans="1:2" x14ac:dyDescent="0.25">
      <c r="A2794">
        <v>151019</v>
      </c>
      <c r="B2794" t="s">
        <v>2296</v>
      </c>
    </row>
    <row r="2795" spans="1:2" x14ac:dyDescent="0.25">
      <c r="A2795">
        <v>150000</v>
      </c>
      <c r="B2795" t="s">
        <v>2297</v>
      </c>
    </row>
    <row r="2796" spans="1:2" x14ac:dyDescent="0.25">
      <c r="A2796">
        <v>100000</v>
      </c>
      <c r="B2796" t="s">
        <v>2298</v>
      </c>
    </row>
    <row r="2797" spans="1:2" x14ac:dyDescent="0.25">
      <c r="A2797">
        <v>80574</v>
      </c>
      <c r="B2797" t="s">
        <v>2299</v>
      </c>
    </row>
    <row r="2798" spans="1:2" x14ac:dyDescent="0.25">
      <c r="A2798">
        <v>80574</v>
      </c>
      <c r="B2798" t="s">
        <v>2300</v>
      </c>
    </row>
    <row r="2799" spans="1:2" x14ac:dyDescent="0.25">
      <c r="A2799">
        <v>80574</v>
      </c>
      <c r="B2799" t="s">
        <v>2301</v>
      </c>
    </row>
    <row r="2800" spans="1:2" x14ac:dyDescent="0.25">
      <c r="A2800">
        <v>61665</v>
      </c>
      <c r="B2800" t="s">
        <v>2302</v>
      </c>
    </row>
    <row r="2801" spans="1:2" x14ac:dyDescent="0.25">
      <c r="A2801">
        <v>44047</v>
      </c>
      <c r="B2801" t="s">
        <v>2303</v>
      </c>
    </row>
    <row r="2802" spans="1:2" x14ac:dyDescent="0.25">
      <c r="A2802">
        <v>44047</v>
      </c>
      <c r="B2802" t="s">
        <v>2304</v>
      </c>
    </row>
    <row r="2803" spans="1:2" x14ac:dyDescent="0.25">
      <c r="A2803">
        <v>44047</v>
      </c>
      <c r="B2803" t="s">
        <v>2305</v>
      </c>
    </row>
    <row r="2804" spans="1:2" x14ac:dyDescent="0.25">
      <c r="A2804">
        <v>58670</v>
      </c>
      <c r="B2804" t="s">
        <v>2306</v>
      </c>
    </row>
    <row r="2805" spans="1:2" x14ac:dyDescent="0.25">
      <c r="A2805">
        <v>68448</v>
      </c>
      <c r="B2805" t="s">
        <v>2307</v>
      </c>
    </row>
    <row r="2806" spans="1:2" x14ac:dyDescent="0.25">
      <c r="A2806">
        <v>78227</v>
      </c>
      <c r="B2806" t="s">
        <v>2308</v>
      </c>
    </row>
    <row r="2807" spans="1:2" x14ac:dyDescent="0.25">
      <c r="A2807">
        <v>78227</v>
      </c>
      <c r="B2807" t="s">
        <v>2309</v>
      </c>
    </row>
    <row r="2808" spans="1:2" x14ac:dyDescent="0.25">
      <c r="A2808">
        <v>68448</v>
      </c>
      <c r="B2808" t="s">
        <v>2310</v>
      </c>
    </row>
    <row r="2809" spans="1:2" x14ac:dyDescent="0.25">
      <c r="A2809">
        <v>62012</v>
      </c>
      <c r="B2809" t="s">
        <v>2311</v>
      </c>
    </row>
    <row r="2810" spans="1:2" x14ac:dyDescent="0.25">
      <c r="A2810">
        <v>62012</v>
      </c>
      <c r="B2810" t="s">
        <v>2312</v>
      </c>
    </row>
    <row r="2811" spans="1:2" x14ac:dyDescent="0.25">
      <c r="A2811">
        <v>52472</v>
      </c>
      <c r="B2811" t="s">
        <v>2313</v>
      </c>
    </row>
    <row r="2812" spans="1:2" x14ac:dyDescent="0.25">
      <c r="A2812">
        <v>33390</v>
      </c>
      <c r="B2812" t="s">
        <v>2314</v>
      </c>
    </row>
    <row r="2813" spans="1:2" x14ac:dyDescent="0.25">
      <c r="A2813">
        <v>33392</v>
      </c>
      <c r="B2813" t="s">
        <v>2315</v>
      </c>
    </row>
    <row r="2814" spans="1:2" x14ac:dyDescent="0.25">
      <c r="A2814">
        <v>28622</v>
      </c>
      <c r="B2814" t="s">
        <v>2316</v>
      </c>
    </row>
    <row r="2815" spans="1:2" x14ac:dyDescent="0.25">
      <c r="A2815">
        <v>28622</v>
      </c>
      <c r="B2815" t="s">
        <v>2317</v>
      </c>
    </row>
    <row r="2816" spans="1:2" x14ac:dyDescent="0.25">
      <c r="A2816">
        <v>28622</v>
      </c>
      <c r="B2816" t="s">
        <v>2318</v>
      </c>
    </row>
    <row r="2817" spans="1:2" x14ac:dyDescent="0.25">
      <c r="A2817">
        <v>40000</v>
      </c>
      <c r="B2817" t="s">
        <v>2319</v>
      </c>
    </row>
    <row r="2818" spans="1:2" x14ac:dyDescent="0.25">
      <c r="A2818">
        <v>40000</v>
      </c>
      <c r="B2818" t="s">
        <v>2320</v>
      </c>
    </row>
    <row r="2819" spans="1:2" x14ac:dyDescent="0.25">
      <c r="A2819">
        <v>40000</v>
      </c>
      <c r="B2819" t="s">
        <v>2321</v>
      </c>
    </row>
    <row r="2820" spans="1:2" x14ac:dyDescent="0.25">
      <c r="A2820">
        <v>40000</v>
      </c>
      <c r="B2820" t="s">
        <v>2322</v>
      </c>
    </row>
    <row r="2821" spans="1:2" x14ac:dyDescent="0.25">
      <c r="A2821">
        <v>263304</v>
      </c>
      <c r="B2821" t="s">
        <v>2323</v>
      </c>
    </row>
    <row r="2822" spans="1:2" x14ac:dyDescent="0.25">
      <c r="A2822">
        <v>263304</v>
      </c>
      <c r="B2822" t="s">
        <v>2324</v>
      </c>
    </row>
    <row r="2823" spans="1:2" x14ac:dyDescent="0.25">
      <c r="A2823">
        <v>188075</v>
      </c>
      <c r="B2823" t="s">
        <v>2325</v>
      </c>
    </row>
    <row r="2824" spans="1:2" x14ac:dyDescent="0.25">
      <c r="A2824">
        <v>91687</v>
      </c>
      <c r="B2824" t="s">
        <v>2326</v>
      </c>
    </row>
    <row r="2825" spans="1:2" x14ac:dyDescent="0.25">
      <c r="A2825">
        <v>91687</v>
      </c>
      <c r="B2825" t="s">
        <v>2327</v>
      </c>
    </row>
    <row r="2826" spans="1:2" x14ac:dyDescent="0.25">
      <c r="A2826">
        <v>91687</v>
      </c>
      <c r="B2826" t="s">
        <v>2328</v>
      </c>
    </row>
    <row r="2827" spans="1:2" x14ac:dyDescent="0.25">
      <c r="A2827">
        <v>87456</v>
      </c>
      <c r="B2827" t="s">
        <v>2329</v>
      </c>
    </row>
    <row r="2828" spans="1:2" x14ac:dyDescent="0.25">
      <c r="A2828">
        <v>91687</v>
      </c>
      <c r="B2828" t="s">
        <v>2330</v>
      </c>
    </row>
    <row r="2829" spans="1:2" x14ac:dyDescent="0.25">
      <c r="A2829">
        <v>188075</v>
      </c>
      <c r="B2829" t="s">
        <v>2331</v>
      </c>
    </row>
    <row r="2830" spans="1:2" x14ac:dyDescent="0.25">
      <c r="A2830">
        <v>235093</v>
      </c>
      <c r="B2830" t="s">
        <v>2332</v>
      </c>
    </row>
    <row r="2831" spans="1:2" x14ac:dyDescent="0.25">
      <c r="A2831">
        <v>188075</v>
      </c>
      <c r="B2831" t="s">
        <v>2333</v>
      </c>
    </row>
    <row r="2832" spans="1:2" x14ac:dyDescent="0.25">
      <c r="A2832">
        <v>169267</v>
      </c>
      <c r="B2832" t="s">
        <v>2334</v>
      </c>
    </row>
    <row r="2833" spans="1:2" x14ac:dyDescent="0.25">
      <c r="A2833">
        <v>1059240</v>
      </c>
      <c r="B2833" t="s">
        <v>2335</v>
      </c>
    </row>
    <row r="2834" spans="1:2" x14ac:dyDescent="0.25">
      <c r="A2834">
        <v>970970</v>
      </c>
      <c r="B2834" t="s">
        <v>2336</v>
      </c>
    </row>
    <row r="2835" spans="1:2" x14ac:dyDescent="0.25">
      <c r="A2835">
        <v>838565</v>
      </c>
      <c r="B2835" t="s">
        <v>2337</v>
      </c>
    </row>
    <row r="2836" spans="1:2" x14ac:dyDescent="0.25">
      <c r="A2836">
        <v>561398</v>
      </c>
      <c r="B2836" t="s">
        <v>2338</v>
      </c>
    </row>
    <row r="2837" spans="1:2" x14ac:dyDescent="0.25">
      <c r="A2837">
        <v>561398</v>
      </c>
      <c r="B2837" t="s">
        <v>2339</v>
      </c>
    </row>
    <row r="2838" spans="1:2" x14ac:dyDescent="0.25">
      <c r="A2838">
        <v>514615</v>
      </c>
      <c r="B2838" t="s">
        <v>2340</v>
      </c>
    </row>
    <row r="2839" spans="1:2" x14ac:dyDescent="0.25">
      <c r="A2839">
        <v>514615</v>
      </c>
      <c r="B2839" t="s">
        <v>2341</v>
      </c>
    </row>
    <row r="2840" spans="1:2" x14ac:dyDescent="0.25">
      <c r="A2840">
        <v>794430</v>
      </c>
      <c r="B2840" t="s">
        <v>2342</v>
      </c>
    </row>
    <row r="2841" spans="1:2" x14ac:dyDescent="0.25">
      <c r="A2841">
        <v>850000</v>
      </c>
      <c r="B2841" t="s">
        <v>2343</v>
      </c>
    </row>
    <row r="2842" spans="1:2" x14ac:dyDescent="0.25">
      <c r="A2842">
        <v>850000</v>
      </c>
      <c r="B2842" t="s">
        <v>2344</v>
      </c>
    </row>
    <row r="2843" spans="1:2" x14ac:dyDescent="0.25">
      <c r="A2843">
        <v>820000</v>
      </c>
      <c r="B2843" t="s">
        <v>2345</v>
      </c>
    </row>
    <row r="2844" spans="1:2" x14ac:dyDescent="0.25">
      <c r="A2844">
        <v>410000</v>
      </c>
      <c r="B2844" t="s">
        <v>2346</v>
      </c>
    </row>
    <row r="2845" spans="1:2" x14ac:dyDescent="0.25">
      <c r="A2845">
        <v>14883</v>
      </c>
      <c r="B2845" t="s">
        <v>2347</v>
      </c>
    </row>
    <row r="2846" spans="1:2" x14ac:dyDescent="0.25">
      <c r="A2846">
        <v>14883</v>
      </c>
      <c r="B2846" t="s">
        <v>2348</v>
      </c>
    </row>
    <row r="2847" spans="1:2" x14ac:dyDescent="0.25">
      <c r="A2847">
        <v>14883</v>
      </c>
      <c r="B2847" t="s">
        <v>2349</v>
      </c>
    </row>
    <row r="2848" spans="1:2" x14ac:dyDescent="0.25">
      <c r="A2848">
        <v>14883</v>
      </c>
      <c r="B2848" t="s">
        <v>2350</v>
      </c>
    </row>
    <row r="2849" spans="1:2" x14ac:dyDescent="0.25">
      <c r="A2849">
        <v>14883</v>
      </c>
      <c r="B2849" t="s">
        <v>2351</v>
      </c>
    </row>
    <row r="2850" spans="1:2" x14ac:dyDescent="0.25">
      <c r="A2850">
        <v>14883</v>
      </c>
      <c r="B2850" t="s">
        <v>2352</v>
      </c>
    </row>
    <row r="2851" spans="1:2" x14ac:dyDescent="0.25">
      <c r="A2851">
        <v>14883</v>
      </c>
      <c r="B2851" t="s">
        <v>2353</v>
      </c>
    </row>
    <row r="2852" spans="1:2" x14ac:dyDescent="0.25">
      <c r="A2852">
        <v>14883</v>
      </c>
      <c r="B2852" t="s">
        <v>2354</v>
      </c>
    </row>
    <row r="2853" spans="1:2" x14ac:dyDescent="0.25">
      <c r="A2853">
        <v>14883</v>
      </c>
      <c r="B2853" t="s">
        <v>2355</v>
      </c>
    </row>
    <row r="2854" spans="1:2" x14ac:dyDescent="0.25">
      <c r="A2854">
        <v>14883</v>
      </c>
      <c r="B2854" t="s">
        <v>2356</v>
      </c>
    </row>
    <row r="2855" spans="1:2" x14ac:dyDescent="0.25">
      <c r="A2855">
        <v>14883</v>
      </c>
      <c r="B2855" t="s">
        <v>2357</v>
      </c>
    </row>
    <row r="2856" spans="1:2" x14ac:dyDescent="0.25">
      <c r="A2856">
        <v>14883</v>
      </c>
      <c r="B2856" t="s">
        <v>2358</v>
      </c>
    </row>
    <row r="2857" spans="1:2" x14ac:dyDescent="0.25">
      <c r="A2857">
        <v>30900</v>
      </c>
      <c r="B2857" t="s">
        <v>2359</v>
      </c>
    </row>
    <row r="2858" spans="1:2" x14ac:dyDescent="0.25">
      <c r="A2858">
        <v>25750</v>
      </c>
      <c r="B2858" t="s">
        <v>2360</v>
      </c>
    </row>
    <row r="2859" spans="1:2" x14ac:dyDescent="0.25">
      <c r="A2859">
        <v>25750</v>
      </c>
      <c r="B2859" t="s">
        <v>2361</v>
      </c>
    </row>
    <row r="2860" spans="1:2" x14ac:dyDescent="0.25">
      <c r="A2860">
        <v>27038</v>
      </c>
      <c r="B2860" t="s">
        <v>2362</v>
      </c>
    </row>
    <row r="2861" spans="1:2" x14ac:dyDescent="0.25">
      <c r="A2861">
        <v>21630</v>
      </c>
      <c r="B2861" t="s">
        <v>2363</v>
      </c>
    </row>
    <row r="2862" spans="1:2" x14ac:dyDescent="0.25">
      <c r="A2862">
        <v>4326</v>
      </c>
      <c r="B2862" t="s">
        <v>2364</v>
      </c>
    </row>
    <row r="2863" spans="1:2" x14ac:dyDescent="0.25">
      <c r="A2863">
        <v>4326</v>
      </c>
      <c r="B2863" t="s">
        <v>2365</v>
      </c>
    </row>
    <row r="2864" spans="1:2" x14ac:dyDescent="0.25">
      <c r="A2864">
        <v>3245</v>
      </c>
      <c r="B2864" t="s">
        <v>2366</v>
      </c>
    </row>
    <row r="2865" spans="1:2" x14ac:dyDescent="0.25">
      <c r="A2865">
        <v>12360</v>
      </c>
      <c r="B2865" t="s">
        <v>2367</v>
      </c>
    </row>
    <row r="2866" spans="1:2" x14ac:dyDescent="0.25">
      <c r="A2866">
        <v>20600</v>
      </c>
      <c r="B2866" t="s">
        <v>2368</v>
      </c>
    </row>
    <row r="2867" spans="1:2" x14ac:dyDescent="0.25">
      <c r="A2867">
        <v>27038</v>
      </c>
      <c r="B2867" t="s">
        <v>2369</v>
      </c>
    </row>
    <row r="2868" spans="1:2" x14ac:dyDescent="0.25">
      <c r="A2868">
        <v>27038</v>
      </c>
      <c r="B2868" t="s">
        <v>2370</v>
      </c>
    </row>
    <row r="2869" spans="1:2" x14ac:dyDescent="0.25">
      <c r="A2869">
        <v>40000</v>
      </c>
      <c r="B2869" t="s">
        <v>2371</v>
      </c>
    </row>
    <row r="2870" spans="1:2" x14ac:dyDescent="0.25">
      <c r="A2870">
        <v>30000</v>
      </c>
      <c r="B2870" t="s">
        <v>2372</v>
      </c>
    </row>
    <row r="2871" spans="1:2" x14ac:dyDescent="0.25">
      <c r="A2871">
        <v>23000</v>
      </c>
      <c r="B2871" t="s">
        <v>2373</v>
      </c>
    </row>
    <row r="2872" spans="1:2" x14ac:dyDescent="0.25">
      <c r="A2872">
        <v>16250</v>
      </c>
      <c r="B2872" t="s">
        <v>2374</v>
      </c>
    </row>
    <row r="2873" spans="1:2" x14ac:dyDescent="0.25">
      <c r="A2873">
        <v>18000</v>
      </c>
      <c r="B2873" t="s">
        <v>2375</v>
      </c>
    </row>
    <row r="2874" spans="1:2" x14ac:dyDescent="0.25">
      <c r="A2874">
        <v>8400</v>
      </c>
      <c r="B2874" t="s">
        <v>2376</v>
      </c>
    </row>
    <row r="2875" spans="1:2" x14ac:dyDescent="0.25">
      <c r="A2875">
        <v>8400</v>
      </c>
      <c r="B2875" t="s">
        <v>2377</v>
      </c>
    </row>
    <row r="2876" spans="1:2" x14ac:dyDescent="0.25">
      <c r="A2876">
        <v>10000</v>
      </c>
      <c r="B2876" t="s">
        <v>2378</v>
      </c>
    </row>
    <row r="2877" spans="1:2" x14ac:dyDescent="0.25">
      <c r="A2877">
        <v>20000</v>
      </c>
      <c r="B2877" t="s">
        <v>2379</v>
      </c>
    </row>
    <row r="2878" spans="1:2" x14ac:dyDescent="0.25">
      <c r="A2878">
        <v>30000</v>
      </c>
      <c r="B2878" t="s">
        <v>2380</v>
      </c>
    </row>
    <row r="2879" spans="1:2" x14ac:dyDescent="0.25">
      <c r="A2879">
        <v>30000</v>
      </c>
      <c r="B2879" t="s">
        <v>2381</v>
      </c>
    </row>
    <row r="2880" spans="1:2" x14ac:dyDescent="0.25">
      <c r="A2880">
        <v>22000</v>
      </c>
      <c r="B2880" t="s">
        <v>2382</v>
      </c>
    </row>
    <row r="2881" spans="1:2" x14ac:dyDescent="0.25">
      <c r="A2881">
        <v>12000</v>
      </c>
      <c r="B2881" t="s">
        <v>2383</v>
      </c>
    </row>
    <row r="2882" spans="1:2" x14ac:dyDescent="0.25">
      <c r="A2882">
        <v>8800</v>
      </c>
      <c r="B2882" t="s">
        <v>2384</v>
      </c>
    </row>
    <row r="2883" spans="1:2" x14ac:dyDescent="0.25">
      <c r="A2883">
        <v>7700</v>
      </c>
      <c r="B2883" t="s">
        <v>2385</v>
      </c>
    </row>
    <row r="2884" spans="1:2" x14ac:dyDescent="0.25">
      <c r="A2884">
        <v>7700</v>
      </c>
      <c r="B2884" t="s">
        <v>2386</v>
      </c>
    </row>
    <row r="2885" spans="1:2" x14ac:dyDescent="0.25">
      <c r="A2885">
        <v>7700</v>
      </c>
      <c r="B2885" t="s">
        <v>2387</v>
      </c>
    </row>
    <row r="2886" spans="1:2" x14ac:dyDescent="0.25">
      <c r="A2886">
        <v>4400</v>
      </c>
      <c r="B2886" t="s">
        <v>2388</v>
      </c>
    </row>
    <row r="2887" spans="1:2" x14ac:dyDescent="0.25">
      <c r="A2887">
        <v>4400</v>
      </c>
      <c r="B2887" t="s">
        <v>2389</v>
      </c>
    </row>
    <row r="2888" spans="1:2" x14ac:dyDescent="0.25">
      <c r="A2888">
        <v>13200</v>
      </c>
      <c r="B2888" t="s">
        <v>2390</v>
      </c>
    </row>
    <row r="2889" spans="1:2" x14ac:dyDescent="0.25">
      <c r="A2889">
        <v>16500</v>
      </c>
      <c r="B2889" t="s">
        <v>2391</v>
      </c>
    </row>
    <row r="2890" spans="1:2" x14ac:dyDescent="0.25">
      <c r="A2890">
        <v>16500</v>
      </c>
      <c r="B2890" t="s">
        <v>2392</v>
      </c>
    </row>
    <row r="2891" spans="1:2" x14ac:dyDescent="0.25">
      <c r="A2891">
        <v>16500</v>
      </c>
      <c r="B2891" t="s">
        <v>2393</v>
      </c>
    </row>
    <row r="2892" spans="1:2" x14ac:dyDescent="0.25">
      <c r="A2892">
        <v>16500</v>
      </c>
      <c r="B2892" t="s">
        <v>2394</v>
      </c>
    </row>
    <row r="2893" spans="1:2" x14ac:dyDescent="0.25">
      <c r="A2893">
        <v>168000</v>
      </c>
      <c r="B2893" t="s">
        <v>2395</v>
      </c>
    </row>
    <row r="2894" spans="1:2" x14ac:dyDescent="0.25">
      <c r="A2894">
        <v>168000</v>
      </c>
      <c r="B2894" t="s">
        <v>2396</v>
      </c>
    </row>
    <row r="2895" spans="1:2" x14ac:dyDescent="0.25">
      <c r="A2895">
        <v>157500</v>
      </c>
      <c r="B2895" t="s">
        <v>2397</v>
      </c>
    </row>
    <row r="2896" spans="1:2" x14ac:dyDescent="0.25">
      <c r="A2896">
        <v>71820</v>
      </c>
      <c r="B2896" t="s">
        <v>2398</v>
      </c>
    </row>
    <row r="2897" spans="1:2" x14ac:dyDescent="0.25">
      <c r="A2897">
        <v>53865</v>
      </c>
      <c r="B2897" t="s">
        <v>2399</v>
      </c>
    </row>
    <row r="2898" spans="1:2" x14ac:dyDescent="0.25">
      <c r="A2898">
        <v>53865</v>
      </c>
      <c r="B2898" t="s">
        <v>2400</v>
      </c>
    </row>
    <row r="2899" spans="1:2" x14ac:dyDescent="0.25">
      <c r="A2899">
        <v>63000</v>
      </c>
      <c r="B2899" t="s">
        <v>2401</v>
      </c>
    </row>
    <row r="2900" spans="1:2" x14ac:dyDescent="0.25">
      <c r="A2900">
        <v>84000</v>
      </c>
      <c r="B2900" t="s">
        <v>2402</v>
      </c>
    </row>
    <row r="2901" spans="1:2" x14ac:dyDescent="0.25">
      <c r="A2901">
        <v>157500</v>
      </c>
      <c r="B2901" t="s">
        <v>2403</v>
      </c>
    </row>
    <row r="2902" spans="1:2" x14ac:dyDescent="0.25">
      <c r="A2902">
        <v>157500</v>
      </c>
      <c r="B2902" t="s">
        <v>2404</v>
      </c>
    </row>
    <row r="2903" spans="1:2" x14ac:dyDescent="0.25">
      <c r="A2903">
        <v>141750</v>
      </c>
      <c r="B2903" t="s">
        <v>2405</v>
      </c>
    </row>
    <row r="2904" spans="1:2" x14ac:dyDescent="0.25">
      <c r="A2904">
        <v>113400</v>
      </c>
      <c r="B2904" t="s">
        <v>2406</v>
      </c>
    </row>
    <row r="2905" spans="1:2" x14ac:dyDescent="0.25">
      <c r="A2905">
        <v>220000</v>
      </c>
      <c r="B2905" t="s">
        <v>2407</v>
      </c>
    </row>
    <row r="2906" spans="1:2" x14ac:dyDescent="0.25">
      <c r="A2906">
        <v>194480</v>
      </c>
      <c r="B2906" t="s">
        <v>2408</v>
      </c>
    </row>
    <row r="2907" spans="1:2" x14ac:dyDescent="0.25">
      <c r="A2907">
        <v>156000</v>
      </c>
      <c r="B2907" t="s">
        <v>2409</v>
      </c>
    </row>
    <row r="2908" spans="1:2" x14ac:dyDescent="0.25">
      <c r="A2908">
        <v>72800</v>
      </c>
      <c r="B2908" t="s">
        <v>2410</v>
      </c>
    </row>
    <row r="2909" spans="1:2" x14ac:dyDescent="0.25">
      <c r="A2909">
        <v>72800</v>
      </c>
      <c r="B2909" t="s">
        <v>2411</v>
      </c>
    </row>
    <row r="2910" spans="1:2" x14ac:dyDescent="0.25">
      <c r="A2910">
        <v>62400</v>
      </c>
      <c r="B2910" t="s">
        <v>2412</v>
      </c>
    </row>
    <row r="2911" spans="1:2" x14ac:dyDescent="0.25">
      <c r="A2911">
        <v>62400</v>
      </c>
      <c r="B2911" t="s">
        <v>2413</v>
      </c>
    </row>
    <row r="2912" spans="1:2" x14ac:dyDescent="0.25">
      <c r="A2912">
        <v>62400</v>
      </c>
      <c r="B2912" t="s">
        <v>2414</v>
      </c>
    </row>
    <row r="2913" spans="1:2" x14ac:dyDescent="0.25">
      <c r="A2913">
        <v>124800</v>
      </c>
      <c r="B2913" t="s">
        <v>2415</v>
      </c>
    </row>
    <row r="2914" spans="1:2" x14ac:dyDescent="0.25">
      <c r="A2914">
        <v>145600</v>
      </c>
      <c r="B2914" t="s">
        <v>2416</v>
      </c>
    </row>
    <row r="2915" spans="1:2" x14ac:dyDescent="0.25">
      <c r="A2915">
        <v>145600</v>
      </c>
      <c r="B2915" t="s">
        <v>2417</v>
      </c>
    </row>
    <row r="2916" spans="1:2" x14ac:dyDescent="0.25">
      <c r="A2916">
        <v>104000</v>
      </c>
      <c r="B2916" t="s">
        <v>2418</v>
      </c>
    </row>
    <row r="2917" spans="1:2" x14ac:dyDescent="0.25">
      <c r="A2917">
        <v>4320</v>
      </c>
      <c r="B2917" t="s">
        <v>2419</v>
      </c>
    </row>
    <row r="2918" spans="1:2" x14ac:dyDescent="0.25">
      <c r="A2918">
        <v>0</v>
      </c>
      <c r="B2918" t="s">
        <v>2420</v>
      </c>
    </row>
    <row r="2919" spans="1:2" x14ac:dyDescent="0.25">
      <c r="A2919">
        <v>8640</v>
      </c>
      <c r="B2919" t="s">
        <v>2421</v>
      </c>
    </row>
    <row r="2920" spans="1:2" x14ac:dyDescent="0.25">
      <c r="A2920">
        <v>0</v>
      </c>
      <c r="B2920" t="s">
        <v>2422</v>
      </c>
    </row>
    <row r="2921" spans="1:2" x14ac:dyDescent="0.25">
      <c r="A2921">
        <v>0</v>
      </c>
      <c r="B2921" t="s">
        <v>2423</v>
      </c>
    </row>
    <row r="2922" spans="1:2" x14ac:dyDescent="0.25">
      <c r="A2922">
        <v>0</v>
      </c>
      <c r="B2922" t="s">
        <v>2424</v>
      </c>
    </row>
    <row r="2923" spans="1:2" x14ac:dyDescent="0.25">
      <c r="A2923">
        <v>0</v>
      </c>
      <c r="B2923" t="s">
        <v>2425</v>
      </c>
    </row>
    <row r="2924" spans="1:2" x14ac:dyDescent="0.25">
      <c r="A2924">
        <v>4320</v>
      </c>
      <c r="B2924" t="s">
        <v>2426</v>
      </c>
    </row>
    <row r="2925" spans="1:2" x14ac:dyDescent="0.25">
      <c r="A2925">
        <v>0</v>
      </c>
      <c r="B2925" t="s">
        <v>2427</v>
      </c>
    </row>
    <row r="2926" spans="1:2" x14ac:dyDescent="0.25">
      <c r="A2926">
        <v>4320</v>
      </c>
      <c r="B2926" t="s">
        <v>2428</v>
      </c>
    </row>
    <row r="2927" spans="1:2" x14ac:dyDescent="0.25">
      <c r="A2927">
        <v>4320</v>
      </c>
      <c r="B2927" t="s">
        <v>2429</v>
      </c>
    </row>
    <row r="2928" spans="1:2" x14ac:dyDescent="0.25">
      <c r="A2928">
        <v>4320</v>
      </c>
      <c r="B2928" t="s">
        <v>2430</v>
      </c>
    </row>
    <row r="2929" spans="1:2" x14ac:dyDescent="0.25">
      <c r="A2929">
        <v>0</v>
      </c>
      <c r="B2929" t="s">
        <v>2431</v>
      </c>
    </row>
    <row r="2930" spans="1:2" x14ac:dyDescent="0.25">
      <c r="A2930">
        <v>10400</v>
      </c>
      <c r="B2930" t="s">
        <v>2432</v>
      </c>
    </row>
    <row r="2931" spans="1:2" x14ac:dyDescent="0.25">
      <c r="A2931">
        <v>0</v>
      </c>
      <c r="B2931" t="s">
        <v>2433</v>
      </c>
    </row>
    <row r="2932" spans="1:2" x14ac:dyDescent="0.25">
      <c r="A2932">
        <v>0</v>
      </c>
      <c r="B2932" t="s">
        <v>2434</v>
      </c>
    </row>
    <row r="2933" spans="1:2" x14ac:dyDescent="0.25">
      <c r="A2933">
        <v>10400</v>
      </c>
      <c r="B2933" t="s">
        <v>2435</v>
      </c>
    </row>
    <row r="2934" spans="1:2" x14ac:dyDescent="0.25">
      <c r="A2934">
        <v>0</v>
      </c>
      <c r="B2934" t="s">
        <v>2436</v>
      </c>
    </row>
    <row r="2935" spans="1:2" x14ac:dyDescent="0.25">
      <c r="A2935">
        <v>5200</v>
      </c>
      <c r="B2935" t="s">
        <v>2437</v>
      </c>
    </row>
    <row r="2936" spans="1:2" x14ac:dyDescent="0.25">
      <c r="A2936">
        <v>0</v>
      </c>
      <c r="B2936" t="s">
        <v>2438</v>
      </c>
    </row>
    <row r="2937" spans="1:2" x14ac:dyDescent="0.25">
      <c r="A2937">
        <v>10400</v>
      </c>
      <c r="B2937" t="s">
        <v>2439</v>
      </c>
    </row>
    <row r="2938" spans="1:2" x14ac:dyDescent="0.25">
      <c r="A2938">
        <v>0</v>
      </c>
      <c r="B2938" t="s">
        <v>2440</v>
      </c>
    </row>
    <row r="2939" spans="1:2" x14ac:dyDescent="0.25">
      <c r="A2939">
        <v>10400</v>
      </c>
      <c r="B2939" t="s">
        <v>2441</v>
      </c>
    </row>
    <row r="2940" spans="1:2" x14ac:dyDescent="0.25">
      <c r="A2940">
        <v>0</v>
      </c>
      <c r="B2940" t="s">
        <v>2442</v>
      </c>
    </row>
    <row r="2941" spans="1:2" x14ac:dyDescent="0.25">
      <c r="A2941">
        <v>10400</v>
      </c>
      <c r="B2941" t="s">
        <v>2443</v>
      </c>
    </row>
    <row r="2942" spans="1:2" x14ac:dyDescent="0.25">
      <c r="A2942">
        <v>10400</v>
      </c>
      <c r="B2942" t="s">
        <v>2444</v>
      </c>
    </row>
    <row r="2943" spans="1:2" x14ac:dyDescent="0.25">
      <c r="A2943">
        <v>0</v>
      </c>
      <c r="B2943" t="s">
        <v>2445</v>
      </c>
    </row>
    <row r="2944" spans="1:2" x14ac:dyDescent="0.25">
      <c r="A2944">
        <v>10400</v>
      </c>
      <c r="B2944" t="s">
        <v>2446</v>
      </c>
    </row>
    <row r="2945" spans="1:2" x14ac:dyDescent="0.25">
      <c r="A2945">
        <v>0</v>
      </c>
      <c r="B2945" t="s">
        <v>2447</v>
      </c>
    </row>
    <row r="2946" spans="1:2" x14ac:dyDescent="0.25">
      <c r="A2946">
        <v>10400</v>
      </c>
      <c r="B2946" t="s">
        <v>2448</v>
      </c>
    </row>
    <row r="2947" spans="1:2" x14ac:dyDescent="0.25">
      <c r="A2947">
        <v>0</v>
      </c>
      <c r="B2947" t="s">
        <v>2449</v>
      </c>
    </row>
    <row r="2948" spans="1:2" x14ac:dyDescent="0.25">
      <c r="A2948">
        <v>0</v>
      </c>
      <c r="B2948" t="s">
        <v>2450</v>
      </c>
    </row>
    <row r="2949" spans="1:2" x14ac:dyDescent="0.25">
      <c r="A2949">
        <v>10400</v>
      </c>
      <c r="B2949" t="s">
        <v>2451</v>
      </c>
    </row>
    <row r="2950" spans="1:2" x14ac:dyDescent="0.25">
      <c r="A2950">
        <v>0</v>
      </c>
      <c r="B2950" t="s">
        <v>2452</v>
      </c>
    </row>
    <row r="2951" spans="1:2" x14ac:dyDescent="0.25">
      <c r="A2951">
        <v>10400</v>
      </c>
      <c r="B2951" t="s">
        <v>2453</v>
      </c>
    </row>
    <row r="2952" spans="1:2" x14ac:dyDescent="0.25">
      <c r="A2952">
        <v>0</v>
      </c>
      <c r="B2952" t="s">
        <v>2454</v>
      </c>
    </row>
    <row r="2953" spans="1:2" x14ac:dyDescent="0.25">
      <c r="A2953">
        <v>0</v>
      </c>
      <c r="B2953" t="s">
        <v>2455</v>
      </c>
    </row>
    <row r="2954" spans="1:2" x14ac:dyDescent="0.25">
      <c r="A2954">
        <v>0</v>
      </c>
      <c r="B2954" t="s">
        <v>2456</v>
      </c>
    </row>
    <row r="2955" spans="1:2" x14ac:dyDescent="0.25">
      <c r="A2955">
        <v>0</v>
      </c>
      <c r="B2955" t="s">
        <v>2457</v>
      </c>
    </row>
    <row r="2956" spans="1:2" x14ac:dyDescent="0.25">
      <c r="A2956">
        <v>0</v>
      </c>
      <c r="B2956" t="s">
        <v>2458</v>
      </c>
    </row>
    <row r="2957" spans="1:2" x14ac:dyDescent="0.25">
      <c r="A2957">
        <v>0</v>
      </c>
      <c r="B2957" t="s">
        <v>2459</v>
      </c>
    </row>
    <row r="2958" spans="1:2" x14ac:dyDescent="0.25">
      <c r="A2958">
        <v>0</v>
      </c>
      <c r="B2958" t="s">
        <v>2460</v>
      </c>
    </row>
    <row r="2959" spans="1:2" x14ac:dyDescent="0.25">
      <c r="A2959">
        <v>0</v>
      </c>
      <c r="B2959" t="s">
        <v>2461</v>
      </c>
    </row>
    <row r="2960" spans="1:2" x14ac:dyDescent="0.25">
      <c r="A2960">
        <v>0</v>
      </c>
      <c r="B2960" t="s">
        <v>2462</v>
      </c>
    </row>
    <row r="2961" spans="1:2" x14ac:dyDescent="0.25">
      <c r="A2961">
        <v>0</v>
      </c>
      <c r="B2961" t="s">
        <v>2463</v>
      </c>
    </row>
    <row r="2962" spans="1:2" x14ac:dyDescent="0.25">
      <c r="A2962">
        <v>0</v>
      </c>
      <c r="B2962" t="s">
        <v>2464</v>
      </c>
    </row>
    <row r="2963" spans="1:2" x14ac:dyDescent="0.25">
      <c r="A2963">
        <v>0</v>
      </c>
      <c r="B2963" t="s">
        <v>2465</v>
      </c>
    </row>
    <row r="2964" spans="1:2" x14ac:dyDescent="0.25">
      <c r="A2964">
        <v>0</v>
      </c>
      <c r="B2964" t="s">
        <v>2466</v>
      </c>
    </row>
    <row r="2965" spans="1:2" x14ac:dyDescent="0.25">
      <c r="A2965">
        <v>48037</v>
      </c>
      <c r="B2965" t="s">
        <v>2467</v>
      </c>
    </row>
    <row r="2966" spans="1:2" x14ac:dyDescent="0.25">
      <c r="A2966">
        <v>48035</v>
      </c>
      <c r="B2966" t="s">
        <v>2468</v>
      </c>
    </row>
    <row r="2967" spans="1:2" x14ac:dyDescent="0.25">
      <c r="A2967">
        <v>23035</v>
      </c>
      <c r="B2967" t="s">
        <v>2469</v>
      </c>
    </row>
    <row r="2968" spans="1:2" x14ac:dyDescent="0.25">
      <c r="A2968">
        <v>23035</v>
      </c>
      <c r="B2968" t="s">
        <v>2470</v>
      </c>
    </row>
    <row r="2969" spans="1:2" x14ac:dyDescent="0.25">
      <c r="A2969">
        <v>23035</v>
      </c>
      <c r="B2969" t="s">
        <v>2471</v>
      </c>
    </row>
    <row r="2970" spans="1:2" x14ac:dyDescent="0.25">
      <c r="A2970">
        <v>23035</v>
      </c>
      <c r="B2970" t="s">
        <v>2472</v>
      </c>
    </row>
    <row r="2971" spans="1:2" x14ac:dyDescent="0.25">
      <c r="A2971">
        <v>23035</v>
      </c>
      <c r="B2971" t="s">
        <v>2473</v>
      </c>
    </row>
    <row r="2972" spans="1:2" x14ac:dyDescent="0.25">
      <c r="A2972">
        <v>23035</v>
      </c>
      <c r="B2972" t="s">
        <v>2474</v>
      </c>
    </row>
    <row r="2973" spans="1:2" x14ac:dyDescent="0.25">
      <c r="A2973">
        <v>45053</v>
      </c>
      <c r="B2973" t="s">
        <v>2475</v>
      </c>
    </row>
    <row r="2974" spans="1:2" x14ac:dyDescent="0.25">
      <c r="A2974">
        <v>48873</v>
      </c>
      <c r="B2974" t="s">
        <v>2476</v>
      </c>
    </row>
    <row r="2975" spans="1:2" x14ac:dyDescent="0.25">
      <c r="A2975">
        <v>40157</v>
      </c>
      <c r="B2975" t="s">
        <v>2477</v>
      </c>
    </row>
    <row r="2976" spans="1:2" x14ac:dyDescent="0.25">
      <c r="A2976">
        <v>33035</v>
      </c>
      <c r="B2976" t="s">
        <v>2478</v>
      </c>
    </row>
    <row r="2977" spans="1:2" x14ac:dyDescent="0.25">
      <c r="A2977">
        <v>0</v>
      </c>
      <c r="B2977" t="s">
        <v>2479</v>
      </c>
    </row>
    <row r="2978" spans="1:2" x14ac:dyDescent="0.25">
      <c r="A2978">
        <v>0</v>
      </c>
      <c r="B2978" t="s">
        <v>2480</v>
      </c>
    </row>
    <row r="2979" spans="1:2" x14ac:dyDescent="0.25">
      <c r="A2979">
        <v>0</v>
      </c>
      <c r="B2979" t="s">
        <v>2481</v>
      </c>
    </row>
    <row r="2980" spans="1:2" x14ac:dyDescent="0.25">
      <c r="A2980">
        <v>0</v>
      </c>
      <c r="B2980" t="s">
        <v>2482</v>
      </c>
    </row>
    <row r="2981" spans="1:2" x14ac:dyDescent="0.25">
      <c r="A2981">
        <v>0</v>
      </c>
      <c r="B2981" t="s">
        <v>2483</v>
      </c>
    </row>
    <row r="2982" spans="1:2" x14ac:dyDescent="0.25">
      <c r="A2982">
        <v>0</v>
      </c>
      <c r="B2982" t="s">
        <v>2484</v>
      </c>
    </row>
    <row r="2983" spans="1:2" x14ac:dyDescent="0.25">
      <c r="A2983">
        <v>0</v>
      </c>
      <c r="B2983" t="s">
        <v>2485</v>
      </c>
    </row>
    <row r="2984" spans="1:2" x14ac:dyDescent="0.25">
      <c r="A2984">
        <v>0</v>
      </c>
      <c r="B2984" t="s">
        <v>2486</v>
      </c>
    </row>
    <row r="2985" spans="1:2" x14ac:dyDescent="0.25">
      <c r="A2985">
        <v>0</v>
      </c>
      <c r="B2985" t="s">
        <v>2487</v>
      </c>
    </row>
    <row r="2986" spans="1:2" x14ac:dyDescent="0.25">
      <c r="A2986">
        <v>0</v>
      </c>
      <c r="B2986" t="s">
        <v>2488</v>
      </c>
    </row>
    <row r="2987" spans="1:2" x14ac:dyDescent="0.25">
      <c r="A2987">
        <v>0</v>
      </c>
      <c r="B2987" t="s">
        <v>2489</v>
      </c>
    </row>
    <row r="2988" spans="1:2" x14ac:dyDescent="0.25">
      <c r="A2988">
        <v>0</v>
      </c>
      <c r="B2988" t="s">
        <v>2490</v>
      </c>
    </row>
    <row r="2989" spans="1:2" x14ac:dyDescent="0.25">
      <c r="A2989">
        <v>0</v>
      </c>
      <c r="B2989" t="s">
        <v>2491</v>
      </c>
    </row>
    <row r="2990" spans="1:2" x14ac:dyDescent="0.25">
      <c r="B2990" t="s">
        <v>2492</v>
      </c>
    </row>
    <row r="2991" spans="1:2" x14ac:dyDescent="0.25">
      <c r="B2991" t="s">
        <v>2493</v>
      </c>
    </row>
    <row r="2992" spans="1:2" x14ac:dyDescent="0.25">
      <c r="B2992" t="s">
        <v>2494</v>
      </c>
    </row>
    <row r="2993" spans="1:2" x14ac:dyDescent="0.25">
      <c r="B2993" t="s">
        <v>2495</v>
      </c>
    </row>
    <row r="2994" spans="1:2" x14ac:dyDescent="0.25">
      <c r="B2994" t="s">
        <v>2496</v>
      </c>
    </row>
    <row r="2995" spans="1:2" x14ac:dyDescent="0.25">
      <c r="B2995" t="s">
        <v>2497</v>
      </c>
    </row>
    <row r="2996" spans="1:2" x14ac:dyDescent="0.25">
      <c r="B2996" t="s">
        <v>2498</v>
      </c>
    </row>
    <row r="2997" spans="1:2" x14ac:dyDescent="0.25">
      <c r="B2997" t="s">
        <v>2499</v>
      </c>
    </row>
    <row r="2998" spans="1:2" x14ac:dyDescent="0.25">
      <c r="B2998" t="s">
        <v>2500</v>
      </c>
    </row>
    <row r="2999" spans="1:2" x14ac:dyDescent="0.25">
      <c r="B2999" t="s">
        <v>2501</v>
      </c>
    </row>
    <row r="3000" spans="1:2" x14ac:dyDescent="0.25">
      <c r="B3000" t="s">
        <v>2502</v>
      </c>
    </row>
    <row r="3001" spans="1:2" x14ac:dyDescent="0.25">
      <c r="A3001">
        <v>0</v>
      </c>
      <c r="B3001" t="s">
        <v>2503</v>
      </c>
    </row>
    <row r="3002" spans="1:2" x14ac:dyDescent="0.25">
      <c r="A3002">
        <v>0</v>
      </c>
      <c r="B3002" t="s">
        <v>2504</v>
      </c>
    </row>
    <row r="3003" spans="1:2" x14ac:dyDescent="0.25">
      <c r="A3003">
        <v>0</v>
      </c>
      <c r="B3003" t="s">
        <v>2505</v>
      </c>
    </row>
    <row r="3004" spans="1:2" x14ac:dyDescent="0.25">
      <c r="A3004">
        <v>0</v>
      </c>
      <c r="B3004" t="s">
        <v>2506</v>
      </c>
    </row>
    <row r="3005" spans="1:2" x14ac:dyDescent="0.25">
      <c r="A3005">
        <v>0</v>
      </c>
      <c r="B3005" t="s">
        <v>2507</v>
      </c>
    </row>
    <row r="3006" spans="1:2" x14ac:dyDescent="0.25">
      <c r="A3006">
        <v>0</v>
      </c>
      <c r="B3006" t="s">
        <v>2508</v>
      </c>
    </row>
    <row r="3007" spans="1:2" x14ac:dyDescent="0.25">
      <c r="A3007">
        <v>0</v>
      </c>
      <c r="B3007" t="s">
        <v>2509</v>
      </c>
    </row>
    <row r="3008" spans="1:2" x14ac:dyDescent="0.25">
      <c r="A3008">
        <v>0</v>
      </c>
      <c r="B3008" t="s">
        <v>2510</v>
      </c>
    </row>
    <row r="3009" spans="1:2" x14ac:dyDescent="0.25">
      <c r="A3009">
        <v>0</v>
      </c>
      <c r="B3009" t="s">
        <v>2511</v>
      </c>
    </row>
    <row r="3010" spans="1:2" x14ac:dyDescent="0.25">
      <c r="A3010">
        <v>0</v>
      </c>
      <c r="B3010" t="s">
        <v>2512</v>
      </c>
    </row>
    <row r="3011" spans="1:2" x14ac:dyDescent="0.25">
      <c r="A3011">
        <v>0</v>
      </c>
      <c r="B3011" t="s">
        <v>2513</v>
      </c>
    </row>
    <row r="3012" spans="1:2" x14ac:dyDescent="0.25">
      <c r="A3012">
        <v>0</v>
      </c>
      <c r="B3012" t="s">
        <v>2514</v>
      </c>
    </row>
    <row r="3013" spans="1:2" x14ac:dyDescent="0.25">
      <c r="A3013">
        <v>0</v>
      </c>
      <c r="B3013" t="s">
        <v>2515</v>
      </c>
    </row>
    <row r="3014" spans="1:2" x14ac:dyDescent="0.25">
      <c r="A3014">
        <v>0</v>
      </c>
      <c r="B3014" t="s">
        <v>2516</v>
      </c>
    </row>
    <row r="3015" spans="1:2" x14ac:dyDescent="0.25">
      <c r="A3015">
        <v>0</v>
      </c>
      <c r="B3015" t="s">
        <v>2517</v>
      </c>
    </row>
    <row r="3016" spans="1:2" x14ac:dyDescent="0.25">
      <c r="A3016">
        <v>0</v>
      </c>
      <c r="B3016" t="s">
        <v>2518</v>
      </c>
    </row>
    <row r="3017" spans="1:2" x14ac:dyDescent="0.25">
      <c r="A3017">
        <v>0</v>
      </c>
      <c r="B3017" t="s">
        <v>2519</v>
      </c>
    </row>
    <row r="3018" spans="1:2" x14ac:dyDescent="0.25">
      <c r="A3018">
        <v>0</v>
      </c>
      <c r="B3018" t="s">
        <v>2520</v>
      </c>
    </row>
    <row r="3019" spans="1:2" x14ac:dyDescent="0.25">
      <c r="A3019">
        <v>0</v>
      </c>
      <c r="B3019" t="s">
        <v>2521</v>
      </c>
    </row>
    <row r="3020" spans="1:2" x14ac:dyDescent="0.25">
      <c r="A3020">
        <v>0</v>
      </c>
      <c r="B3020" t="s">
        <v>2522</v>
      </c>
    </row>
    <row r="3021" spans="1:2" x14ac:dyDescent="0.25">
      <c r="A3021">
        <v>0</v>
      </c>
      <c r="B3021" t="s">
        <v>2523</v>
      </c>
    </row>
    <row r="3022" spans="1:2" x14ac:dyDescent="0.25">
      <c r="A3022">
        <v>0</v>
      </c>
      <c r="B3022" t="s">
        <v>2524</v>
      </c>
    </row>
    <row r="3023" spans="1:2" x14ac:dyDescent="0.25">
      <c r="A3023">
        <v>0</v>
      </c>
      <c r="B3023" t="s">
        <v>2525</v>
      </c>
    </row>
    <row r="3024" spans="1:2" x14ac:dyDescent="0.25">
      <c r="A3024">
        <v>0</v>
      </c>
      <c r="B3024" t="s">
        <v>2526</v>
      </c>
    </row>
    <row r="3025" spans="1:2" x14ac:dyDescent="0.25">
      <c r="A3025">
        <v>120000</v>
      </c>
      <c r="B3025" t="s">
        <v>2527</v>
      </c>
    </row>
    <row r="3026" spans="1:2" x14ac:dyDescent="0.25">
      <c r="A3026">
        <v>120000</v>
      </c>
      <c r="B3026" t="s">
        <v>2528</v>
      </c>
    </row>
    <row r="3027" spans="1:2" x14ac:dyDescent="0.25">
      <c r="A3027">
        <v>120000</v>
      </c>
      <c r="B3027" t="s">
        <v>2529</v>
      </c>
    </row>
    <row r="3028" spans="1:2" x14ac:dyDescent="0.25">
      <c r="A3028">
        <v>100000</v>
      </c>
      <c r="B3028" t="s">
        <v>2530</v>
      </c>
    </row>
    <row r="3029" spans="1:2" x14ac:dyDescent="0.25">
      <c r="A3029">
        <v>100000</v>
      </c>
      <c r="B3029" t="s">
        <v>2531</v>
      </c>
    </row>
    <row r="3030" spans="1:2" x14ac:dyDescent="0.25">
      <c r="A3030">
        <v>100000</v>
      </c>
      <c r="B3030" t="s">
        <v>2532</v>
      </c>
    </row>
    <row r="3031" spans="1:2" x14ac:dyDescent="0.25">
      <c r="A3031">
        <v>100000</v>
      </c>
      <c r="B3031" t="s">
        <v>2533</v>
      </c>
    </row>
    <row r="3032" spans="1:2" x14ac:dyDescent="0.25">
      <c r="A3032">
        <v>100000</v>
      </c>
      <c r="B3032" t="s">
        <v>2534</v>
      </c>
    </row>
    <row r="3033" spans="1:2" x14ac:dyDescent="0.25">
      <c r="A3033">
        <v>100000</v>
      </c>
      <c r="B3033" t="s">
        <v>2535</v>
      </c>
    </row>
    <row r="3034" spans="1:2" x14ac:dyDescent="0.25">
      <c r="A3034">
        <v>100000</v>
      </c>
      <c r="B3034" t="s">
        <v>2536</v>
      </c>
    </row>
    <row r="3035" spans="1:2" x14ac:dyDescent="0.25">
      <c r="A3035">
        <v>100000</v>
      </c>
      <c r="B3035" t="s">
        <v>2537</v>
      </c>
    </row>
    <row r="3036" spans="1:2" x14ac:dyDescent="0.25">
      <c r="A3036">
        <v>100000</v>
      </c>
      <c r="B3036" t="s">
        <v>2538</v>
      </c>
    </row>
    <row r="3037" spans="1:2" x14ac:dyDescent="0.25">
      <c r="A3037">
        <v>87502</v>
      </c>
      <c r="B3037" t="s">
        <v>2539</v>
      </c>
    </row>
    <row r="3038" spans="1:2" x14ac:dyDescent="0.25">
      <c r="A3038">
        <v>112708</v>
      </c>
      <c r="B3038" t="s">
        <v>2540</v>
      </c>
    </row>
    <row r="3039" spans="1:2" x14ac:dyDescent="0.25">
      <c r="A3039">
        <v>83998</v>
      </c>
      <c r="B3039" t="s">
        <v>2541</v>
      </c>
    </row>
    <row r="3040" spans="1:2" x14ac:dyDescent="0.25">
      <c r="A3040">
        <v>87430</v>
      </c>
      <c r="B3040" t="s">
        <v>2542</v>
      </c>
    </row>
    <row r="3041" spans="1:2" x14ac:dyDescent="0.25">
      <c r="A3041">
        <v>136247</v>
      </c>
      <c r="B3041" t="s">
        <v>2543</v>
      </c>
    </row>
    <row r="3042" spans="1:2" x14ac:dyDescent="0.25">
      <c r="A3042">
        <v>143839</v>
      </c>
      <c r="B3042" t="s">
        <v>2544</v>
      </c>
    </row>
    <row r="3043" spans="1:2" x14ac:dyDescent="0.25">
      <c r="A3043">
        <v>77937</v>
      </c>
      <c r="B3043" t="s">
        <v>2545</v>
      </c>
    </row>
    <row r="3044" spans="1:2" x14ac:dyDescent="0.25">
      <c r="A3044">
        <v>132525</v>
      </c>
      <c r="B3044" t="s">
        <v>2546</v>
      </c>
    </row>
    <row r="3045" spans="1:2" x14ac:dyDescent="0.25">
      <c r="A3045">
        <v>87135</v>
      </c>
      <c r="B3045" t="s">
        <v>2547</v>
      </c>
    </row>
    <row r="3046" spans="1:2" x14ac:dyDescent="0.25">
      <c r="A3046">
        <v>47218</v>
      </c>
      <c r="B3046" t="s">
        <v>2548</v>
      </c>
    </row>
    <row r="3047" spans="1:2" x14ac:dyDescent="0.25">
      <c r="A3047">
        <v>98321</v>
      </c>
      <c r="B3047" t="s">
        <v>2549</v>
      </c>
    </row>
    <row r="3048" spans="1:2" x14ac:dyDescent="0.25">
      <c r="A3048">
        <v>98640</v>
      </c>
      <c r="B3048" t="s">
        <v>2550</v>
      </c>
    </row>
    <row r="3049" spans="1:2" x14ac:dyDescent="0.25">
      <c r="A3049">
        <v>8000</v>
      </c>
      <c r="B3049" t="s">
        <v>2551</v>
      </c>
    </row>
    <row r="3050" spans="1:2" x14ac:dyDescent="0.25">
      <c r="A3050">
        <v>8000</v>
      </c>
      <c r="B3050" t="s">
        <v>2552</v>
      </c>
    </row>
    <row r="3051" spans="1:2" x14ac:dyDescent="0.25">
      <c r="A3051">
        <v>8000</v>
      </c>
      <c r="B3051" t="s">
        <v>2553</v>
      </c>
    </row>
    <row r="3052" spans="1:2" x14ac:dyDescent="0.25">
      <c r="A3052">
        <v>8000</v>
      </c>
      <c r="B3052" t="s">
        <v>2554</v>
      </c>
    </row>
    <row r="3053" spans="1:2" x14ac:dyDescent="0.25">
      <c r="A3053">
        <v>8000</v>
      </c>
      <c r="B3053" t="s">
        <v>2555</v>
      </c>
    </row>
    <row r="3054" spans="1:2" x14ac:dyDescent="0.25">
      <c r="A3054">
        <v>8000</v>
      </c>
      <c r="B3054" t="s">
        <v>2556</v>
      </c>
    </row>
    <row r="3055" spans="1:2" x14ac:dyDescent="0.25">
      <c r="A3055">
        <v>8000</v>
      </c>
      <c r="B3055" t="s">
        <v>2557</v>
      </c>
    </row>
    <row r="3056" spans="1:2" x14ac:dyDescent="0.25">
      <c r="A3056">
        <v>8000</v>
      </c>
      <c r="B3056" t="s">
        <v>2558</v>
      </c>
    </row>
    <row r="3057" spans="1:2" x14ac:dyDescent="0.25">
      <c r="A3057">
        <v>10000</v>
      </c>
      <c r="B3057" t="s">
        <v>2559</v>
      </c>
    </row>
    <row r="3058" spans="1:2" x14ac:dyDescent="0.25">
      <c r="A3058">
        <v>10000</v>
      </c>
      <c r="B3058" t="s">
        <v>2560</v>
      </c>
    </row>
    <row r="3059" spans="1:2" x14ac:dyDescent="0.25">
      <c r="A3059">
        <v>10000</v>
      </c>
      <c r="B3059" t="s">
        <v>2561</v>
      </c>
    </row>
    <row r="3060" spans="1:2" x14ac:dyDescent="0.25">
      <c r="A3060">
        <v>10000</v>
      </c>
      <c r="B3060" t="s">
        <v>2562</v>
      </c>
    </row>
    <row r="3061" spans="1:2" x14ac:dyDescent="0.25">
      <c r="A3061">
        <v>1</v>
      </c>
      <c r="B3061" t="s">
        <v>2563</v>
      </c>
    </row>
    <row r="3062" spans="1:2" x14ac:dyDescent="0.25">
      <c r="A3062">
        <v>1</v>
      </c>
      <c r="B3062" t="s">
        <v>2564</v>
      </c>
    </row>
    <row r="3063" spans="1:2" x14ac:dyDescent="0.25">
      <c r="A3063">
        <v>1</v>
      </c>
      <c r="B3063" t="s">
        <v>2565</v>
      </c>
    </row>
    <row r="3064" spans="1:2" x14ac:dyDescent="0.25">
      <c r="A3064">
        <v>1</v>
      </c>
      <c r="B3064" t="s">
        <v>2566</v>
      </c>
    </row>
    <row r="3065" spans="1:2" x14ac:dyDescent="0.25">
      <c r="A3065">
        <v>1</v>
      </c>
      <c r="B3065" t="s">
        <v>2567</v>
      </c>
    </row>
    <row r="3066" spans="1:2" x14ac:dyDescent="0.25">
      <c r="A3066">
        <v>1</v>
      </c>
      <c r="B3066" t="s">
        <v>2568</v>
      </c>
    </row>
    <row r="3067" spans="1:2" x14ac:dyDescent="0.25">
      <c r="A3067">
        <v>1</v>
      </c>
      <c r="B3067" t="s">
        <v>2569</v>
      </c>
    </row>
    <row r="3068" spans="1:2" x14ac:dyDescent="0.25">
      <c r="A3068">
        <v>1</v>
      </c>
      <c r="B3068" t="s">
        <v>2570</v>
      </c>
    </row>
    <row r="3069" spans="1:2" x14ac:dyDescent="0.25">
      <c r="A3069">
        <v>1</v>
      </c>
      <c r="B3069" t="s">
        <v>2571</v>
      </c>
    </row>
    <row r="3070" spans="1:2" x14ac:dyDescent="0.25">
      <c r="A3070">
        <v>1</v>
      </c>
      <c r="B3070" t="s">
        <v>2572</v>
      </c>
    </row>
    <row r="3071" spans="1:2" x14ac:dyDescent="0.25">
      <c r="A3071">
        <v>1</v>
      </c>
      <c r="B3071" t="s">
        <v>2573</v>
      </c>
    </row>
    <row r="3072" spans="1:2" x14ac:dyDescent="0.25">
      <c r="A3072">
        <v>1</v>
      </c>
      <c r="B3072" t="s">
        <v>2574</v>
      </c>
    </row>
    <row r="3073" spans="1:2" x14ac:dyDescent="0.25">
      <c r="A3073">
        <v>0</v>
      </c>
      <c r="B3073" t="s">
        <v>2575</v>
      </c>
    </row>
    <row r="3074" spans="1:2" x14ac:dyDescent="0.25">
      <c r="A3074">
        <v>0</v>
      </c>
      <c r="B3074" t="s">
        <v>2576</v>
      </c>
    </row>
    <row r="3075" spans="1:2" x14ac:dyDescent="0.25">
      <c r="A3075">
        <v>0</v>
      </c>
      <c r="B3075" t="s">
        <v>2577</v>
      </c>
    </row>
    <row r="3076" spans="1:2" x14ac:dyDescent="0.25">
      <c r="A3076">
        <v>0</v>
      </c>
      <c r="B3076" t="s">
        <v>2578</v>
      </c>
    </row>
    <row r="3077" spans="1:2" x14ac:dyDescent="0.25">
      <c r="A3077">
        <v>0</v>
      </c>
      <c r="B3077" t="s">
        <v>2579</v>
      </c>
    </row>
    <row r="3078" spans="1:2" x14ac:dyDescent="0.25">
      <c r="A3078">
        <v>0</v>
      </c>
      <c r="B3078" t="s">
        <v>2580</v>
      </c>
    </row>
    <row r="3079" spans="1:2" x14ac:dyDescent="0.25">
      <c r="A3079">
        <v>0</v>
      </c>
      <c r="B3079" t="s">
        <v>2581</v>
      </c>
    </row>
    <row r="3080" spans="1:2" x14ac:dyDescent="0.25">
      <c r="A3080">
        <v>0</v>
      </c>
      <c r="B3080" t="s">
        <v>2582</v>
      </c>
    </row>
    <row r="3081" spans="1:2" x14ac:dyDescent="0.25">
      <c r="A3081">
        <v>0</v>
      </c>
      <c r="B3081" t="s">
        <v>2583</v>
      </c>
    </row>
    <row r="3082" spans="1:2" x14ac:dyDescent="0.25">
      <c r="A3082">
        <v>0</v>
      </c>
      <c r="B3082" t="s">
        <v>2584</v>
      </c>
    </row>
    <row r="3083" spans="1:2" x14ac:dyDescent="0.25">
      <c r="A3083">
        <v>0</v>
      </c>
      <c r="B3083" t="s">
        <v>2585</v>
      </c>
    </row>
    <row r="3084" spans="1:2" x14ac:dyDescent="0.25">
      <c r="A3084">
        <v>0</v>
      </c>
      <c r="B3084" t="s">
        <v>2586</v>
      </c>
    </row>
    <row r="3085" spans="1:2" x14ac:dyDescent="0.25">
      <c r="A3085">
        <v>200000</v>
      </c>
      <c r="B3085" t="s">
        <v>2587</v>
      </c>
    </row>
    <row r="3086" spans="1:2" x14ac:dyDescent="0.25">
      <c r="A3086">
        <v>200000</v>
      </c>
      <c r="B3086" t="s">
        <v>2588</v>
      </c>
    </row>
    <row r="3087" spans="1:2" x14ac:dyDescent="0.25">
      <c r="A3087">
        <v>200000</v>
      </c>
      <c r="B3087" t="s">
        <v>2589</v>
      </c>
    </row>
    <row r="3088" spans="1:2" x14ac:dyDescent="0.25">
      <c r="A3088">
        <v>160000</v>
      </c>
      <c r="B3088" t="s">
        <v>2590</v>
      </c>
    </row>
    <row r="3089" spans="1:2" x14ac:dyDescent="0.25">
      <c r="A3089">
        <v>130000</v>
      </c>
      <c r="B3089" t="s">
        <v>2591</v>
      </c>
    </row>
    <row r="3090" spans="1:2" x14ac:dyDescent="0.25">
      <c r="A3090">
        <v>100000</v>
      </c>
      <c r="B3090" t="s">
        <v>2592</v>
      </c>
    </row>
    <row r="3091" spans="1:2" x14ac:dyDescent="0.25">
      <c r="A3091">
        <v>100000</v>
      </c>
      <c r="B3091" t="s">
        <v>2593</v>
      </c>
    </row>
    <row r="3092" spans="1:2" x14ac:dyDescent="0.25">
      <c r="A3092">
        <v>100000</v>
      </c>
      <c r="B3092" t="s">
        <v>2594</v>
      </c>
    </row>
    <row r="3093" spans="1:2" x14ac:dyDescent="0.25">
      <c r="A3093">
        <v>180000</v>
      </c>
      <c r="B3093" t="s">
        <v>2595</v>
      </c>
    </row>
    <row r="3094" spans="1:2" x14ac:dyDescent="0.25">
      <c r="A3094">
        <v>180000</v>
      </c>
      <c r="B3094" t="s">
        <v>2596</v>
      </c>
    </row>
    <row r="3095" spans="1:2" x14ac:dyDescent="0.25">
      <c r="A3095">
        <v>180000</v>
      </c>
      <c r="B3095" t="s">
        <v>2597</v>
      </c>
    </row>
    <row r="3096" spans="1:2" x14ac:dyDescent="0.25">
      <c r="A3096">
        <v>150000</v>
      </c>
      <c r="B3096" t="s">
        <v>2598</v>
      </c>
    </row>
    <row r="3097" spans="1:2" x14ac:dyDescent="0.25">
      <c r="A3097">
        <v>88800</v>
      </c>
      <c r="B3097" t="s">
        <v>2599</v>
      </c>
    </row>
    <row r="3098" spans="1:2" x14ac:dyDescent="0.25">
      <c r="A3098">
        <v>88800</v>
      </c>
      <c r="B3098" t="s">
        <v>2600</v>
      </c>
    </row>
    <row r="3099" spans="1:2" x14ac:dyDescent="0.25">
      <c r="A3099">
        <v>88800</v>
      </c>
      <c r="B3099" t="s">
        <v>2601</v>
      </c>
    </row>
    <row r="3100" spans="1:2" x14ac:dyDescent="0.25">
      <c r="A3100">
        <v>70000</v>
      </c>
      <c r="B3100" t="s">
        <v>2602</v>
      </c>
    </row>
    <row r="3101" spans="1:2" x14ac:dyDescent="0.25">
      <c r="A3101">
        <v>50000</v>
      </c>
      <c r="B3101" t="s">
        <v>2603</v>
      </c>
    </row>
    <row r="3102" spans="1:2" x14ac:dyDescent="0.25">
      <c r="A3102">
        <v>50000</v>
      </c>
      <c r="B3102" t="s">
        <v>2604</v>
      </c>
    </row>
    <row r="3103" spans="1:2" x14ac:dyDescent="0.25">
      <c r="A3103">
        <v>50000</v>
      </c>
      <c r="B3103" t="s">
        <v>2605</v>
      </c>
    </row>
    <row r="3104" spans="1:2" x14ac:dyDescent="0.25">
      <c r="A3104">
        <v>66600</v>
      </c>
      <c r="B3104" t="s">
        <v>2606</v>
      </c>
    </row>
    <row r="3105" spans="1:2" x14ac:dyDescent="0.25">
      <c r="A3105">
        <v>77700</v>
      </c>
      <c r="B3105" t="s">
        <v>2607</v>
      </c>
    </row>
    <row r="3106" spans="1:2" x14ac:dyDescent="0.25">
      <c r="A3106">
        <v>88800</v>
      </c>
      <c r="B3106" t="s">
        <v>2608</v>
      </c>
    </row>
    <row r="3107" spans="1:2" x14ac:dyDescent="0.25">
      <c r="A3107">
        <v>88800</v>
      </c>
      <c r="B3107" t="s">
        <v>2609</v>
      </c>
    </row>
    <row r="3108" spans="1:2" x14ac:dyDescent="0.25">
      <c r="A3108">
        <v>77700</v>
      </c>
      <c r="B3108" t="s">
        <v>2610</v>
      </c>
    </row>
    <row r="3109" spans="1:2" x14ac:dyDescent="0.25">
      <c r="A3109">
        <v>58751</v>
      </c>
      <c r="B3109" t="s">
        <v>2611</v>
      </c>
    </row>
    <row r="3110" spans="1:2" x14ac:dyDescent="0.25">
      <c r="A3110">
        <v>58751</v>
      </c>
      <c r="B3110" t="s">
        <v>2612</v>
      </c>
    </row>
    <row r="3111" spans="1:2" x14ac:dyDescent="0.25">
      <c r="A3111">
        <v>48751</v>
      </c>
      <c r="B3111" t="s">
        <v>2613</v>
      </c>
    </row>
    <row r="3112" spans="1:2" x14ac:dyDescent="0.25">
      <c r="A3112">
        <v>28751</v>
      </c>
      <c r="B3112" t="s">
        <v>2614</v>
      </c>
    </row>
    <row r="3113" spans="1:2" x14ac:dyDescent="0.25">
      <c r="A3113">
        <v>28751</v>
      </c>
      <c r="B3113" t="s">
        <v>2615</v>
      </c>
    </row>
    <row r="3114" spans="1:2" x14ac:dyDescent="0.25">
      <c r="A3114">
        <v>23751</v>
      </c>
      <c r="B3114" t="s">
        <v>2616</v>
      </c>
    </row>
    <row r="3115" spans="1:2" x14ac:dyDescent="0.25">
      <c r="A3115">
        <v>33751</v>
      </c>
      <c r="B3115" t="s">
        <v>2617</v>
      </c>
    </row>
    <row r="3116" spans="1:2" x14ac:dyDescent="0.25">
      <c r="A3116">
        <v>33751</v>
      </c>
      <c r="B3116" t="s">
        <v>2618</v>
      </c>
    </row>
    <row r="3117" spans="1:2" x14ac:dyDescent="0.25">
      <c r="A3117">
        <v>58751</v>
      </c>
      <c r="B3117" t="s">
        <v>2619</v>
      </c>
    </row>
    <row r="3118" spans="1:2" x14ac:dyDescent="0.25">
      <c r="A3118">
        <v>58751</v>
      </c>
      <c r="B3118" t="s">
        <v>2620</v>
      </c>
    </row>
    <row r="3119" spans="1:2" x14ac:dyDescent="0.25">
      <c r="A3119">
        <v>58751</v>
      </c>
      <c r="B3119" t="s">
        <v>2621</v>
      </c>
    </row>
    <row r="3120" spans="1:2" x14ac:dyDescent="0.25">
      <c r="A3120">
        <v>38751</v>
      </c>
      <c r="B3120" t="s">
        <v>2622</v>
      </c>
    </row>
    <row r="3121" spans="1:2" x14ac:dyDescent="0.25">
      <c r="A3121">
        <v>200000</v>
      </c>
      <c r="B3121" t="s">
        <v>2623</v>
      </c>
    </row>
    <row r="3122" spans="1:2" x14ac:dyDescent="0.25">
      <c r="A3122">
        <v>200000</v>
      </c>
      <c r="B3122" t="s">
        <v>2624</v>
      </c>
    </row>
    <row r="3123" spans="1:2" x14ac:dyDescent="0.25">
      <c r="A3123">
        <v>170000</v>
      </c>
      <c r="B3123" t="s">
        <v>2625</v>
      </c>
    </row>
    <row r="3124" spans="1:2" x14ac:dyDescent="0.25">
      <c r="A3124">
        <v>140000</v>
      </c>
      <c r="B3124" t="s">
        <v>2626</v>
      </c>
    </row>
    <row r="3125" spans="1:2" x14ac:dyDescent="0.25">
      <c r="A3125">
        <v>140000</v>
      </c>
      <c r="B3125" t="s">
        <v>2627</v>
      </c>
    </row>
    <row r="3126" spans="1:2" x14ac:dyDescent="0.25">
      <c r="A3126">
        <v>70000</v>
      </c>
      <c r="B3126" t="s">
        <v>2628</v>
      </c>
    </row>
    <row r="3127" spans="1:2" x14ac:dyDescent="0.25">
      <c r="A3127">
        <v>70000</v>
      </c>
      <c r="B3127" t="s">
        <v>2629</v>
      </c>
    </row>
    <row r="3128" spans="1:2" x14ac:dyDescent="0.25">
      <c r="A3128">
        <v>70000</v>
      </c>
      <c r="B3128" t="s">
        <v>2630</v>
      </c>
    </row>
    <row r="3129" spans="1:2" x14ac:dyDescent="0.25">
      <c r="A3129">
        <v>140000</v>
      </c>
      <c r="B3129" t="s">
        <v>2631</v>
      </c>
    </row>
    <row r="3130" spans="1:2" x14ac:dyDescent="0.25">
      <c r="A3130">
        <v>180000</v>
      </c>
      <c r="B3130" t="s">
        <v>2632</v>
      </c>
    </row>
    <row r="3131" spans="1:2" x14ac:dyDescent="0.25">
      <c r="A3131">
        <v>174000</v>
      </c>
      <c r="B3131" t="s">
        <v>2633</v>
      </c>
    </row>
    <row r="3132" spans="1:2" x14ac:dyDescent="0.25">
      <c r="A3132">
        <v>120000</v>
      </c>
      <c r="B3132" t="s">
        <v>2634</v>
      </c>
    </row>
    <row r="3133" spans="1:2" x14ac:dyDescent="0.25">
      <c r="A3133">
        <v>1126000</v>
      </c>
      <c r="B3133" t="s">
        <v>2635</v>
      </c>
    </row>
    <row r="3134" spans="1:2" x14ac:dyDescent="0.25">
      <c r="A3134">
        <v>1126000</v>
      </c>
      <c r="B3134" t="s">
        <v>2636</v>
      </c>
    </row>
    <row r="3135" spans="1:2" x14ac:dyDescent="0.25">
      <c r="A3135">
        <v>1026000</v>
      </c>
      <c r="B3135" t="s">
        <v>2637</v>
      </c>
    </row>
    <row r="3136" spans="1:2" x14ac:dyDescent="0.25">
      <c r="A3136">
        <v>926000</v>
      </c>
      <c r="B3136" t="s">
        <v>2638</v>
      </c>
    </row>
    <row r="3137" spans="1:2" x14ac:dyDescent="0.25">
      <c r="A3137">
        <v>776000</v>
      </c>
      <c r="B3137" t="s">
        <v>2639</v>
      </c>
    </row>
    <row r="3138" spans="1:2" x14ac:dyDescent="0.25">
      <c r="A3138">
        <v>600000</v>
      </c>
      <c r="B3138" t="s">
        <v>2640</v>
      </c>
    </row>
    <row r="3139" spans="1:2" x14ac:dyDescent="0.25">
      <c r="A3139">
        <v>600000</v>
      </c>
      <c r="B3139" t="s">
        <v>2641</v>
      </c>
    </row>
    <row r="3140" spans="1:2" x14ac:dyDescent="0.25">
      <c r="A3140">
        <v>776000</v>
      </c>
      <c r="B3140" t="s">
        <v>2642</v>
      </c>
    </row>
    <row r="3141" spans="1:2" x14ac:dyDescent="0.25">
      <c r="A3141">
        <v>876000</v>
      </c>
      <c r="B3141" t="s">
        <v>2643</v>
      </c>
    </row>
    <row r="3142" spans="1:2" x14ac:dyDescent="0.25">
      <c r="A3142">
        <v>1076000</v>
      </c>
      <c r="B3142" t="s">
        <v>2644</v>
      </c>
    </row>
    <row r="3143" spans="1:2" x14ac:dyDescent="0.25">
      <c r="A3143">
        <v>1076000</v>
      </c>
      <c r="B3143" t="s">
        <v>2645</v>
      </c>
    </row>
    <row r="3144" spans="1:2" x14ac:dyDescent="0.25">
      <c r="A3144">
        <v>826000</v>
      </c>
      <c r="B3144" t="s">
        <v>2646</v>
      </c>
    </row>
    <row r="3145" spans="1:2" x14ac:dyDescent="0.25">
      <c r="A3145">
        <v>13000</v>
      </c>
      <c r="B3145" t="s">
        <v>2647</v>
      </c>
    </row>
    <row r="3146" spans="1:2" x14ac:dyDescent="0.25">
      <c r="A3146">
        <v>13000</v>
      </c>
      <c r="B3146" t="s">
        <v>2648</v>
      </c>
    </row>
    <row r="3147" spans="1:2" x14ac:dyDescent="0.25">
      <c r="A3147">
        <v>13000</v>
      </c>
      <c r="B3147" t="s">
        <v>2649</v>
      </c>
    </row>
    <row r="3148" spans="1:2" x14ac:dyDescent="0.25">
      <c r="A3148">
        <v>13000</v>
      </c>
      <c r="B3148" t="s">
        <v>2650</v>
      </c>
    </row>
    <row r="3149" spans="1:2" x14ac:dyDescent="0.25">
      <c r="A3149">
        <v>13000</v>
      </c>
      <c r="B3149" t="s">
        <v>2651</v>
      </c>
    </row>
    <row r="3150" spans="1:2" x14ac:dyDescent="0.25">
      <c r="A3150">
        <v>13001</v>
      </c>
      <c r="B3150" t="s">
        <v>2652</v>
      </c>
    </row>
    <row r="3151" spans="1:2" x14ac:dyDescent="0.25">
      <c r="A3151">
        <v>13001</v>
      </c>
      <c r="B3151" t="s">
        <v>2653</v>
      </c>
    </row>
    <row r="3152" spans="1:2" x14ac:dyDescent="0.25">
      <c r="A3152">
        <v>13000</v>
      </c>
      <c r="B3152" t="s">
        <v>2654</v>
      </c>
    </row>
    <row r="3153" spans="1:2" x14ac:dyDescent="0.25">
      <c r="A3153">
        <v>13001</v>
      </c>
      <c r="B3153" t="s">
        <v>2655</v>
      </c>
    </row>
    <row r="3154" spans="1:2" x14ac:dyDescent="0.25">
      <c r="A3154">
        <v>13000</v>
      </c>
      <c r="B3154" t="s">
        <v>2656</v>
      </c>
    </row>
    <row r="3155" spans="1:2" x14ac:dyDescent="0.25">
      <c r="A3155">
        <v>13001</v>
      </c>
      <c r="B3155" t="s">
        <v>2657</v>
      </c>
    </row>
    <row r="3156" spans="1:2" x14ac:dyDescent="0.25">
      <c r="A3156">
        <v>13000</v>
      </c>
      <c r="B3156" t="s">
        <v>2658</v>
      </c>
    </row>
    <row r="3157" spans="1:2" x14ac:dyDescent="0.25">
      <c r="A3157">
        <v>30000</v>
      </c>
      <c r="B3157" t="s">
        <v>2659</v>
      </c>
    </row>
    <row r="3158" spans="1:2" x14ac:dyDescent="0.25">
      <c r="A3158">
        <v>25000</v>
      </c>
      <c r="B3158" t="s">
        <v>2660</v>
      </c>
    </row>
    <row r="3159" spans="1:2" x14ac:dyDescent="0.25">
      <c r="A3159">
        <v>25000</v>
      </c>
      <c r="B3159" t="s">
        <v>2661</v>
      </c>
    </row>
    <row r="3160" spans="1:2" x14ac:dyDescent="0.25">
      <c r="A3160">
        <v>26250</v>
      </c>
      <c r="B3160" t="s">
        <v>2662</v>
      </c>
    </row>
    <row r="3161" spans="1:2" x14ac:dyDescent="0.25">
      <c r="A3161">
        <v>21000</v>
      </c>
      <c r="B3161" t="s">
        <v>2663</v>
      </c>
    </row>
    <row r="3162" spans="1:2" x14ac:dyDescent="0.25">
      <c r="A3162">
        <v>4200</v>
      </c>
      <c r="B3162" t="s">
        <v>2664</v>
      </c>
    </row>
    <row r="3163" spans="1:2" x14ac:dyDescent="0.25">
      <c r="A3163">
        <v>4200</v>
      </c>
      <c r="B3163" t="s">
        <v>2665</v>
      </c>
    </row>
    <row r="3164" spans="1:2" x14ac:dyDescent="0.25">
      <c r="A3164">
        <v>3150</v>
      </c>
      <c r="B3164" t="s">
        <v>2666</v>
      </c>
    </row>
    <row r="3165" spans="1:2" x14ac:dyDescent="0.25">
      <c r="A3165">
        <v>12000</v>
      </c>
      <c r="B3165" t="s">
        <v>2667</v>
      </c>
    </row>
    <row r="3166" spans="1:2" x14ac:dyDescent="0.25">
      <c r="A3166">
        <v>20000</v>
      </c>
      <c r="B3166" t="s">
        <v>2668</v>
      </c>
    </row>
    <row r="3167" spans="1:2" x14ac:dyDescent="0.25">
      <c r="A3167">
        <v>26250</v>
      </c>
      <c r="B3167" t="s">
        <v>2669</v>
      </c>
    </row>
    <row r="3168" spans="1:2" x14ac:dyDescent="0.25">
      <c r="A3168">
        <v>26250</v>
      </c>
      <c r="B3168" t="s">
        <v>2670</v>
      </c>
    </row>
    <row r="3169" spans="1:2" x14ac:dyDescent="0.25">
      <c r="A3169">
        <v>29000</v>
      </c>
      <c r="B3169" t="s">
        <v>2671</v>
      </c>
    </row>
    <row r="3170" spans="1:2" x14ac:dyDescent="0.25">
      <c r="A3170">
        <v>29000</v>
      </c>
      <c r="B3170" t="s">
        <v>2672</v>
      </c>
    </row>
    <row r="3171" spans="1:2" x14ac:dyDescent="0.25">
      <c r="A3171">
        <v>28400</v>
      </c>
      <c r="B3171" t="s">
        <v>2673</v>
      </c>
    </row>
    <row r="3172" spans="1:2" x14ac:dyDescent="0.25">
      <c r="A3172">
        <v>25250</v>
      </c>
      <c r="B3172" t="s">
        <v>2674</v>
      </c>
    </row>
    <row r="3173" spans="1:2" x14ac:dyDescent="0.25">
      <c r="A3173">
        <v>17000</v>
      </c>
      <c r="B3173" t="s">
        <v>2675</v>
      </c>
    </row>
    <row r="3174" spans="1:2" x14ac:dyDescent="0.25">
      <c r="A3174">
        <v>7400</v>
      </c>
      <c r="B3174" t="s">
        <v>2676</v>
      </c>
    </row>
    <row r="3175" spans="1:2" x14ac:dyDescent="0.25">
      <c r="A3175">
        <v>7400</v>
      </c>
      <c r="B3175" t="s">
        <v>2677</v>
      </c>
    </row>
    <row r="3176" spans="1:2" x14ac:dyDescent="0.25">
      <c r="A3176">
        <v>9000</v>
      </c>
      <c r="B3176" t="s">
        <v>2678</v>
      </c>
    </row>
    <row r="3177" spans="1:2" x14ac:dyDescent="0.25">
      <c r="A3177">
        <v>19000</v>
      </c>
      <c r="B3177" t="s">
        <v>2679</v>
      </c>
    </row>
    <row r="3178" spans="1:2" x14ac:dyDescent="0.25">
      <c r="A3178">
        <v>29000</v>
      </c>
      <c r="B3178" t="s">
        <v>2680</v>
      </c>
    </row>
    <row r="3179" spans="1:2" x14ac:dyDescent="0.25">
      <c r="A3179">
        <v>29000</v>
      </c>
      <c r="B3179" t="s">
        <v>2681</v>
      </c>
    </row>
    <row r="3180" spans="1:2" x14ac:dyDescent="0.25">
      <c r="A3180">
        <v>21000</v>
      </c>
      <c r="B3180" t="s">
        <v>2682</v>
      </c>
    </row>
    <row r="3181" spans="1:2" x14ac:dyDescent="0.25">
      <c r="A3181">
        <v>15001</v>
      </c>
      <c r="B3181" t="s">
        <v>2683</v>
      </c>
    </row>
    <row r="3182" spans="1:2" x14ac:dyDescent="0.25">
      <c r="A3182">
        <v>15001</v>
      </c>
      <c r="B3182" t="s">
        <v>2684</v>
      </c>
    </row>
    <row r="3183" spans="1:2" x14ac:dyDescent="0.25">
      <c r="A3183">
        <v>12001</v>
      </c>
      <c r="B3183" t="s">
        <v>2685</v>
      </c>
    </row>
    <row r="3184" spans="1:2" x14ac:dyDescent="0.25">
      <c r="A3184">
        <v>7001</v>
      </c>
      <c r="B3184" t="s">
        <v>2686</v>
      </c>
    </row>
    <row r="3185" spans="1:2" x14ac:dyDescent="0.25">
      <c r="A3185">
        <v>7001</v>
      </c>
      <c r="B3185" t="s">
        <v>2687</v>
      </c>
    </row>
    <row r="3186" spans="1:2" x14ac:dyDescent="0.25">
      <c r="A3186">
        <v>7001</v>
      </c>
      <c r="B3186" t="s">
        <v>2688</v>
      </c>
    </row>
    <row r="3187" spans="1:2" x14ac:dyDescent="0.25">
      <c r="A3187">
        <v>7001</v>
      </c>
      <c r="B3187" t="s">
        <v>2689</v>
      </c>
    </row>
    <row r="3188" spans="1:2" x14ac:dyDescent="0.25">
      <c r="A3188">
        <v>7001</v>
      </c>
      <c r="B3188" t="s">
        <v>2690</v>
      </c>
    </row>
    <row r="3189" spans="1:2" x14ac:dyDescent="0.25">
      <c r="A3189">
        <v>12001</v>
      </c>
      <c r="B3189" t="s">
        <v>2691</v>
      </c>
    </row>
    <row r="3190" spans="1:2" x14ac:dyDescent="0.25">
      <c r="A3190">
        <v>12001</v>
      </c>
      <c r="B3190" t="s">
        <v>2692</v>
      </c>
    </row>
    <row r="3191" spans="1:2" x14ac:dyDescent="0.25">
      <c r="A3191">
        <v>12001</v>
      </c>
      <c r="B3191" t="s">
        <v>2693</v>
      </c>
    </row>
    <row r="3192" spans="1:2" x14ac:dyDescent="0.25">
      <c r="A3192">
        <v>7001</v>
      </c>
      <c r="B3192" t="s">
        <v>2694</v>
      </c>
    </row>
    <row r="3193" spans="1:2" x14ac:dyDescent="0.25">
      <c r="A3193">
        <v>160000</v>
      </c>
      <c r="B3193" t="s">
        <v>2695</v>
      </c>
    </row>
    <row r="3194" spans="1:2" x14ac:dyDescent="0.25">
      <c r="A3194">
        <v>160000</v>
      </c>
      <c r="B3194" t="s">
        <v>2696</v>
      </c>
    </row>
    <row r="3195" spans="1:2" x14ac:dyDescent="0.25">
      <c r="A3195">
        <v>150000</v>
      </c>
      <c r="B3195" t="s">
        <v>2697</v>
      </c>
    </row>
    <row r="3196" spans="1:2" x14ac:dyDescent="0.25">
      <c r="A3196">
        <v>80000</v>
      </c>
      <c r="B3196" t="s">
        <v>2698</v>
      </c>
    </row>
    <row r="3197" spans="1:2" x14ac:dyDescent="0.25">
      <c r="A3197">
        <v>60000</v>
      </c>
      <c r="B3197" t="s">
        <v>2699</v>
      </c>
    </row>
    <row r="3198" spans="1:2" x14ac:dyDescent="0.25">
      <c r="A3198">
        <v>60000</v>
      </c>
      <c r="B3198" t="s">
        <v>2700</v>
      </c>
    </row>
    <row r="3199" spans="1:2" x14ac:dyDescent="0.25">
      <c r="A3199">
        <v>60000</v>
      </c>
      <c r="B3199" t="s">
        <v>2701</v>
      </c>
    </row>
    <row r="3200" spans="1:2" x14ac:dyDescent="0.25">
      <c r="A3200">
        <v>80000</v>
      </c>
      <c r="B3200" t="s">
        <v>2702</v>
      </c>
    </row>
    <row r="3201" spans="1:2" x14ac:dyDescent="0.25">
      <c r="A3201">
        <v>150000</v>
      </c>
      <c r="B3201" t="s">
        <v>2703</v>
      </c>
    </row>
    <row r="3202" spans="1:2" x14ac:dyDescent="0.25">
      <c r="A3202">
        <v>150000</v>
      </c>
      <c r="B3202" t="s">
        <v>2704</v>
      </c>
    </row>
    <row r="3203" spans="1:2" x14ac:dyDescent="0.25">
      <c r="A3203">
        <v>150000</v>
      </c>
      <c r="B3203" t="s">
        <v>2705</v>
      </c>
    </row>
    <row r="3204" spans="1:2" x14ac:dyDescent="0.25">
      <c r="A3204">
        <v>120000</v>
      </c>
      <c r="B3204" t="s">
        <v>2706</v>
      </c>
    </row>
    <row r="3205" spans="1:2" x14ac:dyDescent="0.25">
      <c r="A3205">
        <v>170000</v>
      </c>
      <c r="B3205" t="s">
        <v>2955</v>
      </c>
    </row>
    <row r="3206" spans="1:2" x14ac:dyDescent="0.25">
      <c r="A3206">
        <v>170000</v>
      </c>
      <c r="B3206" t="s">
        <v>2956</v>
      </c>
    </row>
    <row r="3207" spans="1:2" x14ac:dyDescent="0.25">
      <c r="A3207">
        <v>150000</v>
      </c>
      <c r="B3207" t="s">
        <v>2957</v>
      </c>
    </row>
    <row r="3208" spans="1:2" x14ac:dyDescent="0.25">
      <c r="A3208">
        <v>100000</v>
      </c>
      <c r="B3208" t="s">
        <v>2958</v>
      </c>
    </row>
    <row r="3209" spans="1:2" x14ac:dyDescent="0.25">
      <c r="A3209">
        <v>70000</v>
      </c>
      <c r="B3209" t="s">
        <v>2959</v>
      </c>
    </row>
    <row r="3210" spans="1:2" x14ac:dyDescent="0.25">
      <c r="A3210">
        <v>60000</v>
      </c>
      <c r="B3210" t="s">
        <v>2960</v>
      </c>
    </row>
    <row r="3211" spans="1:2" x14ac:dyDescent="0.25">
      <c r="A3211">
        <v>60000</v>
      </c>
      <c r="B3211" t="s">
        <v>2961</v>
      </c>
    </row>
    <row r="3212" spans="1:2" x14ac:dyDescent="0.25">
      <c r="A3212">
        <v>80000</v>
      </c>
      <c r="B3212" t="s">
        <v>2962</v>
      </c>
    </row>
    <row r="3213" spans="1:2" x14ac:dyDescent="0.25">
      <c r="A3213">
        <v>110000</v>
      </c>
      <c r="B3213" t="s">
        <v>2963</v>
      </c>
    </row>
    <row r="3214" spans="1:2" x14ac:dyDescent="0.25">
      <c r="A3214">
        <v>170000</v>
      </c>
      <c r="B3214" t="s">
        <v>2964</v>
      </c>
    </row>
    <row r="3215" spans="1:2" x14ac:dyDescent="0.25">
      <c r="A3215">
        <v>170000</v>
      </c>
      <c r="B3215" t="s">
        <v>2965</v>
      </c>
    </row>
    <row r="3216" spans="1:2" x14ac:dyDescent="0.25">
      <c r="A3216">
        <v>130000</v>
      </c>
      <c r="B3216" t="s">
        <v>2966</v>
      </c>
    </row>
    <row r="3217" spans="1:2" x14ac:dyDescent="0.25">
      <c r="A3217">
        <v>4320</v>
      </c>
      <c r="B3217" t="s">
        <v>2967</v>
      </c>
    </row>
    <row r="3218" spans="1:2" x14ac:dyDescent="0.25">
      <c r="A3218">
        <v>0</v>
      </c>
      <c r="B3218" t="s">
        <v>2968</v>
      </c>
    </row>
    <row r="3219" spans="1:2" x14ac:dyDescent="0.25">
      <c r="A3219">
        <v>0</v>
      </c>
      <c r="B3219" t="s">
        <v>2969</v>
      </c>
    </row>
    <row r="3220" spans="1:2" x14ac:dyDescent="0.25">
      <c r="A3220">
        <v>0</v>
      </c>
      <c r="B3220" t="s">
        <v>2970</v>
      </c>
    </row>
    <row r="3221" spans="1:2" x14ac:dyDescent="0.25">
      <c r="A3221">
        <v>4320</v>
      </c>
      <c r="B3221" t="s">
        <v>2971</v>
      </c>
    </row>
    <row r="3222" spans="1:2" x14ac:dyDescent="0.25">
      <c r="A3222">
        <v>0</v>
      </c>
      <c r="B3222" t="s">
        <v>2972</v>
      </c>
    </row>
    <row r="3223" spans="1:2" x14ac:dyDescent="0.25">
      <c r="A3223">
        <v>0</v>
      </c>
      <c r="B3223" t="s">
        <v>2973</v>
      </c>
    </row>
    <row r="3224" spans="1:2" x14ac:dyDescent="0.25">
      <c r="A3224">
        <v>4320</v>
      </c>
      <c r="B3224" t="s">
        <v>2974</v>
      </c>
    </row>
    <row r="3225" spans="1:2" x14ac:dyDescent="0.25">
      <c r="A3225">
        <v>0</v>
      </c>
      <c r="B3225" t="s">
        <v>2975</v>
      </c>
    </row>
    <row r="3226" spans="1:2" x14ac:dyDescent="0.25">
      <c r="A3226">
        <v>0</v>
      </c>
      <c r="B3226" t="s">
        <v>2976</v>
      </c>
    </row>
    <row r="3227" spans="1:2" x14ac:dyDescent="0.25">
      <c r="A3227">
        <v>0</v>
      </c>
      <c r="B3227" t="s">
        <v>2977</v>
      </c>
    </row>
    <row r="3228" spans="1:2" x14ac:dyDescent="0.25">
      <c r="A3228">
        <v>4320</v>
      </c>
      <c r="B3228" t="s">
        <v>2978</v>
      </c>
    </row>
    <row r="3229" spans="1:2" x14ac:dyDescent="0.25">
      <c r="A3229">
        <v>0</v>
      </c>
      <c r="B3229" t="s">
        <v>2979</v>
      </c>
    </row>
    <row r="3230" spans="1:2" x14ac:dyDescent="0.25">
      <c r="A3230">
        <v>5200</v>
      </c>
      <c r="B3230" t="s">
        <v>2980</v>
      </c>
    </row>
    <row r="3231" spans="1:2" x14ac:dyDescent="0.25">
      <c r="A3231">
        <v>0</v>
      </c>
      <c r="B3231" t="s">
        <v>2981</v>
      </c>
    </row>
    <row r="3232" spans="1:2" x14ac:dyDescent="0.25">
      <c r="A3232">
        <v>5200</v>
      </c>
      <c r="B3232" t="s">
        <v>2982</v>
      </c>
    </row>
    <row r="3233" spans="1:2" x14ac:dyDescent="0.25">
      <c r="A3233">
        <v>0</v>
      </c>
      <c r="B3233" t="s">
        <v>2983</v>
      </c>
    </row>
    <row r="3234" spans="1:2" x14ac:dyDescent="0.25">
      <c r="A3234">
        <v>5200</v>
      </c>
      <c r="B3234" t="s">
        <v>2984</v>
      </c>
    </row>
    <row r="3235" spans="1:2" x14ac:dyDescent="0.25">
      <c r="A3235">
        <v>0</v>
      </c>
      <c r="B3235" t="s">
        <v>2985</v>
      </c>
    </row>
    <row r="3236" spans="1:2" x14ac:dyDescent="0.25">
      <c r="A3236">
        <v>0</v>
      </c>
      <c r="B3236" t="s">
        <v>2986</v>
      </c>
    </row>
    <row r="3237" spans="1:2" x14ac:dyDescent="0.25">
      <c r="A3237">
        <v>0</v>
      </c>
      <c r="B3237" t="s">
        <v>2987</v>
      </c>
    </row>
    <row r="3238" spans="1:2" x14ac:dyDescent="0.25">
      <c r="A3238">
        <v>0</v>
      </c>
      <c r="B3238" t="s">
        <v>2988</v>
      </c>
    </row>
    <row r="3239" spans="1:2" x14ac:dyDescent="0.25">
      <c r="A3239">
        <v>0</v>
      </c>
      <c r="B3239" t="s">
        <v>2989</v>
      </c>
    </row>
    <row r="3240" spans="1:2" x14ac:dyDescent="0.25">
      <c r="A3240">
        <v>5200</v>
      </c>
      <c r="B3240" t="s">
        <v>2990</v>
      </c>
    </row>
    <row r="3241" spans="1:2" x14ac:dyDescent="0.25">
      <c r="A3241">
        <v>0</v>
      </c>
      <c r="B3241" t="s">
        <v>2991</v>
      </c>
    </row>
    <row r="3242" spans="1:2" x14ac:dyDescent="0.25">
      <c r="A3242">
        <v>5200</v>
      </c>
      <c r="B3242" t="s">
        <v>2992</v>
      </c>
    </row>
    <row r="3243" spans="1:2" x14ac:dyDescent="0.25">
      <c r="A3243">
        <v>0</v>
      </c>
      <c r="B3243" t="s">
        <v>2993</v>
      </c>
    </row>
    <row r="3244" spans="1:2" x14ac:dyDescent="0.25">
      <c r="A3244">
        <v>5200</v>
      </c>
      <c r="B3244" t="s">
        <v>2994</v>
      </c>
    </row>
    <row r="3245" spans="1:2" x14ac:dyDescent="0.25">
      <c r="A3245">
        <v>0</v>
      </c>
      <c r="B3245" t="s">
        <v>2995</v>
      </c>
    </row>
    <row r="3246" spans="1:2" x14ac:dyDescent="0.25">
      <c r="A3246">
        <v>5200</v>
      </c>
      <c r="B3246" t="s">
        <v>2996</v>
      </c>
    </row>
    <row r="3247" spans="1:2" x14ac:dyDescent="0.25">
      <c r="A3247">
        <v>0</v>
      </c>
      <c r="B3247" t="s">
        <v>2997</v>
      </c>
    </row>
    <row r="3248" spans="1:2" x14ac:dyDescent="0.25">
      <c r="A3248">
        <v>0</v>
      </c>
      <c r="B3248" t="s">
        <v>2998</v>
      </c>
    </row>
    <row r="3249" spans="1:2" x14ac:dyDescent="0.25">
      <c r="A3249">
        <v>0</v>
      </c>
      <c r="B3249" t="s">
        <v>2999</v>
      </c>
    </row>
    <row r="3250" spans="1:2" x14ac:dyDescent="0.25">
      <c r="A3250">
        <v>0</v>
      </c>
      <c r="B3250" t="s">
        <v>3000</v>
      </c>
    </row>
    <row r="3251" spans="1:2" x14ac:dyDescent="0.25">
      <c r="A3251">
        <v>0</v>
      </c>
      <c r="B3251" t="s">
        <v>3001</v>
      </c>
    </row>
    <row r="3252" spans="1:2" x14ac:dyDescent="0.25">
      <c r="A3252">
        <v>5200</v>
      </c>
      <c r="B3252" t="s">
        <v>3002</v>
      </c>
    </row>
    <row r="3253" spans="1:2" x14ac:dyDescent="0.25">
      <c r="A3253">
        <v>30462</v>
      </c>
      <c r="B3253" t="s">
        <v>3303</v>
      </c>
    </row>
    <row r="3254" spans="1:2" x14ac:dyDescent="0.25">
      <c r="A3254">
        <v>30462</v>
      </c>
      <c r="B3254" t="s">
        <v>3304</v>
      </c>
    </row>
    <row r="3255" spans="1:2" x14ac:dyDescent="0.25">
      <c r="A3255">
        <v>25385</v>
      </c>
      <c r="B3255" t="s">
        <v>3305</v>
      </c>
    </row>
    <row r="3256" spans="1:2" x14ac:dyDescent="0.25">
      <c r="A3256">
        <v>14960</v>
      </c>
      <c r="B3256" t="s">
        <v>3306</v>
      </c>
    </row>
    <row r="3257" spans="1:2" x14ac:dyDescent="0.25">
      <c r="A3257">
        <v>16831</v>
      </c>
      <c r="B3257" t="s">
        <v>3307</v>
      </c>
    </row>
    <row r="3258" spans="1:2" x14ac:dyDescent="0.25">
      <c r="A3258">
        <v>25548</v>
      </c>
      <c r="B3258" t="s">
        <v>3308</v>
      </c>
    </row>
    <row r="3259" spans="1:2" x14ac:dyDescent="0.25">
      <c r="A3259">
        <v>24489</v>
      </c>
      <c r="B3259" t="s">
        <v>3309</v>
      </c>
    </row>
    <row r="3260" spans="1:2" x14ac:dyDescent="0.25">
      <c r="A3260">
        <v>38040</v>
      </c>
      <c r="B3260" t="s">
        <v>3310</v>
      </c>
    </row>
    <row r="3261" spans="1:2" x14ac:dyDescent="0.25">
      <c r="A3261">
        <v>37761</v>
      </c>
      <c r="B3261" t="s">
        <v>3311</v>
      </c>
    </row>
    <row r="3262" spans="1:2" x14ac:dyDescent="0.25">
      <c r="A3262">
        <v>40616</v>
      </c>
      <c r="B3262" t="s">
        <v>3312</v>
      </c>
    </row>
    <row r="3263" spans="1:2" x14ac:dyDescent="0.25">
      <c r="A3263">
        <v>51341</v>
      </c>
      <c r="B3263" t="s">
        <v>3313</v>
      </c>
    </row>
    <row r="3264" spans="1:2" x14ac:dyDescent="0.25">
      <c r="A3264">
        <v>22819</v>
      </c>
      <c r="B3264" t="s">
        <v>3314</v>
      </c>
    </row>
    <row r="3265" spans="1:2" x14ac:dyDescent="0.25">
      <c r="A3265">
        <v>0</v>
      </c>
      <c r="B3265" t="s">
        <v>3315</v>
      </c>
    </row>
    <row r="3266" spans="1:2" x14ac:dyDescent="0.25">
      <c r="A3266">
        <v>0</v>
      </c>
      <c r="B3266" t="s">
        <v>3316</v>
      </c>
    </row>
    <row r="3267" spans="1:2" x14ac:dyDescent="0.25">
      <c r="A3267">
        <v>0</v>
      </c>
      <c r="B3267" t="s">
        <v>3317</v>
      </c>
    </row>
    <row r="3268" spans="1:2" x14ac:dyDescent="0.25">
      <c r="A3268">
        <v>0</v>
      </c>
      <c r="B3268" t="s">
        <v>3318</v>
      </c>
    </row>
    <row r="3269" spans="1:2" x14ac:dyDescent="0.25">
      <c r="A3269">
        <v>0</v>
      </c>
      <c r="B3269" t="s">
        <v>3319</v>
      </c>
    </row>
    <row r="3270" spans="1:2" x14ac:dyDescent="0.25">
      <c r="A3270">
        <v>0</v>
      </c>
      <c r="B3270" t="s">
        <v>3320</v>
      </c>
    </row>
    <row r="3271" spans="1:2" x14ac:dyDescent="0.25">
      <c r="A3271">
        <v>0</v>
      </c>
      <c r="B3271" t="s">
        <v>3321</v>
      </c>
    </row>
    <row r="3272" spans="1:2" x14ac:dyDescent="0.25">
      <c r="A3272">
        <v>0</v>
      </c>
      <c r="B3272" t="s">
        <v>3322</v>
      </c>
    </row>
    <row r="3273" spans="1:2" x14ac:dyDescent="0.25">
      <c r="A3273">
        <v>0</v>
      </c>
      <c r="B3273" t="s">
        <v>3323</v>
      </c>
    </row>
    <row r="3274" spans="1:2" x14ac:dyDescent="0.25">
      <c r="A3274">
        <v>0</v>
      </c>
      <c r="B3274" t="s">
        <v>3324</v>
      </c>
    </row>
    <row r="3275" spans="1:2" x14ac:dyDescent="0.25">
      <c r="A3275">
        <v>0</v>
      </c>
      <c r="B3275" t="s">
        <v>3325</v>
      </c>
    </row>
    <row r="3276" spans="1:2" x14ac:dyDescent="0.25">
      <c r="A3276">
        <v>0</v>
      </c>
      <c r="B3276" t="s">
        <v>3326</v>
      </c>
    </row>
    <row r="3277" spans="1:2" x14ac:dyDescent="0.25">
      <c r="A3277">
        <v>0</v>
      </c>
      <c r="B3277" t="s">
        <v>3327</v>
      </c>
    </row>
    <row r="3278" spans="1:2" x14ac:dyDescent="0.25">
      <c r="A3278">
        <v>0</v>
      </c>
      <c r="B3278" t="s">
        <v>3328</v>
      </c>
    </row>
    <row r="3279" spans="1:2" x14ac:dyDescent="0.25">
      <c r="A3279">
        <v>0</v>
      </c>
      <c r="B3279" t="s">
        <v>3329</v>
      </c>
    </row>
    <row r="3280" spans="1:2" x14ac:dyDescent="0.25">
      <c r="A3280">
        <v>0</v>
      </c>
      <c r="B3280" t="s">
        <v>3330</v>
      </c>
    </row>
    <row r="3281" spans="1:2" x14ac:dyDescent="0.25">
      <c r="A3281">
        <v>0</v>
      </c>
      <c r="B3281" t="s">
        <v>3331</v>
      </c>
    </row>
    <row r="3282" spans="1:2" x14ac:dyDescent="0.25">
      <c r="A3282">
        <v>0</v>
      </c>
      <c r="B3282" t="s">
        <v>3332</v>
      </c>
    </row>
    <row r="3283" spans="1:2" x14ac:dyDescent="0.25">
      <c r="A3283">
        <v>0</v>
      </c>
      <c r="B3283" t="s">
        <v>3333</v>
      </c>
    </row>
    <row r="3284" spans="1:2" x14ac:dyDescent="0.25">
      <c r="A3284">
        <v>0</v>
      </c>
      <c r="B3284" t="s">
        <v>3334</v>
      </c>
    </row>
    <row r="3285" spans="1:2" x14ac:dyDescent="0.25">
      <c r="A3285">
        <v>0</v>
      </c>
      <c r="B3285" t="s">
        <v>3335</v>
      </c>
    </row>
    <row r="3286" spans="1:2" x14ac:dyDescent="0.25">
      <c r="A3286">
        <v>0</v>
      </c>
      <c r="B3286" t="s">
        <v>3336</v>
      </c>
    </row>
    <row r="3287" spans="1:2" x14ac:dyDescent="0.25">
      <c r="A3287">
        <v>0</v>
      </c>
      <c r="B3287" t="s">
        <v>3337</v>
      </c>
    </row>
    <row r="3288" spans="1:2" x14ac:dyDescent="0.25">
      <c r="A3288">
        <v>0</v>
      </c>
      <c r="B3288" t="s">
        <v>3338</v>
      </c>
    </row>
    <row r="3289" spans="1:2" x14ac:dyDescent="0.25">
      <c r="A3289">
        <v>0</v>
      </c>
      <c r="B3289" t="s">
        <v>3339</v>
      </c>
    </row>
    <row r="3290" spans="1:2" x14ac:dyDescent="0.25">
      <c r="A3290">
        <v>0</v>
      </c>
      <c r="B3290" t="s">
        <v>3340</v>
      </c>
    </row>
    <row r="3291" spans="1:2" x14ac:dyDescent="0.25">
      <c r="A3291">
        <v>0</v>
      </c>
      <c r="B3291" t="s">
        <v>3341</v>
      </c>
    </row>
    <row r="3292" spans="1:2" x14ac:dyDescent="0.25">
      <c r="A3292">
        <v>0</v>
      </c>
      <c r="B3292" t="s">
        <v>3342</v>
      </c>
    </row>
    <row r="3293" spans="1:2" x14ac:dyDescent="0.25">
      <c r="A3293">
        <v>0</v>
      </c>
      <c r="B3293" t="s">
        <v>3343</v>
      </c>
    </row>
    <row r="3294" spans="1:2" x14ac:dyDescent="0.25">
      <c r="A3294">
        <v>0</v>
      </c>
      <c r="B3294" t="s">
        <v>3344</v>
      </c>
    </row>
    <row r="3295" spans="1:2" x14ac:dyDescent="0.25">
      <c r="A3295">
        <v>0</v>
      </c>
      <c r="B3295" t="s">
        <v>3345</v>
      </c>
    </row>
    <row r="3296" spans="1:2" x14ac:dyDescent="0.25">
      <c r="A3296">
        <v>0</v>
      </c>
      <c r="B3296" t="s">
        <v>3346</v>
      </c>
    </row>
    <row r="3297" spans="1:2" x14ac:dyDescent="0.25">
      <c r="A3297">
        <v>0</v>
      </c>
      <c r="B3297" t="s">
        <v>3347</v>
      </c>
    </row>
    <row r="3298" spans="1:2" x14ac:dyDescent="0.25">
      <c r="A3298">
        <v>0</v>
      </c>
      <c r="B3298" t="s">
        <v>3348</v>
      </c>
    </row>
    <row r="3299" spans="1:2" x14ac:dyDescent="0.25">
      <c r="A3299">
        <v>0</v>
      </c>
      <c r="B3299" t="s">
        <v>3349</v>
      </c>
    </row>
    <row r="3300" spans="1:2" x14ac:dyDescent="0.25">
      <c r="A3300">
        <v>0</v>
      </c>
      <c r="B3300" t="s">
        <v>3350</v>
      </c>
    </row>
    <row r="3301" spans="1:2" x14ac:dyDescent="0.25">
      <c r="A3301">
        <v>0</v>
      </c>
      <c r="B3301" t="s">
        <v>3351</v>
      </c>
    </row>
    <row r="3302" spans="1:2" x14ac:dyDescent="0.25">
      <c r="A3302">
        <v>0</v>
      </c>
      <c r="B3302" t="s">
        <v>3352</v>
      </c>
    </row>
    <row r="3303" spans="1:2" x14ac:dyDescent="0.25">
      <c r="A3303">
        <v>0</v>
      </c>
      <c r="B3303" t="s">
        <v>3353</v>
      </c>
    </row>
    <row r="3304" spans="1:2" x14ac:dyDescent="0.25">
      <c r="A3304">
        <v>0</v>
      </c>
      <c r="B3304" t="s">
        <v>3354</v>
      </c>
    </row>
    <row r="3305" spans="1:2" x14ac:dyDescent="0.25">
      <c r="A3305">
        <v>0</v>
      </c>
      <c r="B3305" t="s">
        <v>3355</v>
      </c>
    </row>
    <row r="3306" spans="1:2" x14ac:dyDescent="0.25">
      <c r="A3306">
        <v>0</v>
      </c>
      <c r="B3306" t="s">
        <v>3356</v>
      </c>
    </row>
    <row r="3307" spans="1:2" x14ac:dyDescent="0.25">
      <c r="A3307">
        <v>0</v>
      </c>
      <c r="B3307" t="s">
        <v>3357</v>
      </c>
    </row>
    <row r="3308" spans="1:2" x14ac:dyDescent="0.25">
      <c r="A3308">
        <v>0</v>
      </c>
      <c r="B3308" t="s">
        <v>3358</v>
      </c>
    </row>
    <row r="3309" spans="1:2" x14ac:dyDescent="0.25">
      <c r="A3309">
        <v>0</v>
      </c>
      <c r="B3309" t="s">
        <v>3359</v>
      </c>
    </row>
    <row r="3310" spans="1:2" x14ac:dyDescent="0.25">
      <c r="A3310">
        <v>0</v>
      </c>
      <c r="B3310" t="s">
        <v>3360</v>
      </c>
    </row>
    <row r="3311" spans="1:2" x14ac:dyDescent="0.25">
      <c r="A3311">
        <v>0</v>
      </c>
      <c r="B3311" t="s">
        <v>3361</v>
      </c>
    </row>
    <row r="3312" spans="1:2" x14ac:dyDescent="0.25">
      <c r="A3312">
        <v>0</v>
      </c>
      <c r="B3312" t="s">
        <v>3362</v>
      </c>
    </row>
    <row r="3313" spans="1:2" x14ac:dyDescent="0.25">
      <c r="A3313">
        <v>186884</v>
      </c>
      <c r="B3313" t="s">
        <v>3363</v>
      </c>
    </row>
    <row r="3314" spans="1:2" x14ac:dyDescent="0.25">
      <c r="A3314">
        <v>186884</v>
      </c>
      <c r="B3314" t="s">
        <v>3364</v>
      </c>
    </row>
    <row r="3315" spans="1:2" x14ac:dyDescent="0.25">
      <c r="A3315">
        <v>186884</v>
      </c>
      <c r="B3315" t="s">
        <v>3365</v>
      </c>
    </row>
    <row r="3316" spans="1:2" x14ac:dyDescent="0.25">
      <c r="A3316">
        <v>111431</v>
      </c>
      <c r="B3316" t="s">
        <v>3366</v>
      </c>
    </row>
    <row r="3317" spans="1:2" x14ac:dyDescent="0.25">
      <c r="A3317">
        <v>111431</v>
      </c>
      <c r="B3317" t="s">
        <v>3367</v>
      </c>
    </row>
    <row r="3318" spans="1:2" x14ac:dyDescent="0.25">
      <c r="A3318">
        <v>111431</v>
      </c>
      <c r="B3318" t="s">
        <v>3368</v>
      </c>
    </row>
    <row r="3319" spans="1:2" x14ac:dyDescent="0.25">
      <c r="A3319">
        <v>111431</v>
      </c>
      <c r="B3319" t="s">
        <v>3369</v>
      </c>
    </row>
    <row r="3320" spans="1:2" x14ac:dyDescent="0.25">
      <c r="A3320">
        <v>151843</v>
      </c>
      <c r="B3320" t="s">
        <v>3370</v>
      </c>
    </row>
    <row r="3321" spans="1:2" x14ac:dyDescent="0.25">
      <c r="A3321">
        <v>151843</v>
      </c>
      <c r="B3321" t="s">
        <v>3371</v>
      </c>
    </row>
    <row r="3322" spans="1:2" x14ac:dyDescent="0.25">
      <c r="A3322">
        <v>128483</v>
      </c>
      <c r="B3322" t="s">
        <v>3372</v>
      </c>
    </row>
    <row r="3323" spans="1:2" x14ac:dyDescent="0.25">
      <c r="A3323">
        <v>128483</v>
      </c>
      <c r="B3323" t="s">
        <v>3373</v>
      </c>
    </row>
    <row r="3324" spans="1:2" x14ac:dyDescent="0.25">
      <c r="A3324">
        <v>116802</v>
      </c>
      <c r="B3324" t="s">
        <v>3374</v>
      </c>
    </row>
    <row r="3325" spans="1:2" x14ac:dyDescent="0.25">
      <c r="A3325">
        <v>84665</v>
      </c>
      <c r="B3325" t="s">
        <v>3375</v>
      </c>
    </row>
    <row r="3326" spans="1:2" x14ac:dyDescent="0.25">
      <c r="A3326">
        <v>69420</v>
      </c>
      <c r="B3326" t="s">
        <v>3376</v>
      </c>
    </row>
    <row r="3327" spans="1:2" x14ac:dyDescent="0.25">
      <c r="A3327">
        <v>69420</v>
      </c>
      <c r="B3327" t="s">
        <v>3377</v>
      </c>
    </row>
    <row r="3328" spans="1:2" x14ac:dyDescent="0.25">
      <c r="A3328">
        <v>42624</v>
      </c>
      <c r="B3328" t="s">
        <v>3378</v>
      </c>
    </row>
    <row r="3329" spans="1:2" x14ac:dyDescent="0.25">
      <c r="A3329">
        <v>94371</v>
      </c>
      <c r="B3329" t="s">
        <v>3379</v>
      </c>
    </row>
    <row r="3330" spans="1:2" x14ac:dyDescent="0.25">
      <c r="A3330">
        <v>102418</v>
      </c>
      <c r="B3330" t="s">
        <v>3380</v>
      </c>
    </row>
    <row r="3331" spans="1:2" x14ac:dyDescent="0.25">
      <c r="A3331">
        <v>32563</v>
      </c>
      <c r="B3331" t="s">
        <v>3381</v>
      </c>
    </row>
    <row r="3332" spans="1:2" x14ac:dyDescent="0.25">
      <c r="A3332">
        <v>90426</v>
      </c>
      <c r="B3332" t="s">
        <v>3382</v>
      </c>
    </row>
    <row r="3333" spans="1:2" x14ac:dyDescent="0.25">
      <c r="A3333">
        <v>42313</v>
      </c>
      <c r="B3333" t="s">
        <v>3383</v>
      </c>
    </row>
    <row r="3334" spans="1:2" x14ac:dyDescent="0.25">
      <c r="A3334">
        <v>106000</v>
      </c>
      <c r="B3334" t="s">
        <v>3384</v>
      </c>
    </row>
    <row r="3335" spans="1:2" x14ac:dyDescent="0.25">
      <c r="A3335">
        <v>232249</v>
      </c>
      <c r="B3335" t="s">
        <v>3385</v>
      </c>
    </row>
    <row r="3336" spans="1:2" x14ac:dyDescent="0.25">
      <c r="A3336">
        <v>54507</v>
      </c>
      <c r="B3336" t="s">
        <v>3386</v>
      </c>
    </row>
    <row r="3337" spans="1:2" x14ac:dyDescent="0.25">
      <c r="A3337">
        <v>8480</v>
      </c>
      <c r="B3337" t="s">
        <v>3387</v>
      </c>
    </row>
    <row r="3338" spans="1:2" x14ac:dyDescent="0.25">
      <c r="A3338">
        <v>8480</v>
      </c>
      <c r="B3338" t="s">
        <v>3388</v>
      </c>
    </row>
    <row r="3339" spans="1:2" x14ac:dyDescent="0.25">
      <c r="A3339">
        <v>8480</v>
      </c>
      <c r="B3339" t="s">
        <v>3389</v>
      </c>
    </row>
    <row r="3340" spans="1:2" x14ac:dyDescent="0.25">
      <c r="A3340">
        <v>8480</v>
      </c>
      <c r="B3340" t="s">
        <v>3390</v>
      </c>
    </row>
    <row r="3341" spans="1:2" x14ac:dyDescent="0.25">
      <c r="A3341">
        <v>8480</v>
      </c>
      <c r="B3341" t="s">
        <v>3391</v>
      </c>
    </row>
    <row r="3342" spans="1:2" x14ac:dyDescent="0.25">
      <c r="A3342">
        <v>8480</v>
      </c>
      <c r="B3342" t="s">
        <v>3392</v>
      </c>
    </row>
    <row r="3343" spans="1:2" x14ac:dyDescent="0.25">
      <c r="A3343">
        <v>8480</v>
      </c>
      <c r="B3343" t="s">
        <v>3393</v>
      </c>
    </row>
    <row r="3344" spans="1:2" x14ac:dyDescent="0.25">
      <c r="A3344">
        <v>8480</v>
      </c>
      <c r="B3344" t="s">
        <v>3394</v>
      </c>
    </row>
    <row r="3345" spans="1:2" x14ac:dyDescent="0.25">
      <c r="A3345">
        <v>10600</v>
      </c>
      <c r="B3345" t="s">
        <v>3395</v>
      </c>
    </row>
    <row r="3346" spans="1:2" x14ac:dyDescent="0.25">
      <c r="A3346">
        <v>10600</v>
      </c>
      <c r="B3346" t="s">
        <v>3396</v>
      </c>
    </row>
    <row r="3347" spans="1:2" x14ac:dyDescent="0.25">
      <c r="A3347">
        <v>10600</v>
      </c>
      <c r="B3347" t="s">
        <v>3397</v>
      </c>
    </row>
    <row r="3348" spans="1:2" x14ac:dyDescent="0.25">
      <c r="A3348">
        <v>10600</v>
      </c>
      <c r="B3348" t="s">
        <v>3398</v>
      </c>
    </row>
    <row r="3349" spans="1:2" x14ac:dyDescent="0.25">
      <c r="A3349">
        <v>0</v>
      </c>
      <c r="B3349" t="s">
        <v>3399</v>
      </c>
    </row>
    <row r="3350" spans="1:2" x14ac:dyDescent="0.25">
      <c r="A3350">
        <v>0</v>
      </c>
      <c r="B3350" t="s">
        <v>3400</v>
      </c>
    </row>
    <row r="3351" spans="1:2" x14ac:dyDescent="0.25">
      <c r="A3351">
        <v>0</v>
      </c>
      <c r="B3351" t="s">
        <v>3401</v>
      </c>
    </row>
    <row r="3352" spans="1:2" x14ac:dyDescent="0.25">
      <c r="A3352">
        <v>0</v>
      </c>
      <c r="B3352" t="s">
        <v>3402</v>
      </c>
    </row>
    <row r="3353" spans="1:2" x14ac:dyDescent="0.25">
      <c r="A3353">
        <v>0</v>
      </c>
      <c r="B3353" t="s">
        <v>3403</v>
      </c>
    </row>
    <row r="3354" spans="1:2" x14ac:dyDescent="0.25">
      <c r="A3354">
        <v>0</v>
      </c>
      <c r="B3354" t="s">
        <v>3404</v>
      </c>
    </row>
    <row r="3355" spans="1:2" x14ac:dyDescent="0.25">
      <c r="A3355">
        <v>0</v>
      </c>
      <c r="B3355" t="s">
        <v>3405</v>
      </c>
    </row>
    <row r="3356" spans="1:2" x14ac:dyDescent="0.25">
      <c r="A3356">
        <v>0</v>
      </c>
      <c r="B3356" t="s">
        <v>3406</v>
      </c>
    </row>
    <row r="3357" spans="1:2" x14ac:dyDescent="0.25">
      <c r="A3357">
        <v>0</v>
      </c>
      <c r="B3357" t="s">
        <v>3407</v>
      </c>
    </row>
    <row r="3358" spans="1:2" x14ac:dyDescent="0.25">
      <c r="A3358">
        <v>0</v>
      </c>
      <c r="B3358" t="s">
        <v>3408</v>
      </c>
    </row>
    <row r="3359" spans="1:2" x14ac:dyDescent="0.25">
      <c r="A3359">
        <v>0</v>
      </c>
      <c r="B3359" t="s">
        <v>3409</v>
      </c>
    </row>
    <row r="3360" spans="1:2" x14ac:dyDescent="0.25">
      <c r="A3360">
        <v>0</v>
      </c>
      <c r="B3360" t="s">
        <v>3410</v>
      </c>
    </row>
    <row r="3361" spans="1:2" x14ac:dyDescent="0.25">
      <c r="A3361">
        <v>0</v>
      </c>
      <c r="B3361" t="s">
        <v>3411</v>
      </c>
    </row>
    <row r="3362" spans="1:2" x14ac:dyDescent="0.25">
      <c r="A3362">
        <v>0</v>
      </c>
      <c r="B3362" t="s">
        <v>3412</v>
      </c>
    </row>
    <row r="3363" spans="1:2" x14ac:dyDescent="0.25">
      <c r="A3363">
        <v>0</v>
      </c>
      <c r="B3363" t="s">
        <v>3413</v>
      </c>
    </row>
    <row r="3364" spans="1:2" x14ac:dyDescent="0.25">
      <c r="A3364">
        <v>0</v>
      </c>
      <c r="B3364" t="s">
        <v>3414</v>
      </c>
    </row>
    <row r="3365" spans="1:2" x14ac:dyDescent="0.25">
      <c r="A3365">
        <v>0</v>
      </c>
      <c r="B3365" t="s">
        <v>3415</v>
      </c>
    </row>
    <row r="3366" spans="1:2" x14ac:dyDescent="0.25">
      <c r="A3366">
        <v>0</v>
      </c>
      <c r="B3366" t="s">
        <v>3416</v>
      </c>
    </row>
    <row r="3367" spans="1:2" x14ac:dyDescent="0.25">
      <c r="A3367">
        <v>0</v>
      </c>
      <c r="B3367" t="s">
        <v>3417</v>
      </c>
    </row>
    <row r="3368" spans="1:2" x14ac:dyDescent="0.25">
      <c r="A3368">
        <v>0</v>
      </c>
      <c r="B3368" t="s">
        <v>3418</v>
      </c>
    </row>
    <row r="3369" spans="1:2" x14ac:dyDescent="0.25">
      <c r="A3369">
        <v>0</v>
      </c>
      <c r="B3369" t="s">
        <v>3419</v>
      </c>
    </row>
    <row r="3370" spans="1:2" x14ac:dyDescent="0.25">
      <c r="A3370">
        <v>0</v>
      </c>
      <c r="B3370" t="s">
        <v>3420</v>
      </c>
    </row>
    <row r="3371" spans="1:2" x14ac:dyDescent="0.25">
      <c r="A3371">
        <v>0</v>
      </c>
      <c r="B3371" t="s">
        <v>3421</v>
      </c>
    </row>
    <row r="3372" spans="1:2" x14ac:dyDescent="0.25">
      <c r="A3372">
        <v>0</v>
      </c>
      <c r="B3372" t="s">
        <v>3422</v>
      </c>
    </row>
    <row r="3373" spans="1:2" x14ac:dyDescent="0.25">
      <c r="A3373">
        <v>269759</v>
      </c>
      <c r="B3373" t="s">
        <v>3423</v>
      </c>
    </row>
    <row r="3374" spans="1:2" x14ac:dyDescent="0.25">
      <c r="A3374">
        <v>240856</v>
      </c>
      <c r="B3374" t="s">
        <v>3424</v>
      </c>
    </row>
    <row r="3375" spans="1:2" x14ac:dyDescent="0.25">
      <c r="A3375">
        <v>192685</v>
      </c>
      <c r="B3375" t="s">
        <v>3425</v>
      </c>
    </row>
    <row r="3376" spans="1:2" x14ac:dyDescent="0.25">
      <c r="A3376">
        <v>154149</v>
      </c>
      <c r="B3376" t="s">
        <v>3426</v>
      </c>
    </row>
    <row r="3377" spans="1:2" x14ac:dyDescent="0.25">
      <c r="A3377">
        <v>125247</v>
      </c>
      <c r="B3377" t="s">
        <v>3427</v>
      </c>
    </row>
    <row r="3378" spans="1:2" x14ac:dyDescent="0.25">
      <c r="A3378">
        <v>96343</v>
      </c>
      <c r="B3378" t="s">
        <v>3428</v>
      </c>
    </row>
    <row r="3379" spans="1:2" x14ac:dyDescent="0.25">
      <c r="A3379">
        <v>96343</v>
      </c>
      <c r="B3379" t="s">
        <v>3429</v>
      </c>
    </row>
    <row r="3380" spans="1:2" x14ac:dyDescent="0.25">
      <c r="A3380">
        <v>96343</v>
      </c>
      <c r="B3380" t="s">
        <v>3430</v>
      </c>
    </row>
    <row r="3381" spans="1:2" x14ac:dyDescent="0.25">
      <c r="A3381">
        <v>173417</v>
      </c>
      <c r="B3381" t="s">
        <v>3431</v>
      </c>
    </row>
    <row r="3382" spans="1:2" x14ac:dyDescent="0.25">
      <c r="A3382">
        <v>173417</v>
      </c>
      <c r="B3382" t="s">
        <v>3432</v>
      </c>
    </row>
    <row r="3383" spans="1:2" x14ac:dyDescent="0.25">
      <c r="A3383">
        <v>192685</v>
      </c>
      <c r="B3383" t="s">
        <v>3433</v>
      </c>
    </row>
    <row r="3384" spans="1:2" x14ac:dyDescent="0.25">
      <c r="A3384">
        <v>144514</v>
      </c>
      <c r="B3384" t="s">
        <v>3434</v>
      </c>
    </row>
    <row r="3385" spans="1:2" x14ac:dyDescent="0.25">
      <c r="A3385">
        <v>89991</v>
      </c>
      <c r="B3385" t="s">
        <v>3435</v>
      </c>
    </row>
    <row r="3386" spans="1:2" x14ac:dyDescent="0.25">
      <c r="A3386">
        <v>89991</v>
      </c>
      <c r="B3386" t="s">
        <v>3436</v>
      </c>
    </row>
    <row r="3387" spans="1:2" x14ac:dyDescent="0.25">
      <c r="A3387">
        <v>89991</v>
      </c>
      <c r="B3387" t="s">
        <v>3437</v>
      </c>
    </row>
    <row r="3388" spans="1:2" x14ac:dyDescent="0.25">
      <c r="A3388">
        <v>68872</v>
      </c>
      <c r="B3388" t="s">
        <v>3438</v>
      </c>
    </row>
    <row r="3389" spans="1:2" x14ac:dyDescent="0.25">
      <c r="A3389">
        <v>49194</v>
      </c>
      <c r="B3389" t="s">
        <v>3439</v>
      </c>
    </row>
    <row r="3390" spans="1:2" x14ac:dyDescent="0.25">
      <c r="A3390">
        <v>49194</v>
      </c>
      <c r="B3390" t="s">
        <v>3440</v>
      </c>
    </row>
    <row r="3391" spans="1:2" x14ac:dyDescent="0.25">
      <c r="A3391">
        <v>49194</v>
      </c>
      <c r="B3391" t="s">
        <v>3441</v>
      </c>
    </row>
    <row r="3392" spans="1:2" x14ac:dyDescent="0.25">
      <c r="A3392">
        <v>65528</v>
      </c>
      <c r="B3392" t="s">
        <v>3442</v>
      </c>
    </row>
    <row r="3393" spans="1:2" x14ac:dyDescent="0.25">
      <c r="A3393">
        <v>76450</v>
      </c>
      <c r="B3393" t="s">
        <v>3443</v>
      </c>
    </row>
    <row r="3394" spans="1:2" x14ac:dyDescent="0.25">
      <c r="A3394">
        <v>87371</v>
      </c>
      <c r="B3394" t="s">
        <v>3444</v>
      </c>
    </row>
    <row r="3395" spans="1:2" x14ac:dyDescent="0.25">
      <c r="A3395">
        <v>87371</v>
      </c>
      <c r="B3395" t="s">
        <v>3445</v>
      </c>
    </row>
    <row r="3396" spans="1:2" x14ac:dyDescent="0.25">
      <c r="A3396">
        <v>76450</v>
      </c>
      <c r="B3396" t="s">
        <v>3446</v>
      </c>
    </row>
    <row r="3397" spans="1:2" x14ac:dyDescent="0.25">
      <c r="A3397">
        <v>70323</v>
      </c>
      <c r="B3397" t="s">
        <v>3447</v>
      </c>
    </row>
    <row r="3398" spans="1:2" x14ac:dyDescent="0.25">
      <c r="A3398">
        <v>70323</v>
      </c>
      <c r="B3398" t="s">
        <v>3448</v>
      </c>
    </row>
    <row r="3399" spans="1:2" x14ac:dyDescent="0.25">
      <c r="A3399">
        <v>59504</v>
      </c>
      <c r="B3399" t="s">
        <v>3449</v>
      </c>
    </row>
    <row r="3400" spans="1:2" x14ac:dyDescent="0.25">
      <c r="A3400">
        <v>37865</v>
      </c>
      <c r="B3400" t="s">
        <v>3450</v>
      </c>
    </row>
    <row r="3401" spans="1:2" x14ac:dyDescent="0.25">
      <c r="A3401">
        <v>37867</v>
      </c>
      <c r="B3401" t="s">
        <v>3451</v>
      </c>
    </row>
    <row r="3402" spans="1:2" x14ac:dyDescent="0.25">
      <c r="A3402">
        <v>32459</v>
      </c>
      <c r="B3402" t="s">
        <v>3452</v>
      </c>
    </row>
    <row r="3403" spans="1:2" x14ac:dyDescent="0.25">
      <c r="A3403">
        <v>32459</v>
      </c>
      <c r="B3403" t="s">
        <v>3453</v>
      </c>
    </row>
    <row r="3404" spans="1:2" x14ac:dyDescent="0.25">
      <c r="A3404">
        <v>32459</v>
      </c>
      <c r="B3404" t="s">
        <v>3454</v>
      </c>
    </row>
    <row r="3405" spans="1:2" x14ac:dyDescent="0.25">
      <c r="A3405">
        <v>70323</v>
      </c>
      <c r="B3405" t="s">
        <v>3455</v>
      </c>
    </row>
    <row r="3406" spans="1:2" x14ac:dyDescent="0.25">
      <c r="A3406">
        <v>70320</v>
      </c>
      <c r="B3406" t="s">
        <v>3456</v>
      </c>
    </row>
    <row r="3407" spans="1:2" x14ac:dyDescent="0.25">
      <c r="A3407">
        <v>70320</v>
      </c>
      <c r="B3407" t="s">
        <v>3457</v>
      </c>
    </row>
    <row r="3408" spans="1:2" x14ac:dyDescent="0.25">
      <c r="A3408">
        <v>48686</v>
      </c>
      <c r="B3408" t="s">
        <v>3458</v>
      </c>
    </row>
    <row r="3409" spans="1:2" x14ac:dyDescent="0.25">
      <c r="A3409">
        <v>279102</v>
      </c>
      <c r="B3409" t="s">
        <v>3459</v>
      </c>
    </row>
    <row r="3410" spans="1:2" x14ac:dyDescent="0.25">
      <c r="A3410">
        <v>279102</v>
      </c>
      <c r="B3410" t="s">
        <v>3460</v>
      </c>
    </row>
    <row r="3411" spans="1:2" x14ac:dyDescent="0.25">
      <c r="A3411">
        <v>199360</v>
      </c>
      <c r="B3411" t="s">
        <v>3461</v>
      </c>
    </row>
    <row r="3412" spans="1:2" x14ac:dyDescent="0.25">
      <c r="A3412">
        <v>97189</v>
      </c>
      <c r="B3412" t="s">
        <v>3462</v>
      </c>
    </row>
    <row r="3413" spans="1:2" x14ac:dyDescent="0.25">
      <c r="A3413">
        <v>97189</v>
      </c>
      <c r="B3413" t="s">
        <v>3463</v>
      </c>
    </row>
    <row r="3414" spans="1:2" x14ac:dyDescent="0.25">
      <c r="A3414">
        <v>97189</v>
      </c>
      <c r="B3414" t="s">
        <v>3464</v>
      </c>
    </row>
    <row r="3415" spans="1:2" x14ac:dyDescent="0.25">
      <c r="A3415">
        <v>92704</v>
      </c>
      <c r="B3415" t="s">
        <v>3465</v>
      </c>
    </row>
    <row r="3416" spans="1:2" x14ac:dyDescent="0.25">
      <c r="A3416">
        <v>97189</v>
      </c>
      <c r="B3416" t="s">
        <v>3466</v>
      </c>
    </row>
    <row r="3417" spans="1:2" x14ac:dyDescent="0.25">
      <c r="A3417">
        <v>199360</v>
      </c>
      <c r="B3417" t="s">
        <v>3467</v>
      </c>
    </row>
    <row r="3418" spans="1:2" x14ac:dyDescent="0.25">
      <c r="A3418">
        <v>249199</v>
      </c>
      <c r="B3418" t="s">
        <v>3468</v>
      </c>
    </row>
    <row r="3419" spans="1:2" x14ac:dyDescent="0.25">
      <c r="A3419">
        <v>199360</v>
      </c>
      <c r="B3419" t="s">
        <v>3469</v>
      </c>
    </row>
    <row r="3420" spans="1:2" x14ac:dyDescent="0.25">
      <c r="A3420">
        <v>179423</v>
      </c>
      <c r="B3420" t="s">
        <v>3470</v>
      </c>
    </row>
    <row r="3421" spans="1:2" x14ac:dyDescent="0.25">
      <c r="A3421">
        <v>1153024</v>
      </c>
      <c r="B3421" t="s">
        <v>3471</v>
      </c>
    </row>
    <row r="3422" spans="1:2" x14ac:dyDescent="0.25">
      <c r="A3422">
        <v>1056939</v>
      </c>
      <c r="B3422" t="s">
        <v>3472</v>
      </c>
    </row>
    <row r="3423" spans="1:2" x14ac:dyDescent="0.25">
      <c r="A3423">
        <v>912811</v>
      </c>
      <c r="B3423" t="s">
        <v>3473</v>
      </c>
    </row>
    <row r="3424" spans="1:2" x14ac:dyDescent="0.25">
      <c r="A3424">
        <v>611103</v>
      </c>
      <c r="B3424" t="s">
        <v>3474</v>
      </c>
    </row>
    <row r="3425" spans="1:2" x14ac:dyDescent="0.25">
      <c r="A3425">
        <v>611103</v>
      </c>
      <c r="B3425" t="s">
        <v>3475</v>
      </c>
    </row>
    <row r="3426" spans="1:2" x14ac:dyDescent="0.25">
      <c r="A3426">
        <v>560179</v>
      </c>
      <c r="B3426" t="s">
        <v>3476</v>
      </c>
    </row>
    <row r="3427" spans="1:2" x14ac:dyDescent="0.25">
      <c r="A3427">
        <v>560179</v>
      </c>
      <c r="B3427" t="s">
        <v>3477</v>
      </c>
    </row>
    <row r="3428" spans="1:2" x14ac:dyDescent="0.25">
      <c r="A3428">
        <v>864769</v>
      </c>
      <c r="B3428" t="s">
        <v>3478</v>
      </c>
    </row>
    <row r="3429" spans="1:2" x14ac:dyDescent="0.25">
      <c r="A3429">
        <v>912811</v>
      </c>
      <c r="B3429" t="s">
        <v>3479</v>
      </c>
    </row>
    <row r="3430" spans="1:2" x14ac:dyDescent="0.25">
      <c r="A3430">
        <v>1056939</v>
      </c>
      <c r="B3430" t="s">
        <v>3480</v>
      </c>
    </row>
    <row r="3431" spans="1:2" x14ac:dyDescent="0.25">
      <c r="A3431">
        <v>1056939</v>
      </c>
      <c r="B3431" t="s">
        <v>3481</v>
      </c>
    </row>
    <row r="3432" spans="1:2" x14ac:dyDescent="0.25">
      <c r="A3432">
        <v>768683</v>
      </c>
      <c r="B3432" t="s">
        <v>3482</v>
      </c>
    </row>
    <row r="3433" spans="1:2" x14ac:dyDescent="0.25">
      <c r="A3433">
        <v>15776</v>
      </c>
      <c r="B3433" t="s">
        <v>3483</v>
      </c>
    </row>
    <row r="3434" spans="1:2" x14ac:dyDescent="0.25">
      <c r="A3434">
        <v>15776</v>
      </c>
      <c r="B3434" t="s">
        <v>3484</v>
      </c>
    </row>
    <row r="3435" spans="1:2" x14ac:dyDescent="0.25">
      <c r="A3435">
        <v>15776</v>
      </c>
      <c r="B3435" t="s">
        <v>3485</v>
      </c>
    </row>
    <row r="3436" spans="1:2" x14ac:dyDescent="0.25">
      <c r="A3436">
        <v>15776</v>
      </c>
      <c r="B3436" t="s">
        <v>3486</v>
      </c>
    </row>
    <row r="3437" spans="1:2" x14ac:dyDescent="0.25">
      <c r="A3437">
        <v>15776</v>
      </c>
      <c r="B3437" t="s">
        <v>3487</v>
      </c>
    </row>
    <row r="3438" spans="1:2" x14ac:dyDescent="0.25">
      <c r="A3438">
        <v>15776</v>
      </c>
      <c r="B3438" t="s">
        <v>3488</v>
      </c>
    </row>
    <row r="3439" spans="1:2" x14ac:dyDescent="0.25">
      <c r="A3439">
        <v>15776</v>
      </c>
      <c r="B3439" t="s">
        <v>3489</v>
      </c>
    </row>
    <row r="3440" spans="1:2" x14ac:dyDescent="0.25">
      <c r="A3440">
        <v>15776</v>
      </c>
      <c r="B3440" t="s">
        <v>3490</v>
      </c>
    </row>
    <row r="3441" spans="1:2" x14ac:dyDescent="0.25">
      <c r="A3441">
        <v>15776</v>
      </c>
      <c r="B3441" t="s">
        <v>3491</v>
      </c>
    </row>
    <row r="3442" spans="1:2" x14ac:dyDescent="0.25">
      <c r="A3442">
        <v>15776</v>
      </c>
      <c r="B3442" t="s">
        <v>3492</v>
      </c>
    </row>
    <row r="3443" spans="1:2" x14ac:dyDescent="0.25">
      <c r="A3443">
        <v>15776</v>
      </c>
      <c r="B3443" t="s">
        <v>3493</v>
      </c>
    </row>
    <row r="3444" spans="1:2" x14ac:dyDescent="0.25">
      <c r="A3444">
        <v>15776</v>
      </c>
      <c r="B3444" t="s">
        <v>3494</v>
      </c>
    </row>
    <row r="3445" spans="1:2" x14ac:dyDescent="0.25">
      <c r="A3445">
        <v>30462</v>
      </c>
      <c r="B3445" t="s">
        <v>3495</v>
      </c>
    </row>
    <row r="3446" spans="1:2" x14ac:dyDescent="0.25">
      <c r="A3446">
        <v>25385</v>
      </c>
      <c r="B3446" t="s">
        <v>3496</v>
      </c>
    </row>
    <row r="3447" spans="1:2" x14ac:dyDescent="0.25">
      <c r="A3447">
        <v>25385</v>
      </c>
      <c r="B3447" t="s">
        <v>3497</v>
      </c>
    </row>
    <row r="3448" spans="1:2" x14ac:dyDescent="0.25">
      <c r="A3448">
        <v>26655</v>
      </c>
      <c r="B3448" t="s">
        <v>3498</v>
      </c>
    </row>
    <row r="3449" spans="1:2" x14ac:dyDescent="0.25">
      <c r="A3449">
        <v>21324</v>
      </c>
      <c r="B3449" t="s">
        <v>3499</v>
      </c>
    </row>
    <row r="3450" spans="1:2" x14ac:dyDescent="0.25">
      <c r="A3450">
        <v>4265</v>
      </c>
      <c r="B3450" t="s">
        <v>3500</v>
      </c>
    </row>
    <row r="3451" spans="1:2" x14ac:dyDescent="0.25">
      <c r="A3451">
        <v>4265</v>
      </c>
      <c r="B3451" t="s">
        <v>3501</v>
      </c>
    </row>
    <row r="3452" spans="1:2" x14ac:dyDescent="0.25">
      <c r="A3452">
        <v>3200</v>
      </c>
      <c r="B3452" t="s">
        <v>3502</v>
      </c>
    </row>
    <row r="3453" spans="1:2" x14ac:dyDescent="0.25">
      <c r="A3453">
        <v>12185</v>
      </c>
      <c r="B3453" t="s">
        <v>3503</v>
      </c>
    </row>
    <row r="3454" spans="1:2" x14ac:dyDescent="0.25">
      <c r="A3454">
        <v>20308</v>
      </c>
      <c r="B3454" t="s">
        <v>3504</v>
      </c>
    </row>
    <row r="3455" spans="1:2" x14ac:dyDescent="0.25">
      <c r="A3455">
        <v>26655</v>
      </c>
      <c r="B3455" t="s">
        <v>3505</v>
      </c>
    </row>
    <row r="3456" spans="1:2" x14ac:dyDescent="0.25">
      <c r="A3456">
        <v>26655</v>
      </c>
      <c r="B3456" t="s">
        <v>3506</v>
      </c>
    </row>
    <row r="3457" spans="1:2" x14ac:dyDescent="0.25">
      <c r="A3457">
        <v>42000</v>
      </c>
      <c r="B3457" t="s">
        <v>3507</v>
      </c>
    </row>
    <row r="3458" spans="1:2" x14ac:dyDescent="0.25">
      <c r="A3458">
        <v>31500</v>
      </c>
      <c r="B3458" t="s">
        <v>3508</v>
      </c>
    </row>
    <row r="3459" spans="1:2" x14ac:dyDescent="0.25">
      <c r="A3459">
        <v>24150</v>
      </c>
      <c r="B3459" t="s">
        <v>3509</v>
      </c>
    </row>
    <row r="3460" spans="1:2" x14ac:dyDescent="0.25">
      <c r="A3460">
        <v>17063</v>
      </c>
      <c r="B3460" t="s">
        <v>3510</v>
      </c>
    </row>
    <row r="3461" spans="1:2" x14ac:dyDescent="0.25">
      <c r="A3461">
        <v>18900</v>
      </c>
      <c r="B3461" t="s">
        <v>3511</v>
      </c>
    </row>
    <row r="3462" spans="1:2" x14ac:dyDescent="0.25">
      <c r="A3462">
        <v>8820</v>
      </c>
      <c r="B3462" t="s">
        <v>3512</v>
      </c>
    </row>
    <row r="3463" spans="1:2" x14ac:dyDescent="0.25">
      <c r="A3463">
        <v>8820</v>
      </c>
      <c r="B3463" t="s">
        <v>3513</v>
      </c>
    </row>
    <row r="3464" spans="1:2" x14ac:dyDescent="0.25">
      <c r="A3464">
        <v>10500</v>
      </c>
      <c r="B3464" t="s">
        <v>3514</v>
      </c>
    </row>
    <row r="3465" spans="1:2" x14ac:dyDescent="0.25">
      <c r="A3465">
        <v>21000</v>
      </c>
      <c r="B3465" t="s">
        <v>3515</v>
      </c>
    </row>
    <row r="3466" spans="1:2" x14ac:dyDescent="0.25">
      <c r="A3466">
        <v>31500</v>
      </c>
      <c r="B3466" t="s">
        <v>3516</v>
      </c>
    </row>
    <row r="3467" spans="1:2" x14ac:dyDescent="0.25">
      <c r="A3467">
        <v>31500</v>
      </c>
      <c r="B3467" t="s">
        <v>3517</v>
      </c>
    </row>
    <row r="3468" spans="1:2" x14ac:dyDescent="0.25">
      <c r="A3468">
        <v>23100</v>
      </c>
      <c r="B3468" t="s">
        <v>3518</v>
      </c>
    </row>
    <row r="3469" spans="1:2" x14ac:dyDescent="0.25">
      <c r="A3469">
        <v>12720</v>
      </c>
      <c r="B3469" t="s">
        <v>3519</v>
      </c>
    </row>
    <row r="3470" spans="1:2" x14ac:dyDescent="0.25">
      <c r="A3470">
        <v>9328</v>
      </c>
      <c r="B3470" t="s">
        <v>3520</v>
      </c>
    </row>
    <row r="3471" spans="1:2" x14ac:dyDescent="0.25">
      <c r="A3471">
        <v>8162</v>
      </c>
      <c r="B3471" t="s">
        <v>3521</v>
      </c>
    </row>
    <row r="3472" spans="1:2" x14ac:dyDescent="0.25">
      <c r="A3472">
        <v>8162</v>
      </c>
      <c r="B3472" t="s">
        <v>3522</v>
      </c>
    </row>
    <row r="3473" spans="1:2" x14ac:dyDescent="0.25">
      <c r="A3473">
        <v>8162</v>
      </c>
      <c r="B3473" t="s">
        <v>3523</v>
      </c>
    </row>
    <row r="3474" spans="1:2" x14ac:dyDescent="0.25">
      <c r="A3474">
        <v>4664</v>
      </c>
      <c r="B3474" t="s">
        <v>3524</v>
      </c>
    </row>
    <row r="3475" spans="1:2" x14ac:dyDescent="0.25">
      <c r="A3475">
        <v>4664</v>
      </c>
      <c r="B3475" t="s">
        <v>3525</v>
      </c>
    </row>
    <row r="3476" spans="1:2" x14ac:dyDescent="0.25">
      <c r="A3476">
        <v>13992</v>
      </c>
      <c r="B3476" t="s">
        <v>3526</v>
      </c>
    </row>
    <row r="3477" spans="1:2" x14ac:dyDescent="0.25">
      <c r="A3477">
        <v>17490</v>
      </c>
      <c r="B3477" t="s">
        <v>3527</v>
      </c>
    </row>
    <row r="3478" spans="1:2" x14ac:dyDescent="0.25">
      <c r="A3478">
        <v>17490</v>
      </c>
      <c r="B3478" t="s">
        <v>3528</v>
      </c>
    </row>
    <row r="3479" spans="1:2" x14ac:dyDescent="0.25">
      <c r="A3479">
        <v>17490</v>
      </c>
      <c r="B3479" t="s">
        <v>3529</v>
      </c>
    </row>
    <row r="3480" spans="1:2" x14ac:dyDescent="0.25">
      <c r="A3480">
        <v>17490</v>
      </c>
      <c r="B3480" t="s">
        <v>3530</v>
      </c>
    </row>
    <row r="3481" spans="1:2" x14ac:dyDescent="0.25">
      <c r="A3481">
        <v>100130</v>
      </c>
      <c r="B3481" t="s">
        <v>3531</v>
      </c>
    </row>
    <row r="3482" spans="1:2" x14ac:dyDescent="0.25">
      <c r="A3482">
        <v>144756</v>
      </c>
      <c r="B3482" t="s">
        <v>3532</v>
      </c>
    </row>
    <row r="3483" spans="1:2" x14ac:dyDescent="0.25">
      <c r="A3483">
        <v>104622</v>
      </c>
      <c r="B3483" t="s">
        <v>3533</v>
      </c>
    </row>
    <row r="3484" spans="1:2" x14ac:dyDescent="0.25">
      <c r="A3484">
        <v>62774</v>
      </c>
      <c r="B3484" t="s">
        <v>3534</v>
      </c>
    </row>
    <row r="3485" spans="1:2" x14ac:dyDescent="0.25">
      <c r="A3485">
        <v>62774</v>
      </c>
      <c r="B3485" t="s">
        <v>3535</v>
      </c>
    </row>
    <row r="3486" spans="1:2" x14ac:dyDescent="0.25">
      <c r="A3486">
        <v>62774</v>
      </c>
      <c r="B3486" t="s">
        <v>3536</v>
      </c>
    </row>
    <row r="3487" spans="1:2" x14ac:dyDescent="0.25">
      <c r="A3487">
        <v>62774</v>
      </c>
      <c r="B3487" t="s">
        <v>3537</v>
      </c>
    </row>
    <row r="3488" spans="1:2" x14ac:dyDescent="0.25">
      <c r="A3488">
        <v>83698</v>
      </c>
      <c r="B3488" t="s">
        <v>3538</v>
      </c>
    </row>
    <row r="3489" spans="1:2" x14ac:dyDescent="0.25">
      <c r="A3489">
        <v>136009</v>
      </c>
      <c r="B3489" t="s">
        <v>3539</v>
      </c>
    </row>
    <row r="3490" spans="1:2" x14ac:dyDescent="0.25">
      <c r="A3490">
        <v>146471</v>
      </c>
      <c r="B3490" t="s">
        <v>3540</v>
      </c>
    </row>
    <row r="3491" spans="1:2" x14ac:dyDescent="0.25">
      <c r="A3491">
        <v>146471</v>
      </c>
      <c r="B3491" t="s">
        <v>3541</v>
      </c>
    </row>
    <row r="3492" spans="1:2" x14ac:dyDescent="0.25">
      <c r="A3492">
        <v>83698</v>
      </c>
      <c r="B3492" t="s">
        <v>3542</v>
      </c>
    </row>
    <row r="3493" spans="1:2" x14ac:dyDescent="0.25">
      <c r="A3493">
        <v>212000</v>
      </c>
      <c r="B3493" t="s">
        <v>3543</v>
      </c>
    </row>
    <row r="3494" spans="1:2" x14ac:dyDescent="0.25">
      <c r="A3494">
        <v>190800</v>
      </c>
      <c r="B3494" t="s">
        <v>3544</v>
      </c>
    </row>
    <row r="3495" spans="1:2" x14ac:dyDescent="0.25">
      <c r="A3495">
        <v>159000</v>
      </c>
      <c r="B3495" t="s">
        <v>3545</v>
      </c>
    </row>
    <row r="3496" spans="1:2" x14ac:dyDescent="0.25">
      <c r="A3496">
        <v>74200</v>
      </c>
      <c r="B3496" t="s">
        <v>3546</v>
      </c>
    </row>
    <row r="3497" spans="1:2" x14ac:dyDescent="0.25">
      <c r="A3497">
        <v>77168</v>
      </c>
      <c r="B3497" t="s">
        <v>3547</v>
      </c>
    </row>
    <row r="3498" spans="1:2" x14ac:dyDescent="0.25">
      <c r="A3498">
        <v>66144</v>
      </c>
      <c r="B3498" t="s">
        <v>3548</v>
      </c>
    </row>
    <row r="3499" spans="1:2" x14ac:dyDescent="0.25">
      <c r="A3499">
        <v>66144</v>
      </c>
      <c r="B3499" t="s">
        <v>3549</v>
      </c>
    </row>
    <row r="3500" spans="1:2" x14ac:dyDescent="0.25">
      <c r="A3500">
        <v>66144</v>
      </c>
      <c r="B3500" t="s">
        <v>3550</v>
      </c>
    </row>
    <row r="3501" spans="1:2" x14ac:dyDescent="0.25">
      <c r="A3501">
        <v>132288</v>
      </c>
      <c r="B3501" t="s">
        <v>3551</v>
      </c>
    </row>
    <row r="3502" spans="1:2" x14ac:dyDescent="0.25">
      <c r="A3502">
        <v>154336</v>
      </c>
      <c r="B3502" t="s">
        <v>3552</v>
      </c>
    </row>
    <row r="3503" spans="1:2" x14ac:dyDescent="0.25">
      <c r="A3503">
        <v>154336</v>
      </c>
      <c r="B3503" t="s">
        <v>3553</v>
      </c>
    </row>
    <row r="3504" spans="1:2" x14ac:dyDescent="0.25">
      <c r="A3504">
        <v>110240</v>
      </c>
      <c r="B3504" t="s">
        <v>3554</v>
      </c>
    </row>
    <row r="3505" spans="1:2" x14ac:dyDescent="0.25">
      <c r="A3505">
        <v>4536</v>
      </c>
      <c r="B3505" t="s">
        <v>3555</v>
      </c>
    </row>
    <row r="3506" spans="1:2" x14ac:dyDescent="0.25">
      <c r="A3506">
        <v>0</v>
      </c>
      <c r="B3506" t="s">
        <v>3556</v>
      </c>
    </row>
    <row r="3507" spans="1:2" x14ac:dyDescent="0.25">
      <c r="A3507">
        <v>9072</v>
      </c>
      <c r="B3507" t="s">
        <v>3557</v>
      </c>
    </row>
    <row r="3508" spans="1:2" x14ac:dyDescent="0.25">
      <c r="A3508">
        <v>0</v>
      </c>
      <c r="B3508" t="s">
        <v>3558</v>
      </c>
    </row>
    <row r="3509" spans="1:2" x14ac:dyDescent="0.25">
      <c r="A3509">
        <v>0</v>
      </c>
      <c r="B3509" t="s">
        <v>3559</v>
      </c>
    </row>
    <row r="3510" spans="1:2" x14ac:dyDescent="0.25">
      <c r="A3510">
        <v>0</v>
      </c>
      <c r="B3510" t="s">
        <v>3560</v>
      </c>
    </row>
    <row r="3511" spans="1:2" x14ac:dyDescent="0.25">
      <c r="A3511">
        <v>0</v>
      </c>
      <c r="B3511" t="s">
        <v>3561</v>
      </c>
    </row>
    <row r="3512" spans="1:2" x14ac:dyDescent="0.25">
      <c r="A3512">
        <v>4536</v>
      </c>
      <c r="B3512" t="s">
        <v>3562</v>
      </c>
    </row>
    <row r="3513" spans="1:2" x14ac:dyDescent="0.25">
      <c r="A3513">
        <v>0</v>
      </c>
      <c r="B3513" t="s">
        <v>3563</v>
      </c>
    </row>
    <row r="3514" spans="1:2" x14ac:dyDescent="0.25">
      <c r="A3514">
        <v>4536</v>
      </c>
      <c r="B3514" t="s">
        <v>3564</v>
      </c>
    </row>
    <row r="3515" spans="1:2" x14ac:dyDescent="0.25">
      <c r="A3515">
        <v>4536</v>
      </c>
      <c r="B3515" t="s">
        <v>3565</v>
      </c>
    </row>
    <row r="3516" spans="1:2" x14ac:dyDescent="0.25">
      <c r="A3516">
        <v>4536</v>
      </c>
      <c r="B3516" t="s">
        <v>3566</v>
      </c>
    </row>
    <row r="3517" spans="1:2" x14ac:dyDescent="0.25">
      <c r="A3517">
        <v>0</v>
      </c>
      <c r="B3517" t="s">
        <v>3567</v>
      </c>
    </row>
    <row r="3518" spans="1:2" x14ac:dyDescent="0.25">
      <c r="A3518">
        <v>10400</v>
      </c>
      <c r="B3518" t="s">
        <v>3568</v>
      </c>
    </row>
    <row r="3519" spans="1:2" x14ac:dyDescent="0.25">
      <c r="A3519">
        <v>0</v>
      </c>
      <c r="B3519" t="s">
        <v>3569</v>
      </c>
    </row>
    <row r="3520" spans="1:2" x14ac:dyDescent="0.25">
      <c r="A3520">
        <v>0</v>
      </c>
      <c r="B3520" t="s">
        <v>3570</v>
      </c>
    </row>
    <row r="3521" spans="1:2" x14ac:dyDescent="0.25">
      <c r="A3521">
        <v>10400</v>
      </c>
      <c r="B3521" t="s">
        <v>3571</v>
      </c>
    </row>
    <row r="3522" spans="1:2" x14ac:dyDescent="0.25">
      <c r="A3522">
        <v>0</v>
      </c>
      <c r="B3522" t="s">
        <v>3572</v>
      </c>
    </row>
    <row r="3523" spans="1:2" x14ac:dyDescent="0.25">
      <c r="A3523">
        <v>5200</v>
      </c>
      <c r="B3523" t="s">
        <v>3573</v>
      </c>
    </row>
    <row r="3524" spans="1:2" x14ac:dyDescent="0.25">
      <c r="A3524">
        <v>0</v>
      </c>
      <c r="B3524" t="s">
        <v>3574</v>
      </c>
    </row>
    <row r="3525" spans="1:2" x14ac:dyDescent="0.25">
      <c r="A3525">
        <v>10400</v>
      </c>
      <c r="B3525" t="s">
        <v>3575</v>
      </c>
    </row>
    <row r="3526" spans="1:2" x14ac:dyDescent="0.25">
      <c r="A3526">
        <v>0</v>
      </c>
      <c r="B3526" t="s">
        <v>3576</v>
      </c>
    </row>
    <row r="3527" spans="1:2" x14ac:dyDescent="0.25">
      <c r="A3527">
        <v>10400</v>
      </c>
      <c r="B3527" t="s">
        <v>3577</v>
      </c>
    </row>
    <row r="3528" spans="1:2" x14ac:dyDescent="0.25">
      <c r="A3528">
        <v>5200</v>
      </c>
      <c r="B3528" t="s">
        <v>3578</v>
      </c>
    </row>
    <row r="3529" spans="1:2" x14ac:dyDescent="0.25">
      <c r="A3529">
        <v>10400</v>
      </c>
      <c r="B3529" t="s">
        <v>3579</v>
      </c>
    </row>
    <row r="3530" spans="1:2" x14ac:dyDescent="0.25">
      <c r="A3530">
        <v>10400</v>
      </c>
      <c r="B3530" t="s">
        <v>3580</v>
      </c>
    </row>
    <row r="3531" spans="1:2" x14ac:dyDescent="0.25">
      <c r="A3531">
        <v>0</v>
      </c>
      <c r="B3531" t="s">
        <v>3581</v>
      </c>
    </row>
    <row r="3532" spans="1:2" x14ac:dyDescent="0.25">
      <c r="A3532">
        <v>10400</v>
      </c>
      <c r="B3532" t="s">
        <v>3582</v>
      </c>
    </row>
    <row r="3533" spans="1:2" x14ac:dyDescent="0.25">
      <c r="A3533">
        <v>0</v>
      </c>
      <c r="B3533" t="s">
        <v>3583</v>
      </c>
    </row>
    <row r="3534" spans="1:2" x14ac:dyDescent="0.25">
      <c r="A3534">
        <v>10400</v>
      </c>
      <c r="B3534" t="s">
        <v>3584</v>
      </c>
    </row>
    <row r="3535" spans="1:2" x14ac:dyDescent="0.25">
      <c r="A3535">
        <v>0</v>
      </c>
      <c r="B3535" t="s">
        <v>3585</v>
      </c>
    </row>
    <row r="3536" spans="1:2" x14ac:dyDescent="0.25">
      <c r="A3536">
        <v>0</v>
      </c>
      <c r="B3536" t="s">
        <v>3586</v>
      </c>
    </row>
    <row r="3537" spans="1:2" x14ac:dyDescent="0.25">
      <c r="A3537">
        <v>10400</v>
      </c>
      <c r="B3537" t="s">
        <v>3587</v>
      </c>
    </row>
    <row r="3538" spans="1:2" x14ac:dyDescent="0.25">
      <c r="A3538">
        <v>0</v>
      </c>
      <c r="B3538" t="s">
        <v>3588</v>
      </c>
    </row>
    <row r="3539" spans="1:2" x14ac:dyDescent="0.25">
      <c r="A3539">
        <v>10400</v>
      </c>
      <c r="B3539" t="s">
        <v>3589</v>
      </c>
    </row>
    <row r="3540" spans="1:2" x14ac:dyDescent="0.25">
      <c r="A3540">
        <v>5200</v>
      </c>
      <c r="B3540" t="s">
        <v>3590</v>
      </c>
    </row>
    <row r="3541" spans="1:2" x14ac:dyDescent="0.25">
      <c r="A3541">
        <v>0</v>
      </c>
      <c r="B3541" t="s">
        <v>3591</v>
      </c>
    </row>
    <row r="3542" spans="1:2" x14ac:dyDescent="0.25">
      <c r="A3542">
        <v>0</v>
      </c>
      <c r="B3542" t="s">
        <v>3592</v>
      </c>
    </row>
    <row r="3543" spans="1:2" x14ac:dyDescent="0.25">
      <c r="A3543">
        <v>0</v>
      </c>
      <c r="B3543" t="s">
        <v>3593</v>
      </c>
    </row>
    <row r="3544" spans="1:2" x14ac:dyDescent="0.25">
      <c r="A3544">
        <v>0</v>
      </c>
      <c r="B3544" t="s">
        <v>3594</v>
      </c>
    </row>
    <row r="3545" spans="1:2" x14ac:dyDescent="0.25">
      <c r="A3545">
        <v>0</v>
      </c>
      <c r="B3545" t="s">
        <v>3595</v>
      </c>
    </row>
    <row r="3546" spans="1:2" x14ac:dyDescent="0.25">
      <c r="A3546">
        <v>0</v>
      </c>
      <c r="B3546" t="s">
        <v>3596</v>
      </c>
    </row>
    <row r="3547" spans="1:2" x14ac:dyDescent="0.25">
      <c r="A3547">
        <v>0</v>
      </c>
      <c r="B3547" t="s">
        <v>3597</v>
      </c>
    </row>
    <row r="3548" spans="1:2" x14ac:dyDescent="0.25">
      <c r="A3548">
        <v>0</v>
      </c>
      <c r="B3548" t="s">
        <v>3598</v>
      </c>
    </row>
    <row r="3549" spans="1:2" x14ac:dyDescent="0.25">
      <c r="A3549">
        <v>0</v>
      </c>
      <c r="B3549" t="s">
        <v>3599</v>
      </c>
    </row>
    <row r="3550" spans="1:2" x14ac:dyDescent="0.25">
      <c r="A3550">
        <v>0</v>
      </c>
      <c r="B3550" t="s">
        <v>3600</v>
      </c>
    </row>
    <row r="3551" spans="1:2" x14ac:dyDescent="0.25">
      <c r="A3551">
        <v>0</v>
      </c>
      <c r="B3551" t="s">
        <v>3601</v>
      </c>
    </row>
    <row r="3552" spans="1:2" x14ac:dyDescent="0.25">
      <c r="A3552">
        <v>0</v>
      </c>
      <c r="B3552" t="s">
        <v>3602</v>
      </c>
    </row>
    <row r="3553" spans="1:2" x14ac:dyDescent="0.25">
      <c r="A3553">
        <v>27198</v>
      </c>
      <c r="B3553" t="s">
        <v>3652</v>
      </c>
    </row>
    <row r="3554" spans="1:2" x14ac:dyDescent="0.25">
      <c r="A3554">
        <v>27198</v>
      </c>
      <c r="B3554" t="s">
        <v>3653</v>
      </c>
    </row>
    <row r="3555" spans="1:2" x14ac:dyDescent="0.25">
      <c r="A3555">
        <v>22665</v>
      </c>
      <c r="B3555" t="s">
        <v>3654</v>
      </c>
    </row>
    <row r="3556" spans="1:2" x14ac:dyDescent="0.25">
      <c r="A3556">
        <v>13357</v>
      </c>
      <c r="B3556" t="s">
        <v>3655</v>
      </c>
    </row>
    <row r="3557" spans="1:2" x14ac:dyDescent="0.25">
      <c r="A3557">
        <v>15027</v>
      </c>
      <c r="B3557" t="s">
        <v>3656</v>
      </c>
    </row>
    <row r="3558" spans="1:2" x14ac:dyDescent="0.25">
      <c r="A3558">
        <v>22810</v>
      </c>
      <c r="B3558" t="s">
        <v>3657</v>
      </c>
    </row>
    <row r="3559" spans="1:2" x14ac:dyDescent="0.25">
      <c r="A3559">
        <v>21865</v>
      </c>
      <c r="B3559" t="s">
        <v>3658</v>
      </c>
    </row>
    <row r="3560" spans="1:2" x14ac:dyDescent="0.25">
      <c r="A3560">
        <v>33964</v>
      </c>
      <c r="B3560" t="s">
        <v>3659</v>
      </c>
    </row>
    <row r="3561" spans="1:2" x14ac:dyDescent="0.25">
      <c r="A3561">
        <v>33715</v>
      </c>
      <c r="B3561" t="s">
        <v>3660</v>
      </c>
    </row>
    <row r="3562" spans="1:2" x14ac:dyDescent="0.25">
      <c r="A3562">
        <v>36264</v>
      </c>
      <c r="B3562" t="s">
        <v>3661</v>
      </c>
    </row>
    <row r="3563" spans="1:2" x14ac:dyDescent="0.25">
      <c r="A3563">
        <v>45840</v>
      </c>
      <c r="B3563" t="s">
        <v>3662</v>
      </c>
    </row>
    <row r="3564" spans="1:2" x14ac:dyDescent="0.25">
      <c r="A3564">
        <v>20374</v>
      </c>
      <c r="B3564" t="s">
        <v>3663</v>
      </c>
    </row>
    <row r="3565" spans="1:2" x14ac:dyDescent="0.25">
      <c r="A3565">
        <v>0</v>
      </c>
      <c r="B3565" t="s">
        <v>3664</v>
      </c>
    </row>
    <row r="3566" spans="1:2" x14ac:dyDescent="0.25">
      <c r="A3566">
        <v>0</v>
      </c>
      <c r="B3566" t="s">
        <v>3665</v>
      </c>
    </row>
    <row r="3567" spans="1:2" x14ac:dyDescent="0.25">
      <c r="A3567">
        <v>0</v>
      </c>
      <c r="B3567" t="s">
        <v>3666</v>
      </c>
    </row>
    <row r="3568" spans="1:2" x14ac:dyDescent="0.25">
      <c r="A3568">
        <v>0</v>
      </c>
      <c r="B3568" t="s">
        <v>3667</v>
      </c>
    </row>
    <row r="3569" spans="1:2" x14ac:dyDescent="0.25">
      <c r="A3569">
        <v>0</v>
      </c>
      <c r="B3569" t="s">
        <v>3668</v>
      </c>
    </row>
    <row r="3570" spans="1:2" x14ac:dyDescent="0.25">
      <c r="A3570">
        <v>0</v>
      </c>
      <c r="B3570" t="s">
        <v>3669</v>
      </c>
    </row>
    <row r="3571" spans="1:2" x14ac:dyDescent="0.25">
      <c r="A3571">
        <v>0</v>
      </c>
      <c r="B3571" t="s">
        <v>3670</v>
      </c>
    </row>
    <row r="3572" spans="1:2" x14ac:dyDescent="0.25">
      <c r="A3572">
        <v>0</v>
      </c>
      <c r="B3572" t="s">
        <v>3671</v>
      </c>
    </row>
    <row r="3573" spans="1:2" x14ac:dyDescent="0.25">
      <c r="A3573">
        <v>0</v>
      </c>
      <c r="B3573" t="s">
        <v>3672</v>
      </c>
    </row>
    <row r="3574" spans="1:2" x14ac:dyDescent="0.25">
      <c r="A3574">
        <v>0</v>
      </c>
      <c r="B3574" t="s">
        <v>3673</v>
      </c>
    </row>
    <row r="3575" spans="1:2" x14ac:dyDescent="0.25">
      <c r="A3575">
        <v>0</v>
      </c>
      <c r="B3575" t="s">
        <v>3674</v>
      </c>
    </row>
    <row r="3576" spans="1:2" x14ac:dyDescent="0.25">
      <c r="A3576">
        <v>0</v>
      </c>
      <c r="B3576" t="s">
        <v>3675</v>
      </c>
    </row>
    <row r="3577" spans="1:2" x14ac:dyDescent="0.25">
      <c r="A3577">
        <v>0</v>
      </c>
      <c r="B3577" t="s">
        <v>3676</v>
      </c>
    </row>
    <row r="3578" spans="1:2" x14ac:dyDescent="0.25">
      <c r="A3578">
        <v>0</v>
      </c>
      <c r="B3578" t="s">
        <v>3677</v>
      </c>
    </row>
    <row r="3579" spans="1:2" x14ac:dyDescent="0.25">
      <c r="A3579">
        <v>0</v>
      </c>
      <c r="B3579" t="s">
        <v>3678</v>
      </c>
    </row>
    <row r="3580" spans="1:2" x14ac:dyDescent="0.25">
      <c r="A3580">
        <v>0</v>
      </c>
      <c r="B3580" t="s">
        <v>3679</v>
      </c>
    </row>
    <row r="3581" spans="1:2" x14ac:dyDescent="0.25">
      <c r="A3581">
        <v>0</v>
      </c>
      <c r="B3581" t="s">
        <v>3680</v>
      </c>
    </row>
    <row r="3582" spans="1:2" x14ac:dyDescent="0.25">
      <c r="A3582">
        <v>0</v>
      </c>
      <c r="B3582" t="s">
        <v>3681</v>
      </c>
    </row>
    <row r="3583" spans="1:2" x14ac:dyDescent="0.25">
      <c r="A3583">
        <v>0</v>
      </c>
      <c r="B3583" t="s">
        <v>3682</v>
      </c>
    </row>
    <row r="3584" spans="1:2" x14ac:dyDescent="0.25">
      <c r="A3584">
        <v>0</v>
      </c>
      <c r="B3584" t="s">
        <v>3683</v>
      </c>
    </row>
    <row r="3585" spans="1:2" x14ac:dyDescent="0.25">
      <c r="A3585">
        <v>0</v>
      </c>
      <c r="B3585" t="s">
        <v>3684</v>
      </c>
    </row>
    <row r="3586" spans="1:2" x14ac:dyDescent="0.25">
      <c r="A3586">
        <v>0</v>
      </c>
      <c r="B3586" t="s">
        <v>3685</v>
      </c>
    </row>
    <row r="3587" spans="1:2" x14ac:dyDescent="0.25">
      <c r="A3587">
        <v>0</v>
      </c>
      <c r="B3587" t="s">
        <v>3686</v>
      </c>
    </row>
    <row r="3588" spans="1:2" x14ac:dyDescent="0.25">
      <c r="A3588">
        <v>0</v>
      </c>
      <c r="B3588" t="s">
        <v>3687</v>
      </c>
    </row>
    <row r="3589" spans="1:2" x14ac:dyDescent="0.25">
      <c r="A3589">
        <v>0</v>
      </c>
      <c r="B3589" t="s">
        <v>3688</v>
      </c>
    </row>
    <row r="3590" spans="1:2" x14ac:dyDescent="0.25">
      <c r="A3590">
        <v>0</v>
      </c>
      <c r="B3590" t="s">
        <v>3689</v>
      </c>
    </row>
    <row r="3591" spans="1:2" x14ac:dyDescent="0.25">
      <c r="A3591">
        <v>0</v>
      </c>
      <c r="B3591" t="s">
        <v>3690</v>
      </c>
    </row>
    <row r="3592" spans="1:2" x14ac:dyDescent="0.25">
      <c r="A3592">
        <v>0</v>
      </c>
      <c r="B3592" t="s">
        <v>3691</v>
      </c>
    </row>
    <row r="3593" spans="1:2" x14ac:dyDescent="0.25">
      <c r="A3593">
        <v>0</v>
      </c>
      <c r="B3593" t="s">
        <v>3692</v>
      </c>
    </row>
    <row r="3594" spans="1:2" x14ac:dyDescent="0.25">
      <c r="A3594">
        <v>0</v>
      </c>
      <c r="B3594" t="s">
        <v>3693</v>
      </c>
    </row>
    <row r="3595" spans="1:2" x14ac:dyDescent="0.25">
      <c r="A3595">
        <v>0</v>
      </c>
      <c r="B3595" t="s">
        <v>3694</v>
      </c>
    </row>
    <row r="3596" spans="1:2" x14ac:dyDescent="0.25">
      <c r="A3596">
        <v>0</v>
      </c>
      <c r="B3596" t="s">
        <v>3695</v>
      </c>
    </row>
    <row r="3597" spans="1:2" x14ac:dyDescent="0.25">
      <c r="A3597">
        <v>0</v>
      </c>
      <c r="B3597" t="s">
        <v>3696</v>
      </c>
    </row>
    <row r="3598" spans="1:2" x14ac:dyDescent="0.25">
      <c r="A3598">
        <v>0</v>
      </c>
      <c r="B3598" t="s">
        <v>3697</v>
      </c>
    </row>
    <row r="3599" spans="1:2" x14ac:dyDescent="0.25">
      <c r="A3599">
        <v>0</v>
      </c>
      <c r="B3599" t="s">
        <v>3698</v>
      </c>
    </row>
    <row r="3600" spans="1:2" x14ac:dyDescent="0.25">
      <c r="A3600">
        <v>0</v>
      </c>
      <c r="B3600" t="s">
        <v>3699</v>
      </c>
    </row>
    <row r="3601" spans="1:2" x14ac:dyDescent="0.25">
      <c r="A3601">
        <v>0</v>
      </c>
      <c r="B3601" t="s">
        <v>3700</v>
      </c>
    </row>
    <row r="3602" spans="1:2" x14ac:dyDescent="0.25">
      <c r="A3602">
        <v>0</v>
      </c>
      <c r="B3602" t="s">
        <v>3701</v>
      </c>
    </row>
    <row r="3603" spans="1:2" x14ac:dyDescent="0.25">
      <c r="A3603">
        <v>0</v>
      </c>
      <c r="B3603" t="s">
        <v>3702</v>
      </c>
    </row>
    <row r="3604" spans="1:2" x14ac:dyDescent="0.25">
      <c r="A3604">
        <v>0</v>
      </c>
      <c r="B3604" t="s">
        <v>3703</v>
      </c>
    </row>
    <row r="3605" spans="1:2" x14ac:dyDescent="0.25">
      <c r="A3605">
        <v>0</v>
      </c>
      <c r="B3605" t="s">
        <v>3704</v>
      </c>
    </row>
    <row r="3606" spans="1:2" x14ac:dyDescent="0.25">
      <c r="A3606">
        <v>0</v>
      </c>
      <c r="B3606" t="s">
        <v>3705</v>
      </c>
    </row>
    <row r="3607" spans="1:2" x14ac:dyDescent="0.25">
      <c r="A3607">
        <v>0</v>
      </c>
      <c r="B3607" t="s">
        <v>3706</v>
      </c>
    </row>
    <row r="3608" spans="1:2" x14ac:dyDescent="0.25">
      <c r="A3608">
        <v>0</v>
      </c>
      <c r="B3608" t="s">
        <v>3707</v>
      </c>
    </row>
    <row r="3609" spans="1:2" x14ac:dyDescent="0.25">
      <c r="A3609">
        <v>0</v>
      </c>
      <c r="B3609" t="s">
        <v>3708</v>
      </c>
    </row>
    <row r="3610" spans="1:2" x14ac:dyDescent="0.25">
      <c r="A3610">
        <v>0</v>
      </c>
      <c r="B3610" t="s">
        <v>3709</v>
      </c>
    </row>
    <row r="3611" spans="1:2" x14ac:dyDescent="0.25">
      <c r="A3611">
        <v>0</v>
      </c>
      <c r="B3611" t="s">
        <v>3710</v>
      </c>
    </row>
    <row r="3612" spans="1:2" x14ac:dyDescent="0.25">
      <c r="A3612">
        <v>0</v>
      </c>
      <c r="B3612" t="s">
        <v>3711</v>
      </c>
    </row>
    <row r="3613" spans="1:2" x14ac:dyDescent="0.25">
      <c r="A3613">
        <v>164800</v>
      </c>
      <c r="B3613" t="s">
        <v>3712</v>
      </c>
    </row>
    <row r="3614" spans="1:2" x14ac:dyDescent="0.25">
      <c r="A3614">
        <v>164800</v>
      </c>
      <c r="B3614" t="s">
        <v>3713</v>
      </c>
    </row>
    <row r="3615" spans="1:2" x14ac:dyDescent="0.25">
      <c r="A3615">
        <v>164800</v>
      </c>
      <c r="B3615" t="s">
        <v>3714</v>
      </c>
    </row>
    <row r="3616" spans="1:2" x14ac:dyDescent="0.25">
      <c r="A3616">
        <v>98262</v>
      </c>
      <c r="B3616" t="s">
        <v>3715</v>
      </c>
    </row>
    <row r="3617" spans="1:2" x14ac:dyDescent="0.25">
      <c r="A3617">
        <v>98262</v>
      </c>
      <c r="B3617" t="s">
        <v>3716</v>
      </c>
    </row>
    <row r="3618" spans="1:2" x14ac:dyDescent="0.25">
      <c r="A3618">
        <v>98262</v>
      </c>
      <c r="B3618" t="s">
        <v>3717</v>
      </c>
    </row>
    <row r="3619" spans="1:2" x14ac:dyDescent="0.25">
      <c r="A3619">
        <v>98262</v>
      </c>
      <c r="B3619" t="s">
        <v>3718</v>
      </c>
    </row>
    <row r="3620" spans="1:2" x14ac:dyDescent="0.25">
      <c r="A3620">
        <v>133900</v>
      </c>
      <c r="B3620" t="s">
        <v>3719</v>
      </c>
    </row>
    <row r="3621" spans="1:2" x14ac:dyDescent="0.25">
      <c r="A3621">
        <v>133900</v>
      </c>
      <c r="B3621" t="s">
        <v>3720</v>
      </c>
    </row>
    <row r="3622" spans="1:2" x14ac:dyDescent="0.25">
      <c r="A3622">
        <v>113300</v>
      </c>
      <c r="B3622" t="s">
        <v>3721</v>
      </c>
    </row>
    <row r="3623" spans="1:2" x14ac:dyDescent="0.25">
      <c r="A3623">
        <v>113300</v>
      </c>
      <c r="B3623" t="s">
        <v>3722</v>
      </c>
    </row>
    <row r="3624" spans="1:2" x14ac:dyDescent="0.25">
      <c r="A3624">
        <v>103000</v>
      </c>
      <c r="B3624" t="s">
        <v>3723</v>
      </c>
    </row>
    <row r="3625" spans="1:2" x14ac:dyDescent="0.25">
      <c r="A3625">
        <v>84665</v>
      </c>
      <c r="B3625" t="s">
        <v>3724</v>
      </c>
    </row>
    <row r="3626" spans="1:2" x14ac:dyDescent="0.25">
      <c r="A3626">
        <v>69420</v>
      </c>
      <c r="B3626" t="s">
        <v>3725</v>
      </c>
    </row>
    <row r="3627" spans="1:2" x14ac:dyDescent="0.25">
      <c r="A3627">
        <v>69420</v>
      </c>
      <c r="B3627" t="s">
        <v>3726</v>
      </c>
    </row>
    <row r="3628" spans="1:2" x14ac:dyDescent="0.25">
      <c r="A3628">
        <v>42624</v>
      </c>
      <c r="B3628" t="s">
        <v>3727</v>
      </c>
    </row>
    <row r="3629" spans="1:2" x14ac:dyDescent="0.25">
      <c r="A3629">
        <v>94371</v>
      </c>
      <c r="B3629" t="s">
        <v>3728</v>
      </c>
    </row>
    <row r="3630" spans="1:2" x14ac:dyDescent="0.25">
      <c r="A3630">
        <v>102418</v>
      </c>
      <c r="B3630" t="s">
        <v>3729</v>
      </c>
    </row>
    <row r="3631" spans="1:2" x14ac:dyDescent="0.25">
      <c r="A3631">
        <v>32563</v>
      </c>
      <c r="B3631" t="s">
        <v>3730</v>
      </c>
    </row>
    <row r="3632" spans="1:2" x14ac:dyDescent="0.25">
      <c r="A3632">
        <v>90426</v>
      </c>
      <c r="B3632" t="s">
        <v>3731</v>
      </c>
    </row>
    <row r="3633" spans="1:2" x14ac:dyDescent="0.25">
      <c r="A3633">
        <v>42313</v>
      </c>
      <c r="B3633" t="s">
        <v>3732</v>
      </c>
    </row>
    <row r="3634" spans="1:2" x14ac:dyDescent="0.25">
      <c r="A3634">
        <v>106000</v>
      </c>
      <c r="B3634" t="s">
        <v>3733</v>
      </c>
    </row>
    <row r="3635" spans="1:2" x14ac:dyDescent="0.25">
      <c r="A3635">
        <v>232249</v>
      </c>
      <c r="B3635" t="s">
        <v>3734</v>
      </c>
    </row>
    <row r="3636" spans="1:2" x14ac:dyDescent="0.25">
      <c r="A3636">
        <v>54507</v>
      </c>
      <c r="B3636" t="s">
        <v>3735</v>
      </c>
    </row>
    <row r="3637" spans="1:2" x14ac:dyDescent="0.25">
      <c r="A3637">
        <v>8480</v>
      </c>
      <c r="B3637" t="s">
        <v>3736</v>
      </c>
    </row>
    <row r="3638" spans="1:2" x14ac:dyDescent="0.25">
      <c r="A3638">
        <v>8480</v>
      </c>
      <c r="B3638" t="s">
        <v>3737</v>
      </c>
    </row>
    <row r="3639" spans="1:2" x14ac:dyDescent="0.25">
      <c r="A3639">
        <v>8480</v>
      </c>
      <c r="B3639" t="s">
        <v>3738</v>
      </c>
    </row>
    <row r="3640" spans="1:2" x14ac:dyDescent="0.25">
      <c r="A3640">
        <v>8480</v>
      </c>
      <c r="B3640" t="s">
        <v>3739</v>
      </c>
    </row>
    <row r="3641" spans="1:2" x14ac:dyDescent="0.25">
      <c r="A3641">
        <v>8480</v>
      </c>
      <c r="B3641" t="s">
        <v>3740</v>
      </c>
    </row>
    <row r="3642" spans="1:2" x14ac:dyDescent="0.25">
      <c r="A3642">
        <v>8480</v>
      </c>
      <c r="B3642" t="s">
        <v>3741</v>
      </c>
    </row>
    <row r="3643" spans="1:2" x14ac:dyDescent="0.25">
      <c r="A3643">
        <v>8480</v>
      </c>
      <c r="B3643" t="s">
        <v>3742</v>
      </c>
    </row>
    <row r="3644" spans="1:2" x14ac:dyDescent="0.25">
      <c r="A3644">
        <v>8480</v>
      </c>
      <c r="B3644" t="s">
        <v>3743</v>
      </c>
    </row>
    <row r="3645" spans="1:2" x14ac:dyDescent="0.25">
      <c r="A3645">
        <v>10600</v>
      </c>
      <c r="B3645" t="s">
        <v>3744</v>
      </c>
    </row>
    <row r="3646" spans="1:2" x14ac:dyDescent="0.25">
      <c r="A3646">
        <v>10600</v>
      </c>
      <c r="B3646" t="s">
        <v>3745</v>
      </c>
    </row>
    <row r="3647" spans="1:2" x14ac:dyDescent="0.25">
      <c r="A3647">
        <v>10600</v>
      </c>
      <c r="B3647" t="s">
        <v>3746</v>
      </c>
    </row>
    <row r="3648" spans="1:2" x14ac:dyDescent="0.25">
      <c r="A3648">
        <v>10600</v>
      </c>
      <c r="B3648" t="s">
        <v>3747</v>
      </c>
    </row>
    <row r="3649" spans="1:2" x14ac:dyDescent="0.25">
      <c r="A3649">
        <v>0</v>
      </c>
      <c r="B3649" t="s">
        <v>3748</v>
      </c>
    </row>
    <row r="3650" spans="1:2" x14ac:dyDescent="0.25">
      <c r="A3650">
        <v>0</v>
      </c>
      <c r="B3650" t="s">
        <v>3749</v>
      </c>
    </row>
    <row r="3651" spans="1:2" x14ac:dyDescent="0.25">
      <c r="A3651">
        <v>0</v>
      </c>
      <c r="B3651" t="s">
        <v>3750</v>
      </c>
    </row>
    <row r="3652" spans="1:2" x14ac:dyDescent="0.25">
      <c r="A3652">
        <v>0</v>
      </c>
      <c r="B3652" t="s">
        <v>3751</v>
      </c>
    </row>
    <row r="3653" spans="1:2" x14ac:dyDescent="0.25">
      <c r="A3653">
        <v>0</v>
      </c>
      <c r="B3653" t="s">
        <v>3752</v>
      </c>
    </row>
    <row r="3654" spans="1:2" x14ac:dyDescent="0.25">
      <c r="A3654">
        <v>0</v>
      </c>
      <c r="B3654" t="s">
        <v>3753</v>
      </c>
    </row>
    <row r="3655" spans="1:2" x14ac:dyDescent="0.25">
      <c r="A3655">
        <v>0</v>
      </c>
      <c r="B3655" t="s">
        <v>3754</v>
      </c>
    </row>
    <row r="3656" spans="1:2" x14ac:dyDescent="0.25">
      <c r="A3656">
        <v>0</v>
      </c>
      <c r="B3656" t="s">
        <v>3755</v>
      </c>
    </row>
    <row r="3657" spans="1:2" x14ac:dyDescent="0.25">
      <c r="A3657">
        <v>0</v>
      </c>
      <c r="B3657" t="s">
        <v>3756</v>
      </c>
    </row>
    <row r="3658" spans="1:2" x14ac:dyDescent="0.25">
      <c r="A3658">
        <v>0</v>
      </c>
      <c r="B3658" t="s">
        <v>3757</v>
      </c>
    </row>
    <row r="3659" spans="1:2" x14ac:dyDescent="0.25">
      <c r="A3659">
        <v>0</v>
      </c>
      <c r="B3659" t="s">
        <v>3758</v>
      </c>
    </row>
    <row r="3660" spans="1:2" x14ac:dyDescent="0.25">
      <c r="A3660">
        <v>0</v>
      </c>
      <c r="B3660" t="s">
        <v>3759</v>
      </c>
    </row>
    <row r="3661" spans="1:2" x14ac:dyDescent="0.25">
      <c r="A3661">
        <v>0</v>
      </c>
      <c r="B3661" t="s">
        <v>3760</v>
      </c>
    </row>
    <row r="3662" spans="1:2" x14ac:dyDescent="0.25">
      <c r="A3662">
        <v>0</v>
      </c>
      <c r="B3662" t="s">
        <v>3761</v>
      </c>
    </row>
    <row r="3663" spans="1:2" x14ac:dyDescent="0.25">
      <c r="A3663">
        <v>0</v>
      </c>
      <c r="B3663" t="s">
        <v>3762</v>
      </c>
    </row>
    <row r="3664" spans="1:2" x14ac:dyDescent="0.25">
      <c r="A3664">
        <v>0</v>
      </c>
      <c r="B3664" t="s">
        <v>3763</v>
      </c>
    </row>
    <row r="3665" spans="1:2" x14ac:dyDescent="0.25">
      <c r="A3665">
        <v>0</v>
      </c>
      <c r="B3665" t="s">
        <v>3764</v>
      </c>
    </row>
    <row r="3666" spans="1:2" x14ac:dyDescent="0.25">
      <c r="A3666">
        <v>0</v>
      </c>
      <c r="B3666" t="s">
        <v>3765</v>
      </c>
    </row>
    <row r="3667" spans="1:2" x14ac:dyDescent="0.25">
      <c r="A3667">
        <v>0</v>
      </c>
      <c r="B3667" t="s">
        <v>3766</v>
      </c>
    </row>
    <row r="3668" spans="1:2" x14ac:dyDescent="0.25">
      <c r="A3668">
        <v>0</v>
      </c>
      <c r="B3668" t="s">
        <v>3767</v>
      </c>
    </row>
    <row r="3669" spans="1:2" x14ac:dyDescent="0.25">
      <c r="A3669">
        <v>0</v>
      </c>
      <c r="B3669" t="s">
        <v>3768</v>
      </c>
    </row>
    <row r="3670" spans="1:2" x14ac:dyDescent="0.25">
      <c r="A3670">
        <v>0</v>
      </c>
      <c r="B3670" t="s">
        <v>3769</v>
      </c>
    </row>
    <row r="3671" spans="1:2" x14ac:dyDescent="0.25">
      <c r="A3671">
        <v>0</v>
      </c>
      <c r="B3671" t="s">
        <v>3770</v>
      </c>
    </row>
    <row r="3672" spans="1:2" x14ac:dyDescent="0.25">
      <c r="A3672">
        <v>0</v>
      </c>
      <c r="B3672" t="s">
        <v>3771</v>
      </c>
    </row>
    <row r="3673" spans="1:2" x14ac:dyDescent="0.25">
      <c r="A3673">
        <v>242370</v>
      </c>
      <c r="B3673" t="s">
        <v>3772</v>
      </c>
    </row>
    <row r="3674" spans="1:2" x14ac:dyDescent="0.25">
      <c r="A3674">
        <v>216401</v>
      </c>
      <c r="B3674" t="s">
        <v>3773</v>
      </c>
    </row>
    <row r="3675" spans="1:2" x14ac:dyDescent="0.25">
      <c r="A3675">
        <v>173121</v>
      </c>
      <c r="B3675" t="s">
        <v>3774</v>
      </c>
    </row>
    <row r="3676" spans="1:2" x14ac:dyDescent="0.25">
      <c r="A3676">
        <v>138498</v>
      </c>
      <c r="B3676" t="s">
        <v>3775</v>
      </c>
    </row>
    <row r="3677" spans="1:2" x14ac:dyDescent="0.25">
      <c r="A3677">
        <v>112530</v>
      </c>
      <c r="B3677" t="s">
        <v>3776</v>
      </c>
    </row>
    <row r="3678" spans="1:2" x14ac:dyDescent="0.25">
      <c r="A3678">
        <v>86561</v>
      </c>
      <c r="B3678" t="s">
        <v>3777</v>
      </c>
    </row>
    <row r="3679" spans="1:2" x14ac:dyDescent="0.25">
      <c r="A3679">
        <v>86561</v>
      </c>
      <c r="B3679" t="s">
        <v>3778</v>
      </c>
    </row>
    <row r="3680" spans="1:2" x14ac:dyDescent="0.25">
      <c r="A3680">
        <v>86561</v>
      </c>
      <c r="B3680" t="s">
        <v>3779</v>
      </c>
    </row>
    <row r="3681" spans="1:2" x14ac:dyDescent="0.25">
      <c r="A3681">
        <v>155810</v>
      </c>
      <c r="B3681" t="s">
        <v>3780</v>
      </c>
    </row>
    <row r="3682" spans="1:2" x14ac:dyDescent="0.25">
      <c r="A3682">
        <v>155810</v>
      </c>
      <c r="B3682" t="s">
        <v>3781</v>
      </c>
    </row>
    <row r="3683" spans="1:2" x14ac:dyDescent="0.25">
      <c r="A3683">
        <v>173121</v>
      </c>
      <c r="B3683" t="s">
        <v>3782</v>
      </c>
    </row>
    <row r="3684" spans="1:2" x14ac:dyDescent="0.25">
      <c r="A3684">
        <v>129841</v>
      </c>
      <c r="B3684" t="s">
        <v>3783</v>
      </c>
    </row>
    <row r="3685" spans="1:2" x14ac:dyDescent="0.25">
      <c r="A3685">
        <v>82560</v>
      </c>
      <c r="B3685" t="s">
        <v>3784</v>
      </c>
    </row>
    <row r="3686" spans="1:2" x14ac:dyDescent="0.25">
      <c r="A3686">
        <v>82560</v>
      </c>
      <c r="B3686" t="s">
        <v>3785</v>
      </c>
    </row>
    <row r="3687" spans="1:2" x14ac:dyDescent="0.25">
      <c r="A3687">
        <v>82560</v>
      </c>
      <c r="B3687" t="s">
        <v>3786</v>
      </c>
    </row>
    <row r="3688" spans="1:2" x14ac:dyDescent="0.25">
      <c r="A3688">
        <v>63185</v>
      </c>
      <c r="B3688" t="s">
        <v>3787</v>
      </c>
    </row>
    <row r="3689" spans="1:2" x14ac:dyDescent="0.25">
      <c r="A3689">
        <v>45132</v>
      </c>
      <c r="B3689" t="s">
        <v>3788</v>
      </c>
    </row>
    <row r="3690" spans="1:2" x14ac:dyDescent="0.25">
      <c r="A3690">
        <v>45132</v>
      </c>
      <c r="B3690" t="s">
        <v>3789</v>
      </c>
    </row>
    <row r="3691" spans="1:2" x14ac:dyDescent="0.25">
      <c r="A3691">
        <v>45132</v>
      </c>
      <c r="B3691" t="s">
        <v>3790</v>
      </c>
    </row>
    <row r="3692" spans="1:2" x14ac:dyDescent="0.25">
      <c r="A3692">
        <v>60117</v>
      </c>
      <c r="B3692" t="s">
        <v>3791</v>
      </c>
    </row>
    <row r="3693" spans="1:2" x14ac:dyDescent="0.25">
      <c r="A3693">
        <v>70137</v>
      </c>
      <c r="B3693" t="s">
        <v>3792</v>
      </c>
    </row>
    <row r="3694" spans="1:2" x14ac:dyDescent="0.25">
      <c r="A3694">
        <v>80156</v>
      </c>
      <c r="B3694" t="s">
        <v>3793</v>
      </c>
    </row>
    <row r="3695" spans="1:2" x14ac:dyDescent="0.25">
      <c r="A3695">
        <v>80156</v>
      </c>
      <c r="B3695" t="s">
        <v>3794</v>
      </c>
    </row>
    <row r="3696" spans="1:2" x14ac:dyDescent="0.25">
      <c r="A3696">
        <v>70137</v>
      </c>
      <c r="B3696" t="s">
        <v>3795</v>
      </c>
    </row>
    <row r="3697" spans="1:2" x14ac:dyDescent="0.25">
      <c r="A3697">
        <v>65113</v>
      </c>
      <c r="B3697" t="s">
        <v>3796</v>
      </c>
    </row>
    <row r="3698" spans="1:2" x14ac:dyDescent="0.25">
      <c r="A3698">
        <v>65113</v>
      </c>
      <c r="B3698" t="s">
        <v>3797</v>
      </c>
    </row>
    <row r="3699" spans="1:2" x14ac:dyDescent="0.25">
      <c r="A3699">
        <v>55096</v>
      </c>
      <c r="B3699" t="s">
        <v>3798</v>
      </c>
    </row>
    <row r="3700" spans="1:2" x14ac:dyDescent="0.25">
      <c r="A3700">
        <v>35060</v>
      </c>
      <c r="B3700" t="s">
        <v>3799</v>
      </c>
    </row>
    <row r="3701" spans="1:2" x14ac:dyDescent="0.25">
      <c r="A3701">
        <v>35062</v>
      </c>
      <c r="B3701" t="s">
        <v>3800</v>
      </c>
    </row>
    <row r="3702" spans="1:2" x14ac:dyDescent="0.25">
      <c r="A3702">
        <v>30054</v>
      </c>
      <c r="B3702" t="s">
        <v>3801</v>
      </c>
    </row>
    <row r="3703" spans="1:2" x14ac:dyDescent="0.25">
      <c r="A3703">
        <v>30054</v>
      </c>
      <c r="B3703" t="s">
        <v>3802</v>
      </c>
    </row>
    <row r="3704" spans="1:2" x14ac:dyDescent="0.25">
      <c r="A3704">
        <v>30054</v>
      </c>
      <c r="B3704" t="s">
        <v>3803</v>
      </c>
    </row>
    <row r="3705" spans="1:2" x14ac:dyDescent="0.25">
      <c r="A3705">
        <v>65113</v>
      </c>
      <c r="B3705" t="s">
        <v>3804</v>
      </c>
    </row>
    <row r="3706" spans="1:2" x14ac:dyDescent="0.25">
      <c r="A3706">
        <v>65111</v>
      </c>
      <c r="B3706" t="s">
        <v>3805</v>
      </c>
    </row>
    <row r="3707" spans="1:2" x14ac:dyDescent="0.25">
      <c r="A3707">
        <v>65111</v>
      </c>
      <c r="B3707" t="s">
        <v>3806</v>
      </c>
    </row>
    <row r="3708" spans="1:2" x14ac:dyDescent="0.25">
      <c r="A3708">
        <v>45079</v>
      </c>
      <c r="B3708" t="s">
        <v>3807</v>
      </c>
    </row>
    <row r="3709" spans="1:2" x14ac:dyDescent="0.25">
      <c r="A3709">
        <v>279102</v>
      </c>
      <c r="B3709" t="s">
        <v>3808</v>
      </c>
    </row>
    <row r="3710" spans="1:2" x14ac:dyDescent="0.25">
      <c r="A3710">
        <v>279102</v>
      </c>
      <c r="B3710" t="s">
        <v>3809</v>
      </c>
    </row>
    <row r="3711" spans="1:2" x14ac:dyDescent="0.25">
      <c r="A3711">
        <v>199360</v>
      </c>
      <c r="B3711" t="s">
        <v>3810</v>
      </c>
    </row>
    <row r="3712" spans="1:2" x14ac:dyDescent="0.25">
      <c r="A3712">
        <v>97189</v>
      </c>
      <c r="B3712" t="s">
        <v>3811</v>
      </c>
    </row>
    <row r="3713" spans="1:2" x14ac:dyDescent="0.25">
      <c r="A3713">
        <v>97189</v>
      </c>
      <c r="B3713" t="s">
        <v>3812</v>
      </c>
    </row>
    <row r="3714" spans="1:2" x14ac:dyDescent="0.25">
      <c r="A3714">
        <v>97189</v>
      </c>
      <c r="B3714" t="s">
        <v>3813</v>
      </c>
    </row>
    <row r="3715" spans="1:2" x14ac:dyDescent="0.25">
      <c r="A3715">
        <v>92704</v>
      </c>
      <c r="B3715" t="s">
        <v>3814</v>
      </c>
    </row>
    <row r="3716" spans="1:2" x14ac:dyDescent="0.25">
      <c r="A3716">
        <v>97189</v>
      </c>
      <c r="B3716" t="s">
        <v>3815</v>
      </c>
    </row>
    <row r="3717" spans="1:2" x14ac:dyDescent="0.25">
      <c r="A3717">
        <v>199360</v>
      </c>
      <c r="B3717" t="s">
        <v>3816</v>
      </c>
    </row>
    <row r="3718" spans="1:2" x14ac:dyDescent="0.25">
      <c r="A3718">
        <v>249199</v>
      </c>
      <c r="B3718" t="s">
        <v>3817</v>
      </c>
    </row>
    <row r="3719" spans="1:2" x14ac:dyDescent="0.25">
      <c r="A3719">
        <v>199360</v>
      </c>
      <c r="B3719" t="s">
        <v>3818</v>
      </c>
    </row>
    <row r="3720" spans="1:2" x14ac:dyDescent="0.25">
      <c r="A3720">
        <v>179423</v>
      </c>
      <c r="B3720" t="s">
        <v>3819</v>
      </c>
    </row>
    <row r="3721" spans="1:2" x14ac:dyDescent="0.25">
      <c r="A3721">
        <v>1087758</v>
      </c>
      <c r="B3721" t="s">
        <v>3820</v>
      </c>
    </row>
    <row r="3722" spans="1:2" x14ac:dyDescent="0.25">
      <c r="A3722">
        <v>997112</v>
      </c>
      <c r="B3722" t="s">
        <v>3821</v>
      </c>
    </row>
    <row r="3723" spans="1:2" x14ac:dyDescent="0.25">
      <c r="A3723">
        <v>861142</v>
      </c>
      <c r="B3723" t="s">
        <v>3822</v>
      </c>
    </row>
    <row r="3724" spans="1:2" x14ac:dyDescent="0.25">
      <c r="A3724">
        <v>576512</v>
      </c>
      <c r="B3724" t="s">
        <v>3823</v>
      </c>
    </row>
    <row r="3725" spans="1:2" x14ac:dyDescent="0.25">
      <c r="A3725">
        <v>576512</v>
      </c>
      <c r="B3725" t="s">
        <v>3824</v>
      </c>
    </row>
    <row r="3726" spans="1:2" x14ac:dyDescent="0.25">
      <c r="A3726">
        <v>528470</v>
      </c>
      <c r="B3726" t="s">
        <v>3825</v>
      </c>
    </row>
    <row r="3727" spans="1:2" x14ac:dyDescent="0.25">
      <c r="A3727">
        <v>528470</v>
      </c>
      <c r="B3727" t="s">
        <v>3826</v>
      </c>
    </row>
    <row r="3728" spans="1:2" x14ac:dyDescent="0.25">
      <c r="A3728">
        <v>815819</v>
      </c>
      <c r="B3728" t="s">
        <v>3827</v>
      </c>
    </row>
    <row r="3729" spans="1:2" x14ac:dyDescent="0.25">
      <c r="A3729">
        <v>861142</v>
      </c>
      <c r="B3729" t="s">
        <v>3828</v>
      </c>
    </row>
    <row r="3730" spans="1:2" x14ac:dyDescent="0.25">
      <c r="A3730">
        <v>997112</v>
      </c>
      <c r="B3730" t="s">
        <v>3829</v>
      </c>
    </row>
    <row r="3731" spans="1:2" x14ac:dyDescent="0.25">
      <c r="A3731">
        <v>997112</v>
      </c>
      <c r="B3731" t="s">
        <v>3830</v>
      </c>
    </row>
    <row r="3732" spans="1:2" x14ac:dyDescent="0.25">
      <c r="A3732">
        <v>725172</v>
      </c>
      <c r="B3732" t="s">
        <v>3831</v>
      </c>
    </row>
    <row r="3733" spans="1:2" x14ac:dyDescent="0.25">
      <c r="A3733">
        <v>15776</v>
      </c>
      <c r="B3733" t="s">
        <v>3832</v>
      </c>
    </row>
    <row r="3734" spans="1:2" x14ac:dyDescent="0.25">
      <c r="A3734">
        <v>15776</v>
      </c>
      <c r="B3734" t="s">
        <v>3833</v>
      </c>
    </row>
    <row r="3735" spans="1:2" x14ac:dyDescent="0.25">
      <c r="A3735">
        <v>15776</v>
      </c>
      <c r="B3735" t="s">
        <v>3834</v>
      </c>
    </row>
    <row r="3736" spans="1:2" x14ac:dyDescent="0.25">
      <c r="A3736">
        <v>15776</v>
      </c>
      <c r="B3736" t="s">
        <v>3835</v>
      </c>
    </row>
    <row r="3737" spans="1:2" x14ac:dyDescent="0.25">
      <c r="A3737">
        <v>15776</v>
      </c>
      <c r="B3737" t="s">
        <v>3836</v>
      </c>
    </row>
    <row r="3738" spans="1:2" x14ac:dyDescent="0.25">
      <c r="A3738">
        <v>15776</v>
      </c>
      <c r="B3738" t="s">
        <v>3837</v>
      </c>
    </row>
    <row r="3739" spans="1:2" x14ac:dyDescent="0.25">
      <c r="A3739">
        <v>15776</v>
      </c>
      <c r="B3739" t="s">
        <v>3838</v>
      </c>
    </row>
    <row r="3740" spans="1:2" x14ac:dyDescent="0.25">
      <c r="A3740">
        <v>15776</v>
      </c>
      <c r="B3740" t="s">
        <v>3839</v>
      </c>
    </row>
    <row r="3741" spans="1:2" x14ac:dyDescent="0.25">
      <c r="A3741">
        <v>15776</v>
      </c>
      <c r="B3741" t="s">
        <v>3840</v>
      </c>
    </row>
    <row r="3742" spans="1:2" x14ac:dyDescent="0.25">
      <c r="A3742">
        <v>15776</v>
      </c>
      <c r="B3742" t="s">
        <v>3841</v>
      </c>
    </row>
    <row r="3743" spans="1:2" x14ac:dyDescent="0.25">
      <c r="A3743">
        <v>15776</v>
      </c>
      <c r="B3743" t="s">
        <v>3842</v>
      </c>
    </row>
    <row r="3744" spans="1:2" x14ac:dyDescent="0.25">
      <c r="A3744">
        <v>15776</v>
      </c>
      <c r="B3744" t="s">
        <v>3843</v>
      </c>
    </row>
    <row r="3745" spans="1:2" x14ac:dyDescent="0.25">
      <c r="A3745">
        <v>32754</v>
      </c>
      <c r="B3745" t="s">
        <v>3844</v>
      </c>
    </row>
    <row r="3746" spans="1:2" x14ac:dyDescent="0.25">
      <c r="A3746">
        <v>27295</v>
      </c>
      <c r="B3746" t="s">
        <v>3845</v>
      </c>
    </row>
    <row r="3747" spans="1:2" x14ac:dyDescent="0.25">
      <c r="A3747">
        <v>27295</v>
      </c>
      <c r="B3747" t="s">
        <v>3846</v>
      </c>
    </row>
    <row r="3748" spans="1:2" x14ac:dyDescent="0.25">
      <c r="A3748">
        <v>28661</v>
      </c>
      <c r="B3748" t="s">
        <v>3847</v>
      </c>
    </row>
    <row r="3749" spans="1:2" x14ac:dyDescent="0.25">
      <c r="A3749">
        <v>22928</v>
      </c>
      <c r="B3749" t="s">
        <v>3848</v>
      </c>
    </row>
    <row r="3750" spans="1:2" x14ac:dyDescent="0.25">
      <c r="A3750">
        <v>4586</v>
      </c>
      <c r="B3750" t="s">
        <v>3849</v>
      </c>
    </row>
    <row r="3751" spans="1:2" x14ac:dyDescent="0.25">
      <c r="A3751">
        <v>4586</v>
      </c>
      <c r="B3751" t="s">
        <v>3850</v>
      </c>
    </row>
    <row r="3752" spans="1:2" x14ac:dyDescent="0.25">
      <c r="A3752">
        <v>3440</v>
      </c>
      <c r="B3752" t="s">
        <v>3851</v>
      </c>
    </row>
    <row r="3753" spans="1:2" x14ac:dyDescent="0.25">
      <c r="A3753">
        <v>13102</v>
      </c>
      <c r="B3753" t="s">
        <v>3852</v>
      </c>
    </row>
    <row r="3754" spans="1:2" x14ac:dyDescent="0.25">
      <c r="A3754">
        <v>21836</v>
      </c>
      <c r="B3754" t="s">
        <v>3853</v>
      </c>
    </row>
    <row r="3755" spans="1:2" x14ac:dyDescent="0.25">
      <c r="A3755">
        <v>28661</v>
      </c>
      <c r="B3755" t="s">
        <v>3854</v>
      </c>
    </row>
    <row r="3756" spans="1:2" x14ac:dyDescent="0.25">
      <c r="A3756">
        <v>28661</v>
      </c>
      <c r="B3756" t="s">
        <v>3855</v>
      </c>
    </row>
    <row r="3757" spans="1:2" x14ac:dyDescent="0.25">
      <c r="A3757">
        <v>42000</v>
      </c>
      <c r="B3757" t="s">
        <v>3856</v>
      </c>
    </row>
    <row r="3758" spans="1:2" x14ac:dyDescent="0.25">
      <c r="A3758">
        <v>31500</v>
      </c>
      <c r="B3758" t="s">
        <v>3857</v>
      </c>
    </row>
    <row r="3759" spans="1:2" x14ac:dyDescent="0.25">
      <c r="A3759">
        <v>24150</v>
      </c>
      <c r="B3759" t="s">
        <v>3858</v>
      </c>
    </row>
    <row r="3760" spans="1:2" x14ac:dyDescent="0.25">
      <c r="A3760">
        <v>17063</v>
      </c>
      <c r="B3760" t="s">
        <v>3859</v>
      </c>
    </row>
    <row r="3761" spans="1:2" x14ac:dyDescent="0.25">
      <c r="A3761">
        <v>18900</v>
      </c>
      <c r="B3761" t="s">
        <v>3860</v>
      </c>
    </row>
    <row r="3762" spans="1:2" x14ac:dyDescent="0.25">
      <c r="A3762">
        <v>8820</v>
      </c>
      <c r="B3762" t="s">
        <v>3861</v>
      </c>
    </row>
    <row r="3763" spans="1:2" x14ac:dyDescent="0.25">
      <c r="A3763">
        <v>8820</v>
      </c>
      <c r="B3763" t="s">
        <v>3862</v>
      </c>
    </row>
    <row r="3764" spans="1:2" x14ac:dyDescent="0.25">
      <c r="A3764">
        <v>10500</v>
      </c>
      <c r="B3764" t="s">
        <v>3863</v>
      </c>
    </row>
    <row r="3765" spans="1:2" x14ac:dyDescent="0.25">
      <c r="A3765">
        <v>21000</v>
      </c>
      <c r="B3765" t="s">
        <v>3864</v>
      </c>
    </row>
    <row r="3766" spans="1:2" x14ac:dyDescent="0.25">
      <c r="A3766">
        <v>31500</v>
      </c>
      <c r="B3766" t="s">
        <v>3865</v>
      </c>
    </row>
    <row r="3767" spans="1:2" x14ac:dyDescent="0.25">
      <c r="A3767">
        <v>31500</v>
      </c>
      <c r="B3767" t="s">
        <v>3866</v>
      </c>
    </row>
    <row r="3768" spans="1:2" x14ac:dyDescent="0.25">
      <c r="A3768">
        <v>23100</v>
      </c>
      <c r="B3768" t="s">
        <v>3867</v>
      </c>
    </row>
    <row r="3769" spans="1:2" x14ac:dyDescent="0.25">
      <c r="A3769">
        <v>12720</v>
      </c>
      <c r="B3769" t="s">
        <v>3868</v>
      </c>
    </row>
    <row r="3770" spans="1:2" x14ac:dyDescent="0.25">
      <c r="A3770">
        <v>9328</v>
      </c>
      <c r="B3770" t="s">
        <v>3869</v>
      </c>
    </row>
    <row r="3771" spans="1:2" x14ac:dyDescent="0.25">
      <c r="A3771">
        <v>8162</v>
      </c>
      <c r="B3771" t="s">
        <v>3870</v>
      </c>
    </row>
    <row r="3772" spans="1:2" x14ac:dyDescent="0.25">
      <c r="A3772">
        <v>8162</v>
      </c>
      <c r="B3772" t="s">
        <v>3871</v>
      </c>
    </row>
    <row r="3773" spans="1:2" x14ac:dyDescent="0.25">
      <c r="A3773">
        <v>8162</v>
      </c>
      <c r="B3773" t="s">
        <v>3872</v>
      </c>
    </row>
    <row r="3774" spans="1:2" x14ac:dyDescent="0.25">
      <c r="A3774">
        <v>4664</v>
      </c>
      <c r="B3774" t="s">
        <v>3873</v>
      </c>
    </row>
    <row r="3775" spans="1:2" x14ac:dyDescent="0.25">
      <c r="A3775">
        <v>4664</v>
      </c>
      <c r="B3775" t="s">
        <v>3874</v>
      </c>
    </row>
    <row r="3776" spans="1:2" x14ac:dyDescent="0.25">
      <c r="A3776">
        <v>13992</v>
      </c>
      <c r="B3776" t="s">
        <v>3875</v>
      </c>
    </row>
    <row r="3777" spans="1:2" x14ac:dyDescent="0.25">
      <c r="A3777">
        <v>17490</v>
      </c>
      <c r="B3777" t="s">
        <v>3876</v>
      </c>
    </row>
    <row r="3778" spans="1:2" x14ac:dyDescent="0.25">
      <c r="A3778">
        <v>17490</v>
      </c>
      <c r="B3778" t="s">
        <v>3877</v>
      </c>
    </row>
    <row r="3779" spans="1:2" x14ac:dyDescent="0.25">
      <c r="A3779">
        <v>17490</v>
      </c>
      <c r="B3779" t="s">
        <v>3878</v>
      </c>
    </row>
    <row r="3780" spans="1:2" x14ac:dyDescent="0.25">
      <c r="A3780">
        <v>17490</v>
      </c>
      <c r="B3780" t="s">
        <v>3879</v>
      </c>
    </row>
    <row r="3781" spans="1:2" x14ac:dyDescent="0.25">
      <c r="A3781">
        <v>178080</v>
      </c>
      <c r="B3781" t="s">
        <v>3880</v>
      </c>
    </row>
    <row r="3782" spans="1:2" x14ac:dyDescent="0.25">
      <c r="A3782">
        <v>178080</v>
      </c>
      <c r="B3782" t="s">
        <v>3881</v>
      </c>
    </row>
    <row r="3783" spans="1:2" x14ac:dyDescent="0.25">
      <c r="A3783">
        <v>166950</v>
      </c>
      <c r="B3783" t="s">
        <v>3882</v>
      </c>
    </row>
    <row r="3784" spans="1:2" x14ac:dyDescent="0.25">
      <c r="A3784">
        <v>76130</v>
      </c>
      <c r="B3784" t="s">
        <v>3883</v>
      </c>
    </row>
    <row r="3785" spans="1:2" x14ac:dyDescent="0.25">
      <c r="A3785">
        <v>57097</v>
      </c>
      <c r="B3785" t="s">
        <v>3884</v>
      </c>
    </row>
    <row r="3786" spans="1:2" x14ac:dyDescent="0.25">
      <c r="A3786">
        <v>57097</v>
      </c>
      <c r="B3786" t="s">
        <v>3885</v>
      </c>
    </row>
    <row r="3787" spans="1:2" x14ac:dyDescent="0.25">
      <c r="A3787">
        <v>66780</v>
      </c>
      <c r="B3787" t="s">
        <v>3886</v>
      </c>
    </row>
    <row r="3788" spans="1:2" x14ac:dyDescent="0.25">
      <c r="A3788">
        <v>89040</v>
      </c>
      <c r="B3788" t="s">
        <v>3887</v>
      </c>
    </row>
    <row r="3789" spans="1:2" x14ac:dyDescent="0.25">
      <c r="A3789">
        <v>166950</v>
      </c>
      <c r="B3789" t="s">
        <v>3888</v>
      </c>
    </row>
    <row r="3790" spans="1:2" x14ac:dyDescent="0.25">
      <c r="A3790">
        <v>166950</v>
      </c>
      <c r="B3790" t="s">
        <v>3889</v>
      </c>
    </row>
    <row r="3791" spans="1:2" x14ac:dyDescent="0.25">
      <c r="A3791">
        <v>150255</v>
      </c>
      <c r="B3791" t="s">
        <v>3890</v>
      </c>
    </row>
    <row r="3792" spans="1:2" x14ac:dyDescent="0.25">
      <c r="A3792">
        <v>120204</v>
      </c>
      <c r="B3792" t="s">
        <v>3891</v>
      </c>
    </row>
    <row r="3793" spans="1:2" x14ac:dyDescent="0.25">
      <c r="A3793">
        <v>233200</v>
      </c>
      <c r="B3793" t="s">
        <v>3892</v>
      </c>
    </row>
    <row r="3794" spans="1:2" x14ac:dyDescent="0.25">
      <c r="A3794">
        <v>206149</v>
      </c>
      <c r="B3794" t="s">
        <v>3893</v>
      </c>
    </row>
    <row r="3795" spans="1:2" x14ac:dyDescent="0.25">
      <c r="A3795">
        <v>165360</v>
      </c>
      <c r="B3795" t="s">
        <v>3894</v>
      </c>
    </row>
    <row r="3796" spans="1:2" x14ac:dyDescent="0.25">
      <c r="A3796">
        <v>77168</v>
      </c>
      <c r="B3796" t="s">
        <v>3895</v>
      </c>
    </row>
    <row r="3797" spans="1:2" x14ac:dyDescent="0.25">
      <c r="A3797">
        <v>77168</v>
      </c>
      <c r="B3797" t="s">
        <v>3896</v>
      </c>
    </row>
    <row r="3798" spans="1:2" x14ac:dyDescent="0.25">
      <c r="A3798">
        <v>66144</v>
      </c>
      <c r="B3798" t="s">
        <v>3897</v>
      </c>
    </row>
    <row r="3799" spans="1:2" x14ac:dyDescent="0.25">
      <c r="A3799">
        <v>66144</v>
      </c>
      <c r="B3799" t="s">
        <v>3898</v>
      </c>
    </row>
    <row r="3800" spans="1:2" x14ac:dyDescent="0.25">
      <c r="A3800">
        <v>66144</v>
      </c>
      <c r="B3800" t="s">
        <v>3899</v>
      </c>
    </row>
    <row r="3801" spans="1:2" x14ac:dyDescent="0.25">
      <c r="A3801">
        <v>132288</v>
      </c>
      <c r="B3801" t="s">
        <v>3900</v>
      </c>
    </row>
    <row r="3802" spans="1:2" x14ac:dyDescent="0.25">
      <c r="A3802">
        <v>154336</v>
      </c>
      <c r="B3802" t="s">
        <v>3901</v>
      </c>
    </row>
    <row r="3803" spans="1:2" x14ac:dyDescent="0.25">
      <c r="A3803">
        <v>154336</v>
      </c>
      <c r="B3803" t="s">
        <v>3902</v>
      </c>
    </row>
    <row r="3804" spans="1:2" x14ac:dyDescent="0.25">
      <c r="A3804">
        <v>110240</v>
      </c>
      <c r="B3804" t="s">
        <v>3903</v>
      </c>
    </row>
    <row r="3805" spans="1:2" x14ac:dyDescent="0.25">
      <c r="A3805">
        <v>4536</v>
      </c>
      <c r="B3805" t="s">
        <v>3904</v>
      </c>
    </row>
    <row r="3806" spans="1:2" x14ac:dyDescent="0.25">
      <c r="A3806">
        <v>0</v>
      </c>
      <c r="B3806" t="s">
        <v>3905</v>
      </c>
    </row>
    <row r="3807" spans="1:2" x14ac:dyDescent="0.25">
      <c r="A3807">
        <v>9072</v>
      </c>
      <c r="B3807" t="s">
        <v>3906</v>
      </c>
    </row>
    <row r="3808" spans="1:2" x14ac:dyDescent="0.25">
      <c r="A3808">
        <v>0</v>
      </c>
      <c r="B3808" t="s">
        <v>3907</v>
      </c>
    </row>
    <row r="3809" spans="1:2" x14ac:dyDescent="0.25">
      <c r="A3809">
        <v>0</v>
      </c>
      <c r="B3809" t="s">
        <v>3908</v>
      </c>
    </row>
    <row r="3810" spans="1:2" x14ac:dyDescent="0.25">
      <c r="A3810">
        <v>0</v>
      </c>
      <c r="B3810" t="s">
        <v>3909</v>
      </c>
    </row>
    <row r="3811" spans="1:2" x14ac:dyDescent="0.25">
      <c r="A3811">
        <v>0</v>
      </c>
      <c r="B3811" t="s">
        <v>3910</v>
      </c>
    </row>
    <row r="3812" spans="1:2" x14ac:dyDescent="0.25">
      <c r="A3812">
        <v>4536</v>
      </c>
      <c r="B3812" t="s">
        <v>3911</v>
      </c>
    </row>
    <row r="3813" spans="1:2" x14ac:dyDescent="0.25">
      <c r="A3813">
        <v>0</v>
      </c>
      <c r="B3813" t="s">
        <v>3912</v>
      </c>
    </row>
    <row r="3814" spans="1:2" x14ac:dyDescent="0.25">
      <c r="A3814">
        <v>4536</v>
      </c>
      <c r="B3814" t="s">
        <v>3913</v>
      </c>
    </row>
    <row r="3815" spans="1:2" x14ac:dyDescent="0.25">
      <c r="A3815">
        <v>4536</v>
      </c>
      <c r="B3815" t="s">
        <v>3914</v>
      </c>
    </row>
    <row r="3816" spans="1:2" x14ac:dyDescent="0.25">
      <c r="A3816">
        <v>4536</v>
      </c>
      <c r="B3816" t="s">
        <v>3915</v>
      </c>
    </row>
    <row r="3817" spans="1:2" x14ac:dyDescent="0.25">
      <c r="A3817">
        <v>0</v>
      </c>
      <c r="B3817" t="s">
        <v>3916</v>
      </c>
    </row>
    <row r="3818" spans="1:2" x14ac:dyDescent="0.25">
      <c r="A3818">
        <v>10400</v>
      </c>
      <c r="B3818" t="s">
        <v>3917</v>
      </c>
    </row>
    <row r="3819" spans="1:2" x14ac:dyDescent="0.25">
      <c r="A3819">
        <v>0</v>
      </c>
      <c r="B3819" t="s">
        <v>3918</v>
      </c>
    </row>
    <row r="3820" spans="1:2" x14ac:dyDescent="0.25">
      <c r="A3820">
        <v>0</v>
      </c>
      <c r="B3820" t="s">
        <v>3919</v>
      </c>
    </row>
    <row r="3821" spans="1:2" x14ac:dyDescent="0.25">
      <c r="A3821">
        <v>10400</v>
      </c>
      <c r="B3821" t="s">
        <v>3920</v>
      </c>
    </row>
    <row r="3822" spans="1:2" x14ac:dyDescent="0.25">
      <c r="A3822">
        <v>0</v>
      </c>
      <c r="B3822" t="s">
        <v>3921</v>
      </c>
    </row>
    <row r="3823" spans="1:2" x14ac:dyDescent="0.25">
      <c r="A3823">
        <v>5200</v>
      </c>
      <c r="B3823" t="s">
        <v>3922</v>
      </c>
    </row>
    <row r="3824" spans="1:2" x14ac:dyDescent="0.25">
      <c r="A3824">
        <v>0</v>
      </c>
      <c r="B3824" t="s">
        <v>3923</v>
      </c>
    </row>
    <row r="3825" spans="1:2" x14ac:dyDescent="0.25">
      <c r="A3825">
        <v>10400</v>
      </c>
      <c r="B3825" t="s">
        <v>3924</v>
      </c>
    </row>
    <row r="3826" spans="1:2" x14ac:dyDescent="0.25">
      <c r="A3826">
        <v>0</v>
      </c>
      <c r="B3826" t="s">
        <v>3925</v>
      </c>
    </row>
    <row r="3827" spans="1:2" x14ac:dyDescent="0.25">
      <c r="A3827">
        <v>10400</v>
      </c>
      <c r="B3827" t="s">
        <v>3926</v>
      </c>
    </row>
    <row r="3828" spans="1:2" x14ac:dyDescent="0.25">
      <c r="A3828">
        <v>5200</v>
      </c>
      <c r="B3828" t="s">
        <v>3927</v>
      </c>
    </row>
    <row r="3829" spans="1:2" x14ac:dyDescent="0.25">
      <c r="A3829">
        <v>10400</v>
      </c>
      <c r="B3829" t="s">
        <v>3928</v>
      </c>
    </row>
    <row r="3830" spans="1:2" x14ac:dyDescent="0.25">
      <c r="A3830">
        <v>10400</v>
      </c>
      <c r="B3830" t="s">
        <v>3929</v>
      </c>
    </row>
    <row r="3831" spans="1:2" x14ac:dyDescent="0.25">
      <c r="A3831">
        <v>0</v>
      </c>
      <c r="B3831" t="s">
        <v>3930</v>
      </c>
    </row>
    <row r="3832" spans="1:2" x14ac:dyDescent="0.25">
      <c r="A3832">
        <v>10400</v>
      </c>
      <c r="B3832" t="s">
        <v>3931</v>
      </c>
    </row>
    <row r="3833" spans="1:2" x14ac:dyDescent="0.25">
      <c r="A3833">
        <v>0</v>
      </c>
      <c r="B3833" t="s">
        <v>3932</v>
      </c>
    </row>
    <row r="3834" spans="1:2" x14ac:dyDescent="0.25">
      <c r="A3834">
        <v>10400</v>
      </c>
      <c r="B3834" t="s">
        <v>3933</v>
      </c>
    </row>
    <row r="3835" spans="1:2" x14ac:dyDescent="0.25">
      <c r="A3835">
        <v>0</v>
      </c>
      <c r="B3835" t="s">
        <v>3934</v>
      </c>
    </row>
    <row r="3836" spans="1:2" x14ac:dyDescent="0.25">
      <c r="A3836">
        <v>0</v>
      </c>
      <c r="B3836" t="s">
        <v>3935</v>
      </c>
    </row>
    <row r="3837" spans="1:2" x14ac:dyDescent="0.25">
      <c r="A3837">
        <v>10400</v>
      </c>
      <c r="B3837" t="s">
        <v>3936</v>
      </c>
    </row>
    <row r="3838" spans="1:2" x14ac:dyDescent="0.25">
      <c r="A3838">
        <v>0</v>
      </c>
      <c r="B3838" t="s">
        <v>3937</v>
      </c>
    </row>
    <row r="3839" spans="1:2" x14ac:dyDescent="0.25">
      <c r="A3839">
        <v>10400</v>
      </c>
      <c r="B3839" t="s">
        <v>3938</v>
      </c>
    </row>
    <row r="3840" spans="1:2" x14ac:dyDescent="0.25">
      <c r="A3840">
        <v>5200</v>
      </c>
      <c r="B3840" t="s">
        <v>3939</v>
      </c>
    </row>
    <row r="3841" spans="1:2" x14ac:dyDescent="0.25">
      <c r="A3841">
        <v>0</v>
      </c>
      <c r="B3841" t="s">
        <v>3940</v>
      </c>
    </row>
    <row r="3842" spans="1:2" x14ac:dyDescent="0.25">
      <c r="A3842">
        <v>0</v>
      </c>
      <c r="B3842" t="s">
        <v>3941</v>
      </c>
    </row>
    <row r="3843" spans="1:2" x14ac:dyDescent="0.25">
      <c r="A3843">
        <v>0</v>
      </c>
      <c r="B3843" t="s">
        <v>3942</v>
      </c>
    </row>
    <row r="3844" spans="1:2" x14ac:dyDescent="0.25">
      <c r="A3844">
        <v>0</v>
      </c>
      <c r="B3844" t="s">
        <v>3943</v>
      </c>
    </row>
    <row r="3845" spans="1:2" x14ac:dyDescent="0.25">
      <c r="A3845">
        <v>0</v>
      </c>
      <c r="B3845" t="s">
        <v>3944</v>
      </c>
    </row>
    <row r="3846" spans="1:2" x14ac:dyDescent="0.25">
      <c r="A3846">
        <v>0</v>
      </c>
      <c r="B3846" t="s">
        <v>3945</v>
      </c>
    </row>
    <row r="3847" spans="1:2" x14ac:dyDescent="0.25">
      <c r="A3847">
        <v>0</v>
      </c>
      <c r="B3847" t="s">
        <v>3946</v>
      </c>
    </row>
    <row r="3848" spans="1:2" x14ac:dyDescent="0.25">
      <c r="A3848">
        <v>0</v>
      </c>
      <c r="B3848" t="s">
        <v>3947</v>
      </c>
    </row>
    <row r="3849" spans="1:2" x14ac:dyDescent="0.25">
      <c r="A3849">
        <v>0</v>
      </c>
      <c r="B3849" t="s">
        <v>3948</v>
      </c>
    </row>
    <row r="3850" spans="1:2" x14ac:dyDescent="0.25">
      <c r="A3850">
        <v>0</v>
      </c>
      <c r="B3850" t="s">
        <v>3949</v>
      </c>
    </row>
    <row r="3851" spans="1:2" x14ac:dyDescent="0.25">
      <c r="A3851">
        <v>0</v>
      </c>
      <c r="B3851" t="s">
        <v>3950</v>
      </c>
    </row>
    <row r="3852" spans="1:2" x14ac:dyDescent="0.25">
      <c r="A3852">
        <v>0</v>
      </c>
      <c r="B3852" t="s">
        <v>3951</v>
      </c>
    </row>
    <row r="3853" spans="1:2" x14ac:dyDescent="0.25">
      <c r="A3853">
        <v>1</v>
      </c>
      <c r="B3853" t="s">
        <v>120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8010-961A-4172-81E8-B8349709D554}">
  <sheetPr codeName="Sheet8"/>
  <dimension ref="A1:O12"/>
  <sheetViews>
    <sheetView zoomScale="110" zoomScaleNormal="110" workbookViewId="0">
      <pane xSplit="1" ySplit="3" topLeftCell="B4" activePane="bottomRight" state="frozen"/>
      <selection pane="topRight" activeCell="B1" sqref="B1"/>
      <selection pane="bottomLeft" activeCell="A4" sqref="A4"/>
      <selection pane="bottomRight" activeCell="B10" sqref="B10"/>
    </sheetView>
  </sheetViews>
  <sheetFormatPr baseColWidth="10" defaultColWidth="9.140625" defaultRowHeight="15" x14ac:dyDescent="0.25"/>
  <cols>
    <col min="1" max="1" width="23.28515625" bestFit="1" customWidth="1"/>
    <col min="2" max="2" width="26.140625" bestFit="1" customWidth="1"/>
    <col min="3" max="3" width="8" bestFit="1" customWidth="1"/>
    <col min="4" max="4" width="10.5703125" bestFit="1" customWidth="1"/>
    <col min="5" max="5" width="8" bestFit="1" customWidth="1"/>
    <col min="6" max="6" width="10.42578125" bestFit="1" customWidth="1"/>
    <col min="7" max="7" width="8" bestFit="1" customWidth="1"/>
    <col min="8" max="8" width="12.28515625" bestFit="1" customWidth="1"/>
    <col min="9" max="9" width="8" bestFit="1" customWidth="1"/>
    <col min="10" max="10" width="12.140625" bestFit="1" customWidth="1"/>
    <col min="11" max="11" width="8" bestFit="1" customWidth="1"/>
    <col min="12" max="12" width="13.85546875" bestFit="1" customWidth="1"/>
    <col min="13" max="13" width="8" bestFit="1" customWidth="1"/>
    <col min="14" max="14" width="13.42578125" bestFit="1" customWidth="1"/>
    <col min="15" max="15" width="8" bestFit="1" customWidth="1"/>
    <col min="16" max="16" width="13.5703125" bestFit="1" customWidth="1"/>
    <col min="17" max="17" width="8" bestFit="1" customWidth="1"/>
    <col min="18" max="18" width="11.42578125" bestFit="1" customWidth="1"/>
    <col min="19" max="19" width="10.42578125" bestFit="1" customWidth="1"/>
    <col min="20" max="20" width="11.42578125" bestFit="1" customWidth="1"/>
    <col min="21" max="21" width="10.42578125" bestFit="1" customWidth="1"/>
    <col min="22" max="22" width="11.42578125" bestFit="1" customWidth="1"/>
    <col min="23" max="23" width="10.42578125" bestFit="1" customWidth="1"/>
    <col min="24" max="24" width="11.42578125" bestFit="1" customWidth="1"/>
    <col min="25" max="25" width="10.42578125" bestFit="1" customWidth="1"/>
    <col min="26" max="26" width="11.42578125" bestFit="1" customWidth="1"/>
    <col min="27" max="27" width="10.42578125" bestFit="1" customWidth="1"/>
    <col min="28" max="28" width="11.42578125" bestFit="1" customWidth="1"/>
    <col min="29" max="29" width="10.42578125" bestFit="1" customWidth="1"/>
    <col min="30" max="30" width="16.42578125" bestFit="1" customWidth="1"/>
    <col min="31" max="31" width="15.42578125" bestFit="1" customWidth="1"/>
  </cols>
  <sheetData>
    <row r="1" spans="1:15" x14ac:dyDescent="0.25">
      <c r="A1" s="106"/>
      <c r="B1" s="94" t="s">
        <v>3959</v>
      </c>
      <c r="C1" s="106"/>
      <c r="D1" s="106"/>
      <c r="E1" s="106"/>
      <c r="F1" s="106"/>
      <c r="G1" s="106"/>
      <c r="H1" s="106"/>
      <c r="I1" s="106"/>
      <c r="J1" s="106"/>
      <c r="K1" s="106"/>
      <c r="L1" s="106"/>
      <c r="M1" s="106"/>
      <c r="N1" s="106"/>
      <c r="O1" s="106"/>
    </row>
    <row r="2" spans="1:15" x14ac:dyDescent="0.25">
      <c r="A2" s="106"/>
      <c r="B2" s="109" t="s">
        <v>17</v>
      </c>
      <c r="C2" s="110"/>
      <c r="D2" s="107" t="s">
        <v>3953</v>
      </c>
      <c r="E2" s="108"/>
      <c r="F2" s="107" t="s">
        <v>3647</v>
      </c>
      <c r="G2" s="108"/>
      <c r="H2" s="107" t="s">
        <v>3955</v>
      </c>
      <c r="I2" s="108"/>
      <c r="J2" s="107" t="s">
        <v>3956</v>
      </c>
      <c r="K2" s="108"/>
      <c r="L2" s="107" t="s">
        <v>3957</v>
      </c>
      <c r="M2" s="108"/>
      <c r="N2" s="107" t="s">
        <v>3958</v>
      </c>
      <c r="O2" s="108"/>
    </row>
    <row r="3" spans="1:15" x14ac:dyDescent="0.25">
      <c r="A3" s="94" t="s">
        <v>3962</v>
      </c>
      <c r="B3" s="105" t="s">
        <v>43</v>
      </c>
      <c r="C3" s="105" t="s">
        <v>33</v>
      </c>
      <c r="D3" s="105" t="s">
        <v>43</v>
      </c>
      <c r="E3" s="105" t="s">
        <v>33</v>
      </c>
      <c r="F3" s="105" t="s">
        <v>43</v>
      </c>
      <c r="G3" s="105" t="s">
        <v>33</v>
      </c>
      <c r="H3" s="105" t="s">
        <v>43</v>
      </c>
      <c r="I3" s="105" t="s">
        <v>33</v>
      </c>
      <c r="J3" s="105" t="s">
        <v>43</v>
      </c>
      <c r="K3" s="105" t="s">
        <v>33</v>
      </c>
      <c r="L3" s="105" t="s">
        <v>43</v>
      </c>
      <c r="M3" s="105" t="s">
        <v>33</v>
      </c>
      <c r="N3" s="105" t="s">
        <v>43</v>
      </c>
      <c r="O3" s="105" t="s">
        <v>33</v>
      </c>
    </row>
    <row r="4" spans="1:15" ht="17.25" x14ac:dyDescent="0.3">
      <c r="A4" s="98" t="s">
        <v>3961</v>
      </c>
      <c r="B4" s="99">
        <v>0</v>
      </c>
      <c r="C4" s="100">
        <v>0</v>
      </c>
      <c r="D4" s="99">
        <v>0</v>
      </c>
      <c r="E4" s="100">
        <v>0</v>
      </c>
      <c r="F4" s="99">
        <v>0</v>
      </c>
      <c r="G4" s="100">
        <v>0</v>
      </c>
      <c r="H4" s="101">
        <v>0</v>
      </c>
      <c r="I4" s="101">
        <v>0</v>
      </c>
      <c r="J4" s="101">
        <v>0</v>
      </c>
      <c r="K4" s="101">
        <v>0</v>
      </c>
      <c r="L4" s="101">
        <v>0</v>
      </c>
      <c r="M4" s="101">
        <v>0</v>
      </c>
      <c r="N4" s="101">
        <v>0</v>
      </c>
      <c r="O4" s="101">
        <v>0</v>
      </c>
    </row>
    <row r="5" spans="1:15" ht="17.25" x14ac:dyDescent="0.3"/>
    <row r="6" spans="1:15" ht="17.25" x14ac:dyDescent="0.3"/>
    <row r="7" spans="1:15" ht="17.25" x14ac:dyDescent="0.3"/>
    <row r="8" spans="1:15" ht="17.25" x14ac:dyDescent="0.3"/>
    <row r="9" spans="1:15" ht="17.25" x14ac:dyDescent="0.3"/>
    <row r="10" spans="1:15" ht="17.25" x14ac:dyDescent="0.3"/>
    <row r="11" spans="1:15" ht="17.25" x14ac:dyDescent="0.3"/>
    <row r="12" spans="1:15" ht="17.25" x14ac:dyDescent="0.3"/>
  </sheetData>
  <mergeCells count="7">
    <mergeCell ref="B2:C2"/>
    <mergeCell ref="D2:E2"/>
    <mergeCell ref="F2:G2"/>
    <mergeCell ref="H2:I2"/>
    <mergeCell ref="J2:K2"/>
    <mergeCell ref="L2:M2"/>
    <mergeCell ref="N2:O2"/>
  </mergeCells>
  <conditionalFormatting pivot="1" sqref="H4:O4">
    <cfRule type="cellIs" dxfId="222" priority="1" operator="lessThan">
      <formula>0</formula>
    </cfRule>
  </conditionalFormatting>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8EBA5-9C49-443F-897D-79E56D39C94D}">
  <sheetPr codeName="Sheet5"/>
  <dimension ref="A1:Q4"/>
  <sheetViews>
    <sheetView workbookViewId="0">
      <pane xSplit="1" ySplit="3" topLeftCell="B4" activePane="bottomRight" state="frozen"/>
      <selection pane="topRight" activeCell="B1" sqref="B1"/>
      <selection pane="bottomLeft" activeCell="A4" sqref="A4"/>
      <selection pane="bottomRight" activeCell="D8" sqref="D8"/>
    </sheetView>
  </sheetViews>
  <sheetFormatPr baseColWidth="10" defaultColWidth="9.140625" defaultRowHeight="15" x14ac:dyDescent="0.25"/>
  <cols>
    <col min="1" max="1" width="12.85546875" bestFit="1" customWidth="1"/>
    <col min="2" max="17" width="13.85546875" bestFit="1" customWidth="1"/>
    <col min="18" max="30" width="12" bestFit="1" customWidth="1"/>
    <col min="31" max="31" width="16.42578125" bestFit="1" customWidth="1"/>
    <col min="32" max="32" width="15.42578125" bestFit="1" customWidth="1"/>
  </cols>
  <sheetData>
    <row r="1" spans="1:17" x14ac:dyDescent="0.25">
      <c r="A1" s="106"/>
      <c r="B1" s="94" t="s">
        <v>30</v>
      </c>
      <c r="C1" s="94" t="s">
        <v>3952</v>
      </c>
      <c r="D1" s="106"/>
      <c r="E1" s="106"/>
      <c r="F1" s="106"/>
      <c r="G1" s="106"/>
      <c r="H1" s="106"/>
      <c r="I1" s="106"/>
      <c r="J1" s="106"/>
      <c r="K1" s="106"/>
      <c r="L1" s="106"/>
      <c r="M1" s="106"/>
      <c r="N1" s="106"/>
      <c r="O1" s="106"/>
      <c r="P1" s="106"/>
      <c r="Q1" s="106"/>
    </row>
    <row r="2" spans="1:17" x14ac:dyDescent="0.25">
      <c r="A2" s="106"/>
      <c r="B2" s="107" t="s">
        <v>17</v>
      </c>
      <c r="C2" s="108" t="s">
        <v>17</v>
      </c>
      <c r="D2" s="107" t="s">
        <v>3953</v>
      </c>
      <c r="E2" s="108" t="s">
        <v>3953</v>
      </c>
      <c r="F2" s="107" t="s">
        <v>3647</v>
      </c>
      <c r="G2" s="108" t="s">
        <v>3647</v>
      </c>
      <c r="H2" s="107" t="s">
        <v>3954</v>
      </c>
      <c r="I2" s="108" t="s">
        <v>3954</v>
      </c>
      <c r="J2" s="107" t="s">
        <v>3955</v>
      </c>
      <c r="K2" s="108" t="s">
        <v>3955</v>
      </c>
      <c r="L2" s="107" t="s">
        <v>3956</v>
      </c>
      <c r="M2" s="108" t="s">
        <v>3956</v>
      </c>
      <c r="N2" s="107" t="s">
        <v>3957</v>
      </c>
      <c r="O2" s="108" t="s">
        <v>3957</v>
      </c>
      <c r="P2" s="107" t="s">
        <v>3958</v>
      </c>
      <c r="Q2" s="108" t="s">
        <v>3958</v>
      </c>
    </row>
    <row r="3" spans="1:17" x14ac:dyDescent="0.25">
      <c r="A3" s="94" t="s">
        <v>29</v>
      </c>
      <c r="B3" s="105" t="s">
        <v>43</v>
      </c>
      <c r="C3" s="105" t="s">
        <v>33</v>
      </c>
      <c r="D3" s="105" t="s">
        <v>43</v>
      </c>
      <c r="E3" s="105" t="s">
        <v>33</v>
      </c>
      <c r="F3" s="105" t="s">
        <v>43</v>
      </c>
      <c r="G3" s="105" t="s">
        <v>33</v>
      </c>
      <c r="H3" s="105" t="s">
        <v>43</v>
      </c>
      <c r="I3" s="105" t="s">
        <v>33</v>
      </c>
      <c r="J3" s="105" t="s">
        <v>43</v>
      </c>
      <c r="K3" s="105" t="s">
        <v>33</v>
      </c>
      <c r="L3" s="105" t="s">
        <v>43</v>
      </c>
      <c r="M3" s="105" t="s">
        <v>33</v>
      </c>
      <c r="N3" s="105" t="s">
        <v>43</v>
      </c>
      <c r="O3" s="105" t="s">
        <v>33</v>
      </c>
      <c r="P3" s="105" t="s">
        <v>43</v>
      </c>
      <c r="Q3" s="105" t="s">
        <v>33</v>
      </c>
    </row>
    <row r="4" spans="1:17" x14ac:dyDescent="0.25">
      <c r="A4" s="105" t="s">
        <v>3961</v>
      </c>
      <c r="B4" s="95">
        <v>0</v>
      </c>
      <c r="C4" s="96">
        <v>0</v>
      </c>
      <c r="D4" s="95">
        <v>0</v>
      </c>
      <c r="E4" s="96">
        <v>0</v>
      </c>
      <c r="F4" s="95">
        <v>0</v>
      </c>
      <c r="G4" s="96">
        <v>0</v>
      </c>
      <c r="H4" s="95">
        <v>0</v>
      </c>
      <c r="I4" s="96">
        <v>0</v>
      </c>
      <c r="J4" s="97">
        <v>0</v>
      </c>
      <c r="K4" s="97">
        <v>0</v>
      </c>
      <c r="L4" s="97">
        <v>0</v>
      </c>
      <c r="M4" s="97">
        <v>0</v>
      </c>
      <c r="N4" s="97">
        <v>0</v>
      </c>
      <c r="O4" s="97">
        <v>0</v>
      </c>
      <c r="P4" s="97">
        <v>0</v>
      </c>
      <c r="Q4" s="97">
        <v>0</v>
      </c>
    </row>
  </sheetData>
  <mergeCells count="8">
    <mergeCell ref="L2:M2"/>
    <mergeCell ref="N2:O2"/>
    <mergeCell ref="P2:Q2"/>
    <mergeCell ref="B2:C2"/>
    <mergeCell ref="D2:E2"/>
    <mergeCell ref="F2:G2"/>
    <mergeCell ref="H2:I2"/>
    <mergeCell ref="J2:K2"/>
  </mergeCells>
  <conditionalFormatting pivot="1" sqref="J4:Q4">
    <cfRule type="cellIs" dxfId="211" priority="1" operator="less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38688-082D-4EE5-A024-E9DE915C3A99}">
  <sheetPr codeName="Sheet2"/>
  <dimension ref="A1:DL367"/>
  <sheetViews>
    <sheetView showGridLines="0" tabSelected="1" topLeftCell="E1" zoomScaleNormal="100" workbookViewId="0">
      <selection activeCell="F5" sqref="F5"/>
    </sheetView>
  </sheetViews>
  <sheetFormatPr baseColWidth="10" defaultColWidth="9.140625" defaultRowHeight="15" outlineLevelCol="3" x14ac:dyDescent="0.25"/>
  <cols>
    <col min="1" max="1" width="16.28515625" style="1" hidden="1" customWidth="1" outlineLevel="1"/>
    <col min="2" max="2" width="10.5703125" style="1" hidden="1" customWidth="1" outlineLevel="1"/>
    <col min="3" max="3" width="14.85546875" style="1" hidden="1" customWidth="1" outlineLevel="1"/>
    <col min="4" max="4" width="8.140625" style="1" hidden="1" customWidth="1" outlineLevel="1"/>
    <col min="5" max="5" width="14" style="1" bestFit="1" customWidth="1" collapsed="1"/>
    <col min="6" max="6" width="18.85546875" style="1" bestFit="1" customWidth="1"/>
    <col min="7" max="7" width="8.7109375" style="1" bestFit="1" customWidth="1"/>
    <col min="8" max="8" width="12.28515625" style="1" bestFit="1" customWidth="1"/>
    <col min="9" max="9" width="8.7109375" style="1" bestFit="1" customWidth="1"/>
    <col min="10" max="10" width="12.28515625" style="1" bestFit="1" customWidth="1"/>
    <col min="11" max="11" width="8.7109375" style="1" bestFit="1" customWidth="1"/>
    <col min="12" max="12" width="12.28515625" style="1" bestFit="1" customWidth="1"/>
    <col min="13" max="13" width="8.7109375" style="1" bestFit="1" customWidth="1"/>
    <col min="14" max="14" width="12.28515625" style="1" bestFit="1" customWidth="1"/>
    <col min="15" max="15" width="8.7109375" style="1" bestFit="1" customWidth="1"/>
    <col min="16" max="16" width="12.28515625" style="1" bestFit="1" customWidth="1"/>
    <col min="17" max="17" width="8.7109375" style="1" bestFit="1" customWidth="1"/>
    <col min="18" max="18" width="12.28515625" style="1" bestFit="1" customWidth="1"/>
    <col min="19" max="19" width="4.28515625" style="1" bestFit="1" customWidth="1"/>
    <col min="20" max="20" width="11.42578125" style="1" bestFit="1" customWidth="1"/>
    <col min="21" max="21" width="13.28515625" style="1" bestFit="1" customWidth="1"/>
    <col min="22" max="22" width="10.42578125" style="1" bestFit="1" customWidth="1"/>
    <col min="23" max="23" width="7.140625" style="1" hidden="1" customWidth="1" outlineLevel="2"/>
    <col min="24" max="24" width="7" style="1" hidden="1" customWidth="1" outlineLevel="2"/>
    <col min="25" max="26" width="5.5703125" style="1" hidden="1" customWidth="1" outlineLevel="2"/>
    <col min="27" max="34" width="10.42578125" style="1" hidden="1" customWidth="1" outlineLevel="2"/>
    <col min="35" max="46" width="10.42578125" style="39" hidden="1" customWidth="1" outlineLevel="2"/>
    <col min="47" max="47" width="10.42578125" style="39" hidden="1" customWidth="1" outlineLevel="2" collapsed="1"/>
    <col min="48" max="58" width="10.42578125" style="39" hidden="1" customWidth="1" outlineLevel="2"/>
    <col min="59" max="59" width="16.7109375" style="1" hidden="1" customWidth="1" outlineLevel="1"/>
    <col min="60" max="60" width="11.85546875" style="1" hidden="1" customWidth="1" outlineLevel="2"/>
    <col min="61" max="70" width="16.28515625" style="1" hidden="1" customWidth="1" outlineLevel="2"/>
    <col min="71" max="71" width="12" style="1" hidden="1" customWidth="1" outlineLevel="2"/>
    <col min="72" max="72" width="22.140625" style="1" hidden="1" customWidth="1" outlineLevel="1"/>
    <col min="73" max="80" width="12" style="1" hidden="1" customWidth="1" outlineLevel="2"/>
    <col min="81" max="81" width="12.7109375" style="1" hidden="1" customWidth="1" outlineLevel="2"/>
    <col min="82" max="84" width="12" style="1" hidden="1" customWidth="1" outlineLevel="2"/>
    <col min="85" max="85" width="17.85546875" style="1" hidden="1" customWidth="1" outlineLevel="1"/>
    <col min="86" max="86" width="14.7109375" style="1" hidden="1" customWidth="1" outlineLevel="2"/>
    <col min="87" max="87" width="24" style="1" hidden="1" customWidth="1" outlineLevel="1"/>
    <col min="88" max="95" width="12" style="1" hidden="1" customWidth="1" outlineLevel="3"/>
    <col min="96" max="96" width="12.7109375" style="1" hidden="1" customWidth="1" outlineLevel="3"/>
    <col min="97" max="99" width="12" style="1" hidden="1" customWidth="1" outlineLevel="3"/>
    <col min="100" max="100" width="8.5703125" style="1" hidden="1" customWidth="1" outlineLevel="3"/>
    <col min="101" max="101" width="4.7109375" style="1" hidden="1" customWidth="1" outlineLevel="3"/>
    <col min="102" max="102" width="4.7109375" style="1" customWidth="1" collapsed="1"/>
    <col min="103" max="103" width="4.7109375" style="1" customWidth="1"/>
    <col min="104" max="104" width="8" style="1" bestFit="1" customWidth="1"/>
    <col min="105" max="105" width="8.140625" style="1" bestFit="1" customWidth="1"/>
    <col min="106" max="106" width="9.5703125" style="1" customWidth="1"/>
    <col min="107" max="107" width="8.42578125" style="1" bestFit="1" customWidth="1"/>
    <col min="108" max="108" width="9.85546875" style="1" bestFit="1" customWidth="1"/>
    <col min="109" max="109" width="8.85546875" style="1" customWidth="1"/>
    <col min="110" max="110" width="10" style="1" customWidth="1"/>
    <col min="111" max="111" width="11.28515625" style="1" bestFit="1" customWidth="1"/>
    <col min="112" max="114" width="9" style="1" bestFit="1" customWidth="1"/>
    <col min="115" max="116" width="12.5703125" style="1" bestFit="1" customWidth="1"/>
    <col min="117" max="117" width="11.42578125" style="1" bestFit="1" customWidth="1"/>
    <col min="118" max="130" width="6" style="1" bestFit="1" customWidth="1"/>
    <col min="131" max="188" width="7" style="1" bestFit="1" customWidth="1"/>
    <col min="189" max="229" width="8" style="1" bestFit="1" customWidth="1"/>
    <col min="230" max="233" width="9" style="1" bestFit="1" customWidth="1"/>
    <col min="234" max="234" width="11.28515625" style="1" bestFit="1" customWidth="1"/>
    <col min="235" max="16384" width="9.140625" style="1"/>
  </cols>
  <sheetData>
    <row r="1" spans="1:116" x14ac:dyDescent="0.25">
      <c r="A1" s="29"/>
      <c r="B1" s="29"/>
      <c r="C1" s="60"/>
      <c r="D1" s="60"/>
      <c r="E1" s="60"/>
      <c r="F1" s="60"/>
      <c r="G1" s="60"/>
      <c r="H1" s="60"/>
      <c r="I1" s="60"/>
      <c r="J1" s="60"/>
      <c r="K1" s="60"/>
      <c r="L1" s="60"/>
      <c r="M1" s="60"/>
      <c r="N1" s="60"/>
      <c r="O1" s="60"/>
      <c r="P1" s="60"/>
      <c r="Q1" s="60"/>
      <c r="R1" s="60"/>
      <c r="S1" s="60"/>
      <c r="T1" s="60" t="s">
        <v>24</v>
      </c>
      <c r="U1" s="60" t="e">
        <f>_xlfn.XLOOKUP(B14,#REF!,#REF!,0,0)</f>
        <v>#REF!</v>
      </c>
      <c r="V1" s="60"/>
      <c r="X1" s="29"/>
      <c r="Y1" s="29"/>
      <c r="Z1" s="29"/>
      <c r="AA1" s="29"/>
      <c r="AB1" s="29"/>
      <c r="AC1" s="29"/>
      <c r="AD1" s="29"/>
      <c r="AE1" s="29"/>
      <c r="AF1" s="29"/>
      <c r="AG1" s="29"/>
      <c r="AH1" s="29"/>
      <c r="AI1" s="37"/>
      <c r="AJ1" s="37"/>
      <c r="AK1" s="37"/>
      <c r="AL1" s="37"/>
      <c r="AM1" s="37"/>
      <c r="AN1" s="37"/>
      <c r="AO1" s="37"/>
      <c r="AP1" s="37"/>
      <c r="AQ1" s="37"/>
      <c r="AR1" s="37"/>
      <c r="AS1" s="37"/>
      <c r="AT1" s="37"/>
      <c r="AU1" s="37"/>
      <c r="AV1" s="37"/>
      <c r="AW1" s="37"/>
      <c r="AX1" s="37"/>
      <c r="AY1" s="37"/>
      <c r="AZ1" s="37"/>
      <c r="BA1" s="37"/>
      <c r="BB1" s="37"/>
      <c r="BC1" s="37"/>
      <c r="BD1" s="37"/>
      <c r="BE1" s="37"/>
      <c r="BF1" s="37"/>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row>
    <row r="2" spans="1:116" x14ac:dyDescent="0.25">
      <c r="A2" s="29"/>
      <c r="B2" s="29"/>
      <c r="C2" s="60"/>
      <c r="D2" s="60"/>
      <c r="E2" s="60"/>
      <c r="F2" s="60"/>
      <c r="G2" s="60"/>
      <c r="H2" s="60"/>
      <c r="I2" s="60"/>
      <c r="J2" s="60"/>
      <c r="K2" s="60"/>
      <c r="L2" s="60"/>
      <c r="M2" s="60"/>
      <c r="N2" s="60"/>
      <c r="O2" s="60"/>
      <c r="P2" s="60"/>
      <c r="Q2" s="60"/>
      <c r="R2" s="60"/>
      <c r="S2" s="60"/>
      <c r="T2" s="60" t="s">
        <v>34</v>
      </c>
      <c r="U2" s="60" t="e">
        <f>_xlfn.XLOOKUP(B14,#REF!,#REF!,0,0)</f>
        <v>#REF!</v>
      </c>
      <c r="V2" s="60"/>
      <c r="X2" s="29"/>
      <c r="Y2" s="29"/>
      <c r="Z2" s="29"/>
      <c r="AA2" s="29"/>
      <c r="AB2" s="29"/>
      <c r="AC2" s="29"/>
      <c r="AD2" s="29"/>
      <c r="AE2" s="29"/>
      <c r="AF2" s="29"/>
      <c r="AG2" s="29"/>
      <c r="AH2" s="29"/>
      <c r="AI2" s="37"/>
      <c r="AJ2" s="37"/>
      <c r="AK2" s="37"/>
      <c r="AL2" s="37"/>
      <c r="AM2" s="37"/>
      <c r="AN2" s="37"/>
      <c r="AO2" s="37"/>
      <c r="AP2" s="37"/>
      <c r="AQ2" s="37"/>
      <c r="AR2" s="37"/>
      <c r="AS2" s="37"/>
      <c r="AT2" s="37"/>
      <c r="AU2" s="37"/>
      <c r="AV2" s="37"/>
      <c r="AW2" s="37"/>
      <c r="AX2" s="37"/>
      <c r="AY2" s="37"/>
      <c r="AZ2" s="37"/>
      <c r="BA2" s="37"/>
      <c r="BB2" s="37"/>
      <c r="BC2" s="37"/>
      <c r="BD2" s="37"/>
      <c r="BE2" s="37"/>
      <c r="BF2" s="37"/>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c r="CQ2" s="29"/>
      <c r="CR2" s="29"/>
      <c r="CS2" s="29"/>
      <c r="CT2" s="29"/>
      <c r="CU2" s="29"/>
      <c r="CV2" s="29"/>
      <c r="CW2" s="29"/>
    </row>
    <row r="3" spans="1:116" ht="15.75" x14ac:dyDescent="0.25">
      <c r="A3" s="29"/>
      <c r="B3" s="29"/>
      <c r="C3" s="60"/>
      <c r="D3" s="60"/>
      <c r="E3" s="60"/>
      <c r="F3" s="60"/>
      <c r="G3" s="60"/>
      <c r="H3" s="60"/>
      <c r="I3" s="60"/>
      <c r="J3" s="60"/>
      <c r="K3" s="60"/>
      <c r="L3" s="60"/>
      <c r="M3" s="60"/>
      <c r="N3" s="60"/>
      <c r="O3" s="60"/>
      <c r="P3" s="60"/>
      <c r="Q3" s="60"/>
      <c r="R3" s="60"/>
      <c r="S3" s="60"/>
      <c r="T3" s="60" t="s">
        <v>3627</v>
      </c>
      <c r="U3" s="60" t="e">
        <f>_xlfn.XLOOKUP(B14,#REF!,#REF!,0,0)</f>
        <v>#REF!</v>
      </c>
      <c r="V3" s="60"/>
      <c r="X3" s="29"/>
      <c r="Y3" s="29"/>
      <c r="Z3" s="29"/>
      <c r="AA3" s="29"/>
      <c r="AB3" s="29"/>
      <c r="AC3" s="29"/>
      <c r="AD3" s="29"/>
      <c r="AE3" s="29"/>
      <c r="AF3" s="29"/>
      <c r="AG3" s="29"/>
      <c r="AH3" s="29"/>
      <c r="AI3" s="37"/>
      <c r="AJ3" s="37"/>
      <c r="AK3" s="37"/>
      <c r="AL3" s="37"/>
      <c r="AM3" s="37"/>
      <c r="AN3" s="37"/>
      <c r="AO3" s="37"/>
      <c r="AP3" s="37"/>
      <c r="AQ3" s="37"/>
      <c r="AR3" s="37"/>
      <c r="AS3" s="37"/>
      <c r="AT3" s="37"/>
      <c r="AU3" s="37"/>
      <c r="AV3" s="37"/>
      <c r="AW3" s="37"/>
      <c r="AX3" s="37"/>
      <c r="AY3" s="37"/>
      <c r="AZ3" s="37"/>
      <c r="BA3" s="37"/>
      <c r="BB3" s="37"/>
      <c r="BC3" s="37"/>
      <c r="BD3" s="37"/>
      <c r="BE3" s="37"/>
      <c r="BF3" s="37"/>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29"/>
      <c r="CW3" s="29"/>
      <c r="CZ3" s="2" t="s">
        <v>0</v>
      </c>
      <c r="DA3" s="2" t="s">
        <v>1</v>
      </c>
      <c r="DB3" s="2" t="s">
        <v>2</v>
      </c>
      <c r="DC3" s="2" t="s">
        <v>3</v>
      </c>
      <c r="DD3" s="2" t="s">
        <v>4</v>
      </c>
      <c r="DE3" s="2" t="s">
        <v>5</v>
      </c>
      <c r="DF3" s="2" t="s">
        <v>6</v>
      </c>
      <c r="DG3" s="2" t="s">
        <v>7</v>
      </c>
      <c r="DH3" s="2" t="s">
        <v>8</v>
      </c>
      <c r="DI3" s="2" t="s">
        <v>9</v>
      </c>
      <c r="DJ3" s="2" t="s">
        <v>10</v>
      </c>
      <c r="DK3" s="2" t="s">
        <v>11</v>
      </c>
      <c r="DL3" s="2" t="s">
        <v>12</v>
      </c>
    </row>
    <row r="4" spans="1:116" ht="15.75" x14ac:dyDescent="0.25">
      <c r="A4" s="29"/>
      <c r="B4" s="29"/>
      <c r="C4" s="60"/>
      <c r="D4" s="60"/>
      <c r="E4" s="60"/>
      <c r="F4" s="60"/>
      <c r="G4" s="60"/>
      <c r="H4" s="60"/>
      <c r="I4" s="60"/>
      <c r="J4" s="60"/>
      <c r="K4" s="60"/>
      <c r="L4" s="60"/>
      <c r="M4" s="60"/>
      <c r="N4" s="60"/>
      <c r="O4" s="60"/>
      <c r="P4" s="60"/>
      <c r="Q4" s="60"/>
      <c r="R4" s="60"/>
      <c r="S4" s="60"/>
      <c r="T4" s="60" t="s">
        <v>3626</v>
      </c>
      <c r="U4" s="60" t="e">
        <f>_xlfn.XLOOKUP(B14,#REF!,#REF!,0,0)</f>
        <v>#REF!</v>
      </c>
      <c r="V4" s="60"/>
      <c r="X4" s="29"/>
      <c r="Y4" s="29"/>
      <c r="Z4" s="29"/>
      <c r="AA4" s="29"/>
      <c r="AB4" s="29"/>
      <c r="AC4" s="29"/>
      <c r="AD4" s="29"/>
      <c r="AE4" s="29"/>
      <c r="AF4" s="29"/>
      <c r="AG4" s="29"/>
      <c r="AH4" s="29"/>
      <c r="AI4" s="37"/>
      <c r="AJ4" s="37"/>
      <c r="AK4" s="37"/>
      <c r="AL4" s="37"/>
      <c r="AM4" s="37"/>
      <c r="AN4" s="37"/>
      <c r="AO4" s="37"/>
      <c r="AP4" s="37"/>
      <c r="AQ4" s="37"/>
      <c r="AR4" s="37"/>
      <c r="AS4" s="37"/>
      <c r="AT4" s="37"/>
      <c r="AU4" s="37"/>
      <c r="AV4" s="37"/>
      <c r="AW4" s="37"/>
      <c r="AX4" s="37"/>
      <c r="AY4" s="37"/>
      <c r="AZ4" s="37"/>
      <c r="BA4" s="37"/>
      <c r="BB4" s="37"/>
      <c r="BC4" s="37"/>
      <c r="BD4" s="37"/>
      <c r="BE4" s="37"/>
      <c r="BF4" s="37"/>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29"/>
      <c r="CW4" s="29"/>
      <c r="CX4" s="3"/>
      <c r="CY4" s="3" t="s">
        <v>13</v>
      </c>
      <c r="CZ4" s="61" t="e" cm="1">
        <f t="array" ref="CZ4">_xlfn.XLOOKUP($B$14,#REF!,#REF!,"X",0)</f>
        <v>#REF!</v>
      </c>
      <c r="DA4" s="61"/>
      <c r="DB4" s="61"/>
      <c r="DC4" s="61"/>
      <c r="DD4" s="61"/>
      <c r="DE4" s="61"/>
      <c r="DF4" s="61"/>
      <c r="DG4" s="61"/>
      <c r="DH4" s="61"/>
      <c r="DI4" s="61"/>
      <c r="DJ4" s="61"/>
      <c r="DK4" s="61"/>
      <c r="DL4" s="61" t="e">
        <f>SUM(_xlfn.ANCHORARRAY(CZ4))</f>
        <v>#REF!</v>
      </c>
    </row>
    <row r="5" spans="1:116" ht="15.75" x14ac:dyDescent="0.25">
      <c r="A5" s="29"/>
      <c r="B5" s="29"/>
      <c r="C5" s="60"/>
      <c r="D5" s="60"/>
      <c r="E5" s="60"/>
      <c r="F5" s="60"/>
      <c r="G5" s="60"/>
      <c r="H5" s="60"/>
      <c r="I5" s="60"/>
      <c r="J5" s="60"/>
      <c r="K5" s="60"/>
      <c r="L5" s="60"/>
      <c r="M5" s="60"/>
      <c r="N5" s="60"/>
      <c r="O5" s="60"/>
      <c r="P5" s="60"/>
      <c r="Q5" s="60"/>
      <c r="R5" s="60"/>
      <c r="S5" s="60"/>
      <c r="T5" s="60" t="s">
        <v>35</v>
      </c>
      <c r="U5" s="60" t="e">
        <f>_xlfn.XLOOKUP(B14,#REF!,#REF!,0,0)</f>
        <v>#REF!</v>
      </c>
      <c r="V5" s="60"/>
      <c r="X5" s="29"/>
      <c r="Y5" s="29"/>
      <c r="Z5" s="29"/>
      <c r="AA5" s="29"/>
      <c r="AB5" s="29"/>
      <c r="AC5" s="29"/>
      <c r="AD5" s="29"/>
      <c r="AE5" s="29"/>
      <c r="AF5" s="29"/>
      <c r="AG5" s="29"/>
      <c r="AH5" s="29"/>
      <c r="AI5" s="37"/>
      <c r="AJ5" s="37"/>
      <c r="AK5" s="37"/>
      <c r="AL5" s="37"/>
      <c r="AM5" s="37"/>
      <c r="AN5" s="37"/>
      <c r="AO5" s="37"/>
      <c r="AP5" s="37"/>
      <c r="AQ5" s="37"/>
      <c r="AR5" s="37"/>
      <c r="AS5" s="37"/>
      <c r="AT5" s="37"/>
      <c r="AU5" s="37"/>
      <c r="AV5" s="37"/>
      <c r="AW5" s="37"/>
      <c r="AX5" s="37"/>
      <c r="AY5" s="37"/>
      <c r="AZ5" s="37"/>
      <c r="BA5" s="37"/>
      <c r="BB5" s="37"/>
      <c r="BC5" s="37"/>
      <c r="BD5" s="37"/>
      <c r="BE5" s="37"/>
      <c r="BF5" s="37"/>
      <c r="BG5" s="29"/>
      <c r="BH5" s="29"/>
      <c r="BI5" s="29"/>
      <c r="BJ5" s="29"/>
      <c r="BK5" s="29"/>
      <c r="BL5" s="29"/>
      <c r="BM5" s="29"/>
      <c r="BN5" s="29"/>
      <c r="BO5" s="29"/>
      <c r="BP5" s="29"/>
      <c r="BQ5" s="29"/>
      <c r="BR5" s="29"/>
      <c r="BS5" s="29"/>
      <c r="BT5" s="29"/>
      <c r="BU5" s="29"/>
      <c r="BV5" s="29"/>
      <c r="BW5" s="29"/>
      <c r="BX5" s="29"/>
      <c r="BY5" s="29"/>
      <c r="BZ5" s="29"/>
      <c r="CA5" s="29"/>
      <c r="CB5" s="29"/>
      <c r="CC5" s="29"/>
      <c r="CD5" s="29"/>
      <c r="CE5" s="29"/>
      <c r="CF5" s="29"/>
      <c r="CG5" s="29"/>
      <c r="CH5" s="29"/>
      <c r="CI5" s="29"/>
      <c r="CJ5" s="29"/>
      <c r="CK5" s="29"/>
      <c r="CL5" s="29"/>
      <c r="CM5" s="29"/>
      <c r="CN5" s="29"/>
      <c r="CO5" s="29"/>
      <c r="CP5" s="29"/>
      <c r="CQ5" s="29"/>
      <c r="CR5" s="29"/>
      <c r="CS5" s="29"/>
      <c r="CT5" s="29"/>
      <c r="CU5" s="29"/>
      <c r="CV5" s="29"/>
      <c r="CW5" s="29"/>
      <c r="CX5" s="4"/>
      <c r="CY5" s="4" t="s">
        <v>14</v>
      </c>
      <c r="CZ5" s="61" t="e" cm="1">
        <f t="array" ref="CZ5">_xlfn.XLOOKUP($B$14,#REF!,#REF!,"X",0)</f>
        <v>#REF!</v>
      </c>
      <c r="DA5" s="61"/>
      <c r="DB5" s="61"/>
      <c r="DC5" s="61"/>
      <c r="DD5" s="61"/>
      <c r="DE5" s="61"/>
      <c r="DF5" s="61"/>
      <c r="DG5" s="61"/>
      <c r="DH5" s="61"/>
      <c r="DI5" s="61"/>
      <c r="DJ5" s="61"/>
      <c r="DK5" s="61"/>
      <c r="DL5" s="61" t="e">
        <f t="shared" ref="DL5:DL7" si="0">SUM(_xlfn.ANCHORARRAY(CZ5))</f>
        <v>#REF!</v>
      </c>
    </row>
    <row r="6" spans="1:116" ht="15.75" x14ac:dyDescent="0.25">
      <c r="A6" s="29"/>
      <c r="B6" s="29"/>
      <c r="C6" s="60"/>
      <c r="D6" s="60"/>
      <c r="E6" s="60"/>
      <c r="F6" s="60"/>
      <c r="G6" s="60"/>
      <c r="H6" s="60"/>
      <c r="I6" s="60"/>
      <c r="J6" s="60"/>
      <c r="K6" s="60"/>
      <c r="L6" s="60"/>
      <c r="M6" s="60"/>
      <c r="N6" s="60"/>
      <c r="O6" s="60"/>
      <c r="P6" s="60"/>
      <c r="Q6" s="60"/>
      <c r="R6" s="60"/>
      <c r="S6" s="60"/>
      <c r="T6" s="60"/>
      <c r="U6" s="60"/>
      <c r="V6" s="60"/>
      <c r="W6" s="29"/>
      <c r="X6" s="29"/>
      <c r="Y6" s="29"/>
      <c r="Z6" s="29"/>
      <c r="AA6" s="29"/>
      <c r="AB6" s="29"/>
      <c r="AC6" s="29"/>
      <c r="AD6" s="29"/>
      <c r="AE6" s="29"/>
      <c r="AF6" s="29"/>
      <c r="AG6" s="29"/>
      <c r="AH6" s="29"/>
      <c r="AI6" s="37"/>
      <c r="AJ6" s="37"/>
      <c r="AK6" s="37"/>
      <c r="AL6" s="37"/>
      <c r="AM6" s="37"/>
      <c r="AN6" s="37"/>
      <c r="AO6" s="37"/>
      <c r="AP6" s="37"/>
      <c r="AQ6" s="37"/>
      <c r="AR6" s="37"/>
      <c r="AS6" s="37"/>
      <c r="AT6" s="37"/>
      <c r="AU6" s="37"/>
      <c r="AV6" s="37"/>
      <c r="AW6" s="37"/>
      <c r="AX6" s="37"/>
      <c r="AY6" s="37"/>
      <c r="AZ6" s="37"/>
      <c r="BA6" s="37"/>
      <c r="BB6" s="37"/>
      <c r="BC6" s="37"/>
      <c r="BD6" s="37"/>
      <c r="BE6" s="37"/>
      <c r="BF6" s="37"/>
      <c r="BG6" s="29"/>
      <c r="BH6" s="29"/>
      <c r="BI6" s="29"/>
      <c r="BJ6" s="29"/>
      <c r="BK6" s="29"/>
      <c r="BL6" s="29"/>
      <c r="BM6" s="29"/>
      <c r="BN6" s="29"/>
      <c r="BO6" s="29"/>
      <c r="BP6" s="29"/>
      <c r="BQ6" s="29"/>
      <c r="BR6" s="29"/>
      <c r="BS6" s="29"/>
      <c r="BT6" s="29"/>
      <c r="BU6" s="29"/>
      <c r="BV6" s="29"/>
      <c r="BW6" s="29"/>
      <c r="BX6" s="29"/>
      <c r="BY6" s="29"/>
      <c r="BZ6" s="29"/>
      <c r="CA6" s="29"/>
      <c r="CB6" s="29"/>
      <c r="CC6" s="29"/>
      <c r="CD6" s="29"/>
      <c r="CE6" s="29"/>
      <c r="CF6" s="29"/>
      <c r="CG6" s="29"/>
      <c r="CH6" s="29"/>
      <c r="CI6" s="29"/>
      <c r="CJ6" s="29"/>
      <c r="CK6" s="29"/>
      <c r="CL6" s="29"/>
      <c r="CM6" s="29"/>
      <c r="CN6" s="29"/>
      <c r="CO6" s="29"/>
      <c r="CP6" s="29"/>
      <c r="CQ6" s="29"/>
      <c r="CR6" s="29"/>
      <c r="CS6" s="29"/>
      <c r="CT6" s="29"/>
      <c r="CU6" s="29"/>
      <c r="CV6" s="29"/>
      <c r="CW6" s="29"/>
      <c r="CX6" s="4"/>
      <c r="CY6" s="4" t="s">
        <v>15</v>
      </c>
      <c r="CZ6" s="61" t="e" cm="1">
        <f t="array" ref="CZ6">_xlfn.XLOOKUP($B$14,#REF!,#REF!,"X",0)</f>
        <v>#REF!</v>
      </c>
      <c r="DA6" s="61"/>
      <c r="DB6" s="61"/>
      <c r="DC6" s="61"/>
      <c r="DD6" s="61"/>
      <c r="DE6" s="61"/>
      <c r="DF6" s="61"/>
      <c r="DG6" s="61"/>
      <c r="DH6" s="61"/>
      <c r="DI6" s="61"/>
      <c r="DJ6" s="61"/>
      <c r="DK6" s="61"/>
      <c r="DL6" s="61" t="e">
        <f t="shared" si="0"/>
        <v>#REF!</v>
      </c>
    </row>
    <row r="7" spans="1:116" ht="15.75" x14ac:dyDescent="0.25">
      <c r="A7" s="29"/>
      <c r="B7" s="29"/>
      <c r="C7" s="60"/>
      <c r="D7" s="60"/>
      <c r="E7" s="60"/>
      <c r="F7" s="60"/>
      <c r="G7" s="60"/>
      <c r="H7" s="60"/>
      <c r="I7" s="60"/>
      <c r="J7" s="60"/>
      <c r="K7" s="60"/>
      <c r="L7" s="60"/>
      <c r="M7" s="60"/>
      <c r="N7" s="60"/>
      <c r="O7" s="60"/>
      <c r="P7" s="60"/>
      <c r="Q7" s="60"/>
      <c r="R7" s="60"/>
      <c r="S7" s="60"/>
      <c r="T7" s="60"/>
      <c r="U7" s="60"/>
      <c r="V7" s="60"/>
      <c r="W7" s="29"/>
      <c r="X7" s="29"/>
      <c r="Y7" s="29"/>
      <c r="Z7" s="29"/>
      <c r="AA7" s="29"/>
      <c r="AB7" s="29"/>
      <c r="AC7" s="29"/>
      <c r="AD7" s="29"/>
      <c r="AE7" s="29"/>
      <c r="AF7" s="29"/>
      <c r="AG7" s="29"/>
      <c r="AH7" s="29"/>
      <c r="AI7" s="37"/>
      <c r="AJ7" s="37"/>
      <c r="AK7" s="37"/>
      <c r="AL7" s="37"/>
      <c r="AM7" s="37"/>
      <c r="AN7" s="37"/>
      <c r="AO7" s="37"/>
      <c r="AP7" s="37"/>
      <c r="AQ7" s="37"/>
      <c r="AR7" s="37"/>
      <c r="AS7" s="37"/>
      <c r="AT7" s="37"/>
      <c r="AU7" s="37"/>
      <c r="AV7" s="37"/>
      <c r="AW7" s="37"/>
      <c r="AX7" s="37"/>
      <c r="AY7" s="37"/>
      <c r="AZ7" s="37"/>
      <c r="BA7" s="37"/>
      <c r="BB7" s="37"/>
      <c r="BC7" s="37"/>
      <c r="BD7" s="37"/>
      <c r="BE7" s="37"/>
      <c r="BF7" s="37"/>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29"/>
      <c r="CW7" s="29"/>
      <c r="CX7" s="4"/>
      <c r="CY7" s="4" t="s">
        <v>3603</v>
      </c>
      <c r="CZ7" s="61" t="e" cm="1">
        <f t="array" ref="CZ7">_xlfn.XLOOKUP($B$14,#REF!,#REF!,"X",0)</f>
        <v>#REF!</v>
      </c>
      <c r="DA7" s="61"/>
      <c r="DB7" s="61"/>
      <c r="DC7" s="61"/>
      <c r="DD7" s="61"/>
      <c r="DE7" s="61"/>
      <c r="DF7" s="61"/>
      <c r="DG7" s="61"/>
      <c r="DH7" s="61"/>
      <c r="DI7" s="61"/>
      <c r="DJ7" s="61"/>
      <c r="DK7" s="61"/>
      <c r="DL7" s="61" t="e">
        <f t="shared" si="0"/>
        <v>#REF!</v>
      </c>
    </row>
    <row r="8" spans="1:116" x14ac:dyDescent="0.25">
      <c r="A8" s="29"/>
      <c r="B8" s="29"/>
      <c r="C8" s="60"/>
      <c r="D8" s="60"/>
      <c r="E8" s="60"/>
      <c r="F8" s="60"/>
      <c r="G8" s="92"/>
      <c r="H8" s="60"/>
      <c r="I8" s="60"/>
      <c r="J8" s="60"/>
      <c r="K8" s="60"/>
      <c r="L8" s="60"/>
      <c r="M8" s="60"/>
      <c r="N8" s="60"/>
      <c r="O8" s="60"/>
      <c r="P8" s="60"/>
      <c r="Q8" s="60"/>
      <c r="R8" s="60"/>
      <c r="S8" s="60"/>
      <c r="T8" s="60"/>
      <c r="U8" s="60"/>
      <c r="V8" s="60"/>
      <c r="W8" s="29"/>
      <c r="X8" s="29"/>
      <c r="Y8" s="29"/>
      <c r="Z8" s="29"/>
      <c r="AA8" s="29"/>
      <c r="AB8" s="29"/>
      <c r="AC8" s="29"/>
      <c r="AD8" s="29"/>
      <c r="AE8" s="29"/>
      <c r="AF8" s="29"/>
      <c r="AG8" s="29"/>
      <c r="AH8" s="29"/>
      <c r="AI8" s="37"/>
      <c r="AJ8" s="37"/>
      <c r="AK8" s="37"/>
      <c r="AL8" s="37"/>
      <c r="AM8" s="37"/>
      <c r="AN8" s="37"/>
      <c r="AO8" s="37"/>
      <c r="AP8" s="37"/>
      <c r="AQ8" s="37"/>
      <c r="AR8" s="37"/>
      <c r="AS8" s="37"/>
      <c r="AT8" s="37"/>
      <c r="AU8" s="37"/>
      <c r="AV8" s="37"/>
      <c r="AW8" s="37"/>
      <c r="AX8" s="37"/>
      <c r="AY8" s="37"/>
      <c r="AZ8" s="37"/>
      <c r="BA8" s="37"/>
      <c r="BB8" s="37"/>
      <c r="BC8" s="37"/>
      <c r="BD8" s="37"/>
      <c r="BE8" s="37"/>
      <c r="BF8" s="37"/>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row>
    <row r="9" spans="1:116" ht="23.25" customHeight="1" x14ac:dyDescent="0.25">
      <c r="A9" s="29"/>
      <c r="B9" s="29"/>
      <c r="C9" s="60"/>
      <c r="D9" s="60"/>
      <c r="E9" s="60"/>
      <c r="F9" s="60"/>
      <c r="G9" s="60"/>
      <c r="H9" s="60"/>
      <c r="I9" s="60"/>
      <c r="J9" s="60"/>
      <c r="K9" s="60"/>
      <c r="L9" s="60"/>
      <c r="M9" s="60"/>
      <c r="N9" s="60"/>
      <c r="O9" s="60"/>
      <c r="P9" s="60"/>
      <c r="Q9" s="60"/>
      <c r="R9" s="60"/>
      <c r="S9" s="60"/>
      <c r="T9" s="60"/>
      <c r="U9" s="60"/>
      <c r="V9" s="60"/>
      <c r="W9" s="29"/>
      <c r="X9" s="29"/>
      <c r="Y9" s="29"/>
      <c r="Z9" s="29"/>
      <c r="AA9" s="29"/>
      <c r="AB9" s="29"/>
      <c r="AC9" s="29"/>
      <c r="AD9" s="29"/>
      <c r="AE9" s="29"/>
      <c r="AF9" s="29"/>
      <c r="AG9" s="29"/>
      <c r="AH9" s="29"/>
      <c r="AI9" s="37"/>
      <c r="AJ9" s="37"/>
      <c r="AK9" s="37"/>
      <c r="AL9" s="37"/>
      <c r="AM9" s="37"/>
      <c r="AN9" s="37"/>
      <c r="AO9" s="37"/>
      <c r="AP9" s="37"/>
      <c r="AQ9" s="37"/>
      <c r="AR9" s="37"/>
      <c r="AS9" s="37"/>
      <c r="AT9" s="37"/>
      <c r="AU9" s="37"/>
      <c r="AV9" s="37"/>
      <c r="AW9" s="37"/>
      <c r="AX9" s="37"/>
      <c r="AY9" s="37"/>
      <c r="AZ9" s="37"/>
      <c r="BA9" s="37"/>
      <c r="BB9" s="37"/>
      <c r="BC9" s="37"/>
      <c r="BD9" s="37"/>
      <c r="BE9" s="37"/>
      <c r="BF9" s="37"/>
      <c r="BG9" s="29"/>
      <c r="BH9" s="29"/>
      <c r="BI9" s="29"/>
      <c r="BJ9" s="29"/>
      <c r="BK9" s="29"/>
      <c r="BL9" s="29"/>
      <c r="BM9" s="29"/>
      <c r="BN9" s="29"/>
      <c r="BO9" s="29"/>
      <c r="BP9" s="29"/>
      <c r="BQ9" s="29"/>
      <c r="BR9" s="29"/>
      <c r="BS9" s="29"/>
      <c r="BT9" s="29"/>
      <c r="BU9" s="29"/>
      <c r="BV9" s="29"/>
      <c r="BW9" s="29"/>
      <c r="BX9" s="29"/>
      <c r="BY9" s="29"/>
      <c r="BZ9" s="29"/>
      <c r="CA9" s="29"/>
      <c r="CB9" s="29"/>
      <c r="CC9" s="29"/>
      <c r="CD9" s="29"/>
      <c r="CE9" s="29"/>
      <c r="CF9" s="29"/>
      <c r="CG9" s="29"/>
      <c r="CH9" s="29"/>
      <c r="CI9" s="29"/>
      <c r="CJ9" s="29"/>
      <c r="CK9" s="29"/>
      <c r="CL9" s="29"/>
      <c r="CM9" s="29"/>
      <c r="CN9" s="29"/>
      <c r="CO9" s="29"/>
      <c r="CP9" s="29"/>
      <c r="CQ9" s="29"/>
      <c r="CR9" s="29"/>
      <c r="CS9" s="29"/>
      <c r="CT9" s="29"/>
      <c r="CU9" s="29"/>
      <c r="CV9" s="29"/>
      <c r="CW9" s="29"/>
      <c r="CX9" s="29"/>
      <c r="CY9" s="29"/>
      <c r="DB9" s="27" t="s">
        <v>37</v>
      </c>
      <c r="DC9" s="26" t="s">
        <v>38</v>
      </c>
      <c r="DD9" s="26" t="s">
        <v>39</v>
      </c>
      <c r="DE9" s="25"/>
    </row>
    <row r="10" spans="1:116" ht="18.75" x14ac:dyDescent="0.25">
      <c r="A10" s="29"/>
      <c r="B10" s="29"/>
      <c r="C10" s="60"/>
      <c r="D10" s="60"/>
      <c r="E10" s="93" t="s">
        <v>16</v>
      </c>
      <c r="F10" s="1" t="s">
        <v>3960</v>
      </c>
      <c r="G10" s="60"/>
      <c r="H10" s="60"/>
      <c r="I10" s="60"/>
      <c r="J10" s="60"/>
      <c r="K10" s="60"/>
      <c r="L10" s="60"/>
      <c r="M10" s="60"/>
      <c r="N10" s="60"/>
      <c r="O10" s="60"/>
      <c r="P10" s="60"/>
      <c r="Q10" s="60"/>
      <c r="R10" s="60"/>
      <c r="S10" s="60"/>
      <c r="T10" s="60"/>
      <c r="U10" s="60"/>
      <c r="V10" s="60"/>
      <c r="W10" s="29"/>
      <c r="X10" s="29"/>
      <c r="Y10" s="29"/>
      <c r="Z10" s="29"/>
      <c r="AA10" s="29"/>
      <c r="AB10" s="29"/>
      <c r="AC10" s="29"/>
      <c r="AD10" s="29"/>
      <c r="AE10" s="29"/>
      <c r="AF10" s="29"/>
      <c r="AG10" s="29"/>
      <c r="AH10" s="29"/>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c r="CF10" s="29"/>
      <c r="CG10" s="29"/>
      <c r="CH10" s="29"/>
      <c r="CI10" s="29"/>
      <c r="CJ10" s="29"/>
      <c r="CK10" s="29"/>
      <c r="CL10" s="29"/>
      <c r="CM10" s="29"/>
      <c r="CN10" s="29"/>
      <c r="CO10" s="29"/>
      <c r="CP10" s="29"/>
      <c r="CQ10" s="29"/>
      <c r="CR10" s="29"/>
      <c r="CS10" s="29"/>
      <c r="CT10" s="29"/>
      <c r="CU10" s="29"/>
      <c r="CV10" s="29"/>
      <c r="CW10" s="29"/>
      <c r="CX10" s="29"/>
      <c r="CY10" s="29"/>
      <c r="DA10" s="21" t="s">
        <v>36</v>
      </c>
      <c r="DB10" s="22" t="e">
        <f>_xlfn.XLOOKUP(B14,#REF!,#REF!,0,0)</f>
        <v>#REF!</v>
      </c>
      <c r="DC10" s="23" t="e">
        <f>_xlfn.XLOOKUP(B14,#REF!,#REF!,0,0)</f>
        <v>#REF!</v>
      </c>
      <c r="DD10" s="24" t="e">
        <f>_xlfn.XLOOKUP(B14,#REF!,#REF!,0,0)</f>
        <v>#REF!</v>
      </c>
      <c r="DE10" s="25"/>
    </row>
    <row r="11" spans="1:116" ht="18.75" x14ac:dyDescent="0.25">
      <c r="A11" s="29"/>
      <c r="B11" s="29"/>
      <c r="C11" s="60"/>
      <c r="D11" s="60"/>
      <c r="E11" s="60"/>
      <c r="F11" s="60"/>
      <c r="G11" s="60"/>
      <c r="H11" s="60"/>
      <c r="I11" s="60"/>
      <c r="J11" s="60"/>
      <c r="K11" s="60"/>
      <c r="L11" s="60"/>
      <c r="M11" s="60"/>
      <c r="N11" s="60"/>
      <c r="O11" s="60"/>
      <c r="P11" s="60"/>
      <c r="Q11" s="60"/>
      <c r="R11" s="60"/>
      <c r="S11" s="60"/>
      <c r="T11" s="60"/>
      <c r="U11" s="60"/>
      <c r="V11" s="60"/>
      <c r="W11" s="29"/>
      <c r="X11" s="29"/>
      <c r="Y11" s="29"/>
      <c r="Z11" s="29"/>
      <c r="AA11" s="29"/>
      <c r="AB11" s="29"/>
      <c r="AC11" s="29"/>
      <c r="AD11" s="29"/>
      <c r="AE11" s="29"/>
      <c r="AF11" s="29"/>
      <c r="AG11" s="29"/>
      <c r="AH11" s="29"/>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DA11" s="21" t="s">
        <v>40</v>
      </c>
      <c r="DB11" s="22">
        <f>DK7</f>
        <v>0</v>
      </c>
      <c r="DC11" s="22" t="e">
        <f ca="1">_xlfn.XLOOKUP(B14,$D$17:$D$41,$G$17:$G$41,0,0)</f>
        <v>#NAME?</v>
      </c>
      <c r="DD11" s="22" t="e">
        <f ca="1">_xlfn.XLOOKUP(B14,$D$17:$D$41,$H$17:$H$41,0,0)</f>
        <v>#NAME?</v>
      </c>
    </row>
    <row r="12" spans="1:116" ht="18.75" x14ac:dyDescent="0.25">
      <c r="A12" s="29"/>
      <c r="B12" s="29"/>
      <c r="C12" s="60"/>
      <c r="D12" s="60"/>
      <c r="E12" s="30" t="s">
        <v>3959</v>
      </c>
      <c r="F12" s="30"/>
      <c r="G12" s="30"/>
      <c r="H12" s="30"/>
      <c r="I12" s="30"/>
      <c r="J12" s="30"/>
      <c r="K12" s="30"/>
      <c r="L12" s="30"/>
      <c r="M12" s="30"/>
      <c r="N12" s="30"/>
      <c r="O12" s="30"/>
      <c r="P12" s="30"/>
      <c r="Q12" s="30"/>
      <c r="R12" s="30"/>
      <c r="S12" s="60"/>
      <c r="T12" s="60"/>
      <c r="U12" s="60"/>
      <c r="V12" s="60"/>
      <c r="W12" s="29"/>
      <c r="X12" s="29"/>
      <c r="Y12" s="29"/>
      <c r="Z12" s="29"/>
      <c r="AA12" s="29"/>
      <c r="AB12" s="29"/>
      <c r="AC12" s="29"/>
      <c r="AD12" s="29"/>
      <c r="AE12" s="29"/>
      <c r="AF12" s="29"/>
      <c r="AG12" s="29"/>
      <c r="AH12" s="29"/>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c r="CN12" s="29"/>
      <c r="CO12" s="29"/>
      <c r="CP12" s="29"/>
      <c r="CQ12" s="29"/>
      <c r="CR12" s="29"/>
      <c r="CS12" s="29"/>
      <c r="CT12" s="29"/>
      <c r="CU12" s="29"/>
      <c r="CV12" s="29"/>
      <c r="CW12" s="29"/>
      <c r="CX12" s="29"/>
      <c r="CY12" s="29"/>
      <c r="DB12" s="27" t="s">
        <v>43</v>
      </c>
    </row>
    <row r="13" spans="1:116" ht="18.75" x14ac:dyDescent="0.25">
      <c r="A13" s="29"/>
      <c r="B13" s="29">
        <v>0</v>
      </c>
      <c r="C13" s="29">
        <v>0</v>
      </c>
      <c r="D13" s="29"/>
      <c r="E13" s="117" t="s">
        <v>17</v>
      </c>
      <c r="F13" s="118"/>
      <c r="G13" s="117" t="s">
        <v>3646</v>
      </c>
      <c r="H13" s="118"/>
      <c r="I13" s="117" t="s">
        <v>3647</v>
      </c>
      <c r="J13" s="118"/>
      <c r="K13" s="117" t="s">
        <v>2952</v>
      </c>
      <c r="L13" s="118"/>
      <c r="M13" s="117" t="s">
        <v>3649</v>
      </c>
      <c r="N13" s="118"/>
      <c r="O13" s="117" t="s">
        <v>3628</v>
      </c>
      <c r="P13" s="118"/>
      <c r="Q13" s="117" t="s">
        <v>3648</v>
      </c>
      <c r="R13" s="118"/>
      <c r="S13" s="60"/>
      <c r="T13" s="60"/>
      <c r="U13" s="60"/>
      <c r="V13" s="60"/>
      <c r="W13" s="29"/>
      <c r="X13" s="29"/>
      <c r="Y13" s="29"/>
      <c r="Z13" s="29"/>
      <c r="AA13" s="29"/>
      <c r="AB13" s="29"/>
      <c r="AC13" s="29"/>
      <c r="AD13" s="29"/>
      <c r="AE13" s="29"/>
      <c r="AF13" s="29"/>
      <c r="AG13" s="29"/>
      <c r="AH13" s="29"/>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DA13" s="21" t="s">
        <v>42</v>
      </c>
      <c r="DB13" s="28" t="e">
        <f>_xlfn.XLOOKUP(B14,#REF!,#REF!,0,0)</f>
        <v>#REF!</v>
      </c>
    </row>
    <row r="14" spans="1:116" ht="18.75" x14ac:dyDescent="0.25">
      <c r="A14" s="29"/>
      <c r="B14" s="14">
        <f>SUBTOTAL(4,D17:D366)</f>
        <v>0</v>
      </c>
      <c r="C14" s="14">
        <f>_xlfn.XLOOKUP(B14,D17:D366,C17:C366,0,0)</f>
        <v>0</v>
      </c>
      <c r="D14" s="29"/>
      <c r="E14" s="104" t="s">
        <v>3650</v>
      </c>
      <c r="F14" s="104" t="s">
        <v>3651</v>
      </c>
      <c r="G14" s="104" t="s">
        <v>3650</v>
      </c>
      <c r="H14" s="104" t="s">
        <v>3651</v>
      </c>
      <c r="I14" s="104" t="s">
        <v>3650</v>
      </c>
      <c r="J14" s="104" t="s">
        <v>3651</v>
      </c>
      <c r="K14" s="104" t="s">
        <v>3650</v>
      </c>
      <c r="L14" s="104" t="s">
        <v>3651</v>
      </c>
      <c r="M14" s="104" t="s">
        <v>3650</v>
      </c>
      <c r="N14" s="104" t="s">
        <v>3651</v>
      </c>
      <c r="O14" s="104" t="s">
        <v>3650</v>
      </c>
      <c r="P14" s="104" t="s">
        <v>3651</v>
      </c>
      <c r="Q14" s="104" t="s">
        <v>3650</v>
      </c>
      <c r="R14" s="104" t="s">
        <v>3651</v>
      </c>
      <c r="S14" s="60"/>
      <c r="T14" s="60"/>
      <c r="U14" s="60"/>
      <c r="V14" s="60"/>
      <c r="W14" s="29"/>
      <c r="X14" s="29"/>
      <c r="Y14" s="29"/>
      <c r="Z14" s="29"/>
      <c r="AA14" s="29"/>
      <c r="AB14" s="29"/>
      <c r="AC14" s="29"/>
      <c r="AD14" s="29"/>
      <c r="AE14" s="29"/>
      <c r="AF14" s="29"/>
      <c r="AG14" s="29"/>
      <c r="AH14" s="29"/>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47"/>
      <c r="CI14" s="29"/>
      <c r="CJ14" s="29"/>
      <c r="CK14" s="29"/>
      <c r="CL14" s="29"/>
      <c r="CM14" s="29"/>
      <c r="CN14" s="29"/>
      <c r="CO14" s="29"/>
      <c r="CP14" s="29"/>
      <c r="CQ14" s="29"/>
      <c r="CR14" s="29"/>
      <c r="CS14" s="29"/>
      <c r="CT14" s="29"/>
      <c r="CU14" s="29"/>
      <c r="CV14" s="29"/>
      <c r="CW14" s="29"/>
      <c r="CX14" s="29"/>
      <c r="CY14" s="29"/>
      <c r="DA14" s="21" t="s">
        <v>41</v>
      </c>
      <c r="DB14" s="28" t="e">
        <f>_xlfn.XLOOKUP(B14,#REF!,#REF!,0,0)</f>
        <v>#REF!</v>
      </c>
    </row>
    <row r="15" spans="1:116" ht="15.75" x14ac:dyDescent="0.25">
      <c r="A15" s="29"/>
      <c r="B15" s="29"/>
      <c r="C15" s="29"/>
      <c r="D15" s="29"/>
      <c r="E15" s="91">
        <v>0</v>
      </c>
      <c r="F15" s="90">
        <v>0</v>
      </c>
      <c r="G15" s="87">
        <v>0</v>
      </c>
      <c r="H15" s="88">
        <v>0</v>
      </c>
      <c r="I15" s="87">
        <v>0</v>
      </c>
      <c r="J15" s="88">
        <v>0</v>
      </c>
      <c r="K15" s="89"/>
      <c r="L15" s="89"/>
      <c r="M15" s="89"/>
      <c r="N15" s="89"/>
      <c r="O15" s="89"/>
      <c r="P15" s="89"/>
      <c r="Q15" s="89">
        <v>0</v>
      </c>
      <c r="R15" s="89">
        <v>0</v>
      </c>
      <c r="S15" s="60"/>
      <c r="T15" s="60"/>
      <c r="U15" s="60"/>
      <c r="V15"/>
      <c r="W15" s="114" t="s">
        <v>59</v>
      </c>
      <c r="X15" s="114"/>
      <c r="Y15" s="114"/>
      <c r="Z15" s="114"/>
      <c r="AA15" s="114"/>
      <c r="AB15" s="114"/>
      <c r="AC15" s="114"/>
      <c r="AD15" s="114"/>
      <c r="AE15" s="114"/>
      <c r="AF15" s="114"/>
      <c r="AG15" s="114"/>
      <c r="AH15" s="114"/>
      <c r="AI15" s="115" t="s">
        <v>45</v>
      </c>
      <c r="AJ15" s="115"/>
      <c r="AK15" s="115"/>
      <c r="AL15" s="115"/>
      <c r="AM15" s="115"/>
      <c r="AN15" s="115"/>
      <c r="AO15" s="115"/>
      <c r="AP15" s="115"/>
      <c r="AQ15" s="115"/>
      <c r="AR15" s="115"/>
      <c r="AS15" s="115"/>
      <c r="AT15" s="115"/>
      <c r="AU15" s="116" t="s">
        <v>46</v>
      </c>
      <c r="AV15" s="116"/>
      <c r="AW15" s="116"/>
      <c r="AX15" s="116"/>
      <c r="AY15" s="116"/>
      <c r="AZ15" s="116"/>
      <c r="BA15" s="116"/>
      <c r="BB15" s="116"/>
      <c r="BC15" s="116"/>
      <c r="BD15" s="116"/>
      <c r="BE15" s="116"/>
      <c r="BF15" s="116"/>
      <c r="BG15" s="29"/>
      <c r="BH15" s="114" t="s">
        <v>44</v>
      </c>
      <c r="BI15" s="114"/>
      <c r="BJ15" s="114"/>
      <c r="BK15" s="114"/>
      <c r="BL15" s="114"/>
      <c r="BM15" s="114"/>
      <c r="BN15" s="114"/>
      <c r="BO15" s="114"/>
      <c r="BP15" s="114"/>
      <c r="BQ15" s="114"/>
      <c r="BR15" s="114"/>
      <c r="BS15" s="114"/>
      <c r="BT15" s="29"/>
      <c r="BU15" s="112" t="s">
        <v>60</v>
      </c>
      <c r="BV15" s="112"/>
      <c r="BW15" s="112"/>
      <c r="BX15" s="112"/>
      <c r="BY15" s="112"/>
      <c r="BZ15" s="112"/>
      <c r="CA15" s="112"/>
      <c r="CB15" s="112"/>
      <c r="CC15" s="112"/>
      <c r="CD15" s="112"/>
      <c r="CE15" s="112"/>
      <c r="CF15" s="112"/>
      <c r="CG15" s="29"/>
      <c r="CH15" s="113" t="s">
        <v>61</v>
      </c>
      <c r="CI15" s="29"/>
      <c r="CJ15" s="111" t="s">
        <v>62</v>
      </c>
      <c r="CK15" s="111"/>
      <c r="CL15" s="111"/>
      <c r="CM15" s="111"/>
      <c r="CN15" s="111"/>
      <c r="CO15" s="111"/>
      <c r="CP15" s="111"/>
      <c r="CQ15" s="111"/>
      <c r="CR15" s="111"/>
      <c r="CS15" s="111"/>
      <c r="CT15" s="111"/>
      <c r="CU15" s="111"/>
      <c r="CV15" s="35" t="s">
        <v>62</v>
      </c>
      <c r="CW15" s="29"/>
      <c r="CX15" s="29"/>
      <c r="CY15" s="29"/>
    </row>
    <row r="16" spans="1:116" ht="15.75" x14ac:dyDescent="0.25">
      <c r="A16" s="1" t="s">
        <v>26</v>
      </c>
      <c r="B16" s="1" t="s">
        <v>27</v>
      </c>
      <c r="C16" s="1" t="s">
        <v>16</v>
      </c>
      <c r="D16" s="1" t="s">
        <v>28</v>
      </c>
      <c r="E16" s="19" t="s">
        <v>29</v>
      </c>
      <c r="F16" s="1" t="s">
        <v>30</v>
      </c>
      <c r="G16" s="2" t="s">
        <v>0</v>
      </c>
      <c r="H16" s="2" t="s">
        <v>1</v>
      </c>
      <c r="I16" s="2" t="s">
        <v>2</v>
      </c>
      <c r="J16" s="2" t="s">
        <v>3</v>
      </c>
      <c r="K16" s="2" t="s">
        <v>4</v>
      </c>
      <c r="L16" s="2" t="s">
        <v>5</v>
      </c>
      <c r="M16" s="2" t="s">
        <v>6</v>
      </c>
      <c r="N16" s="2" t="s">
        <v>7</v>
      </c>
      <c r="O16" s="2" t="s">
        <v>8</v>
      </c>
      <c r="P16" s="2" t="s">
        <v>9</v>
      </c>
      <c r="Q16" s="2" t="s">
        <v>10</v>
      </c>
      <c r="R16" s="2" t="s">
        <v>11</v>
      </c>
      <c r="S16" s="2" t="s">
        <v>12</v>
      </c>
      <c r="T16" s="2" t="s">
        <v>25</v>
      </c>
      <c r="U16" s="43" t="s">
        <v>30</v>
      </c>
      <c r="V16" s="35" t="s">
        <v>62</v>
      </c>
      <c r="W16" s="34" t="s">
        <v>47</v>
      </c>
      <c r="X16" s="34" t="s">
        <v>48</v>
      </c>
      <c r="Y16" s="34" t="s">
        <v>49</v>
      </c>
      <c r="Z16" s="34" t="s">
        <v>50</v>
      </c>
      <c r="AA16" s="34" t="s">
        <v>51</v>
      </c>
      <c r="AB16" s="34" t="s">
        <v>52</v>
      </c>
      <c r="AC16" s="34" t="s">
        <v>53</v>
      </c>
      <c r="AD16" s="34" t="s">
        <v>54</v>
      </c>
      <c r="AE16" s="34" t="s">
        <v>55</v>
      </c>
      <c r="AF16" s="34" t="s">
        <v>56</v>
      </c>
      <c r="AG16" s="34" t="s">
        <v>57</v>
      </c>
      <c r="AH16" s="34" t="s">
        <v>58</v>
      </c>
      <c r="AI16" s="38" t="s">
        <v>47</v>
      </c>
      <c r="AJ16" s="38" t="s">
        <v>48</v>
      </c>
      <c r="AK16" s="38" t="s">
        <v>49</v>
      </c>
      <c r="AL16" s="38" t="s">
        <v>50</v>
      </c>
      <c r="AM16" s="38" t="s">
        <v>51</v>
      </c>
      <c r="AN16" s="38" t="s">
        <v>52</v>
      </c>
      <c r="AO16" s="38" t="s">
        <v>53</v>
      </c>
      <c r="AP16" s="38" t="s">
        <v>54</v>
      </c>
      <c r="AQ16" s="38" t="s">
        <v>55</v>
      </c>
      <c r="AR16" s="38" t="s">
        <v>56</v>
      </c>
      <c r="AS16" s="38" t="s">
        <v>57</v>
      </c>
      <c r="AT16" s="38" t="s">
        <v>58</v>
      </c>
      <c r="AU16" s="40" t="s">
        <v>47</v>
      </c>
      <c r="AV16" s="40" t="s">
        <v>48</v>
      </c>
      <c r="AW16" s="40" t="s">
        <v>49</v>
      </c>
      <c r="AX16" s="40" t="s">
        <v>50</v>
      </c>
      <c r="AY16" s="40" t="s">
        <v>51</v>
      </c>
      <c r="AZ16" s="40" t="s">
        <v>52</v>
      </c>
      <c r="BA16" s="40" t="s">
        <v>53</v>
      </c>
      <c r="BB16" s="40" t="s">
        <v>54</v>
      </c>
      <c r="BC16" s="40" t="s">
        <v>55</v>
      </c>
      <c r="BD16" s="40" t="s">
        <v>56</v>
      </c>
      <c r="BE16" s="40" t="s">
        <v>57</v>
      </c>
      <c r="BF16" s="40" t="s">
        <v>58</v>
      </c>
      <c r="BG16" s="29"/>
      <c r="BH16" s="34" t="s">
        <v>47</v>
      </c>
      <c r="BI16" s="34" t="s">
        <v>48</v>
      </c>
      <c r="BJ16" s="34" t="s">
        <v>49</v>
      </c>
      <c r="BK16" s="34" t="s">
        <v>50</v>
      </c>
      <c r="BL16" s="34" t="s">
        <v>51</v>
      </c>
      <c r="BM16" s="34" t="s">
        <v>52</v>
      </c>
      <c r="BN16" s="34" t="s">
        <v>53</v>
      </c>
      <c r="BO16" s="34" t="s">
        <v>54</v>
      </c>
      <c r="BP16" s="34" t="s">
        <v>55</v>
      </c>
      <c r="BQ16" s="34" t="s">
        <v>56</v>
      </c>
      <c r="BR16" s="34" t="s">
        <v>57</v>
      </c>
      <c r="BS16" s="34" t="s">
        <v>58</v>
      </c>
      <c r="BT16" s="29"/>
      <c r="BU16" s="35" t="s">
        <v>47</v>
      </c>
      <c r="BV16" s="35" t="s">
        <v>48</v>
      </c>
      <c r="BW16" s="35" t="s">
        <v>49</v>
      </c>
      <c r="BX16" s="35" t="s">
        <v>50</v>
      </c>
      <c r="BY16" s="35" t="s">
        <v>51</v>
      </c>
      <c r="BZ16" s="35" t="s">
        <v>52</v>
      </c>
      <c r="CA16" s="35" t="s">
        <v>53</v>
      </c>
      <c r="CB16" s="35" t="s">
        <v>54</v>
      </c>
      <c r="CC16" s="35" t="s">
        <v>55</v>
      </c>
      <c r="CD16" s="35" t="s">
        <v>56</v>
      </c>
      <c r="CE16" s="35" t="s">
        <v>57</v>
      </c>
      <c r="CF16" s="35" t="s">
        <v>58</v>
      </c>
      <c r="CG16" s="29"/>
      <c r="CH16" s="113"/>
      <c r="CI16" s="29"/>
      <c r="CJ16" s="42" t="s">
        <v>47</v>
      </c>
      <c r="CK16" s="42" t="s">
        <v>48</v>
      </c>
      <c r="CL16" s="42" t="s">
        <v>49</v>
      </c>
      <c r="CM16" s="42" t="s">
        <v>50</v>
      </c>
      <c r="CN16" s="42" t="s">
        <v>51</v>
      </c>
      <c r="CO16" s="42" t="s">
        <v>52</v>
      </c>
      <c r="CP16" s="42" t="s">
        <v>53</v>
      </c>
      <c r="CQ16" s="42" t="s">
        <v>54</v>
      </c>
      <c r="CR16" s="42" t="s">
        <v>55</v>
      </c>
      <c r="CS16" s="42" t="s">
        <v>56</v>
      </c>
      <c r="CT16" s="42" t="s">
        <v>57</v>
      </c>
      <c r="CU16" s="42" t="s">
        <v>58</v>
      </c>
      <c r="CV16" s="35" t="s">
        <v>63</v>
      </c>
      <c r="CW16" s="29"/>
      <c r="CX16" s="29"/>
      <c r="CY16" s="29"/>
    </row>
    <row r="17" spans="1:100" ht="15.75" x14ac:dyDescent="0.25">
      <c r="A17" s="16"/>
      <c r="B17" s="44"/>
      <c r="C17" s="44"/>
      <c r="D17" s="44"/>
      <c r="E17" s="44"/>
      <c r="F17" s="45" t="s">
        <v>17</v>
      </c>
      <c r="G17" s="72"/>
      <c r="H17" s="72"/>
      <c r="I17" s="73"/>
      <c r="J17" s="73"/>
      <c r="K17" s="73"/>
      <c r="L17" s="73"/>
      <c r="M17" s="73"/>
      <c r="N17" s="73"/>
      <c r="O17" s="73"/>
      <c r="P17" s="74"/>
      <c r="Q17" s="74"/>
      <c r="R17" s="74"/>
      <c r="S17" s="6">
        <f t="shared" ref="S17:S73" si="1">SUM(G17:R17)</f>
        <v>0</v>
      </c>
      <c r="T17" s="8">
        <f>IFERROR(((S17-S42)/S42),0)</f>
        <v>0</v>
      </c>
      <c r="U17" s="13" t="s">
        <v>2952</v>
      </c>
      <c r="V17" s="46">
        <f>CV17</f>
        <v>0</v>
      </c>
      <c r="W17" s="36">
        <v>3.766</v>
      </c>
      <c r="X17" s="36">
        <v>3.766</v>
      </c>
      <c r="Y17" s="36">
        <v>3.766</v>
      </c>
      <c r="Z17" s="36">
        <v>3.766</v>
      </c>
      <c r="AA17" s="36">
        <v>3.766</v>
      </c>
      <c r="AB17" s="36">
        <v>3.766</v>
      </c>
      <c r="AC17" s="36">
        <v>3.766</v>
      </c>
      <c r="AD17" s="36">
        <v>3.766</v>
      </c>
      <c r="AE17" s="36">
        <v>3.766</v>
      </c>
      <c r="AF17" s="36">
        <v>3.766</v>
      </c>
      <c r="AG17" s="36">
        <v>3.766</v>
      </c>
      <c r="AH17" s="36">
        <v>3.766</v>
      </c>
      <c r="AI17" s="39">
        <v>1.33634708931066E-2</v>
      </c>
      <c r="AJ17" s="39">
        <v>1.33634708931066E-2</v>
      </c>
      <c r="AK17" s="39">
        <v>1.33634708931066E-2</v>
      </c>
      <c r="AL17" s="39">
        <v>1.33634708931066E-2</v>
      </c>
      <c r="AM17" s="39">
        <v>1.33634708931066E-2</v>
      </c>
      <c r="AN17" s="39">
        <v>1.33634708931066E-2</v>
      </c>
      <c r="AO17" s="39">
        <v>1.33634708931066E-2</v>
      </c>
      <c r="AP17" s="39">
        <v>1.33634708931066E-2</v>
      </c>
      <c r="AQ17" s="39">
        <v>1.33634708931066E-2</v>
      </c>
      <c r="AR17" s="39">
        <v>1.33634708931066E-2</v>
      </c>
      <c r="AS17" s="39">
        <v>1.33634708931066E-2</v>
      </c>
      <c r="AT17" s="39">
        <v>1.33634708931066E-2</v>
      </c>
      <c r="AU17" s="39">
        <v>1.2392217523121999E-3</v>
      </c>
      <c r="AV17" s="39">
        <v>1.2392217523121999E-3</v>
      </c>
      <c r="AW17" s="39">
        <v>1.2392217523121999E-3</v>
      </c>
      <c r="AX17" s="39">
        <v>1.2392217523121999E-3</v>
      </c>
      <c r="AY17" s="39">
        <v>1.2392217523121999E-3</v>
      </c>
      <c r="AZ17" s="39">
        <v>1.2392217523121999E-3</v>
      </c>
      <c r="BA17" s="39">
        <v>1.2392217523121999E-3</v>
      </c>
      <c r="BB17" s="39">
        <v>1.2392217523121999E-3</v>
      </c>
      <c r="BC17" s="39">
        <v>1.2392217523121999E-3</v>
      </c>
      <c r="BD17" s="39">
        <v>1.2392217523121999E-3</v>
      </c>
      <c r="BE17" s="39">
        <v>1.2392217523121999E-3</v>
      </c>
      <c r="BF17" s="39">
        <v>1.2392217523121999E-3</v>
      </c>
      <c r="BH17" s="12">
        <f t="shared" ref="BH17:BH80" si="2">(W17*G17)</f>
        <v>0</v>
      </c>
      <c r="BI17" s="12">
        <f t="shared" ref="BI17:BI80" si="3">(X17*H17)</f>
        <v>0</v>
      </c>
      <c r="BJ17" s="12">
        <f t="shared" ref="BJ17:BJ80" si="4">(Y17*I17)</f>
        <v>0</v>
      </c>
      <c r="BK17" s="12">
        <f t="shared" ref="BK17:BK80" si="5">(Z17*J17)</f>
        <v>0</v>
      </c>
      <c r="BL17" s="12">
        <f t="shared" ref="BL17:BL80" si="6">(AA17*K17)</f>
        <v>0</v>
      </c>
      <c r="BM17" s="12">
        <f t="shared" ref="BM17:BM80" si="7">(AB17*L17)</f>
        <v>0</v>
      </c>
      <c r="BN17" s="12">
        <f t="shared" ref="BN17:BN80" si="8">(AC17*M17)</f>
        <v>0</v>
      </c>
      <c r="BO17" s="12">
        <f t="shared" ref="BO17:BO80" si="9">(AD17*N17)</f>
        <v>0</v>
      </c>
      <c r="BP17" s="12">
        <f t="shared" ref="BP17:BP80" si="10">(AE17*O17)</f>
        <v>0</v>
      </c>
      <c r="BQ17" s="12">
        <f t="shared" ref="BQ17:BQ80" si="11">(AF17*P17)</f>
        <v>0</v>
      </c>
      <c r="BR17" s="12">
        <f t="shared" ref="BR17:BR73" si="12">(AG17*Q17)</f>
        <v>0</v>
      </c>
      <c r="BS17" s="12">
        <f t="shared" ref="BS17:BS73" si="13">(AH17*R17)</f>
        <v>0</v>
      </c>
      <c r="BU17" s="11">
        <f>BH17*(1-(AI17+AU17))</f>
        <v>0</v>
      </c>
      <c r="BV17" s="11">
        <f t="shared" ref="BV17:BW17" si="14">BI17*(1-(AJ17+AV17))</f>
        <v>0</v>
      </c>
      <c r="BW17" s="11">
        <f t="shared" si="14"/>
        <v>0</v>
      </c>
      <c r="BX17" s="11">
        <f t="shared" ref="BX17:CF17" si="15">BK17*(1-(AL17+AX17))</f>
        <v>0</v>
      </c>
      <c r="BY17" s="11">
        <f t="shared" si="15"/>
        <v>0</v>
      </c>
      <c r="BZ17" s="11">
        <f t="shared" si="15"/>
        <v>0</v>
      </c>
      <c r="CA17" s="11">
        <f t="shared" si="15"/>
        <v>0</v>
      </c>
      <c r="CB17" s="11">
        <f t="shared" si="15"/>
        <v>0</v>
      </c>
      <c r="CC17" s="11">
        <f t="shared" si="15"/>
        <v>0</v>
      </c>
      <c r="CD17" s="11">
        <f t="shared" si="15"/>
        <v>0</v>
      </c>
      <c r="CE17" s="11">
        <f t="shared" si="15"/>
        <v>0</v>
      </c>
      <c r="CF17" s="11">
        <f t="shared" si="15"/>
        <v>0</v>
      </c>
      <c r="CG17" s="11"/>
      <c r="CH17" s="69">
        <v>3.2330000000000001</v>
      </c>
      <c r="CJ17" s="54">
        <f>((BU17/$CH17)/1000)</f>
        <v>0</v>
      </c>
      <c r="CK17" s="54">
        <f t="shared" ref="CK17:CU17" si="16">((BV17/$CH17)/1000)</f>
        <v>0</v>
      </c>
      <c r="CL17" s="54">
        <f t="shared" si="16"/>
        <v>0</v>
      </c>
      <c r="CM17" s="54">
        <f t="shared" si="16"/>
        <v>0</v>
      </c>
      <c r="CN17" s="54">
        <f t="shared" si="16"/>
        <v>0</v>
      </c>
      <c r="CO17" s="54">
        <f t="shared" si="16"/>
        <v>0</v>
      </c>
      <c r="CP17" s="54">
        <f t="shared" si="16"/>
        <v>0</v>
      </c>
      <c r="CQ17" s="54">
        <f t="shared" si="16"/>
        <v>0</v>
      </c>
      <c r="CR17" s="54">
        <f t="shared" si="16"/>
        <v>0</v>
      </c>
      <c r="CS17" s="54">
        <f t="shared" si="16"/>
        <v>0</v>
      </c>
      <c r="CT17" s="54">
        <f t="shared" si="16"/>
        <v>0</v>
      </c>
      <c r="CU17" s="54">
        <f t="shared" si="16"/>
        <v>0</v>
      </c>
      <c r="CV17" s="52">
        <f>ROUNDUP(SUM(CJ17:CU17),0)</f>
        <v>0</v>
      </c>
    </row>
    <row r="18" spans="1:100" ht="15.75" x14ac:dyDescent="0.25">
      <c r="A18" s="16"/>
      <c r="B18" s="44"/>
      <c r="C18" s="44"/>
      <c r="D18" s="44"/>
      <c r="E18" s="44"/>
      <c r="F18" s="45" t="s">
        <v>17</v>
      </c>
      <c r="G18" s="72"/>
      <c r="H18" s="72"/>
      <c r="I18" s="74"/>
      <c r="J18" s="74"/>
      <c r="K18" s="74"/>
      <c r="L18" s="74"/>
      <c r="M18" s="74"/>
      <c r="N18" s="74"/>
      <c r="O18" s="74"/>
      <c r="P18" s="74"/>
      <c r="Q18" s="74"/>
      <c r="R18" s="74"/>
      <c r="S18" s="11">
        <f t="shared" si="1"/>
        <v>0</v>
      </c>
      <c r="T18" s="8">
        <f t="shared" ref="T18:T41" si="17">IFERROR(((S18-S43)/S43),0)</f>
        <v>0</v>
      </c>
      <c r="U18" s="13" t="s">
        <v>2952</v>
      </c>
      <c r="V18" s="46">
        <f t="shared" ref="V18:V106" si="18">CV18</f>
        <v>0</v>
      </c>
      <c r="W18" s="36">
        <v>0.94</v>
      </c>
      <c r="X18" s="36">
        <v>0.94</v>
      </c>
      <c r="Y18" s="36">
        <v>0.94</v>
      </c>
      <c r="Z18" s="36">
        <v>0.94</v>
      </c>
      <c r="AA18" s="36">
        <v>0.94</v>
      </c>
      <c r="AB18" s="36">
        <v>0.94</v>
      </c>
      <c r="AC18" s="36">
        <v>0.94</v>
      </c>
      <c r="AD18" s="36">
        <v>0.94</v>
      </c>
      <c r="AE18" s="36">
        <v>0.94</v>
      </c>
      <c r="AF18" s="36">
        <v>0.94</v>
      </c>
      <c r="AG18" s="36">
        <v>0.94</v>
      </c>
      <c r="AH18" s="36">
        <v>0.94</v>
      </c>
      <c r="AI18" s="39">
        <v>1.33634708931066E-2</v>
      </c>
      <c r="AJ18" s="39">
        <v>1.33634708931066E-2</v>
      </c>
      <c r="AK18" s="39">
        <v>1.33634708931066E-2</v>
      </c>
      <c r="AL18" s="39">
        <v>1.33634708931066E-2</v>
      </c>
      <c r="AM18" s="39">
        <v>1.33634708931066E-2</v>
      </c>
      <c r="AN18" s="39">
        <v>1.33634708931066E-2</v>
      </c>
      <c r="AO18" s="39">
        <v>1.33634708931066E-2</v>
      </c>
      <c r="AP18" s="39">
        <v>1.33634708931066E-2</v>
      </c>
      <c r="AQ18" s="39">
        <v>1.33634708931066E-2</v>
      </c>
      <c r="AR18" s="39">
        <v>1.33634708931066E-2</v>
      </c>
      <c r="AS18" s="39">
        <v>1.33634708931066E-2</v>
      </c>
      <c r="AT18" s="39">
        <v>1.33634708931066E-2</v>
      </c>
      <c r="AU18" s="39">
        <v>1.2392217523121999E-3</v>
      </c>
      <c r="AV18" s="39">
        <v>1.2392217523121999E-3</v>
      </c>
      <c r="AW18" s="39">
        <v>1.2392217523121999E-3</v>
      </c>
      <c r="AX18" s="39">
        <v>1.2392217523121999E-3</v>
      </c>
      <c r="AY18" s="39">
        <v>1.2392217523121999E-3</v>
      </c>
      <c r="AZ18" s="39">
        <v>1.2392217523121999E-3</v>
      </c>
      <c r="BA18" s="39">
        <v>1.2392217523121999E-3</v>
      </c>
      <c r="BB18" s="39">
        <v>1.2392217523121999E-3</v>
      </c>
      <c r="BC18" s="39">
        <v>1.2392217523121999E-3</v>
      </c>
      <c r="BD18" s="39">
        <v>1.2392217523121999E-3</v>
      </c>
      <c r="BE18" s="39">
        <v>1.2392217523121999E-3</v>
      </c>
      <c r="BF18" s="39">
        <v>1.2392217523121999E-3</v>
      </c>
      <c r="BH18" s="12">
        <f t="shared" si="2"/>
        <v>0</v>
      </c>
      <c r="BI18" s="12">
        <f t="shared" si="3"/>
        <v>0</v>
      </c>
      <c r="BJ18" s="12">
        <f t="shared" si="4"/>
        <v>0</v>
      </c>
      <c r="BK18" s="12">
        <f t="shared" si="5"/>
        <v>0</v>
      </c>
      <c r="BL18" s="12">
        <f t="shared" si="6"/>
        <v>0</v>
      </c>
      <c r="BM18" s="12">
        <f t="shared" si="7"/>
        <v>0</v>
      </c>
      <c r="BN18" s="12">
        <f t="shared" si="8"/>
        <v>0</v>
      </c>
      <c r="BO18" s="12">
        <f t="shared" si="9"/>
        <v>0</v>
      </c>
      <c r="BP18" s="12">
        <f t="shared" si="10"/>
        <v>0</v>
      </c>
      <c r="BQ18" s="12">
        <f t="shared" si="11"/>
        <v>0</v>
      </c>
      <c r="BR18" s="12">
        <f t="shared" si="12"/>
        <v>0</v>
      </c>
      <c r="BS18" s="12">
        <f t="shared" si="13"/>
        <v>0</v>
      </c>
      <c r="BU18" s="11">
        <f t="shared" ref="BU18:BU106" si="19">BH18*(1-(AI18+AU18))</f>
        <v>0</v>
      </c>
      <c r="BV18" s="11">
        <f t="shared" ref="BV18:BV106" si="20">BI18*(1-(AJ18+AV18))</f>
        <v>0</v>
      </c>
      <c r="BW18" s="11">
        <f t="shared" ref="BW18:BW106" si="21">BJ18*(1-(AK18+AW18))</f>
        <v>0</v>
      </c>
      <c r="BX18" s="11">
        <f t="shared" ref="BX18:BX106" si="22">BK18*(1-(AL18+AX18))</f>
        <v>0</v>
      </c>
      <c r="BY18" s="11">
        <f t="shared" ref="BY18:BY106" si="23">BL18*(1-(AM18+AY18))</f>
        <v>0</v>
      </c>
      <c r="BZ18" s="11">
        <f t="shared" ref="BZ18:BZ106" si="24">BM18*(1-(AN18+AZ18))</f>
        <v>0</v>
      </c>
      <c r="CA18" s="11">
        <f t="shared" ref="CA18:CA106" si="25">BN18*(1-(AO18+BA18))</f>
        <v>0</v>
      </c>
      <c r="CB18" s="11">
        <f t="shared" ref="CB18:CB106" si="26">BO18*(1-(AP18+BB18))</f>
        <v>0</v>
      </c>
      <c r="CC18" s="11">
        <f t="shared" ref="CC18:CC106" si="27">BP18*(1-(AQ18+BC18))</f>
        <v>0</v>
      </c>
      <c r="CD18" s="11">
        <f t="shared" ref="CD18:CD106" si="28">BQ18*(1-(AR18+BD18))</f>
        <v>0</v>
      </c>
      <c r="CE18" s="11">
        <f t="shared" ref="CE18:CE106" si="29">BR18*(1-(AS18+BE18))</f>
        <v>0</v>
      </c>
      <c r="CF18" s="11">
        <f t="shared" ref="CF18:CF106" si="30">BS18*(1-(AT18+BF18))</f>
        <v>0</v>
      </c>
      <c r="CG18" s="11"/>
      <c r="CH18" s="41">
        <v>3.2330000000000001</v>
      </c>
      <c r="CJ18" s="54">
        <f t="shared" ref="CJ18:CJ106" si="31">((BU18/$CH18)/1000)</f>
        <v>0</v>
      </c>
      <c r="CK18" s="54">
        <f t="shared" ref="CK18:CK106" si="32">((BV18/$CH18)/1000)</f>
        <v>0</v>
      </c>
      <c r="CL18" s="54">
        <f t="shared" ref="CL18:CL106" si="33">((BW18/$CH18)/1000)</f>
        <v>0</v>
      </c>
      <c r="CM18" s="54">
        <f t="shared" ref="CM18:CM106" si="34">((BX18/$CH18)/1000)</f>
        <v>0</v>
      </c>
      <c r="CN18" s="54">
        <f t="shared" ref="CN18:CN106" si="35">((BY18/$CH18)/1000)</f>
        <v>0</v>
      </c>
      <c r="CO18" s="54">
        <f t="shared" ref="CO18:CO106" si="36">((BZ18/$CH18)/1000)</f>
        <v>0</v>
      </c>
      <c r="CP18" s="54">
        <f t="shared" ref="CP18:CP106" si="37">((CA18/$CH18)/1000)</f>
        <v>0</v>
      </c>
      <c r="CQ18" s="54">
        <f t="shared" ref="CQ18:CQ106" si="38">((CB18/$CH18)/1000)</f>
        <v>0</v>
      </c>
      <c r="CR18" s="54">
        <f t="shared" ref="CR18:CR106" si="39">((CC18/$CH18)/1000)</f>
        <v>0</v>
      </c>
      <c r="CS18" s="54">
        <f t="shared" ref="CS18:CS106" si="40">((CD18/$CH18)/1000)</f>
        <v>0</v>
      </c>
      <c r="CT18" s="54">
        <f t="shared" ref="CT18:CT106" si="41">((CE18/$CH18)/1000)</f>
        <v>0</v>
      </c>
      <c r="CU18" s="54">
        <f t="shared" ref="CU18:CU106" si="42">((CF18/$CH18)/1000)</f>
        <v>0</v>
      </c>
      <c r="CV18" s="52">
        <f t="shared" ref="CV18:CV106" si="43">ROUNDUP(SUM(CJ18:CU18),0)</f>
        <v>0</v>
      </c>
    </row>
    <row r="19" spans="1:100" ht="15.75" x14ac:dyDescent="0.25">
      <c r="A19" s="16"/>
      <c r="B19" s="44"/>
      <c r="C19" s="44"/>
      <c r="D19" s="44"/>
      <c r="E19" s="44"/>
      <c r="F19" s="45" t="s">
        <v>17</v>
      </c>
      <c r="G19" s="72"/>
      <c r="H19" s="72"/>
      <c r="I19" s="74"/>
      <c r="J19" s="74"/>
      <c r="K19" s="74"/>
      <c r="L19" s="74"/>
      <c r="M19" s="74"/>
      <c r="N19" s="74"/>
      <c r="O19" s="74"/>
      <c r="P19" s="74"/>
      <c r="Q19" s="74"/>
      <c r="R19" s="74"/>
      <c r="S19" s="11">
        <f t="shared" si="1"/>
        <v>0</v>
      </c>
      <c r="T19" s="8">
        <f t="shared" si="17"/>
        <v>0</v>
      </c>
      <c r="U19" s="13" t="s">
        <v>2952</v>
      </c>
      <c r="V19" s="46">
        <f t="shared" si="18"/>
        <v>0</v>
      </c>
      <c r="W19" s="36">
        <v>1.75</v>
      </c>
      <c r="X19" s="36">
        <v>1.75</v>
      </c>
      <c r="Y19" s="36">
        <v>1.75</v>
      </c>
      <c r="Z19" s="36">
        <v>1.75</v>
      </c>
      <c r="AA19" s="36">
        <v>1.75</v>
      </c>
      <c r="AB19" s="36">
        <v>1.75</v>
      </c>
      <c r="AC19" s="36">
        <v>1.75</v>
      </c>
      <c r="AD19" s="36">
        <v>1.75</v>
      </c>
      <c r="AE19" s="36">
        <v>1.75</v>
      </c>
      <c r="AF19" s="36">
        <v>1.75</v>
      </c>
      <c r="AG19" s="36">
        <v>1.75</v>
      </c>
      <c r="AH19" s="36">
        <v>1.75</v>
      </c>
      <c r="AI19" s="39">
        <v>1.33634708931066E-2</v>
      </c>
      <c r="AJ19" s="39">
        <v>1.33634708931066E-2</v>
      </c>
      <c r="AK19" s="39">
        <v>1.33634708931066E-2</v>
      </c>
      <c r="AL19" s="39">
        <v>1.33634708931066E-2</v>
      </c>
      <c r="AM19" s="39">
        <v>1.33634708931066E-2</v>
      </c>
      <c r="AN19" s="39">
        <v>1.33634708931066E-2</v>
      </c>
      <c r="AO19" s="39">
        <v>1.33634708931066E-2</v>
      </c>
      <c r="AP19" s="39">
        <v>1.33634708931066E-2</v>
      </c>
      <c r="AQ19" s="39">
        <v>1.33634708931066E-2</v>
      </c>
      <c r="AR19" s="39">
        <v>1.33634708931066E-2</v>
      </c>
      <c r="AS19" s="39">
        <v>1.33634708931066E-2</v>
      </c>
      <c r="AT19" s="39">
        <v>1.33634708931066E-2</v>
      </c>
      <c r="AU19" s="39">
        <v>1.2392217523121999E-3</v>
      </c>
      <c r="AV19" s="39">
        <v>1.2392217523121999E-3</v>
      </c>
      <c r="AW19" s="39">
        <v>1.2392217523121999E-3</v>
      </c>
      <c r="AX19" s="39">
        <v>1.2392217523121999E-3</v>
      </c>
      <c r="AY19" s="39">
        <v>1.2392217523121999E-3</v>
      </c>
      <c r="AZ19" s="39">
        <v>1.2392217523121999E-3</v>
      </c>
      <c r="BA19" s="39">
        <v>1.2392217523121999E-3</v>
      </c>
      <c r="BB19" s="39">
        <v>1.2392217523121999E-3</v>
      </c>
      <c r="BC19" s="39">
        <v>1.2392217523121999E-3</v>
      </c>
      <c r="BD19" s="39">
        <v>1.2392217523121999E-3</v>
      </c>
      <c r="BE19" s="39">
        <v>1.2392217523121999E-3</v>
      </c>
      <c r="BF19" s="39">
        <v>1.2392217523121999E-3</v>
      </c>
      <c r="BH19" s="12">
        <f t="shared" si="2"/>
        <v>0</v>
      </c>
      <c r="BI19" s="12">
        <f t="shared" si="3"/>
        <v>0</v>
      </c>
      <c r="BJ19" s="12">
        <f t="shared" si="4"/>
        <v>0</v>
      </c>
      <c r="BK19" s="12">
        <f t="shared" si="5"/>
        <v>0</v>
      </c>
      <c r="BL19" s="12">
        <f t="shared" si="6"/>
        <v>0</v>
      </c>
      <c r="BM19" s="12">
        <f t="shared" si="7"/>
        <v>0</v>
      </c>
      <c r="BN19" s="12">
        <f t="shared" si="8"/>
        <v>0</v>
      </c>
      <c r="BO19" s="12">
        <f t="shared" si="9"/>
        <v>0</v>
      </c>
      <c r="BP19" s="12">
        <f t="shared" si="10"/>
        <v>0</v>
      </c>
      <c r="BQ19" s="12">
        <f t="shared" si="11"/>
        <v>0</v>
      </c>
      <c r="BR19" s="12">
        <f t="shared" si="12"/>
        <v>0</v>
      </c>
      <c r="BS19" s="12">
        <f t="shared" si="13"/>
        <v>0</v>
      </c>
      <c r="BU19" s="11">
        <f t="shared" si="19"/>
        <v>0</v>
      </c>
      <c r="BV19" s="11">
        <f t="shared" si="20"/>
        <v>0</v>
      </c>
      <c r="BW19" s="11">
        <f t="shared" si="21"/>
        <v>0</v>
      </c>
      <c r="BX19" s="11">
        <f t="shared" si="22"/>
        <v>0</v>
      </c>
      <c r="BY19" s="11">
        <f t="shared" si="23"/>
        <v>0</v>
      </c>
      <c r="BZ19" s="11">
        <f t="shared" si="24"/>
        <v>0</v>
      </c>
      <c r="CA19" s="11">
        <f t="shared" si="25"/>
        <v>0</v>
      </c>
      <c r="CB19" s="11">
        <f t="shared" si="26"/>
        <v>0</v>
      </c>
      <c r="CC19" s="11">
        <f t="shared" si="27"/>
        <v>0</v>
      </c>
      <c r="CD19" s="11">
        <f t="shared" si="28"/>
        <v>0</v>
      </c>
      <c r="CE19" s="11">
        <f t="shared" si="29"/>
        <v>0</v>
      </c>
      <c r="CF19" s="11">
        <f t="shared" si="30"/>
        <v>0</v>
      </c>
      <c r="CG19" s="11"/>
      <c r="CH19" s="41">
        <v>3.2330000000000001</v>
      </c>
      <c r="CJ19" s="54">
        <f t="shared" si="31"/>
        <v>0</v>
      </c>
      <c r="CK19" s="54">
        <f t="shared" si="32"/>
        <v>0</v>
      </c>
      <c r="CL19" s="54">
        <f t="shared" si="33"/>
        <v>0</v>
      </c>
      <c r="CM19" s="54">
        <f t="shared" si="34"/>
        <v>0</v>
      </c>
      <c r="CN19" s="54">
        <f t="shared" si="35"/>
        <v>0</v>
      </c>
      <c r="CO19" s="54">
        <f t="shared" si="36"/>
        <v>0</v>
      </c>
      <c r="CP19" s="54">
        <f t="shared" si="37"/>
        <v>0</v>
      </c>
      <c r="CQ19" s="54">
        <f t="shared" si="38"/>
        <v>0</v>
      </c>
      <c r="CR19" s="54">
        <f t="shared" si="39"/>
        <v>0</v>
      </c>
      <c r="CS19" s="54">
        <f t="shared" si="40"/>
        <v>0</v>
      </c>
      <c r="CT19" s="54">
        <f t="shared" si="41"/>
        <v>0</v>
      </c>
      <c r="CU19" s="54">
        <f t="shared" si="42"/>
        <v>0</v>
      </c>
      <c r="CV19" s="52">
        <f t="shared" si="43"/>
        <v>0</v>
      </c>
    </row>
    <row r="20" spans="1:100" ht="15.75" x14ac:dyDescent="0.25">
      <c r="A20" s="16"/>
      <c r="B20" s="44"/>
      <c r="C20" s="44"/>
      <c r="D20" s="44"/>
      <c r="E20" s="44"/>
      <c r="F20" s="45" t="s">
        <v>17</v>
      </c>
      <c r="G20" s="72"/>
      <c r="H20" s="72"/>
      <c r="I20" s="74"/>
      <c r="J20" s="74"/>
      <c r="K20" s="74"/>
      <c r="L20" s="74"/>
      <c r="M20" s="74"/>
      <c r="N20" s="74"/>
      <c r="O20" s="74"/>
      <c r="P20" s="74"/>
      <c r="Q20" s="74"/>
      <c r="R20" s="74"/>
      <c r="S20" s="11">
        <f t="shared" si="1"/>
        <v>0</v>
      </c>
      <c r="T20" s="8">
        <f t="shared" si="17"/>
        <v>0</v>
      </c>
      <c r="U20" s="13" t="s">
        <v>2952</v>
      </c>
      <c r="V20" s="46">
        <f t="shared" si="18"/>
        <v>0</v>
      </c>
      <c r="W20" s="36">
        <v>1.82</v>
      </c>
      <c r="X20" s="36">
        <v>1.82</v>
      </c>
      <c r="Y20" s="36">
        <v>2.367</v>
      </c>
      <c r="Z20" s="36">
        <v>2.367</v>
      </c>
      <c r="AA20" s="36">
        <v>2.367</v>
      </c>
      <c r="AB20" s="36">
        <v>2.367</v>
      </c>
      <c r="AC20" s="36">
        <v>2.367</v>
      </c>
      <c r="AD20" s="36">
        <v>2.367</v>
      </c>
      <c r="AE20" s="36">
        <v>2.367</v>
      </c>
      <c r="AF20" s="36">
        <v>2.367</v>
      </c>
      <c r="AG20" s="36">
        <v>2.367</v>
      </c>
      <c r="AH20" s="36">
        <v>2.367</v>
      </c>
      <c r="AI20" s="39">
        <v>1.33634708931066E-2</v>
      </c>
      <c r="AJ20" s="39">
        <v>1.33634708931066E-2</v>
      </c>
      <c r="AK20" s="39">
        <v>1.33634708931066E-2</v>
      </c>
      <c r="AL20" s="39">
        <v>1.33634708931066E-2</v>
      </c>
      <c r="AM20" s="39">
        <v>1.33634708931066E-2</v>
      </c>
      <c r="AN20" s="39">
        <v>1.33634708931066E-2</v>
      </c>
      <c r="AO20" s="39">
        <v>1.33634708931066E-2</v>
      </c>
      <c r="AP20" s="39">
        <v>1.33634708931066E-2</v>
      </c>
      <c r="AQ20" s="39">
        <v>1.33634708931066E-2</v>
      </c>
      <c r="AR20" s="39">
        <v>1.33634708931066E-2</v>
      </c>
      <c r="AS20" s="39">
        <v>1.33634708931066E-2</v>
      </c>
      <c r="AT20" s="39">
        <v>1.33634708931066E-2</v>
      </c>
      <c r="AU20" s="39">
        <v>1.2392217523121999E-3</v>
      </c>
      <c r="AV20" s="39">
        <v>1.2392217523121999E-3</v>
      </c>
      <c r="AW20" s="39">
        <v>1.2392217523121999E-3</v>
      </c>
      <c r="AX20" s="39">
        <v>1.2392217523121999E-3</v>
      </c>
      <c r="AY20" s="39">
        <v>1.2392217523121999E-3</v>
      </c>
      <c r="AZ20" s="39">
        <v>1.2392217523121999E-3</v>
      </c>
      <c r="BA20" s="39">
        <v>1.2392217523121999E-3</v>
      </c>
      <c r="BB20" s="39">
        <v>1.2392217523121999E-3</v>
      </c>
      <c r="BC20" s="39">
        <v>1.2392217523121999E-3</v>
      </c>
      <c r="BD20" s="39">
        <v>1.2392217523121999E-3</v>
      </c>
      <c r="BE20" s="39">
        <v>1.2392217523121999E-3</v>
      </c>
      <c r="BF20" s="39">
        <v>1.2392217523121999E-3</v>
      </c>
      <c r="BH20" s="12">
        <f t="shared" si="2"/>
        <v>0</v>
      </c>
      <c r="BI20" s="12">
        <f t="shared" si="3"/>
        <v>0</v>
      </c>
      <c r="BJ20" s="12">
        <f t="shared" si="4"/>
        <v>0</v>
      </c>
      <c r="BK20" s="12">
        <f t="shared" si="5"/>
        <v>0</v>
      </c>
      <c r="BL20" s="12">
        <f t="shared" si="6"/>
        <v>0</v>
      </c>
      <c r="BM20" s="12">
        <f t="shared" si="7"/>
        <v>0</v>
      </c>
      <c r="BN20" s="12">
        <f t="shared" si="8"/>
        <v>0</v>
      </c>
      <c r="BO20" s="12">
        <f t="shared" si="9"/>
        <v>0</v>
      </c>
      <c r="BP20" s="12">
        <f t="shared" si="10"/>
        <v>0</v>
      </c>
      <c r="BQ20" s="12">
        <f t="shared" si="11"/>
        <v>0</v>
      </c>
      <c r="BR20" s="12">
        <f t="shared" si="12"/>
        <v>0</v>
      </c>
      <c r="BS20" s="12">
        <f t="shared" si="13"/>
        <v>0</v>
      </c>
      <c r="BU20" s="11">
        <f t="shared" si="19"/>
        <v>0</v>
      </c>
      <c r="BV20" s="11">
        <f t="shared" si="20"/>
        <v>0</v>
      </c>
      <c r="BW20" s="11">
        <f t="shared" si="21"/>
        <v>0</v>
      </c>
      <c r="BX20" s="11">
        <f t="shared" si="22"/>
        <v>0</v>
      </c>
      <c r="BY20" s="11">
        <f t="shared" si="23"/>
        <v>0</v>
      </c>
      <c r="BZ20" s="11">
        <f t="shared" si="24"/>
        <v>0</v>
      </c>
      <c r="CA20" s="11">
        <f t="shared" si="25"/>
        <v>0</v>
      </c>
      <c r="CB20" s="11">
        <f t="shared" si="26"/>
        <v>0</v>
      </c>
      <c r="CC20" s="11">
        <f t="shared" si="27"/>
        <v>0</v>
      </c>
      <c r="CD20" s="11">
        <f t="shared" si="28"/>
        <v>0</v>
      </c>
      <c r="CE20" s="11">
        <f t="shared" si="29"/>
        <v>0</v>
      </c>
      <c r="CF20" s="11">
        <f t="shared" si="30"/>
        <v>0</v>
      </c>
      <c r="CG20" s="11"/>
      <c r="CH20" s="41">
        <v>3.2330000000000001</v>
      </c>
      <c r="CJ20" s="54">
        <f t="shared" si="31"/>
        <v>0</v>
      </c>
      <c r="CK20" s="54">
        <f t="shared" si="32"/>
        <v>0</v>
      </c>
      <c r="CL20" s="54">
        <f t="shared" si="33"/>
        <v>0</v>
      </c>
      <c r="CM20" s="54">
        <f t="shared" si="34"/>
        <v>0</v>
      </c>
      <c r="CN20" s="54">
        <f t="shared" si="35"/>
        <v>0</v>
      </c>
      <c r="CO20" s="54">
        <f t="shared" si="36"/>
        <v>0</v>
      </c>
      <c r="CP20" s="54">
        <f t="shared" si="37"/>
        <v>0</v>
      </c>
      <c r="CQ20" s="54">
        <f t="shared" si="38"/>
        <v>0</v>
      </c>
      <c r="CR20" s="54">
        <f t="shared" si="39"/>
        <v>0</v>
      </c>
      <c r="CS20" s="54">
        <f t="shared" si="40"/>
        <v>0</v>
      </c>
      <c r="CT20" s="54">
        <f t="shared" si="41"/>
        <v>0</v>
      </c>
      <c r="CU20" s="54">
        <f t="shared" si="42"/>
        <v>0</v>
      </c>
      <c r="CV20" s="52">
        <f t="shared" si="43"/>
        <v>0</v>
      </c>
    </row>
    <row r="21" spans="1:100" ht="15.75" x14ac:dyDescent="0.25">
      <c r="A21" s="16"/>
      <c r="B21" s="44"/>
      <c r="C21" s="44"/>
      <c r="D21" s="44"/>
      <c r="E21" s="44"/>
      <c r="F21" s="45" t="s">
        <v>17</v>
      </c>
      <c r="G21" s="72"/>
      <c r="H21" s="72"/>
      <c r="I21" s="74"/>
      <c r="J21" s="74"/>
      <c r="K21" s="74"/>
      <c r="L21" s="74"/>
      <c r="M21" s="74"/>
      <c r="N21" s="74"/>
      <c r="O21" s="74"/>
      <c r="P21" s="74"/>
      <c r="Q21" s="74"/>
      <c r="R21" s="74"/>
      <c r="S21" s="11">
        <f t="shared" si="1"/>
        <v>0</v>
      </c>
      <c r="T21" s="8">
        <f t="shared" si="17"/>
        <v>0</v>
      </c>
      <c r="U21" s="13" t="s">
        <v>2952</v>
      </c>
      <c r="V21" s="46">
        <f t="shared" si="18"/>
        <v>0</v>
      </c>
      <c r="W21" s="36">
        <v>1.4890000000000001</v>
      </c>
      <c r="X21" s="36">
        <v>1.4890000000000001</v>
      </c>
      <c r="Y21" s="36">
        <v>1.9370000000000001</v>
      </c>
      <c r="Z21" s="36">
        <v>1.9370000000000001</v>
      </c>
      <c r="AA21" s="36">
        <v>1.9370000000000001</v>
      </c>
      <c r="AB21" s="36">
        <v>1.9370000000000001</v>
      </c>
      <c r="AC21" s="36">
        <v>1.9370000000000001</v>
      </c>
      <c r="AD21" s="36">
        <v>1.9370000000000001</v>
      </c>
      <c r="AE21" s="36">
        <v>1.9370000000000001</v>
      </c>
      <c r="AF21" s="36">
        <v>1.9370000000000001</v>
      </c>
      <c r="AG21" s="36">
        <v>1.9370000000000001</v>
      </c>
      <c r="AH21" s="36">
        <v>1.9370000000000001</v>
      </c>
      <c r="AI21" s="39">
        <v>1.33634708931066E-2</v>
      </c>
      <c r="AJ21" s="39">
        <v>1.33634708931066E-2</v>
      </c>
      <c r="AK21" s="39">
        <v>1.33634708931066E-2</v>
      </c>
      <c r="AL21" s="39">
        <v>1.33634708931066E-2</v>
      </c>
      <c r="AM21" s="39">
        <v>1.33634708931066E-2</v>
      </c>
      <c r="AN21" s="39">
        <v>1.33634708931066E-2</v>
      </c>
      <c r="AO21" s="39">
        <v>1.33634708931066E-2</v>
      </c>
      <c r="AP21" s="39">
        <v>1.33634708931066E-2</v>
      </c>
      <c r="AQ21" s="39">
        <v>1.33634708931066E-2</v>
      </c>
      <c r="AR21" s="39">
        <v>1.33634708931066E-2</v>
      </c>
      <c r="AS21" s="39">
        <v>1.33634708931066E-2</v>
      </c>
      <c r="AT21" s="39">
        <v>1.33634708931066E-2</v>
      </c>
      <c r="AU21" s="39">
        <v>1.2392217523121999E-3</v>
      </c>
      <c r="AV21" s="39">
        <v>1.2392217523121999E-3</v>
      </c>
      <c r="AW21" s="39">
        <v>1.2392217523121999E-3</v>
      </c>
      <c r="AX21" s="39">
        <v>1.2392217523121999E-3</v>
      </c>
      <c r="AY21" s="39">
        <v>1.2392217523121999E-3</v>
      </c>
      <c r="AZ21" s="39">
        <v>1.2392217523121999E-3</v>
      </c>
      <c r="BA21" s="39">
        <v>1.2392217523121999E-3</v>
      </c>
      <c r="BB21" s="39">
        <v>1.2392217523121999E-3</v>
      </c>
      <c r="BC21" s="39">
        <v>1.2392217523121999E-3</v>
      </c>
      <c r="BD21" s="39">
        <v>1.2392217523121999E-3</v>
      </c>
      <c r="BE21" s="39">
        <v>1.2392217523121999E-3</v>
      </c>
      <c r="BF21" s="39">
        <v>1.2392217523121999E-3</v>
      </c>
      <c r="BH21" s="12">
        <f t="shared" si="2"/>
        <v>0</v>
      </c>
      <c r="BI21" s="12">
        <f t="shared" si="3"/>
        <v>0</v>
      </c>
      <c r="BJ21" s="12">
        <f t="shared" si="4"/>
        <v>0</v>
      </c>
      <c r="BK21" s="12">
        <f t="shared" si="5"/>
        <v>0</v>
      </c>
      <c r="BL21" s="12">
        <f t="shared" si="6"/>
        <v>0</v>
      </c>
      <c r="BM21" s="12">
        <f t="shared" si="7"/>
        <v>0</v>
      </c>
      <c r="BN21" s="12">
        <f t="shared" si="8"/>
        <v>0</v>
      </c>
      <c r="BO21" s="12">
        <f t="shared" si="9"/>
        <v>0</v>
      </c>
      <c r="BP21" s="12">
        <f t="shared" si="10"/>
        <v>0</v>
      </c>
      <c r="BQ21" s="12">
        <f t="shared" si="11"/>
        <v>0</v>
      </c>
      <c r="BR21" s="12">
        <f t="shared" si="12"/>
        <v>0</v>
      </c>
      <c r="BS21" s="12">
        <f t="shared" si="13"/>
        <v>0</v>
      </c>
      <c r="BU21" s="11">
        <f t="shared" si="19"/>
        <v>0</v>
      </c>
      <c r="BV21" s="11">
        <f t="shared" si="20"/>
        <v>0</v>
      </c>
      <c r="BW21" s="11">
        <f t="shared" si="21"/>
        <v>0</v>
      </c>
      <c r="BX21" s="11">
        <f t="shared" si="22"/>
        <v>0</v>
      </c>
      <c r="BY21" s="11">
        <f t="shared" si="23"/>
        <v>0</v>
      </c>
      <c r="BZ21" s="11">
        <f t="shared" si="24"/>
        <v>0</v>
      </c>
      <c r="CA21" s="11">
        <f t="shared" si="25"/>
        <v>0</v>
      </c>
      <c r="CB21" s="11">
        <f t="shared" si="26"/>
        <v>0</v>
      </c>
      <c r="CC21" s="11">
        <f t="shared" si="27"/>
        <v>0</v>
      </c>
      <c r="CD21" s="11">
        <f t="shared" si="28"/>
        <v>0</v>
      </c>
      <c r="CE21" s="11">
        <f t="shared" si="29"/>
        <v>0</v>
      </c>
      <c r="CF21" s="11">
        <f t="shared" si="30"/>
        <v>0</v>
      </c>
      <c r="CG21" s="11"/>
      <c r="CH21" s="41">
        <v>3.2330000000000001</v>
      </c>
      <c r="CJ21" s="54">
        <f t="shared" si="31"/>
        <v>0</v>
      </c>
      <c r="CK21" s="54">
        <f t="shared" si="32"/>
        <v>0</v>
      </c>
      <c r="CL21" s="54">
        <f t="shared" si="33"/>
        <v>0</v>
      </c>
      <c r="CM21" s="54">
        <f t="shared" si="34"/>
        <v>0</v>
      </c>
      <c r="CN21" s="54">
        <f t="shared" si="35"/>
        <v>0</v>
      </c>
      <c r="CO21" s="54">
        <f t="shared" si="36"/>
        <v>0</v>
      </c>
      <c r="CP21" s="54">
        <f t="shared" si="37"/>
        <v>0</v>
      </c>
      <c r="CQ21" s="54">
        <f t="shared" si="38"/>
        <v>0</v>
      </c>
      <c r="CR21" s="54">
        <f t="shared" si="39"/>
        <v>0</v>
      </c>
      <c r="CS21" s="54">
        <f t="shared" si="40"/>
        <v>0</v>
      </c>
      <c r="CT21" s="54">
        <f t="shared" si="41"/>
        <v>0</v>
      </c>
      <c r="CU21" s="54">
        <f t="shared" si="42"/>
        <v>0</v>
      </c>
      <c r="CV21" s="52">
        <f t="shared" si="43"/>
        <v>0</v>
      </c>
    </row>
    <row r="22" spans="1:100" ht="15.75" x14ac:dyDescent="0.25">
      <c r="A22" s="16"/>
      <c r="B22" s="44"/>
      <c r="C22" s="44"/>
      <c r="D22" s="44"/>
      <c r="E22" s="44"/>
      <c r="F22" s="45" t="s">
        <v>17</v>
      </c>
      <c r="G22" s="72"/>
      <c r="H22" s="72"/>
      <c r="I22" s="73"/>
      <c r="J22" s="73"/>
      <c r="K22" s="74"/>
      <c r="L22" s="74"/>
      <c r="M22" s="73"/>
      <c r="N22" s="74"/>
      <c r="O22" s="74"/>
      <c r="P22" s="74"/>
      <c r="Q22" s="74"/>
      <c r="R22" s="74"/>
      <c r="S22" s="11">
        <f t="shared" si="1"/>
        <v>0</v>
      </c>
      <c r="T22" s="8">
        <f t="shared" si="17"/>
        <v>0</v>
      </c>
      <c r="U22" s="13" t="s">
        <v>2952</v>
      </c>
      <c r="V22" s="46">
        <f t="shared" si="18"/>
        <v>0</v>
      </c>
      <c r="W22" s="36">
        <v>1.9890000000000001</v>
      </c>
      <c r="X22" s="36">
        <v>1.9890000000000001</v>
      </c>
      <c r="Y22" s="36">
        <v>2.6589999999999998</v>
      </c>
      <c r="Z22" s="36">
        <v>2.6589999999999998</v>
      </c>
      <c r="AA22" s="36">
        <v>2.6589999999999998</v>
      </c>
      <c r="AB22" s="36">
        <v>2.6589999999999998</v>
      </c>
      <c r="AC22" s="36">
        <v>2.6589999999999998</v>
      </c>
      <c r="AD22" s="36">
        <v>2.6589999999999998</v>
      </c>
      <c r="AE22" s="36">
        <v>2.6589999999999998</v>
      </c>
      <c r="AF22" s="36">
        <v>2.6589999999999998</v>
      </c>
      <c r="AG22" s="36">
        <v>2.6589999999999998</v>
      </c>
      <c r="AH22" s="36">
        <v>2.6589999999999998</v>
      </c>
      <c r="AI22" s="39">
        <v>1.33634708931066E-2</v>
      </c>
      <c r="AJ22" s="39">
        <v>1.33634708931066E-2</v>
      </c>
      <c r="AK22" s="39">
        <v>1.33634708931066E-2</v>
      </c>
      <c r="AL22" s="39">
        <v>1.33634708931066E-2</v>
      </c>
      <c r="AM22" s="39">
        <v>1.33634708931066E-2</v>
      </c>
      <c r="AN22" s="39">
        <v>1.33634708931066E-2</v>
      </c>
      <c r="AO22" s="39">
        <v>1.33634708931066E-2</v>
      </c>
      <c r="AP22" s="39">
        <v>1.33634708931066E-2</v>
      </c>
      <c r="AQ22" s="39">
        <v>1.33634708931066E-2</v>
      </c>
      <c r="AR22" s="39">
        <v>1.33634708931066E-2</v>
      </c>
      <c r="AS22" s="39">
        <v>1.33634708931066E-2</v>
      </c>
      <c r="AT22" s="39">
        <v>1.33634708931066E-2</v>
      </c>
      <c r="AU22" s="39">
        <v>1.2392217523121999E-3</v>
      </c>
      <c r="AV22" s="39">
        <v>1.2392217523121999E-3</v>
      </c>
      <c r="AW22" s="39">
        <v>1.2392217523121999E-3</v>
      </c>
      <c r="AX22" s="39">
        <v>1.2392217523121999E-3</v>
      </c>
      <c r="AY22" s="39">
        <v>1.2392217523121999E-3</v>
      </c>
      <c r="AZ22" s="39">
        <v>1.2392217523121999E-3</v>
      </c>
      <c r="BA22" s="39">
        <v>1.2392217523121999E-3</v>
      </c>
      <c r="BB22" s="39">
        <v>1.2392217523121999E-3</v>
      </c>
      <c r="BC22" s="39">
        <v>1.2392217523121999E-3</v>
      </c>
      <c r="BD22" s="39">
        <v>1.2392217523121999E-3</v>
      </c>
      <c r="BE22" s="39">
        <v>1.2392217523121999E-3</v>
      </c>
      <c r="BF22" s="39">
        <v>1.2392217523121999E-3</v>
      </c>
      <c r="BH22" s="12">
        <f t="shared" si="2"/>
        <v>0</v>
      </c>
      <c r="BI22" s="12">
        <f t="shared" si="3"/>
        <v>0</v>
      </c>
      <c r="BJ22" s="12">
        <f t="shared" si="4"/>
        <v>0</v>
      </c>
      <c r="BK22" s="12">
        <f t="shared" si="5"/>
        <v>0</v>
      </c>
      <c r="BL22" s="12">
        <f t="shared" si="6"/>
        <v>0</v>
      </c>
      <c r="BM22" s="12">
        <f t="shared" si="7"/>
        <v>0</v>
      </c>
      <c r="BN22" s="12">
        <f t="shared" si="8"/>
        <v>0</v>
      </c>
      <c r="BO22" s="12">
        <f t="shared" si="9"/>
        <v>0</v>
      </c>
      <c r="BP22" s="12">
        <f t="shared" si="10"/>
        <v>0</v>
      </c>
      <c r="BQ22" s="12">
        <f t="shared" si="11"/>
        <v>0</v>
      </c>
      <c r="BR22" s="12">
        <f t="shared" si="12"/>
        <v>0</v>
      </c>
      <c r="BS22" s="12">
        <f t="shared" si="13"/>
        <v>0</v>
      </c>
      <c r="BU22" s="11">
        <f t="shared" si="19"/>
        <v>0</v>
      </c>
      <c r="BV22" s="11">
        <f t="shared" si="20"/>
        <v>0</v>
      </c>
      <c r="BW22" s="11">
        <f t="shared" si="21"/>
        <v>0</v>
      </c>
      <c r="BX22" s="11">
        <f t="shared" si="22"/>
        <v>0</v>
      </c>
      <c r="BY22" s="11">
        <f t="shared" si="23"/>
        <v>0</v>
      </c>
      <c r="BZ22" s="11">
        <f t="shared" si="24"/>
        <v>0</v>
      </c>
      <c r="CA22" s="11">
        <f t="shared" si="25"/>
        <v>0</v>
      </c>
      <c r="CB22" s="11">
        <f t="shared" si="26"/>
        <v>0</v>
      </c>
      <c r="CC22" s="11">
        <f t="shared" si="27"/>
        <v>0</v>
      </c>
      <c r="CD22" s="11">
        <f t="shared" si="28"/>
        <v>0</v>
      </c>
      <c r="CE22" s="11">
        <f t="shared" si="29"/>
        <v>0</v>
      </c>
      <c r="CF22" s="11">
        <f t="shared" si="30"/>
        <v>0</v>
      </c>
      <c r="CG22" s="11"/>
      <c r="CH22" s="41">
        <v>3.2330000000000001</v>
      </c>
      <c r="CJ22" s="54">
        <f t="shared" si="31"/>
        <v>0</v>
      </c>
      <c r="CK22" s="54">
        <f t="shared" si="32"/>
        <v>0</v>
      </c>
      <c r="CL22" s="54">
        <f t="shared" si="33"/>
        <v>0</v>
      </c>
      <c r="CM22" s="54">
        <f t="shared" si="34"/>
        <v>0</v>
      </c>
      <c r="CN22" s="54">
        <f t="shared" si="35"/>
        <v>0</v>
      </c>
      <c r="CO22" s="54">
        <f t="shared" si="36"/>
        <v>0</v>
      </c>
      <c r="CP22" s="54">
        <f t="shared" si="37"/>
        <v>0</v>
      </c>
      <c r="CQ22" s="54">
        <f t="shared" si="38"/>
        <v>0</v>
      </c>
      <c r="CR22" s="54">
        <f t="shared" si="39"/>
        <v>0</v>
      </c>
      <c r="CS22" s="54">
        <f t="shared" si="40"/>
        <v>0</v>
      </c>
      <c r="CT22" s="54">
        <f t="shared" si="41"/>
        <v>0</v>
      </c>
      <c r="CU22" s="54">
        <f t="shared" si="42"/>
        <v>0</v>
      </c>
      <c r="CV22" s="52">
        <f t="shared" si="43"/>
        <v>0</v>
      </c>
    </row>
    <row r="23" spans="1:100" ht="15.75" x14ac:dyDescent="0.25">
      <c r="A23" s="16"/>
      <c r="B23" s="44"/>
      <c r="C23" s="44"/>
      <c r="D23" s="44"/>
      <c r="E23" s="44"/>
      <c r="F23" s="45" t="s">
        <v>17</v>
      </c>
      <c r="G23" s="72"/>
      <c r="H23" s="72"/>
      <c r="I23" s="74"/>
      <c r="J23" s="74"/>
      <c r="K23" s="74"/>
      <c r="L23" s="74"/>
      <c r="M23" s="74"/>
      <c r="N23" s="74"/>
      <c r="O23" s="74"/>
      <c r="P23" s="74"/>
      <c r="Q23" s="74"/>
      <c r="R23" s="74"/>
      <c r="S23" s="11">
        <f t="shared" si="1"/>
        <v>0</v>
      </c>
      <c r="T23" s="8">
        <f t="shared" si="17"/>
        <v>0</v>
      </c>
      <c r="U23" s="13" t="s">
        <v>2952</v>
      </c>
      <c r="V23" s="46">
        <f t="shared" si="18"/>
        <v>0</v>
      </c>
      <c r="W23" s="36">
        <v>1.8500010816189674</v>
      </c>
      <c r="X23" s="36">
        <v>1.8500010816189674</v>
      </c>
      <c r="Y23" s="36">
        <v>1.8500010816189674</v>
      </c>
      <c r="Z23" s="36">
        <v>1.8500010816189674</v>
      </c>
      <c r="AA23" s="36">
        <v>1.8500010816189674</v>
      </c>
      <c r="AB23" s="36">
        <v>1.8500010816189674</v>
      </c>
      <c r="AC23" s="36">
        <v>1.8500010816189674</v>
      </c>
      <c r="AD23" s="36">
        <v>1.8500010816189674</v>
      </c>
      <c r="AE23" s="36">
        <v>1.8500010816189674</v>
      </c>
      <c r="AF23" s="36">
        <v>1.8500010816189674</v>
      </c>
      <c r="AG23" s="36">
        <v>1.8500010816189674</v>
      </c>
      <c r="AH23" s="36">
        <v>1.8500010816189674</v>
      </c>
      <c r="AI23" s="39">
        <v>0</v>
      </c>
      <c r="AJ23" s="39">
        <v>0</v>
      </c>
      <c r="AK23" s="39">
        <v>0</v>
      </c>
      <c r="AL23" s="39">
        <v>0</v>
      </c>
      <c r="AM23" s="39">
        <v>0</v>
      </c>
      <c r="AN23" s="39">
        <v>0</v>
      </c>
      <c r="AO23" s="39">
        <v>0</v>
      </c>
      <c r="AP23" s="39">
        <v>0</v>
      </c>
      <c r="AQ23" s="39">
        <v>0</v>
      </c>
      <c r="AR23" s="39">
        <v>0</v>
      </c>
      <c r="AS23" s="39">
        <v>0</v>
      </c>
      <c r="AT23" s="39">
        <v>0</v>
      </c>
      <c r="AU23" s="39">
        <v>0</v>
      </c>
      <c r="AV23" s="39">
        <v>0</v>
      </c>
      <c r="AW23" s="39">
        <v>0</v>
      </c>
      <c r="AX23" s="39">
        <v>0</v>
      </c>
      <c r="AY23" s="39">
        <v>0</v>
      </c>
      <c r="AZ23" s="39">
        <v>0</v>
      </c>
      <c r="BA23" s="39">
        <v>0</v>
      </c>
      <c r="BB23" s="39">
        <v>0</v>
      </c>
      <c r="BC23" s="39">
        <v>0</v>
      </c>
      <c r="BD23" s="39">
        <v>0</v>
      </c>
      <c r="BE23" s="39">
        <v>0</v>
      </c>
      <c r="BF23" s="39">
        <v>0</v>
      </c>
      <c r="BH23" s="12">
        <f t="shared" si="2"/>
        <v>0</v>
      </c>
      <c r="BI23" s="12">
        <f t="shared" si="3"/>
        <v>0</v>
      </c>
      <c r="BJ23" s="12">
        <f t="shared" si="4"/>
        <v>0</v>
      </c>
      <c r="BK23" s="12">
        <f t="shared" si="5"/>
        <v>0</v>
      </c>
      <c r="BL23" s="12">
        <f t="shared" si="6"/>
        <v>0</v>
      </c>
      <c r="BM23" s="12">
        <f t="shared" si="7"/>
        <v>0</v>
      </c>
      <c r="BN23" s="12">
        <f t="shared" si="8"/>
        <v>0</v>
      </c>
      <c r="BO23" s="12">
        <f t="shared" si="9"/>
        <v>0</v>
      </c>
      <c r="BP23" s="12">
        <f t="shared" si="10"/>
        <v>0</v>
      </c>
      <c r="BQ23" s="12">
        <f t="shared" si="11"/>
        <v>0</v>
      </c>
      <c r="BR23" s="12">
        <f t="shared" si="12"/>
        <v>0</v>
      </c>
      <c r="BS23" s="12">
        <f t="shared" si="13"/>
        <v>0</v>
      </c>
      <c r="BU23" s="11">
        <f t="shared" si="19"/>
        <v>0</v>
      </c>
      <c r="BV23" s="11">
        <f t="shared" si="20"/>
        <v>0</v>
      </c>
      <c r="BW23" s="11">
        <f t="shared" si="21"/>
        <v>0</v>
      </c>
      <c r="BX23" s="11">
        <f t="shared" si="22"/>
        <v>0</v>
      </c>
      <c r="BY23" s="11">
        <f t="shared" si="23"/>
        <v>0</v>
      </c>
      <c r="BZ23" s="11">
        <f t="shared" si="24"/>
        <v>0</v>
      </c>
      <c r="CA23" s="11">
        <f t="shared" si="25"/>
        <v>0</v>
      </c>
      <c r="CB23" s="11">
        <f t="shared" si="26"/>
        <v>0</v>
      </c>
      <c r="CC23" s="11">
        <f t="shared" si="27"/>
        <v>0</v>
      </c>
      <c r="CD23" s="11">
        <f t="shared" si="28"/>
        <v>0</v>
      </c>
      <c r="CE23" s="11">
        <f t="shared" si="29"/>
        <v>0</v>
      </c>
      <c r="CF23" s="11">
        <f t="shared" si="30"/>
        <v>0</v>
      </c>
      <c r="CG23" s="11"/>
      <c r="CH23" s="41">
        <v>1</v>
      </c>
      <c r="CJ23" s="54">
        <f t="shared" si="31"/>
        <v>0</v>
      </c>
      <c r="CK23" s="54">
        <f t="shared" si="32"/>
        <v>0</v>
      </c>
      <c r="CL23" s="54">
        <f t="shared" si="33"/>
        <v>0</v>
      </c>
      <c r="CM23" s="54">
        <f t="shared" si="34"/>
        <v>0</v>
      </c>
      <c r="CN23" s="54">
        <f t="shared" si="35"/>
        <v>0</v>
      </c>
      <c r="CO23" s="54">
        <f t="shared" si="36"/>
        <v>0</v>
      </c>
      <c r="CP23" s="54">
        <f t="shared" si="37"/>
        <v>0</v>
      </c>
      <c r="CQ23" s="54">
        <f t="shared" si="38"/>
        <v>0</v>
      </c>
      <c r="CR23" s="54">
        <f t="shared" si="39"/>
        <v>0</v>
      </c>
      <c r="CS23" s="54">
        <f t="shared" si="40"/>
        <v>0</v>
      </c>
      <c r="CT23" s="54">
        <f t="shared" si="41"/>
        <v>0</v>
      </c>
      <c r="CU23" s="54">
        <f t="shared" si="42"/>
        <v>0</v>
      </c>
      <c r="CV23" s="52">
        <f t="shared" si="43"/>
        <v>0</v>
      </c>
    </row>
    <row r="24" spans="1:100" ht="15.75" x14ac:dyDescent="0.25">
      <c r="A24" s="16"/>
      <c r="B24" s="44"/>
      <c r="C24" s="44"/>
      <c r="D24" s="44"/>
      <c r="E24" s="44"/>
      <c r="F24" s="45" t="s">
        <v>17</v>
      </c>
      <c r="G24" s="72"/>
      <c r="H24" s="72"/>
      <c r="I24" s="74"/>
      <c r="J24" s="74"/>
      <c r="K24" s="74"/>
      <c r="L24" s="74"/>
      <c r="M24" s="74"/>
      <c r="N24" s="74"/>
      <c r="O24" s="74"/>
      <c r="P24" s="74"/>
      <c r="Q24" s="74"/>
      <c r="R24" s="74"/>
      <c r="S24" s="11">
        <f t="shared" si="1"/>
        <v>0</v>
      </c>
      <c r="T24" s="8">
        <f t="shared" si="17"/>
        <v>0</v>
      </c>
      <c r="U24" s="13" t="s">
        <v>2952</v>
      </c>
      <c r="V24" s="46">
        <f t="shared" si="18"/>
        <v>0</v>
      </c>
      <c r="W24" s="36">
        <v>3.17</v>
      </c>
      <c r="X24" s="36">
        <v>3.17</v>
      </c>
      <c r="Y24" s="36">
        <v>3.17</v>
      </c>
      <c r="Z24" s="36">
        <v>3.17</v>
      </c>
      <c r="AA24" s="36">
        <v>3.17</v>
      </c>
      <c r="AB24" s="36">
        <v>3.17</v>
      </c>
      <c r="AC24" s="36">
        <v>3.17</v>
      </c>
      <c r="AD24" s="36">
        <v>3.17</v>
      </c>
      <c r="AE24" s="36">
        <v>3.17</v>
      </c>
      <c r="AF24" s="36">
        <v>3.17</v>
      </c>
      <c r="AG24" s="36">
        <v>3.17</v>
      </c>
      <c r="AH24" s="36">
        <v>3.17</v>
      </c>
      <c r="AI24" s="39">
        <v>0</v>
      </c>
      <c r="AJ24" s="39">
        <v>0</v>
      </c>
      <c r="AK24" s="39">
        <v>0</v>
      </c>
      <c r="AL24" s="39">
        <v>0</v>
      </c>
      <c r="AM24" s="39">
        <v>0</v>
      </c>
      <c r="AN24" s="39">
        <v>0</v>
      </c>
      <c r="AO24" s="39">
        <v>0</v>
      </c>
      <c r="AP24" s="39">
        <v>0</v>
      </c>
      <c r="AQ24" s="39">
        <v>0</v>
      </c>
      <c r="AR24" s="39">
        <v>0</v>
      </c>
      <c r="AS24" s="39">
        <v>0</v>
      </c>
      <c r="AT24" s="39">
        <v>0</v>
      </c>
      <c r="AU24" s="39">
        <v>0</v>
      </c>
      <c r="AV24" s="39">
        <v>0</v>
      </c>
      <c r="AW24" s="39">
        <v>0</v>
      </c>
      <c r="AX24" s="39">
        <v>0</v>
      </c>
      <c r="AY24" s="39">
        <v>0</v>
      </c>
      <c r="AZ24" s="39">
        <v>0</v>
      </c>
      <c r="BA24" s="39">
        <v>0</v>
      </c>
      <c r="BB24" s="39">
        <v>0</v>
      </c>
      <c r="BC24" s="39">
        <v>0</v>
      </c>
      <c r="BD24" s="39">
        <v>0</v>
      </c>
      <c r="BE24" s="39">
        <v>0</v>
      </c>
      <c r="BF24" s="39">
        <v>0</v>
      </c>
      <c r="BH24" s="12">
        <f t="shared" si="2"/>
        <v>0</v>
      </c>
      <c r="BI24" s="12">
        <f t="shared" si="3"/>
        <v>0</v>
      </c>
      <c r="BJ24" s="12">
        <f t="shared" si="4"/>
        <v>0</v>
      </c>
      <c r="BK24" s="12">
        <f t="shared" si="5"/>
        <v>0</v>
      </c>
      <c r="BL24" s="12">
        <f t="shared" si="6"/>
        <v>0</v>
      </c>
      <c r="BM24" s="12">
        <f t="shared" si="7"/>
        <v>0</v>
      </c>
      <c r="BN24" s="12">
        <f t="shared" si="8"/>
        <v>0</v>
      </c>
      <c r="BO24" s="12">
        <f t="shared" si="9"/>
        <v>0</v>
      </c>
      <c r="BP24" s="12">
        <f t="shared" si="10"/>
        <v>0</v>
      </c>
      <c r="BQ24" s="12">
        <f t="shared" si="11"/>
        <v>0</v>
      </c>
      <c r="BR24" s="12">
        <f t="shared" si="12"/>
        <v>0</v>
      </c>
      <c r="BS24" s="12">
        <f t="shared" si="13"/>
        <v>0</v>
      </c>
      <c r="BU24" s="11">
        <f t="shared" si="19"/>
        <v>0</v>
      </c>
      <c r="BV24" s="11">
        <f t="shared" si="20"/>
        <v>0</v>
      </c>
      <c r="BW24" s="11">
        <f t="shared" si="21"/>
        <v>0</v>
      </c>
      <c r="BX24" s="11">
        <f t="shared" si="22"/>
        <v>0</v>
      </c>
      <c r="BY24" s="11">
        <f t="shared" si="23"/>
        <v>0</v>
      </c>
      <c r="BZ24" s="11">
        <f t="shared" si="24"/>
        <v>0</v>
      </c>
      <c r="CA24" s="11">
        <f t="shared" si="25"/>
        <v>0</v>
      </c>
      <c r="CB24" s="11">
        <f t="shared" si="26"/>
        <v>0</v>
      </c>
      <c r="CC24" s="11">
        <f t="shared" si="27"/>
        <v>0</v>
      </c>
      <c r="CD24" s="11">
        <f t="shared" si="28"/>
        <v>0</v>
      </c>
      <c r="CE24" s="11">
        <f t="shared" si="29"/>
        <v>0</v>
      </c>
      <c r="CF24" s="11">
        <f t="shared" si="30"/>
        <v>0</v>
      </c>
      <c r="CG24" s="11"/>
      <c r="CH24" s="41">
        <v>1</v>
      </c>
      <c r="CJ24" s="54">
        <f t="shared" si="31"/>
        <v>0</v>
      </c>
      <c r="CK24" s="54">
        <f t="shared" si="32"/>
        <v>0</v>
      </c>
      <c r="CL24" s="54">
        <f t="shared" si="33"/>
        <v>0</v>
      </c>
      <c r="CM24" s="54">
        <f t="shared" si="34"/>
        <v>0</v>
      </c>
      <c r="CN24" s="54">
        <f t="shared" si="35"/>
        <v>0</v>
      </c>
      <c r="CO24" s="54">
        <f t="shared" si="36"/>
        <v>0</v>
      </c>
      <c r="CP24" s="54">
        <f t="shared" si="37"/>
        <v>0</v>
      </c>
      <c r="CQ24" s="54">
        <f t="shared" si="38"/>
        <v>0</v>
      </c>
      <c r="CR24" s="54">
        <f t="shared" si="39"/>
        <v>0</v>
      </c>
      <c r="CS24" s="54">
        <f t="shared" si="40"/>
        <v>0</v>
      </c>
      <c r="CT24" s="54">
        <f t="shared" si="41"/>
        <v>0</v>
      </c>
      <c r="CU24" s="54">
        <f t="shared" si="42"/>
        <v>0</v>
      </c>
      <c r="CV24" s="52">
        <f t="shared" si="43"/>
        <v>0</v>
      </c>
    </row>
    <row r="25" spans="1:100" ht="15.75" x14ac:dyDescent="0.25">
      <c r="A25" s="16"/>
      <c r="B25" s="44"/>
      <c r="C25" s="44"/>
      <c r="D25" s="44"/>
      <c r="E25" s="44"/>
      <c r="F25" s="45" t="s">
        <v>17</v>
      </c>
      <c r="G25" s="72"/>
      <c r="H25" s="72"/>
      <c r="I25" s="74"/>
      <c r="J25" s="74"/>
      <c r="K25" s="74"/>
      <c r="L25" s="74"/>
      <c r="M25" s="74"/>
      <c r="N25" s="74"/>
      <c r="O25" s="74"/>
      <c r="P25" s="74"/>
      <c r="Q25" s="74"/>
      <c r="R25" s="74"/>
      <c r="S25" s="11">
        <f t="shared" si="1"/>
        <v>0</v>
      </c>
      <c r="T25" s="8">
        <f t="shared" si="17"/>
        <v>0</v>
      </c>
      <c r="U25" s="13" t="s">
        <v>2952</v>
      </c>
      <c r="V25" s="46">
        <f t="shared" si="18"/>
        <v>0</v>
      </c>
      <c r="W25" s="36">
        <v>3.149</v>
      </c>
      <c r="X25" s="36">
        <v>3.149</v>
      </c>
      <c r="Y25" s="36">
        <v>3.149</v>
      </c>
      <c r="Z25" s="36">
        <v>3.149</v>
      </c>
      <c r="AA25" s="36">
        <v>3.149</v>
      </c>
      <c r="AB25" s="36">
        <v>3.149</v>
      </c>
      <c r="AC25" s="36">
        <v>3.149</v>
      </c>
      <c r="AD25" s="36">
        <v>3.149</v>
      </c>
      <c r="AE25" s="36">
        <v>3.149</v>
      </c>
      <c r="AF25" s="36">
        <v>3.149</v>
      </c>
      <c r="AG25" s="36">
        <v>3.149</v>
      </c>
      <c r="AH25" s="36">
        <v>3.149</v>
      </c>
      <c r="AI25" s="39">
        <v>1.33634708931066E-2</v>
      </c>
      <c r="AJ25" s="39">
        <v>1.33634708931066E-2</v>
      </c>
      <c r="AK25" s="39">
        <v>1.33634708931066E-2</v>
      </c>
      <c r="AL25" s="39">
        <v>1.33634708931066E-2</v>
      </c>
      <c r="AM25" s="39">
        <v>1.33634708931066E-2</v>
      </c>
      <c r="AN25" s="39">
        <v>1.33634708931066E-2</v>
      </c>
      <c r="AO25" s="39">
        <v>1.33634708931066E-2</v>
      </c>
      <c r="AP25" s="39">
        <v>1.33634708931066E-2</v>
      </c>
      <c r="AQ25" s="39">
        <v>1.33634708931066E-2</v>
      </c>
      <c r="AR25" s="39">
        <v>1.33634708931066E-2</v>
      </c>
      <c r="AS25" s="39">
        <v>1.33634708931066E-2</v>
      </c>
      <c r="AT25" s="39">
        <v>1.33634708931066E-2</v>
      </c>
      <c r="AU25" s="39">
        <v>1.2392217523121999E-3</v>
      </c>
      <c r="AV25" s="39">
        <v>1.2392217523121999E-3</v>
      </c>
      <c r="AW25" s="39">
        <v>1.2392217523121999E-3</v>
      </c>
      <c r="AX25" s="39">
        <v>1.2392217523121999E-3</v>
      </c>
      <c r="AY25" s="39">
        <v>1.2392217523121999E-3</v>
      </c>
      <c r="AZ25" s="39">
        <v>1.2392217523121999E-3</v>
      </c>
      <c r="BA25" s="39">
        <v>1.2392217523121999E-3</v>
      </c>
      <c r="BB25" s="39">
        <v>1.2392217523121999E-3</v>
      </c>
      <c r="BC25" s="39">
        <v>1.2392217523121999E-3</v>
      </c>
      <c r="BD25" s="39">
        <v>1.2392217523121999E-3</v>
      </c>
      <c r="BE25" s="39">
        <v>1.2392217523121999E-3</v>
      </c>
      <c r="BF25" s="39">
        <v>1.2392217523121999E-3</v>
      </c>
      <c r="BH25" s="12">
        <f t="shared" si="2"/>
        <v>0</v>
      </c>
      <c r="BI25" s="12">
        <f t="shared" si="3"/>
        <v>0</v>
      </c>
      <c r="BJ25" s="12">
        <f t="shared" si="4"/>
        <v>0</v>
      </c>
      <c r="BK25" s="12">
        <f t="shared" si="5"/>
        <v>0</v>
      </c>
      <c r="BL25" s="12">
        <f t="shared" si="6"/>
        <v>0</v>
      </c>
      <c r="BM25" s="12">
        <f t="shared" si="7"/>
        <v>0</v>
      </c>
      <c r="BN25" s="12">
        <f t="shared" si="8"/>
        <v>0</v>
      </c>
      <c r="BO25" s="12">
        <f t="shared" si="9"/>
        <v>0</v>
      </c>
      <c r="BP25" s="12">
        <f t="shared" si="10"/>
        <v>0</v>
      </c>
      <c r="BQ25" s="12">
        <f t="shared" si="11"/>
        <v>0</v>
      </c>
      <c r="BR25" s="12">
        <f t="shared" si="12"/>
        <v>0</v>
      </c>
      <c r="BS25" s="12">
        <f t="shared" si="13"/>
        <v>0</v>
      </c>
      <c r="BU25" s="11">
        <f t="shared" si="19"/>
        <v>0</v>
      </c>
      <c r="BV25" s="11">
        <f t="shared" si="20"/>
        <v>0</v>
      </c>
      <c r="BW25" s="11">
        <f t="shared" si="21"/>
        <v>0</v>
      </c>
      <c r="BX25" s="11">
        <f t="shared" si="22"/>
        <v>0</v>
      </c>
      <c r="BY25" s="11">
        <f t="shared" si="23"/>
        <v>0</v>
      </c>
      <c r="BZ25" s="11">
        <f t="shared" si="24"/>
        <v>0</v>
      </c>
      <c r="CA25" s="11">
        <f t="shared" si="25"/>
        <v>0</v>
      </c>
      <c r="CB25" s="11">
        <f t="shared" si="26"/>
        <v>0</v>
      </c>
      <c r="CC25" s="11">
        <f t="shared" si="27"/>
        <v>0</v>
      </c>
      <c r="CD25" s="11">
        <f t="shared" si="28"/>
        <v>0</v>
      </c>
      <c r="CE25" s="11">
        <f t="shared" si="29"/>
        <v>0</v>
      </c>
      <c r="CF25" s="11">
        <f t="shared" si="30"/>
        <v>0</v>
      </c>
      <c r="CG25" s="11"/>
      <c r="CH25" s="41">
        <v>3.2330000000000001</v>
      </c>
      <c r="CJ25" s="54">
        <f t="shared" si="31"/>
        <v>0</v>
      </c>
      <c r="CK25" s="54">
        <f t="shared" si="32"/>
        <v>0</v>
      </c>
      <c r="CL25" s="54">
        <f t="shared" si="33"/>
        <v>0</v>
      </c>
      <c r="CM25" s="54">
        <f t="shared" si="34"/>
        <v>0</v>
      </c>
      <c r="CN25" s="54">
        <f t="shared" si="35"/>
        <v>0</v>
      </c>
      <c r="CO25" s="54">
        <f t="shared" si="36"/>
        <v>0</v>
      </c>
      <c r="CP25" s="54">
        <f t="shared" si="37"/>
        <v>0</v>
      </c>
      <c r="CQ25" s="54">
        <f t="shared" si="38"/>
        <v>0</v>
      </c>
      <c r="CR25" s="54">
        <f t="shared" si="39"/>
        <v>0</v>
      </c>
      <c r="CS25" s="54">
        <f t="shared" si="40"/>
        <v>0</v>
      </c>
      <c r="CT25" s="54">
        <f t="shared" si="41"/>
        <v>0</v>
      </c>
      <c r="CU25" s="54">
        <f t="shared" si="42"/>
        <v>0</v>
      </c>
      <c r="CV25" s="52">
        <f t="shared" si="43"/>
        <v>0</v>
      </c>
    </row>
    <row r="26" spans="1:100" ht="15.75" x14ac:dyDescent="0.25">
      <c r="A26" s="16"/>
      <c r="B26" s="44"/>
      <c r="C26" s="44"/>
      <c r="D26" s="44"/>
      <c r="E26" s="44"/>
      <c r="F26" s="45" t="s">
        <v>17</v>
      </c>
      <c r="G26" s="72"/>
      <c r="H26" s="72"/>
      <c r="I26" s="74"/>
      <c r="J26" s="74"/>
      <c r="K26" s="74"/>
      <c r="L26" s="74"/>
      <c r="M26" s="74"/>
      <c r="N26" s="74"/>
      <c r="O26" s="74"/>
      <c r="P26" s="74"/>
      <c r="Q26" s="74"/>
      <c r="R26" s="74"/>
      <c r="S26" s="11">
        <f t="shared" si="1"/>
        <v>0</v>
      </c>
      <c r="T26" s="8">
        <f t="shared" si="17"/>
        <v>0</v>
      </c>
      <c r="U26" s="13" t="s">
        <v>2952</v>
      </c>
      <c r="V26" s="46">
        <f t="shared" si="18"/>
        <v>0</v>
      </c>
      <c r="W26" s="36">
        <v>1.107</v>
      </c>
      <c r="X26" s="36">
        <v>1.107</v>
      </c>
      <c r="Y26" s="36">
        <v>1.4379999999999999</v>
      </c>
      <c r="Z26" s="36">
        <v>1.4379999999999999</v>
      </c>
      <c r="AA26" s="36">
        <v>1.4379999999999999</v>
      </c>
      <c r="AB26" s="36">
        <v>1.4379999999999999</v>
      </c>
      <c r="AC26" s="36">
        <v>1.4379999999999999</v>
      </c>
      <c r="AD26" s="36">
        <v>1.4379999999999999</v>
      </c>
      <c r="AE26" s="36">
        <v>1.4379999999999999</v>
      </c>
      <c r="AF26" s="36">
        <v>1.4379999999999999</v>
      </c>
      <c r="AG26" s="36">
        <v>1.4379999999999999</v>
      </c>
      <c r="AH26" s="36">
        <v>1.4379999999999999</v>
      </c>
      <c r="AI26" s="39">
        <v>1.33634708931066E-2</v>
      </c>
      <c r="AJ26" s="39">
        <v>1.33634708931066E-2</v>
      </c>
      <c r="AK26" s="39">
        <v>1.33634708931066E-2</v>
      </c>
      <c r="AL26" s="39">
        <v>1.33634708931066E-2</v>
      </c>
      <c r="AM26" s="39">
        <v>1.33634708931066E-2</v>
      </c>
      <c r="AN26" s="39">
        <v>1.33634708931066E-2</v>
      </c>
      <c r="AO26" s="39">
        <v>1.33634708931066E-2</v>
      </c>
      <c r="AP26" s="39">
        <v>1.33634708931066E-2</v>
      </c>
      <c r="AQ26" s="39">
        <v>1.33634708931066E-2</v>
      </c>
      <c r="AR26" s="39">
        <v>1.33634708931066E-2</v>
      </c>
      <c r="AS26" s="39">
        <v>1.33634708931066E-2</v>
      </c>
      <c r="AT26" s="39">
        <v>1.33634708931066E-2</v>
      </c>
      <c r="AU26" s="39">
        <v>1.2392217523121999E-3</v>
      </c>
      <c r="AV26" s="39">
        <v>1.2392217523121999E-3</v>
      </c>
      <c r="AW26" s="39">
        <v>1.2392217523121999E-3</v>
      </c>
      <c r="AX26" s="39">
        <v>1.2392217523121999E-3</v>
      </c>
      <c r="AY26" s="39">
        <v>1.2392217523121999E-3</v>
      </c>
      <c r="AZ26" s="39">
        <v>1.2392217523121999E-3</v>
      </c>
      <c r="BA26" s="39">
        <v>1.2392217523121999E-3</v>
      </c>
      <c r="BB26" s="39">
        <v>1.2392217523121999E-3</v>
      </c>
      <c r="BC26" s="39">
        <v>1.2392217523121999E-3</v>
      </c>
      <c r="BD26" s="39">
        <v>1.2392217523121999E-3</v>
      </c>
      <c r="BE26" s="39">
        <v>1.2392217523121999E-3</v>
      </c>
      <c r="BF26" s="39">
        <v>1.2392217523121999E-3</v>
      </c>
      <c r="BH26" s="12">
        <f t="shared" si="2"/>
        <v>0</v>
      </c>
      <c r="BI26" s="12">
        <f t="shared" si="3"/>
        <v>0</v>
      </c>
      <c r="BJ26" s="12">
        <f t="shared" si="4"/>
        <v>0</v>
      </c>
      <c r="BK26" s="12">
        <f t="shared" si="5"/>
        <v>0</v>
      </c>
      <c r="BL26" s="12">
        <f t="shared" si="6"/>
        <v>0</v>
      </c>
      <c r="BM26" s="12">
        <f t="shared" si="7"/>
        <v>0</v>
      </c>
      <c r="BN26" s="12">
        <f t="shared" si="8"/>
        <v>0</v>
      </c>
      <c r="BO26" s="12">
        <f t="shared" si="9"/>
        <v>0</v>
      </c>
      <c r="BP26" s="12">
        <f t="shared" si="10"/>
        <v>0</v>
      </c>
      <c r="BQ26" s="12">
        <f t="shared" si="11"/>
        <v>0</v>
      </c>
      <c r="BR26" s="12">
        <f t="shared" si="12"/>
        <v>0</v>
      </c>
      <c r="BS26" s="12">
        <f t="shared" si="13"/>
        <v>0</v>
      </c>
      <c r="BU26" s="11">
        <f t="shared" si="19"/>
        <v>0</v>
      </c>
      <c r="BV26" s="11">
        <f t="shared" si="20"/>
        <v>0</v>
      </c>
      <c r="BW26" s="11">
        <f t="shared" si="21"/>
        <v>0</v>
      </c>
      <c r="BX26" s="11">
        <f t="shared" si="22"/>
        <v>0</v>
      </c>
      <c r="BY26" s="11">
        <f t="shared" si="23"/>
        <v>0</v>
      </c>
      <c r="BZ26" s="11">
        <f t="shared" si="24"/>
        <v>0</v>
      </c>
      <c r="CA26" s="11">
        <f t="shared" si="25"/>
        <v>0</v>
      </c>
      <c r="CB26" s="11">
        <f t="shared" si="26"/>
        <v>0</v>
      </c>
      <c r="CC26" s="11">
        <f t="shared" si="27"/>
        <v>0</v>
      </c>
      <c r="CD26" s="11">
        <f t="shared" si="28"/>
        <v>0</v>
      </c>
      <c r="CE26" s="11">
        <f t="shared" si="29"/>
        <v>0</v>
      </c>
      <c r="CF26" s="11">
        <f t="shared" si="30"/>
        <v>0</v>
      </c>
      <c r="CG26" s="11"/>
      <c r="CH26" s="41">
        <v>3.2330000000000001</v>
      </c>
      <c r="CJ26" s="54">
        <f t="shared" si="31"/>
        <v>0</v>
      </c>
      <c r="CK26" s="54">
        <f t="shared" si="32"/>
        <v>0</v>
      </c>
      <c r="CL26" s="54">
        <f t="shared" si="33"/>
        <v>0</v>
      </c>
      <c r="CM26" s="54">
        <f t="shared" si="34"/>
        <v>0</v>
      </c>
      <c r="CN26" s="54">
        <f t="shared" si="35"/>
        <v>0</v>
      </c>
      <c r="CO26" s="54">
        <f t="shared" si="36"/>
        <v>0</v>
      </c>
      <c r="CP26" s="54">
        <f t="shared" si="37"/>
        <v>0</v>
      </c>
      <c r="CQ26" s="54">
        <f t="shared" si="38"/>
        <v>0</v>
      </c>
      <c r="CR26" s="54">
        <f t="shared" si="39"/>
        <v>0</v>
      </c>
      <c r="CS26" s="54">
        <f t="shared" si="40"/>
        <v>0</v>
      </c>
      <c r="CT26" s="54">
        <f t="shared" si="41"/>
        <v>0</v>
      </c>
      <c r="CU26" s="54">
        <f t="shared" si="42"/>
        <v>0</v>
      </c>
      <c r="CV26" s="52">
        <f t="shared" si="43"/>
        <v>0</v>
      </c>
    </row>
    <row r="27" spans="1:100" ht="15.75" x14ac:dyDescent="0.25">
      <c r="A27" s="16"/>
      <c r="B27" s="44"/>
      <c r="C27" s="44"/>
      <c r="D27" s="44"/>
      <c r="E27" s="44"/>
      <c r="F27" s="45" t="s">
        <v>17</v>
      </c>
      <c r="G27" s="72"/>
      <c r="H27" s="72"/>
      <c r="I27" s="74"/>
      <c r="J27" s="74"/>
      <c r="K27" s="74"/>
      <c r="L27" s="74"/>
      <c r="M27" s="74"/>
      <c r="N27" s="74"/>
      <c r="O27" s="74"/>
      <c r="P27" s="74"/>
      <c r="Q27" s="74"/>
      <c r="R27" s="74"/>
      <c r="S27" s="11">
        <f t="shared" si="1"/>
        <v>0</v>
      </c>
      <c r="T27" s="8">
        <f t="shared" si="17"/>
        <v>0</v>
      </c>
      <c r="U27" s="13" t="s">
        <v>2952</v>
      </c>
      <c r="V27" s="46">
        <f t="shared" si="18"/>
        <v>0</v>
      </c>
      <c r="W27" s="36">
        <v>1.258</v>
      </c>
      <c r="X27" s="36">
        <v>1.258</v>
      </c>
      <c r="Y27" s="36">
        <v>1.6339999999999999</v>
      </c>
      <c r="Z27" s="36">
        <v>1.6339999999999999</v>
      </c>
      <c r="AA27" s="36">
        <v>1.6339999999999999</v>
      </c>
      <c r="AB27" s="36">
        <v>1.6339999999999999</v>
      </c>
      <c r="AC27" s="36">
        <v>1.6339999999999999</v>
      </c>
      <c r="AD27" s="36">
        <v>1.6339999999999999</v>
      </c>
      <c r="AE27" s="36">
        <v>1.6339999999999999</v>
      </c>
      <c r="AF27" s="36">
        <v>1.6339999999999999</v>
      </c>
      <c r="AG27" s="36">
        <v>1.6339999999999999</v>
      </c>
      <c r="AH27" s="36">
        <v>1.6339999999999999</v>
      </c>
      <c r="AI27" s="39">
        <v>1.33634708931066E-2</v>
      </c>
      <c r="AJ27" s="39">
        <v>1.33634708931066E-2</v>
      </c>
      <c r="AK27" s="39">
        <v>1.33634708931066E-2</v>
      </c>
      <c r="AL27" s="39">
        <v>1.33634708931066E-2</v>
      </c>
      <c r="AM27" s="39">
        <v>1.33634708931066E-2</v>
      </c>
      <c r="AN27" s="39">
        <v>1.33634708931066E-2</v>
      </c>
      <c r="AO27" s="39">
        <v>1.33634708931066E-2</v>
      </c>
      <c r="AP27" s="39">
        <v>1.33634708931066E-2</v>
      </c>
      <c r="AQ27" s="39">
        <v>1.33634708931066E-2</v>
      </c>
      <c r="AR27" s="39">
        <v>1.33634708931066E-2</v>
      </c>
      <c r="AS27" s="39">
        <v>1.33634708931066E-2</v>
      </c>
      <c r="AT27" s="39">
        <v>1.33634708931066E-2</v>
      </c>
      <c r="AU27" s="39">
        <v>1.2392217523121999E-3</v>
      </c>
      <c r="AV27" s="39">
        <v>1.2392217523121999E-3</v>
      </c>
      <c r="AW27" s="39">
        <v>1.2392217523121999E-3</v>
      </c>
      <c r="AX27" s="39">
        <v>1.2392217523121999E-3</v>
      </c>
      <c r="AY27" s="39">
        <v>1.2392217523121999E-3</v>
      </c>
      <c r="AZ27" s="39">
        <v>1.2392217523121999E-3</v>
      </c>
      <c r="BA27" s="39">
        <v>1.2392217523121999E-3</v>
      </c>
      <c r="BB27" s="39">
        <v>1.2392217523121999E-3</v>
      </c>
      <c r="BC27" s="39">
        <v>1.2392217523121999E-3</v>
      </c>
      <c r="BD27" s="39">
        <v>1.2392217523121999E-3</v>
      </c>
      <c r="BE27" s="39">
        <v>1.2392217523121999E-3</v>
      </c>
      <c r="BF27" s="39">
        <v>1.2392217523121999E-3</v>
      </c>
      <c r="BH27" s="12">
        <f t="shared" si="2"/>
        <v>0</v>
      </c>
      <c r="BI27" s="12">
        <f t="shared" si="3"/>
        <v>0</v>
      </c>
      <c r="BJ27" s="12">
        <f t="shared" si="4"/>
        <v>0</v>
      </c>
      <c r="BK27" s="12">
        <f t="shared" si="5"/>
        <v>0</v>
      </c>
      <c r="BL27" s="12">
        <f t="shared" si="6"/>
        <v>0</v>
      </c>
      <c r="BM27" s="12">
        <f t="shared" si="7"/>
        <v>0</v>
      </c>
      <c r="BN27" s="12">
        <f t="shared" si="8"/>
        <v>0</v>
      </c>
      <c r="BO27" s="12">
        <f t="shared" si="9"/>
        <v>0</v>
      </c>
      <c r="BP27" s="12">
        <f t="shared" si="10"/>
        <v>0</v>
      </c>
      <c r="BQ27" s="12">
        <f t="shared" si="11"/>
        <v>0</v>
      </c>
      <c r="BR27" s="12">
        <f t="shared" si="12"/>
        <v>0</v>
      </c>
      <c r="BS27" s="12">
        <f t="shared" si="13"/>
        <v>0</v>
      </c>
      <c r="BU27" s="11">
        <f t="shared" si="19"/>
        <v>0</v>
      </c>
      <c r="BV27" s="11">
        <f t="shared" si="20"/>
        <v>0</v>
      </c>
      <c r="BW27" s="11">
        <f t="shared" si="21"/>
        <v>0</v>
      </c>
      <c r="BX27" s="11">
        <f t="shared" si="22"/>
        <v>0</v>
      </c>
      <c r="BY27" s="11">
        <f t="shared" si="23"/>
        <v>0</v>
      </c>
      <c r="BZ27" s="11">
        <f t="shared" si="24"/>
        <v>0</v>
      </c>
      <c r="CA27" s="11">
        <f t="shared" si="25"/>
        <v>0</v>
      </c>
      <c r="CB27" s="11">
        <f t="shared" si="26"/>
        <v>0</v>
      </c>
      <c r="CC27" s="11">
        <f t="shared" si="27"/>
        <v>0</v>
      </c>
      <c r="CD27" s="11">
        <f t="shared" si="28"/>
        <v>0</v>
      </c>
      <c r="CE27" s="11">
        <f t="shared" si="29"/>
        <v>0</v>
      </c>
      <c r="CF27" s="11">
        <f t="shared" si="30"/>
        <v>0</v>
      </c>
      <c r="CG27" s="11"/>
      <c r="CH27" s="41">
        <v>3.2330000000000001</v>
      </c>
      <c r="CJ27" s="54">
        <f t="shared" si="31"/>
        <v>0</v>
      </c>
      <c r="CK27" s="54">
        <f t="shared" si="32"/>
        <v>0</v>
      </c>
      <c r="CL27" s="54">
        <f t="shared" si="33"/>
        <v>0</v>
      </c>
      <c r="CM27" s="54">
        <f t="shared" si="34"/>
        <v>0</v>
      </c>
      <c r="CN27" s="54">
        <f t="shared" si="35"/>
        <v>0</v>
      </c>
      <c r="CO27" s="54">
        <f t="shared" si="36"/>
        <v>0</v>
      </c>
      <c r="CP27" s="54">
        <f t="shared" si="37"/>
        <v>0</v>
      </c>
      <c r="CQ27" s="54">
        <f t="shared" si="38"/>
        <v>0</v>
      </c>
      <c r="CR27" s="54">
        <f t="shared" si="39"/>
        <v>0</v>
      </c>
      <c r="CS27" s="54">
        <f t="shared" si="40"/>
        <v>0</v>
      </c>
      <c r="CT27" s="54">
        <f t="shared" si="41"/>
        <v>0</v>
      </c>
      <c r="CU27" s="54">
        <f t="shared" si="42"/>
        <v>0</v>
      </c>
      <c r="CV27" s="52">
        <f t="shared" si="43"/>
        <v>0</v>
      </c>
    </row>
    <row r="28" spans="1:100" ht="15.75" x14ac:dyDescent="0.25">
      <c r="A28" s="16"/>
      <c r="B28" s="44"/>
      <c r="C28" s="44"/>
      <c r="D28" s="44"/>
      <c r="E28" s="44"/>
      <c r="F28" s="45" t="s">
        <v>17</v>
      </c>
      <c r="G28" s="72"/>
      <c r="H28" s="72"/>
      <c r="I28" s="74"/>
      <c r="J28" s="74"/>
      <c r="K28" s="74"/>
      <c r="L28" s="74"/>
      <c r="M28" s="74"/>
      <c r="N28" s="74"/>
      <c r="O28" s="74"/>
      <c r="P28" s="74"/>
      <c r="Q28" s="74"/>
      <c r="R28" s="74"/>
      <c r="S28" s="11">
        <f t="shared" si="1"/>
        <v>0</v>
      </c>
      <c r="T28" s="8">
        <f t="shared" si="17"/>
        <v>0</v>
      </c>
      <c r="U28" s="13" t="s">
        <v>2952</v>
      </c>
      <c r="V28" s="46">
        <f t="shared" si="18"/>
        <v>0</v>
      </c>
      <c r="W28" s="36">
        <v>1.9790000000000001</v>
      </c>
      <c r="X28" s="36">
        <v>1.9790000000000001</v>
      </c>
      <c r="Y28" s="36">
        <v>2.6459999999999999</v>
      </c>
      <c r="Z28" s="36">
        <v>2.6459999999999999</v>
      </c>
      <c r="AA28" s="36">
        <v>2.6459999999999999</v>
      </c>
      <c r="AB28" s="36">
        <v>2.6459999999999999</v>
      </c>
      <c r="AC28" s="36">
        <v>2.6459999999999999</v>
      </c>
      <c r="AD28" s="36">
        <v>2.6459999999999999</v>
      </c>
      <c r="AE28" s="36">
        <v>2.6459999999999999</v>
      </c>
      <c r="AF28" s="36">
        <v>2.6459999999999999</v>
      </c>
      <c r="AG28" s="36">
        <v>2.6459999999999999</v>
      </c>
      <c r="AH28" s="36">
        <v>2.6459999999999999</v>
      </c>
      <c r="AI28" s="39">
        <v>1.33634708931066E-2</v>
      </c>
      <c r="AJ28" s="39">
        <v>1.33634708931066E-2</v>
      </c>
      <c r="AK28" s="39">
        <v>1.33634708931066E-2</v>
      </c>
      <c r="AL28" s="39">
        <v>1.33634708931066E-2</v>
      </c>
      <c r="AM28" s="39">
        <v>1.33634708931066E-2</v>
      </c>
      <c r="AN28" s="39">
        <v>1.33634708931066E-2</v>
      </c>
      <c r="AO28" s="39">
        <v>1.33634708931066E-2</v>
      </c>
      <c r="AP28" s="39">
        <v>1.33634708931066E-2</v>
      </c>
      <c r="AQ28" s="39">
        <v>1.33634708931066E-2</v>
      </c>
      <c r="AR28" s="39">
        <v>1.33634708931066E-2</v>
      </c>
      <c r="AS28" s="39">
        <v>1.33634708931066E-2</v>
      </c>
      <c r="AT28" s="39">
        <v>1.33634708931066E-2</v>
      </c>
      <c r="AU28" s="39">
        <v>1.2392217523121999E-3</v>
      </c>
      <c r="AV28" s="39">
        <v>1.2392217523121999E-3</v>
      </c>
      <c r="AW28" s="39">
        <v>1.2392217523121999E-3</v>
      </c>
      <c r="AX28" s="39">
        <v>1.2392217523121999E-3</v>
      </c>
      <c r="AY28" s="39">
        <v>1.2392217523121999E-3</v>
      </c>
      <c r="AZ28" s="39">
        <v>1.2392217523121999E-3</v>
      </c>
      <c r="BA28" s="39">
        <v>1.2392217523121999E-3</v>
      </c>
      <c r="BB28" s="39">
        <v>1.2392217523121999E-3</v>
      </c>
      <c r="BC28" s="39">
        <v>1.2392217523121999E-3</v>
      </c>
      <c r="BD28" s="39">
        <v>1.2392217523121999E-3</v>
      </c>
      <c r="BE28" s="39">
        <v>1.2392217523121999E-3</v>
      </c>
      <c r="BF28" s="39">
        <v>1.2392217523121999E-3</v>
      </c>
      <c r="BH28" s="12">
        <f t="shared" si="2"/>
        <v>0</v>
      </c>
      <c r="BI28" s="12">
        <f t="shared" si="3"/>
        <v>0</v>
      </c>
      <c r="BJ28" s="12">
        <f t="shared" si="4"/>
        <v>0</v>
      </c>
      <c r="BK28" s="12">
        <f t="shared" si="5"/>
        <v>0</v>
      </c>
      <c r="BL28" s="12">
        <f t="shared" si="6"/>
        <v>0</v>
      </c>
      <c r="BM28" s="12">
        <f t="shared" si="7"/>
        <v>0</v>
      </c>
      <c r="BN28" s="12">
        <f t="shared" si="8"/>
        <v>0</v>
      </c>
      <c r="BO28" s="12">
        <f t="shared" si="9"/>
        <v>0</v>
      </c>
      <c r="BP28" s="12">
        <f t="shared" si="10"/>
        <v>0</v>
      </c>
      <c r="BQ28" s="12">
        <f t="shared" si="11"/>
        <v>0</v>
      </c>
      <c r="BR28" s="12">
        <f t="shared" si="12"/>
        <v>0</v>
      </c>
      <c r="BS28" s="12">
        <f t="shared" si="13"/>
        <v>0</v>
      </c>
      <c r="BU28" s="11">
        <f t="shared" si="19"/>
        <v>0</v>
      </c>
      <c r="BV28" s="11">
        <f t="shared" si="20"/>
        <v>0</v>
      </c>
      <c r="BW28" s="11">
        <f t="shared" si="21"/>
        <v>0</v>
      </c>
      <c r="BX28" s="11">
        <f t="shared" si="22"/>
        <v>0</v>
      </c>
      <c r="BY28" s="11">
        <f t="shared" si="23"/>
        <v>0</v>
      </c>
      <c r="BZ28" s="11">
        <f t="shared" si="24"/>
        <v>0</v>
      </c>
      <c r="CA28" s="11">
        <f t="shared" si="25"/>
        <v>0</v>
      </c>
      <c r="CB28" s="11">
        <f t="shared" si="26"/>
        <v>0</v>
      </c>
      <c r="CC28" s="11">
        <f t="shared" si="27"/>
        <v>0</v>
      </c>
      <c r="CD28" s="11">
        <f t="shared" si="28"/>
        <v>0</v>
      </c>
      <c r="CE28" s="11">
        <f t="shared" si="29"/>
        <v>0</v>
      </c>
      <c r="CF28" s="11">
        <f t="shared" si="30"/>
        <v>0</v>
      </c>
      <c r="CG28" s="11"/>
      <c r="CH28" s="41">
        <v>3.2330000000000001</v>
      </c>
      <c r="CJ28" s="54">
        <f t="shared" si="31"/>
        <v>0</v>
      </c>
      <c r="CK28" s="54">
        <f t="shared" si="32"/>
        <v>0</v>
      </c>
      <c r="CL28" s="54">
        <f t="shared" si="33"/>
        <v>0</v>
      </c>
      <c r="CM28" s="54">
        <f t="shared" si="34"/>
        <v>0</v>
      </c>
      <c r="CN28" s="54">
        <f t="shared" si="35"/>
        <v>0</v>
      </c>
      <c r="CO28" s="54">
        <f t="shared" si="36"/>
        <v>0</v>
      </c>
      <c r="CP28" s="54">
        <f t="shared" si="37"/>
        <v>0</v>
      </c>
      <c r="CQ28" s="54">
        <f t="shared" si="38"/>
        <v>0</v>
      </c>
      <c r="CR28" s="54">
        <f t="shared" si="39"/>
        <v>0</v>
      </c>
      <c r="CS28" s="54">
        <f t="shared" si="40"/>
        <v>0</v>
      </c>
      <c r="CT28" s="54">
        <f t="shared" si="41"/>
        <v>0</v>
      </c>
      <c r="CU28" s="54">
        <f t="shared" si="42"/>
        <v>0</v>
      </c>
      <c r="CV28" s="52">
        <f t="shared" si="43"/>
        <v>0</v>
      </c>
    </row>
    <row r="29" spans="1:100" ht="15.75" x14ac:dyDescent="0.25">
      <c r="A29" s="16"/>
      <c r="B29" s="44"/>
      <c r="C29" s="44"/>
      <c r="D29" s="44"/>
      <c r="E29" s="44"/>
      <c r="F29" s="45" t="s">
        <v>17</v>
      </c>
      <c r="G29" s="72"/>
      <c r="H29" s="72"/>
      <c r="I29" s="74"/>
      <c r="J29" s="74"/>
      <c r="K29" s="74"/>
      <c r="L29" s="74"/>
      <c r="M29" s="74"/>
      <c r="N29" s="74"/>
      <c r="O29" s="74"/>
      <c r="P29" s="74"/>
      <c r="Q29" s="74"/>
      <c r="R29" s="74"/>
      <c r="S29" s="11">
        <f t="shared" si="1"/>
        <v>0</v>
      </c>
      <c r="T29" s="8">
        <f t="shared" si="17"/>
        <v>0</v>
      </c>
      <c r="U29" s="13" t="s">
        <v>2952</v>
      </c>
      <c r="V29" s="46">
        <f t="shared" si="18"/>
        <v>0</v>
      </c>
      <c r="W29" s="36">
        <v>1.82</v>
      </c>
      <c r="X29" s="36">
        <v>1.82</v>
      </c>
      <c r="Y29" s="36">
        <v>2.367</v>
      </c>
      <c r="Z29" s="36">
        <v>2.367</v>
      </c>
      <c r="AA29" s="36">
        <v>2.367</v>
      </c>
      <c r="AB29" s="36">
        <v>2.367</v>
      </c>
      <c r="AC29" s="36">
        <v>2.367</v>
      </c>
      <c r="AD29" s="36">
        <v>2.367</v>
      </c>
      <c r="AE29" s="36">
        <v>2.367</v>
      </c>
      <c r="AF29" s="36">
        <v>2.367</v>
      </c>
      <c r="AG29" s="36">
        <v>2.367</v>
      </c>
      <c r="AH29" s="36">
        <v>2.367</v>
      </c>
      <c r="AI29" s="39">
        <v>1.33634708931066E-2</v>
      </c>
      <c r="AJ29" s="39">
        <v>1.33634708931066E-2</v>
      </c>
      <c r="AK29" s="39">
        <v>1.33634708931066E-2</v>
      </c>
      <c r="AL29" s="39">
        <v>1.33634708931066E-2</v>
      </c>
      <c r="AM29" s="39">
        <v>1.33634708931066E-2</v>
      </c>
      <c r="AN29" s="39">
        <v>1.33634708931066E-2</v>
      </c>
      <c r="AO29" s="39">
        <v>1.33634708931066E-2</v>
      </c>
      <c r="AP29" s="39">
        <v>1.33634708931066E-2</v>
      </c>
      <c r="AQ29" s="39">
        <v>1.33634708931066E-2</v>
      </c>
      <c r="AR29" s="39">
        <v>1.33634708931066E-2</v>
      </c>
      <c r="AS29" s="39">
        <v>1.33634708931066E-2</v>
      </c>
      <c r="AT29" s="39">
        <v>1.33634708931066E-2</v>
      </c>
      <c r="AU29" s="39">
        <v>1.2392217523121999E-3</v>
      </c>
      <c r="AV29" s="39">
        <v>1.2392217523121999E-3</v>
      </c>
      <c r="AW29" s="39">
        <v>1.2392217523121999E-3</v>
      </c>
      <c r="AX29" s="39">
        <v>1.2392217523121999E-3</v>
      </c>
      <c r="AY29" s="39">
        <v>1.2392217523121999E-3</v>
      </c>
      <c r="AZ29" s="39">
        <v>1.2392217523121999E-3</v>
      </c>
      <c r="BA29" s="39">
        <v>1.2392217523121999E-3</v>
      </c>
      <c r="BB29" s="39">
        <v>1.2392217523121999E-3</v>
      </c>
      <c r="BC29" s="39">
        <v>1.2392217523121999E-3</v>
      </c>
      <c r="BD29" s="39">
        <v>1.2392217523121999E-3</v>
      </c>
      <c r="BE29" s="39">
        <v>1.2392217523121999E-3</v>
      </c>
      <c r="BF29" s="39">
        <v>1.2392217523121999E-3</v>
      </c>
      <c r="BH29" s="12">
        <f t="shared" si="2"/>
        <v>0</v>
      </c>
      <c r="BI29" s="12">
        <f t="shared" si="3"/>
        <v>0</v>
      </c>
      <c r="BJ29" s="12">
        <f t="shared" si="4"/>
        <v>0</v>
      </c>
      <c r="BK29" s="12">
        <f t="shared" si="5"/>
        <v>0</v>
      </c>
      <c r="BL29" s="12">
        <f t="shared" si="6"/>
        <v>0</v>
      </c>
      <c r="BM29" s="12">
        <f t="shared" si="7"/>
        <v>0</v>
      </c>
      <c r="BN29" s="12">
        <f t="shared" si="8"/>
        <v>0</v>
      </c>
      <c r="BO29" s="12">
        <f t="shared" si="9"/>
        <v>0</v>
      </c>
      <c r="BP29" s="12">
        <f t="shared" si="10"/>
        <v>0</v>
      </c>
      <c r="BQ29" s="12">
        <f t="shared" si="11"/>
        <v>0</v>
      </c>
      <c r="BR29" s="12">
        <f t="shared" si="12"/>
        <v>0</v>
      </c>
      <c r="BS29" s="12">
        <f t="shared" si="13"/>
        <v>0</v>
      </c>
      <c r="BU29" s="11">
        <f t="shared" si="19"/>
        <v>0</v>
      </c>
      <c r="BV29" s="11">
        <f t="shared" si="20"/>
        <v>0</v>
      </c>
      <c r="BW29" s="11">
        <f t="shared" si="21"/>
        <v>0</v>
      </c>
      <c r="BX29" s="11">
        <f t="shared" si="22"/>
        <v>0</v>
      </c>
      <c r="BY29" s="11">
        <f t="shared" si="23"/>
        <v>0</v>
      </c>
      <c r="BZ29" s="11">
        <f t="shared" si="24"/>
        <v>0</v>
      </c>
      <c r="CA29" s="11">
        <f t="shared" si="25"/>
        <v>0</v>
      </c>
      <c r="CB29" s="11">
        <f t="shared" si="26"/>
        <v>0</v>
      </c>
      <c r="CC29" s="11">
        <f t="shared" si="27"/>
        <v>0</v>
      </c>
      <c r="CD29" s="11">
        <f t="shared" si="28"/>
        <v>0</v>
      </c>
      <c r="CE29" s="11">
        <f t="shared" si="29"/>
        <v>0</v>
      </c>
      <c r="CF29" s="11">
        <f t="shared" si="30"/>
        <v>0</v>
      </c>
      <c r="CG29" s="11"/>
      <c r="CH29" s="41">
        <v>3.2330000000000001</v>
      </c>
      <c r="CJ29" s="54">
        <f t="shared" si="31"/>
        <v>0</v>
      </c>
      <c r="CK29" s="54">
        <f t="shared" si="32"/>
        <v>0</v>
      </c>
      <c r="CL29" s="54">
        <f t="shared" si="33"/>
        <v>0</v>
      </c>
      <c r="CM29" s="54">
        <f t="shared" si="34"/>
        <v>0</v>
      </c>
      <c r="CN29" s="54">
        <f t="shared" si="35"/>
        <v>0</v>
      </c>
      <c r="CO29" s="54">
        <f t="shared" si="36"/>
        <v>0</v>
      </c>
      <c r="CP29" s="54">
        <f t="shared" si="37"/>
        <v>0</v>
      </c>
      <c r="CQ29" s="54">
        <f t="shared" si="38"/>
        <v>0</v>
      </c>
      <c r="CR29" s="54">
        <f t="shared" si="39"/>
        <v>0</v>
      </c>
      <c r="CS29" s="54">
        <f t="shared" si="40"/>
        <v>0</v>
      </c>
      <c r="CT29" s="54">
        <f t="shared" si="41"/>
        <v>0</v>
      </c>
      <c r="CU29" s="54">
        <f t="shared" si="42"/>
        <v>0</v>
      </c>
      <c r="CV29" s="52">
        <f t="shared" si="43"/>
        <v>0</v>
      </c>
    </row>
    <row r="30" spans="1:100" ht="15.75" x14ac:dyDescent="0.25">
      <c r="A30" s="16"/>
      <c r="B30" s="44"/>
      <c r="C30" s="44"/>
      <c r="D30" s="44"/>
      <c r="E30" s="44"/>
      <c r="F30" s="45" t="s">
        <v>17</v>
      </c>
      <c r="G30" s="72"/>
      <c r="H30" s="72"/>
      <c r="I30" s="74"/>
      <c r="J30" s="74"/>
      <c r="K30" s="74"/>
      <c r="L30" s="74"/>
      <c r="M30" s="74"/>
      <c r="N30" s="74"/>
      <c r="O30" s="74"/>
      <c r="P30" s="74"/>
      <c r="Q30" s="74"/>
      <c r="R30" s="74"/>
      <c r="S30" s="11">
        <f t="shared" si="1"/>
        <v>0</v>
      </c>
      <c r="T30" s="8">
        <f t="shared" si="17"/>
        <v>0</v>
      </c>
      <c r="U30" s="13" t="s">
        <v>2952</v>
      </c>
      <c r="V30" s="46">
        <f t="shared" si="18"/>
        <v>0</v>
      </c>
      <c r="W30" s="36">
        <v>2.3559999999999999</v>
      </c>
      <c r="X30" s="36">
        <v>2.3559999999999999</v>
      </c>
      <c r="Y30" s="36">
        <v>3.0640000000000001</v>
      </c>
      <c r="Z30" s="36">
        <v>3.0640000000000001</v>
      </c>
      <c r="AA30" s="36">
        <v>3.0640000000000001</v>
      </c>
      <c r="AB30" s="36">
        <v>3.0640000000000001</v>
      </c>
      <c r="AC30" s="36">
        <v>3.0640000000000001</v>
      </c>
      <c r="AD30" s="36">
        <v>3.0640000000000001</v>
      </c>
      <c r="AE30" s="36">
        <v>3.0640000000000001</v>
      </c>
      <c r="AF30" s="36">
        <v>3.0640000000000001</v>
      </c>
      <c r="AG30" s="36">
        <v>3.0640000000000001</v>
      </c>
      <c r="AH30" s="36">
        <v>3.0640000000000001</v>
      </c>
      <c r="AI30" s="39">
        <v>1.33634708931066E-2</v>
      </c>
      <c r="AJ30" s="39">
        <v>1.33634708931066E-2</v>
      </c>
      <c r="AK30" s="39">
        <v>1.33634708931066E-2</v>
      </c>
      <c r="AL30" s="39">
        <v>1.33634708931066E-2</v>
      </c>
      <c r="AM30" s="39">
        <v>1.33634708931066E-2</v>
      </c>
      <c r="AN30" s="39">
        <v>1.33634708931066E-2</v>
      </c>
      <c r="AO30" s="39">
        <v>1.33634708931066E-2</v>
      </c>
      <c r="AP30" s="39">
        <v>1.33634708931066E-2</v>
      </c>
      <c r="AQ30" s="39">
        <v>1.33634708931066E-2</v>
      </c>
      <c r="AR30" s="39">
        <v>1.33634708931066E-2</v>
      </c>
      <c r="AS30" s="39">
        <v>1.33634708931066E-2</v>
      </c>
      <c r="AT30" s="39">
        <v>1.33634708931066E-2</v>
      </c>
      <c r="AU30" s="39">
        <v>1.2392217523121999E-3</v>
      </c>
      <c r="AV30" s="39">
        <v>1.2392217523121999E-3</v>
      </c>
      <c r="AW30" s="39">
        <v>1.2392217523121999E-3</v>
      </c>
      <c r="AX30" s="39">
        <v>1.2392217523121999E-3</v>
      </c>
      <c r="AY30" s="39">
        <v>1.2392217523121999E-3</v>
      </c>
      <c r="AZ30" s="39">
        <v>1.2392217523121999E-3</v>
      </c>
      <c r="BA30" s="39">
        <v>1.2392217523121999E-3</v>
      </c>
      <c r="BB30" s="39">
        <v>1.2392217523121999E-3</v>
      </c>
      <c r="BC30" s="39">
        <v>1.2392217523121999E-3</v>
      </c>
      <c r="BD30" s="39">
        <v>1.2392217523121999E-3</v>
      </c>
      <c r="BE30" s="39">
        <v>1.2392217523121999E-3</v>
      </c>
      <c r="BF30" s="39">
        <v>1.2392217523121999E-3</v>
      </c>
      <c r="BH30" s="12">
        <f t="shared" si="2"/>
        <v>0</v>
      </c>
      <c r="BI30" s="12">
        <f t="shared" si="3"/>
        <v>0</v>
      </c>
      <c r="BJ30" s="12">
        <f t="shared" si="4"/>
        <v>0</v>
      </c>
      <c r="BK30" s="12">
        <f t="shared" si="5"/>
        <v>0</v>
      </c>
      <c r="BL30" s="12">
        <f t="shared" si="6"/>
        <v>0</v>
      </c>
      <c r="BM30" s="12">
        <f t="shared" si="7"/>
        <v>0</v>
      </c>
      <c r="BN30" s="12">
        <f t="shared" si="8"/>
        <v>0</v>
      </c>
      <c r="BO30" s="12">
        <f t="shared" si="9"/>
        <v>0</v>
      </c>
      <c r="BP30" s="12">
        <f t="shared" si="10"/>
        <v>0</v>
      </c>
      <c r="BQ30" s="12">
        <f t="shared" si="11"/>
        <v>0</v>
      </c>
      <c r="BR30" s="12">
        <f t="shared" si="12"/>
        <v>0</v>
      </c>
      <c r="BS30" s="12">
        <f t="shared" si="13"/>
        <v>0</v>
      </c>
      <c r="BU30" s="11">
        <f t="shared" si="19"/>
        <v>0</v>
      </c>
      <c r="BV30" s="11">
        <f t="shared" si="20"/>
        <v>0</v>
      </c>
      <c r="BW30" s="11">
        <f t="shared" si="21"/>
        <v>0</v>
      </c>
      <c r="BX30" s="11">
        <f t="shared" si="22"/>
        <v>0</v>
      </c>
      <c r="BY30" s="11">
        <f t="shared" si="23"/>
        <v>0</v>
      </c>
      <c r="BZ30" s="11">
        <f t="shared" si="24"/>
        <v>0</v>
      </c>
      <c r="CA30" s="11">
        <f t="shared" si="25"/>
        <v>0</v>
      </c>
      <c r="CB30" s="11">
        <f t="shared" si="26"/>
        <v>0</v>
      </c>
      <c r="CC30" s="11">
        <f t="shared" si="27"/>
        <v>0</v>
      </c>
      <c r="CD30" s="11">
        <f t="shared" si="28"/>
        <v>0</v>
      </c>
      <c r="CE30" s="11">
        <f t="shared" si="29"/>
        <v>0</v>
      </c>
      <c r="CF30" s="11">
        <f t="shared" si="30"/>
        <v>0</v>
      </c>
      <c r="CG30" s="11"/>
      <c r="CH30" s="41">
        <v>3.2330000000000001</v>
      </c>
      <c r="CJ30" s="54">
        <f t="shared" si="31"/>
        <v>0</v>
      </c>
      <c r="CK30" s="54">
        <f t="shared" si="32"/>
        <v>0</v>
      </c>
      <c r="CL30" s="54">
        <f t="shared" si="33"/>
        <v>0</v>
      </c>
      <c r="CM30" s="54">
        <f t="shared" si="34"/>
        <v>0</v>
      </c>
      <c r="CN30" s="54">
        <f t="shared" si="35"/>
        <v>0</v>
      </c>
      <c r="CO30" s="54">
        <f t="shared" si="36"/>
        <v>0</v>
      </c>
      <c r="CP30" s="54">
        <f t="shared" si="37"/>
        <v>0</v>
      </c>
      <c r="CQ30" s="54">
        <f t="shared" si="38"/>
        <v>0</v>
      </c>
      <c r="CR30" s="54">
        <f t="shared" si="39"/>
        <v>0</v>
      </c>
      <c r="CS30" s="54">
        <f t="shared" si="40"/>
        <v>0</v>
      </c>
      <c r="CT30" s="54">
        <f t="shared" si="41"/>
        <v>0</v>
      </c>
      <c r="CU30" s="54">
        <f t="shared" si="42"/>
        <v>0</v>
      </c>
      <c r="CV30" s="52">
        <f t="shared" si="43"/>
        <v>0</v>
      </c>
    </row>
    <row r="31" spans="1:100" ht="15.75" x14ac:dyDescent="0.25">
      <c r="A31" s="16"/>
      <c r="B31" s="44"/>
      <c r="C31" s="44"/>
      <c r="D31" s="44"/>
      <c r="E31" s="44"/>
      <c r="F31" s="45" t="s">
        <v>17</v>
      </c>
      <c r="G31" s="72"/>
      <c r="H31" s="72"/>
      <c r="I31" s="74"/>
      <c r="J31" s="74"/>
      <c r="K31" s="74"/>
      <c r="L31" s="74"/>
      <c r="M31" s="74"/>
      <c r="N31" s="74"/>
      <c r="O31" s="74"/>
      <c r="P31" s="74"/>
      <c r="Q31" s="74"/>
      <c r="R31" s="74"/>
      <c r="S31" s="11">
        <f t="shared" si="1"/>
        <v>0</v>
      </c>
      <c r="T31" s="8">
        <f t="shared" si="17"/>
        <v>0</v>
      </c>
      <c r="U31" s="13" t="s">
        <v>2952</v>
      </c>
      <c r="V31" s="46">
        <f t="shared" si="18"/>
        <v>0</v>
      </c>
      <c r="W31" s="36">
        <v>1.964</v>
      </c>
      <c r="X31" s="36">
        <v>1.964</v>
      </c>
      <c r="Y31" s="36">
        <v>2.6280000000000001</v>
      </c>
      <c r="Z31" s="36">
        <v>2.6280000000000001</v>
      </c>
      <c r="AA31" s="36">
        <v>2.6280000000000001</v>
      </c>
      <c r="AB31" s="36">
        <v>2.6280000000000001</v>
      </c>
      <c r="AC31" s="36">
        <v>2.6280000000000001</v>
      </c>
      <c r="AD31" s="36">
        <v>2.6280000000000001</v>
      </c>
      <c r="AE31" s="36">
        <v>2.6280000000000001</v>
      </c>
      <c r="AF31" s="36">
        <v>2.6280000000000001</v>
      </c>
      <c r="AG31" s="36">
        <v>2.6280000000000001</v>
      </c>
      <c r="AH31" s="36">
        <v>2.6280000000000001</v>
      </c>
      <c r="AI31" s="39">
        <v>1.33634708931066E-2</v>
      </c>
      <c r="AJ31" s="39">
        <v>1.33634708931066E-2</v>
      </c>
      <c r="AK31" s="39">
        <v>1.33634708931066E-2</v>
      </c>
      <c r="AL31" s="39">
        <v>1.33634708931066E-2</v>
      </c>
      <c r="AM31" s="39">
        <v>1.33634708931066E-2</v>
      </c>
      <c r="AN31" s="39">
        <v>1.33634708931066E-2</v>
      </c>
      <c r="AO31" s="39">
        <v>1.33634708931066E-2</v>
      </c>
      <c r="AP31" s="39">
        <v>1.33634708931066E-2</v>
      </c>
      <c r="AQ31" s="39">
        <v>1.33634708931066E-2</v>
      </c>
      <c r="AR31" s="39">
        <v>1.33634708931066E-2</v>
      </c>
      <c r="AS31" s="39">
        <v>1.33634708931066E-2</v>
      </c>
      <c r="AT31" s="39">
        <v>1.33634708931066E-2</v>
      </c>
      <c r="AU31" s="39">
        <v>1.2392217523121999E-3</v>
      </c>
      <c r="AV31" s="39">
        <v>1.2392217523121999E-3</v>
      </c>
      <c r="AW31" s="39">
        <v>1.2392217523121999E-3</v>
      </c>
      <c r="AX31" s="39">
        <v>1.2392217523121999E-3</v>
      </c>
      <c r="AY31" s="39">
        <v>1.2392217523121999E-3</v>
      </c>
      <c r="AZ31" s="39">
        <v>1.2392217523121999E-3</v>
      </c>
      <c r="BA31" s="39">
        <v>1.2392217523121999E-3</v>
      </c>
      <c r="BB31" s="39">
        <v>1.2392217523121999E-3</v>
      </c>
      <c r="BC31" s="39">
        <v>1.2392217523121999E-3</v>
      </c>
      <c r="BD31" s="39">
        <v>1.2392217523121999E-3</v>
      </c>
      <c r="BE31" s="39">
        <v>1.2392217523121999E-3</v>
      </c>
      <c r="BF31" s="39">
        <v>1.2392217523121999E-3</v>
      </c>
      <c r="BH31" s="12">
        <f t="shared" si="2"/>
        <v>0</v>
      </c>
      <c r="BI31" s="12">
        <f t="shared" si="3"/>
        <v>0</v>
      </c>
      <c r="BJ31" s="12">
        <f t="shared" si="4"/>
        <v>0</v>
      </c>
      <c r="BK31" s="12">
        <f t="shared" si="5"/>
        <v>0</v>
      </c>
      <c r="BL31" s="12">
        <f t="shared" si="6"/>
        <v>0</v>
      </c>
      <c r="BM31" s="12">
        <f t="shared" si="7"/>
        <v>0</v>
      </c>
      <c r="BN31" s="12">
        <f t="shared" si="8"/>
        <v>0</v>
      </c>
      <c r="BO31" s="12">
        <f t="shared" si="9"/>
        <v>0</v>
      </c>
      <c r="BP31" s="12">
        <f t="shared" si="10"/>
        <v>0</v>
      </c>
      <c r="BQ31" s="12">
        <f t="shared" si="11"/>
        <v>0</v>
      </c>
      <c r="BR31" s="12">
        <f t="shared" si="12"/>
        <v>0</v>
      </c>
      <c r="BS31" s="12">
        <f t="shared" si="13"/>
        <v>0</v>
      </c>
      <c r="BU31" s="11">
        <f t="shared" si="19"/>
        <v>0</v>
      </c>
      <c r="BV31" s="11">
        <f t="shared" si="20"/>
        <v>0</v>
      </c>
      <c r="BW31" s="11">
        <f t="shared" si="21"/>
        <v>0</v>
      </c>
      <c r="BX31" s="11">
        <f t="shared" si="22"/>
        <v>0</v>
      </c>
      <c r="BY31" s="11">
        <f t="shared" si="23"/>
        <v>0</v>
      </c>
      <c r="BZ31" s="11">
        <f t="shared" si="24"/>
        <v>0</v>
      </c>
      <c r="CA31" s="11">
        <f t="shared" si="25"/>
        <v>0</v>
      </c>
      <c r="CB31" s="11">
        <f t="shared" si="26"/>
        <v>0</v>
      </c>
      <c r="CC31" s="11">
        <f t="shared" si="27"/>
        <v>0</v>
      </c>
      <c r="CD31" s="11">
        <f t="shared" si="28"/>
        <v>0</v>
      </c>
      <c r="CE31" s="11">
        <f t="shared" si="29"/>
        <v>0</v>
      </c>
      <c r="CF31" s="11">
        <f t="shared" si="30"/>
        <v>0</v>
      </c>
      <c r="CG31" s="11"/>
      <c r="CH31" s="41">
        <v>3.2330000000000001</v>
      </c>
      <c r="CJ31" s="54">
        <f t="shared" si="31"/>
        <v>0</v>
      </c>
      <c r="CK31" s="54">
        <f t="shared" si="32"/>
        <v>0</v>
      </c>
      <c r="CL31" s="54">
        <f t="shared" si="33"/>
        <v>0</v>
      </c>
      <c r="CM31" s="54">
        <f t="shared" si="34"/>
        <v>0</v>
      </c>
      <c r="CN31" s="54">
        <f t="shared" si="35"/>
        <v>0</v>
      </c>
      <c r="CO31" s="54">
        <f t="shared" si="36"/>
        <v>0</v>
      </c>
      <c r="CP31" s="54">
        <f t="shared" si="37"/>
        <v>0</v>
      </c>
      <c r="CQ31" s="54">
        <f t="shared" si="38"/>
        <v>0</v>
      </c>
      <c r="CR31" s="54">
        <f t="shared" si="39"/>
        <v>0</v>
      </c>
      <c r="CS31" s="54">
        <f t="shared" si="40"/>
        <v>0</v>
      </c>
      <c r="CT31" s="54">
        <f t="shared" si="41"/>
        <v>0</v>
      </c>
      <c r="CU31" s="54">
        <f t="shared" si="42"/>
        <v>0</v>
      </c>
      <c r="CV31" s="52">
        <f t="shared" si="43"/>
        <v>0</v>
      </c>
    </row>
    <row r="32" spans="1:100" ht="15.75" x14ac:dyDescent="0.25">
      <c r="A32" s="16"/>
      <c r="B32" s="44"/>
      <c r="C32" s="44"/>
      <c r="D32" s="44"/>
      <c r="E32" s="44"/>
      <c r="F32" s="45" t="s">
        <v>17</v>
      </c>
      <c r="G32" s="72"/>
      <c r="H32" s="72"/>
      <c r="I32" s="74"/>
      <c r="J32" s="74"/>
      <c r="K32" s="74"/>
      <c r="L32" s="74"/>
      <c r="M32" s="74"/>
      <c r="N32" s="74"/>
      <c r="O32" s="74"/>
      <c r="P32" s="74"/>
      <c r="Q32" s="74"/>
      <c r="R32" s="74"/>
      <c r="S32" s="11">
        <f t="shared" si="1"/>
        <v>0</v>
      </c>
      <c r="T32" s="8">
        <f t="shared" si="17"/>
        <v>0</v>
      </c>
      <c r="U32" s="13" t="s">
        <v>2952</v>
      </c>
      <c r="V32" s="46">
        <f t="shared" si="18"/>
        <v>0</v>
      </c>
      <c r="W32" s="36">
        <v>5.1070000000000002</v>
      </c>
      <c r="X32" s="36">
        <v>5.1070000000000002</v>
      </c>
      <c r="Y32" s="36">
        <v>5.1070000000000002</v>
      </c>
      <c r="Z32" s="36">
        <v>5.1070000000000002</v>
      </c>
      <c r="AA32" s="36">
        <v>5.1070000000000002</v>
      </c>
      <c r="AB32" s="36">
        <v>5.1070000000000002</v>
      </c>
      <c r="AC32" s="36">
        <v>5.1070000000000002</v>
      </c>
      <c r="AD32" s="36">
        <v>5.1070000000000002</v>
      </c>
      <c r="AE32" s="36">
        <v>5.1070000000000002</v>
      </c>
      <c r="AF32" s="36">
        <v>5.1070000000000002</v>
      </c>
      <c r="AG32" s="36">
        <v>5.1070000000000002</v>
      </c>
      <c r="AH32" s="36">
        <v>5.1070000000000002</v>
      </c>
      <c r="AI32" s="39">
        <v>1.33634708931066E-2</v>
      </c>
      <c r="AJ32" s="39">
        <v>1.33634708931066E-2</v>
      </c>
      <c r="AK32" s="39">
        <v>1.33634708931066E-2</v>
      </c>
      <c r="AL32" s="39">
        <v>1.33634708931066E-2</v>
      </c>
      <c r="AM32" s="39">
        <v>1.33634708931066E-2</v>
      </c>
      <c r="AN32" s="39">
        <v>1.33634708931066E-2</v>
      </c>
      <c r="AO32" s="39">
        <v>1.33634708931066E-2</v>
      </c>
      <c r="AP32" s="39">
        <v>1.33634708931066E-2</v>
      </c>
      <c r="AQ32" s="39">
        <v>1.33634708931066E-2</v>
      </c>
      <c r="AR32" s="39">
        <v>1.33634708931066E-2</v>
      </c>
      <c r="AS32" s="39">
        <v>1.33634708931066E-2</v>
      </c>
      <c r="AT32" s="39">
        <v>1.33634708931066E-2</v>
      </c>
      <c r="AU32" s="39">
        <v>1.2392217523121999E-3</v>
      </c>
      <c r="AV32" s="39">
        <v>1.2392217523121999E-3</v>
      </c>
      <c r="AW32" s="39">
        <v>1.2392217523121999E-3</v>
      </c>
      <c r="AX32" s="39">
        <v>1.2392217523121999E-3</v>
      </c>
      <c r="AY32" s="39">
        <v>1.2392217523121999E-3</v>
      </c>
      <c r="AZ32" s="39">
        <v>1.2392217523121999E-3</v>
      </c>
      <c r="BA32" s="39">
        <v>1.2392217523121999E-3</v>
      </c>
      <c r="BB32" s="39">
        <v>1.2392217523121999E-3</v>
      </c>
      <c r="BC32" s="39">
        <v>1.2392217523121999E-3</v>
      </c>
      <c r="BD32" s="39">
        <v>1.2392217523121999E-3</v>
      </c>
      <c r="BE32" s="39">
        <v>1.2392217523121999E-3</v>
      </c>
      <c r="BF32" s="39">
        <v>1.2392217523121999E-3</v>
      </c>
      <c r="BH32" s="12">
        <f t="shared" si="2"/>
        <v>0</v>
      </c>
      <c r="BI32" s="12">
        <f t="shared" si="3"/>
        <v>0</v>
      </c>
      <c r="BJ32" s="12">
        <f t="shared" si="4"/>
        <v>0</v>
      </c>
      <c r="BK32" s="12">
        <f t="shared" si="5"/>
        <v>0</v>
      </c>
      <c r="BL32" s="12">
        <f t="shared" si="6"/>
        <v>0</v>
      </c>
      <c r="BM32" s="12">
        <f t="shared" si="7"/>
        <v>0</v>
      </c>
      <c r="BN32" s="12">
        <f t="shared" si="8"/>
        <v>0</v>
      </c>
      <c r="BO32" s="12">
        <f t="shared" si="9"/>
        <v>0</v>
      </c>
      <c r="BP32" s="12">
        <f t="shared" si="10"/>
        <v>0</v>
      </c>
      <c r="BQ32" s="12">
        <f t="shared" si="11"/>
        <v>0</v>
      </c>
      <c r="BR32" s="12">
        <f t="shared" si="12"/>
        <v>0</v>
      </c>
      <c r="BS32" s="12">
        <f t="shared" si="13"/>
        <v>0</v>
      </c>
      <c r="BU32" s="11">
        <f t="shared" si="19"/>
        <v>0</v>
      </c>
      <c r="BV32" s="11">
        <f t="shared" si="20"/>
        <v>0</v>
      </c>
      <c r="BW32" s="11">
        <f t="shared" si="21"/>
        <v>0</v>
      </c>
      <c r="BX32" s="11">
        <f t="shared" si="22"/>
        <v>0</v>
      </c>
      <c r="BY32" s="11">
        <f t="shared" si="23"/>
        <v>0</v>
      </c>
      <c r="BZ32" s="11">
        <f t="shared" si="24"/>
        <v>0</v>
      </c>
      <c r="CA32" s="11">
        <f t="shared" si="25"/>
        <v>0</v>
      </c>
      <c r="CB32" s="11">
        <f t="shared" si="26"/>
        <v>0</v>
      </c>
      <c r="CC32" s="11">
        <f t="shared" si="27"/>
        <v>0</v>
      </c>
      <c r="CD32" s="11">
        <f t="shared" si="28"/>
        <v>0</v>
      </c>
      <c r="CE32" s="11">
        <f t="shared" si="29"/>
        <v>0</v>
      </c>
      <c r="CF32" s="11">
        <f t="shared" si="30"/>
        <v>0</v>
      </c>
      <c r="CG32" s="11"/>
      <c r="CH32" s="41">
        <v>3.2330000000000001</v>
      </c>
      <c r="CJ32" s="54">
        <f t="shared" si="31"/>
        <v>0</v>
      </c>
      <c r="CK32" s="54">
        <f t="shared" si="32"/>
        <v>0</v>
      </c>
      <c r="CL32" s="54">
        <f t="shared" si="33"/>
        <v>0</v>
      </c>
      <c r="CM32" s="54">
        <f t="shared" si="34"/>
        <v>0</v>
      </c>
      <c r="CN32" s="54">
        <f t="shared" si="35"/>
        <v>0</v>
      </c>
      <c r="CO32" s="54">
        <f t="shared" si="36"/>
        <v>0</v>
      </c>
      <c r="CP32" s="54">
        <f t="shared" si="37"/>
        <v>0</v>
      </c>
      <c r="CQ32" s="54">
        <f t="shared" si="38"/>
        <v>0</v>
      </c>
      <c r="CR32" s="54">
        <f t="shared" si="39"/>
        <v>0</v>
      </c>
      <c r="CS32" s="54">
        <f t="shared" si="40"/>
        <v>0</v>
      </c>
      <c r="CT32" s="54">
        <f t="shared" si="41"/>
        <v>0</v>
      </c>
      <c r="CU32" s="54">
        <f t="shared" si="42"/>
        <v>0</v>
      </c>
      <c r="CV32" s="52">
        <f t="shared" si="43"/>
        <v>0</v>
      </c>
    </row>
    <row r="33" spans="1:100" ht="15.75" x14ac:dyDescent="0.25">
      <c r="A33" s="16"/>
      <c r="B33" s="44"/>
      <c r="C33" s="44"/>
      <c r="D33" s="44"/>
      <c r="E33" s="44"/>
      <c r="F33" s="45" t="s">
        <v>17</v>
      </c>
      <c r="G33" s="72"/>
      <c r="H33" s="72"/>
      <c r="I33" s="74"/>
      <c r="J33" s="74"/>
      <c r="K33" s="74"/>
      <c r="L33" s="74"/>
      <c r="M33" s="74"/>
      <c r="N33" s="74"/>
      <c r="O33" s="74"/>
      <c r="P33" s="74"/>
      <c r="Q33" s="74"/>
      <c r="R33" s="74"/>
      <c r="S33" s="11">
        <f t="shared" si="1"/>
        <v>0</v>
      </c>
      <c r="T33" s="8">
        <f t="shared" si="17"/>
        <v>0</v>
      </c>
      <c r="U33" s="13" t="s">
        <v>2952</v>
      </c>
      <c r="V33" s="46">
        <f t="shared" si="18"/>
        <v>0</v>
      </c>
      <c r="W33" s="36">
        <v>3.2559999999999998</v>
      </c>
      <c r="X33" s="36">
        <v>3.2559999999999998</v>
      </c>
      <c r="Y33" s="36">
        <v>3.2559999999999998</v>
      </c>
      <c r="Z33" s="36">
        <v>3.2559999999999998</v>
      </c>
      <c r="AA33" s="36">
        <v>3.2559999999999998</v>
      </c>
      <c r="AB33" s="36">
        <v>3.2559999999999998</v>
      </c>
      <c r="AC33" s="36">
        <v>3.2559999999999998</v>
      </c>
      <c r="AD33" s="36">
        <v>3.2559999999999998</v>
      </c>
      <c r="AE33" s="36">
        <v>3.2559999999999998</v>
      </c>
      <c r="AF33" s="36">
        <v>3.2559999999999998</v>
      </c>
      <c r="AG33" s="36">
        <v>3.2559999999999998</v>
      </c>
      <c r="AH33" s="36">
        <v>3.2559999999999998</v>
      </c>
      <c r="AI33" s="39">
        <v>1.33634708931066E-2</v>
      </c>
      <c r="AJ33" s="39">
        <v>1.33634708931066E-2</v>
      </c>
      <c r="AK33" s="39">
        <v>1.33634708931066E-2</v>
      </c>
      <c r="AL33" s="39">
        <v>1.33634708931066E-2</v>
      </c>
      <c r="AM33" s="39">
        <v>1.33634708931066E-2</v>
      </c>
      <c r="AN33" s="39">
        <v>1.33634708931066E-2</v>
      </c>
      <c r="AO33" s="39">
        <v>1.33634708931066E-2</v>
      </c>
      <c r="AP33" s="39">
        <v>1.33634708931066E-2</v>
      </c>
      <c r="AQ33" s="39">
        <v>1.33634708931066E-2</v>
      </c>
      <c r="AR33" s="39">
        <v>1.33634708931066E-2</v>
      </c>
      <c r="AS33" s="39">
        <v>1.33634708931066E-2</v>
      </c>
      <c r="AT33" s="39">
        <v>1.33634708931066E-2</v>
      </c>
      <c r="AU33" s="39">
        <v>1.2392217523121999E-3</v>
      </c>
      <c r="AV33" s="39">
        <v>1.2392217523121999E-3</v>
      </c>
      <c r="AW33" s="39">
        <v>1.2392217523121999E-3</v>
      </c>
      <c r="AX33" s="39">
        <v>1.2392217523121999E-3</v>
      </c>
      <c r="AY33" s="39">
        <v>1.2392217523121999E-3</v>
      </c>
      <c r="AZ33" s="39">
        <v>1.2392217523121999E-3</v>
      </c>
      <c r="BA33" s="39">
        <v>1.2392217523121999E-3</v>
      </c>
      <c r="BB33" s="39">
        <v>1.2392217523121999E-3</v>
      </c>
      <c r="BC33" s="39">
        <v>1.2392217523121999E-3</v>
      </c>
      <c r="BD33" s="39">
        <v>1.2392217523121999E-3</v>
      </c>
      <c r="BE33" s="39">
        <v>1.2392217523121999E-3</v>
      </c>
      <c r="BF33" s="39">
        <v>1.2392217523121999E-3</v>
      </c>
      <c r="BH33" s="12">
        <f t="shared" si="2"/>
        <v>0</v>
      </c>
      <c r="BI33" s="12">
        <f t="shared" si="3"/>
        <v>0</v>
      </c>
      <c r="BJ33" s="12">
        <f t="shared" si="4"/>
        <v>0</v>
      </c>
      <c r="BK33" s="12">
        <f t="shared" si="5"/>
        <v>0</v>
      </c>
      <c r="BL33" s="12">
        <f t="shared" si="6"/>
        <v>0</v>
      </c>
      <c r="BM33" s="12">
        <f t="shared" si="7"/>
        <v>0</v>
      </c>
      <c r="BN33" s="12">
        <f t="shared" si="8"/>
        <v>0</v>
      </c>
      <c r="BO33" s="12">
        <f t="shared" si="9"/>
        <v>0</v>
      </c>
      <c r="BP33" s="12">
        <f t="shared" si="10"/>
        <v>0</v>
      </c>
      <c r="BQ33" s="12">
        <f t="shared" si="11"/>
        <v>0</v>
      </c>
      <c r="BR33" s="12">
        <f t="shared" si="12"/>
        <v>0</v>
      </c>
      <c r="BS33" s="12">
        <f t="shared" si="13"/>
        <v>0</v>
      </c>
      <c r="BU33" s="11">
        <f t="shared" si="19"/>
        <v>0</v>
      </c>
      <c r="BV33" s="11">
        <f t="shared" si="20"/>
        <v>0</v>
      </c>
      <c r="BW33" s="11">
        <f t="shared" si="21"/>
        <v>0</v>
      </c>
      <c r="BX33" s="11">
        <f t="shared" si="22"/>
        <v>0</v>
      </c>
      <c r="BY33" s="11">
        <f t="shared" si="23"/>
        <v>0</v>
      </c>
      <c r="BZ33" s="11">
        <f t="shared" si="24"/>
        <v>0</v>
      </c>
      <c r="CA33" s="11">
        <f t="shared" si="25"/>
        <v>0</v>
      </c>
      <c r="CB33" s="11">
        <f t="shared" si="26"/>
        <v>0</v>
      </c>
      <c r="CC33" s="11">
        <f t="shared" si="27"/>
        <v>0</v>
      </c>
      <c r="CD33" s="11">
        <f t="shared" si="28"/>
        <v>0</v>
      </c>
      <c r="CE33" s="11">
        <f t="shared" si="29"/>
        <v>0</v>
      </c>
      <c r="CF33" s="11">
        <f t="shared" si="30"/>
        <v>0</v>
      </c>
      <c r="CG33" s="11"/>
      <c r="CH33" s="41">
        <v>3.2330000000000001</v>
      </c>
      <c r="CJ33" s="54">
        <f t="shared" si="31"/>
        <v>0</v>
      </c>
      <c r="CK33" s="54">
        <f t="shared" si="32"/>
        <v>0</v>
      </c>
      <c r="CL33" s="54">
        <f t="shared" si="33"/>
        <v>0</v>
      </c>
      <c r="CM33" s="54">
        <f t="shared" si="34"/>
        <v>0</v>
      </c>
      <c r="CN33" s="54">
        <f t="shared" si="35"/>
        <v>0</v>
      </c>
      <c r="CO33" s="54">
        <f t="shared" si="36"/>
        <v>0</v>
      </c>
      <c r="CP33" s="54">
        <f t="shared" si="37"/>
        <v>0</v>
      </c>
      <c r="CQ33" s="54">
        <f t="shared" si="38"/>
        <v>0</v>
      </c>
      <c r="CR33" s="54">
        <f t="shared" si="39"/>
        <v>0</v>
      </c>
      <c r="CS33" s="54">
        <f t="shared" si="40"/>
        <v>0</v>
      </c>
      <c r="CT33" s="54">
        <f t="shared" si="41"/>
        <v>0</v>
      </c>
      <c r="CU33" s="54">
        <f t="shared" si="42"/>
        <v>0</v>
      </c>
      <c r="CV33" s="52">
        <f t="shared" si="43"/>
        <v>0</v>
      </c>
    </row>
    <row r="34" spans="1:100" ht="15.75" x14ac:dyDescent="0.25">
      <c r="A34" s="16"/>
      <c r="B34" s="44"/>
      <c r="C34" s="44"/>
      <c r="D34" s="44"/>
      <c r="E34" s="44"/>
      <c r="F34" s="45" t="s">
        <v>17</v>
      </c>
      <c r="G34" s="72"/>
      <c r="H34" s="72"/>
      <c r="I34" s="74"/>
      <c r="J34" s="74"/>
      <c r="K34" s="74"/>
      <c r="L34" s="74"/>
      <c r="M34" s="74"/>
      <c r="N34" s="74"/>
      <c r="O34" s="74"/>
      <c r="P34" s="74"/>
      <c r="Q34" s="74"/>
      <c r="R34" s="74"/>
      <c r="S34" s="11">
        <f t="shared" si="1"/>
        <v>0</v>
      </c>
      <c r="T34" s="8">
        <f t="shared" si="17"/>
        <v>0</v>
      </c>
      <c r="U34" s="13" t="s">
        <v>2952</v>
      </c>
      <c r="V34" s="46">
        <f t="shared" si="18"/>
        <v>0</v>
      </c>
      <c r="W34" s="36">
        <v>1.4350000000000001</v>
      </c>
      <c r="X34" s="36">
        <v>1.4350000000000001</v>
      </c>
      <c r="Y34" s="36">
        <v>1.4350000000000001</v>
      </c>
      <c r="Z34" s="36">
        <v>1.4350000000000001</v>
      </c>
      <c r="AA34" s="36">
        <v>1.4350000000000001</v>
      </c>
      <c r="AB34" s="36">
        <v>1.4350000000000001</v>
      </c>
      <c r="AC34" s="36">
        <v>1.4350000000000001</v>
      </c>
      <c r="AD34" s="36">
        <v>1.4350000000000001</v>
      </c>
      <c r="AE34" s="36">
        <v>1.4350000000000001</v>
      </c>
      <c r="AF34" s="36">
        <v>1.4350000000000001</v>
      </c>
      <c r="AG34" s="36">
        <v>1.4350000000000001</v>
      </c>
      <c r="AH34" s="36">
        <v>1.4350000000000001</v>
      </c>
      <c r="AI34" s="39">
        <v>1.33634708931066E-2</v>
      </c>
      <c r="AJ34" s="39">
        <v>1.33634708931066E-2</v>
      </c>
      <c r="AK34" s="39">
        <v>1.33634708931066E-2</v>
      </c>
      <c r="AL34" s="39">
        <v>1.33634708931066E-2</v>
      </c>
      <c r="AM34" s="39">
        <v>1.33634708931066E-2</v>
      </c>
      <c r="AN34" s="39">
        <v>1.33634708931066E-2</v>
      </c>
      <c r="AO34" s="39">
        <v>1.33634708931066E-2</v>
      </c>
      <c r="AP34" s="39">
        <v>1.33634708931066E-2</v>
      </c>
      <c r="AQ34" s="39">
        <v>1.33634708931066E-2</v>
      </c>
      <c r="AR34" s="39">
        <v>1.33634708931066E-2</v>
      </c>
      <c r="AS34" s="39">
        <v>1.33634708931066E-2</v>
      </c>
      <c r="AT34" s="39">
        <v>1.33634708931066E-2</v>
      </c>
      <c r="AU34" s="39">
        <v>1.2392217523121999E-3</v>
      </c>
      <c r="AV34" s="39">
        <v>1.2392217523121999E-3</v>
      </c>
      <c r="AW34" s="39">
        <v>1.2392217523121999E-3</v>
      </c>
      <c r="AX34" s="39">
        <v>1.2392217523121999E-3</v>
      </c>
      <c r="AY34" s="39">
        <v>1.2392217523121999E-3</v>
      </c>
      <c r="AZ34" s="39">
        <v>1.2392217523121999E-3</v>
      </c>
      <c r="BA34" s="39">
        <v>1.2392217523121999E-3</v>
      </c>
      <c r="BB34" s="39">
        <v>1.2392217523121999E-3</v>
      </c>
      <c r="BC34" s="39">
        <v>1.2392217523121999E-3</v>
      </c>
      <c r="BD34" s="39">
        <v>1.2392217523121999E-3</v>
      </c>
      <c r="BE34" s="39">
        <v>1.2392217523121999E-3</v>
      </c>
      <c r="BF34" s="39">
        <v>1.2392217523121999E-3</v>
      </c>
      <c r="BH34" s="12">
        <f t="shared" si="2"/>
        <v>0</v>
      </c>
      <c r="BI34" s="12">
        <f t="shared" si="3"/>
        <v>0</v>
      </c>
      <c r="BJ34" s="12">
        <f t="shared" si="4"/>
        <v>0</v>
      </c>
      <c r="BK34" s="12">
        <f t="shared" si="5"/>
        <v>0</v>
      </c>
      <c r="BL34" s="12">
        <f t="shared" si="6"/>
        <v>0</v>
      </c>
      <c r="BM34" s="12">
        <f t="shared" si="7"/>
        <v>0</v>
      </c>
      <c r="BN34" s="12">
        <f t="shared" si="8"/>
        <v>0</v>
      </c>
      <c r="BO34" s="12">
        <f t="shared" si="9"/>
        <v>0</v>
      </c>
      <c r="BP34" s="12">
        <f t="shared" si="10"/>
        <v>0</v>
      </c>
      <c r="BQ34" s="12">
        <f t="shared" si="11"/>
        <v>0</v>
      </c>
      <c r="BR34" s="12">
        <f t="shared" si="12"/>
        <v>0</v>
      </c>
      <c r="BS34" s="12">
        <f t="shared" si="13"/>
        <v>0</v>
      </c>
      <c r="BU34" s="11">
        <f t="shared" si="19"/>
        <v>0</v>
      </c>
      <c r="BV34" s="11">
        <f t="shared" si="20"/>
        <v>0</v>
      </c>
      <c r="BW34" s="11">
        <f t="shared" si="21"/>
        <v>0</v>
      </c>
      <c r="BX34" s="11">
        <f t="shared" si="22"/>
        <v>0</v>
      </c>
      <c r="BY34" s="11">
        <f t="shared" si="23"/>
        <v>0</v>
      </c>
      <c r="BZ34" s="11">
        <f t="shared" si="24"/>
        <v>0</v>
      </c>
      <c r="CA34" s="11">
        <f t="shared" si="25"/>
        <v>0</v>
      </c>
      <c r="CB34" s="11">
        <f t="shared" si="26"/>
        <v>0</v>
      </c>
      <c r="CC34" s="11">
        <f t="shared" si="27"/>
        <v>0</v>
      </c>
      <c r="CD34" s="11">
        <f t="shared" si="28"/>
        <v>0</v>
      </c>
      <c r="CE34" s="11">
        <f t="shared" si="29"/>
        <v>0</v>
      </c>
      <c r="CF34" s="11">
        <f t="shared" si="30"/>
        <v>0</v>
      </c>
      <c r="CG34" s="11"/>
      <c r="CH34" s="41">
        <v>3.2330000000000001</v>
      </c>
      <c r="CJ34" s="54">
        <f t="shared" si="31"/>
        <v>0</v>
      </c>
      <c r="CK34" s="54">
        <f t="shared" si="32"/>
        <v>0</v>
      </c>
      <c r="CL34" s="54">
        <f t="shared" si="33"/>
        <v>0</v>
      </c>
      <c r="CM34" s="54">
        <f t="shared" si="34"/>
        <v>0</v>
      </c>
      <c r="CN34" s="54">
        <f t="shared" si="35"/>
        <v>0</v>
      </c>
      <c r="CO34" s="54">
        <f t="shared" si="36"/>
        <v>0</v>
      </c>
      <c r="CP34" s="54">
        <f t="shared" si="37"/>
        <v>0</v>
      </c>
      <c r="CQ34" s="54">
        <f t="shared" si="38"/>
        <v>0</v>
      </c>
      <c r="CR34" s="54">
        <f t="shared" si="39"/>
        <v>0</v>
      </c>
      <c r="CS34" s="54">
        <f t="shared" si="40"/>
        <v>0</v>
      </c>
      <c r="CT34" s="54">
        <f t="shared" si="41"/>
        <v>0</v>
      </c>
      <c r="CU34" s="54">
        <f t="shared" si="42"/>
        <v>0</v>
      </c>
      <c r="CV34" s="52">
        <f t="shared" si="43"/>
        <v>0</v>
      </c>
    </row>
    <row r="35" spans="1:100" ht="15.75" x14ac:dyDescent="0.25">
      <c r="A35" s="16"/>
      <c r="B35" s="44"/>
      <c r="C35" s="44"/>
      <c r="D35" s="44"/>
      <c r="E35" s="44"/>
      <c r="F35" s="45" t="s">
        <v>17</v>
      </c>
      <c r="G35" s="72"/>
      <c r="H35" s="72"/>
      <c r="I35" s="74"/>
      <c r="J35" s="74"/>
      <c r="K35" s="74"/>
      <c r="L35" s="74"/>
      <c r="M35" s="74"/>
      <c r="N35" s="74"/>
      <c r="O35" s="74"/>
      <c r="P35" s="74"/>
      <c r="Q35" s="74"/>
      <c r="R35" s="74"/>
      <c r="S35" s="11">
        <f t="shared" si="1"/>
        <v>0</v>
      </c>
      <c r="T35" s="8">
        <f t="shared" si="17"/>
        <v>0</v>
      </c>
      <c r="U35" s="13" t="s">
        <v>2952</v>
      </c>
      <c r="V35" s="46">
        <f t="shared" si="18"/>
        <v>0</v>
      </c>
      <c r="W35" s="36">
        <v>2.956</v>
      </c>
      <c r="X35" s="36">
        <v>2.956</v>
      </c>
      <c r="Y35" s="36">
        <v>2.956</v>
      </c>
      <c r="Z35" s="36">
        <v>2.956</v>
      </c>
      <c r="AA35" s="36">
        <v>2.956</v>
      </c>
      <c r="AB35" s="36">
        <v>2.956</v>
      </c>
      <c r="AC35" s="36">
        <v>2.956</v>
      </c>
      <c r="AD35" s="36">
        <v>2.956</v>
      </c>
      <c r="AE35" s="36">
        <v>2.956</v>
      </c>
      <c r="AF35" s="36">
        <v>2.956</v>
      </c>
      <c r="AG35" s="36">
        <v>2.956</v>
      </c>
      <c r="AH35" s="36">
        <v>2.956</v>
      </c>
      <c r="AI35" s="39">
        <v>1.33634708931066E-2</v>
      </c>
      <c r="AJ35" s="39">
        <v>1.33634708931066E-2</v>
      </c>
      <c r="AK35" s="39">
        <v>1.33634708931066E-2</v>
      </c>
      <c r="AL35" s="39">
        <v>1.33634708931066E-2</v>
      </c>
      <c r="AM35" s="39">
        <v>1.33634708931066E-2</v>
      </c>
      <c r="AN35" s="39">
        <v>1.33634708931066E-2</v>
      </c>
      <c r="AO35" s="39">
        <v>1.33634708931066E-2</v>
      </c>
      <c r="AP35" s="39">
        <v>1.33634708931066E-2</v>
      </c>
      <c r="AQ35" s="39">
        <v>1.33634708931066E-2</v>
      </c>
      <c r="AR35" s="39">
        <v>1.33634708931066E-2</v>
      </c>
      <c r="AS35" s="39">
        <v>1.33634708931066E-2</v>
      </c>
      <c r="AT35" s="39">
        <v>1.33634708931066E-2</v>
      </c>
      <c r="AU35" s="39">
        <v>1.2392217523121999E-3</v>
      </c>
      <c r="AV35" s="39">
        <v>1.2392217523121999E-3</v>
      </c>
      <c r="AW35" s="39">
        <v>1.2392217523121999E-3</v>
      </c>
      <c r="AX35" s="39">
        <v>1.2392217523121999E-3</v>
      </c>
      <c r="AY35" s="39">
        <v>1.2392217523121999E-3</v>
      </c>
      <c r="AZ35" s="39">
        <v>1.2392217523121999E-3</v>
      </c>
      <c r="BA35" s="39">
        <v>1.2392217523121999E-3</v>
      </c>
      <c r="BB35" s="39">
        <v>1.2392217523121999E-3</v>
      </c>
      <c r="BC35" s="39">
        <v>1.2392217523121999E-3</v>
      </c>
      <c r="BD35" s="39">
        <v>1.2392217523121999E-3</v>
      </c>
      <c r="BE35" s="39">
        <v>1.2392217523121999E-3</v>
      </c>
      <c r="BF35" s="39">
        <v>1.2392217523121999E-3</v>
      </c>
      <c r="BH35" s="12">
        <f t="shared" si="2"/>
        <v>0</v>
      </c>
      <c r="BI35" s="12">
        <f t="shared" si="3"/>
        <v>0</v>
      </c>
      <c r="BJ35" s="12">
        <f t="shared" si="4"/>
        <v>0</v>
      </c>
      <c r="BK35" s="12">
        <f t="shared" si="5"/>
        <v>0</v>
      </c>
      <c r="BL35" s="12">
        <f t="shared" si="6"/>
        <v>0</v>
      </c>
      <c r="BM35" s="12">
        <f t="shared" si="7"/>
        <v>0</v>
      </c>
      <c r="BN35" s="12">
        <f t="shared" si="8"/>
        <v>0</v>
      </c>
      <c r="BO35" s="12">
        <f t="shared" si="9"/>
        <v>0</v>
      </c>
      <c r="BP35" s="12">
        <f t="shared" si="10"/>
        <v>0</v>
      </c>
      <c r="BQ35" s="12">
        <f t="shared" si="11"/>
        <v>0</v>
      </c>
      <c r="BR35" s="12">
        <f t="shared" si="12"/>
        <v>0</v>
      </c>
      <c r="BS35" s="12">
        <f t="shared" si="13"/>
        <v>0</v>
      </c>
      <c r="BU35" s="11">
        <f t="shared" si="19"/>
        <v>0</v>
      </c>
      <c r="BV35" s="11">
        <f t="shared" si="20"/>
        <v>0</v>
      </c>
      <c r="BW35" s="11">
        <f t="shared" si="21"/>
        <v>0</v>
      </c>
      <c r="BX35" s="11">
        <f t="shared" si="22"/>
        <v>0</v>
      </c>
      <c r="BY35" s="11">
        <f t="shared" si="23"/>
        <v>0</v>
      </c>
      <c r="BZ35" s="11">
        <f t="shared" si="24"/>
        <v>0</v>
      </c>
      <c r="CA35" s="11">
        <f t="shared" si="25"/>
        <v>0</v>
      </c>
      <c r="CB35" s="11">
        <f t="shared" si="26"/>
        <v>0</v>
      </c>
      <c r="CC35" s="11">
        <f t="shared" si="27"/>
        <v>0</v>
      </c>
      <c r="CD35" s="11">
        <f t="shared" si="28"/>
        <v>0</v>
      </c>
      <c r="CE35" s="11">
        <f t="shared" si="29"/>
        <v>0</v>
      </c>
      <c r="CF35" s="11">
        <f t="shared" si="30"/>
        <v>0</v>
      </c>
      <c r="CG35" s="11"/>
      <c r="CH35" s="41">
        <v>3.2330000000000001</v>
      </c>
      <c r="CJ35" s="54">
        <f t="shared" si="31"/>
        <v>0</v>
      </c>
      <c r="CK35" s="54">
        <f t="shared" si="32"/>
        <v>0</v>
      </c>
      <c r="CL35" s="54">
        <f t="shared" si="33"/>
        <v>0</v>
      </c>
      <c r="CM35" s="54">
        <f t="shared" si="34"/>
        <v>0</v>
      </c>
      <c r="CN35" s="54">
        <f t="shared" si="35"/>
        <v>0</v>
      </c>
      <c r="CO35" s="54">
        <f t="shared" si="36"/>
        <v>0</v>
      </c>
      <c r="CP35" s="54">
        <f t="shared" si="37"/>
        <v>0</v>
      </c>
      <c r="CQ35" s="54">
        <f t="shared" si="38"/>
        <v>0</v>
      </c>
      <c r="CR35" s="54">
        <f t="shared" si="39"/>
        <v>0</v>
      </c>
      <c r="CS35" s="54">
        <f t="shared" si="40"/>
        <v>0</v>
      </c>
      <c r="CT35" s="54">
        <f t="shared" si="41"/>
        <v>0</v>
      </c>
      <c r="CU35" s="54">
        <f t="shared" si="42"/>
        <v>0</v>
      </c>
      <c r="CV35" s="52">
        <f t="shared" si="43"/>
        <v>0</v>
      </c>
    </row>
    <row r="36" spans="1:100" ht="15.75" x14ac:dyDescent="0.25">
      <c r="A36" s="16"/>
      <c r="B36" s="44"/>
      <c r="C36" s="44"/>
      <c r="D36" s="44"/>
      <c r="E36" s="44"/>
      <c r="F36" s="45" t="s">
        <v>17</v>
      </c>
      <c r="G36" s="72"/>
      <c r="H36" s="72"/>
      <c r="I36" s="74"/>
      <c r="J36" s="74"/>
      <c r="K36" s="74"/>
      <c r="L36" s="74"/>
      <c r="M36" s="74"/>
      <c r="N36" s="74"/>
      <c r="O36" s="74"/>
      <c r="P36" s="74"/>
      <c r="Q36" s="74"/>
      <c r="R36" s="74"/>
      <c r="S36" s="11">
        <f t="shared" si="1"/>
        <v>0</v>
      </c>
      <c r="T36" s="8">
        <f t="shared" si="17"/>
        <v>0</v>
      </c>
      <c r="U36" s="13" t="s">
        <v>2952</v>
      </c>
      <c r="V36" s="46">
        <f t="shared" si="18"/>
        <v>0</v>
      </c>
      <c r="W36" s="36">
        <v>3.476</v>
      </c>
      <c r="X36" s="36">
        <v>3.476</v>
      </c>
      <c r="Y36" s="36">
        <v>3.476</v>
      </c>
      <c r="Z36" s="36">
        <v>3.476</v>
      </c>
      <c r="AA36" s="36">
        <v>3.476</v>
      </c>
      <c r="AB36" s="36">
        <v>3.476</v>
      </c>
      <c r="AC36" s="36">
        <v>3.476</v>
      </c>
      <c r="AD36" s="36">
        <v>3.476</v>
      </c>
      <c r="AE36" s="36">
        <v>3.476</v>
      </c>
      <c r="AF36" s="36">
        <v>3.476</v>
      </c>
      <c r="AG36" s="36">
        <v>3.476</v>
      </c>
      <c r="AH36" s="36">
        <v>3.476</v>
      </c>
      <c r="AI36" s="39">
        <v>1.33634708931066E-2</v>
      </c>
      <c r="AJ36" s="39">
        <v>1.33634708931066E-2</v>
      </c>
      <c r="AK36" s="39">
        <v>1.33634708931066E-2</v>
      </c>
      <c r="AL36" s="39">
        <v>1.33634708931066E-2</v>
      </c>
      <c r="AM36" s="39">
        <v>1.33634708931066E-2</v>
      </c>
      <c r="AN36" s="39">
        <v>1.33634708931066E-2</v>
      </c>
      <c r="AO36" s="39">
        <v>1.33634708931066E-2</v>
      </c>
      <c r="AP36" s="39">
        <v>1.33634708931066E-2</v>
      </c>
      <c r="AQ36" s="39">
        <v>1.33634708931066E-2</v>
      </c>
      <c r="AR36" s="39">
        <v>1.33634708931066E-2</v>
      </c>
      <c r="AS36" s="39">
        <v>1.33634708931066E-2</v>
      </c>
      <c r="AT36" s="39">
        <v>1.33634708931066E-2</v>
      </c>
      <c r="AU36" s="39">
        <v>1.2392217523121999E-3</v>
      </c>
      <c r="AV36" s="39">
        <v>1.2392217523121999E-3</v>
      </c>
      <c r="AW36" s="39">
        <v>1.2392217523121999E-3</v>
      </c>
      <c r="AX36" s="39">
        <v>1.2392217523121999E-3</v>
      </c>
      <c r="AY36" s="39">
        <v>1.2392217523121999E-3</v>
      </c>
      <c r="AZ36" s="39">
        <v>1.2392217523121999E-3</v>
      </c>
      <c r="BA36" s="39">
        <v>1.2392217523121999E-3</v>
      </c>
      <c r="BB36" s="39">
        <v>1.2392217523121999E-3</v>
      </c>
      <c r="BC36" s="39">
        <v>1.2392217523121999E-3</v>
      </c>
      <c r="BD36" s="39">
        <v>1.2392217523121999E-3</v>
      </c>
      <c r="BE36" s="39">
        <v>1.2392217523121999E-3</v>
      </c>
      <c r="BF36" s="39">
        <v>1.2392217523121999E-3</v>
      </c>
      <c r="BH36" s="12">
        <f t="shared" si="2"/>
        <v>0</v>
      </c>
      <c r="BI36" s="12">
        <f t="shared" si="3"/>
        <v>0</v>
      </c>
      <c r="BJ36" s="12">
        <f t="shared" si="4"/>
        <v>0</v>
      </c>
      <c r="BK36" s="12">
        <f t="shared" si="5"/>
        <v>0</v>
      </c>
      <c r="BL36" s="12">
        <f t="shared" si="6"/>
        <v>0</v>
      </c>
      <c r="BM36" s="12">
        <f t="shared" si="7"/>
        <v>0</v>
      </c>
      <c r="BN36" s="12">
        <f t="shared" si="8"/>
        <v>0</v>
      </c>
      <c r="BO36" s="12">
        <f t="shared" si="9"/>
        <v>0</v>
      </c>
      <c r="BP36" s="12">
        <f t="shared" si="10"/>
        <v>0</v>
      </c>
      <c r="BQ36" s="12">
        <f t="shared" si="11"/>
        <v>0</v>
      </c>
      <c r="BR36" s="12">
        <f t="shared" si="12"/>
        <v>0</v>
      </c>
      <c r="BS36" s="12">
        <f t="shared" si="13"/>
        <v>0</v>
      </c>
      <c r="BU36" s="11">
        <f t="shared" si="19"/>
        <v>0</v>
      </c>
      <c r="BV36" s="11">
        <f t="shared" si="20"/>
        <v>0</v>
      </c>
      <c r="BW36" s="11">
        <f t="shared" si="21"/>
        <v>0</v>
      </c>
      <c r="BX36" s="11">
        <f t="shared" si="22"/>
        <v>0</v>
      </c>
      <c r="BY36" s="11">
        <f t="shared" si="23"/>
        <v>0</v>
      </c>
      <c r="BZ36" s="11">
        <f t="shared" si="24"/>
        <v>0</v>
      </c>
      <c r="CA36" s="11">
        <f t="shared" si="25"/>
        <v>0</v>
      </c>
      <c r="CB36" s="11">
        <f t="shared" si="26"/>
        <v>0</v>
      </c>
      <c r="CC36" s="11">
        <f t="shared" si="27"/>
        <v>0</v>
      </c>
      <c r="CD36" s="11">
        <f t="shared" si="28"/>
        <v>0</v>
      </c>
      <c r="CE36" s="11">
        <f t="shared" si="29"/>
        <v>0</v>
      </c>
      <c r="CF36" s="11">
        <f t="shared" si="30"/>
        <v>0</v>
      </c>
      <c r="CG36" s="11"/>
      <c r="CH36" s="41">
        <v>3.2330000000000001</v>
      </c>
      <c r="CJ36" s="54">
        <f t="shared" si="31"/>
        <v>0</v>
      </c>
      <c r="CK36" s="54">
        <f t="shared" si="32"/>
        <v>0</v>
      </c>
      <c r="CL36" s="54">
        <f t="shared" si="33"/>
        <v>0</v>
      </c>
      <c r="CM36" s="54">
        <f t="shared" si="34"/>
        <v>0</v>
      </c>
      <c r="CN36" s="54">
        <f t="shared" si="35"/>
        <v>0</v>
      </c>
      <c r="CO36" s="54">
        <f t="shared" si="36"/>
        <v>0</v>
      </c>
      <c r="CP36" s="54">
        <f t="shared" si="37"/>
        <v>0</v>
      </c>
      <c r="CQ36" s="54">
        <f t="shared" si="38"/>
        <v>0</v>
      </c>
      <c r="CR36" s="54">
        <f t="shared" si="39"/>
        <v>0</v>
      </c>
      <c r="CS36" s="54">
        <f t="shared" si="40"/>
        <v>0</v>
      </c>
      <c r="CT36" s="54">
        <f t="shared" si="41"/>
        <v>0</v>
      </c>
      <c r="CU36" s="54">
        <f t="shared" si="42"/>
        <v>0</v>
      </c>
      <c r="CV36" s="52">
        <f t="shared" si="43"/>
        <v>0</v>
      </c>
    </row>
    <row r="37" spans="1:100" ht="15.75" x14ac:dyDescent="0.25">
      <c r="A37" s="16"/>
      <c r="B37" s="44"/>
      <c r="C37" s="44"/>
      <c r="D37" s="44"/>
      <c r="E37" s="44"/>
      <c r="F37" s="45" t="s">
        <v>17</v>
      </c>
      <c r="G37" s="72"/>
      <c r="H37" s="72"/>
      <c r="I37" s="74"/>
      <c r="J37" s="74"/>
      <c r="K37" s="74"/>
      <c r="L37" s="74"/>
      <c r="M37" s="74"/>
      <c r="N37" s="74"/>
      <c r="O37" s="74"/>
      <c r="P37" s="74"/>
      <c r="Q37" s="74"/>
      <c r="R37" s="74"/>
      <c r="S37" s="11">
        <f t="shared" si="1"/>
        <v>0</v>
      </c>
      <c r="T37" s="8">
        <f t="shared" si="17"/>
        <v>0</v>
      </c>
      <c r="U37" s="13" t="s">
        <v>2952</v>
      </c>
      <c r="V37" s="46">
        <f t="shared" si="18"/>
        <v>0</v>
      </c>
      <c r="W37" s="36">
        <v>3.915</v>
      </c>
      <c r="X37" s="36">
        <v>3.915</v>
      </c>
      <c r="Y37" s="36">
        <v>3.915</v>
      </c>
      <c r="Z37" s="36">
        <v>3.915</v>
      </c>
      <c r="AA37" s="36">
        <v>3.915</v>
      </c>
      <c r="AB37" s="36">
        <v>3.915</v>
      </c>
      <c r="AC37" s="36">
        <v>3.915</v>
      </c>
      <c r="AD37" s="36">
        <v>3.915</v>
      </c>
      <c r="AE37" s="36">
        <v>3.915</v>
      </c>
      <c r="AF37" s="36">
        <v>3.915</v>
      </c>
      <c r="AG37" s="36">
        <v>3.915</v>
      </c>
      <c r="AH37" s="36">
        <v>3.915</v>
      </c>
      <c r="AI37" s="39">
        <v>1.33634708931066E-2</v>
      </c>
      <c r="AJ37" s="39">
        <v>1.33634708931066E-2</v>
      </c>
      <c r="AK37" s="39">
        <v>1.33634708931066E-2</v>
      </c>
      <c r="AL37" s="39">
        <v>1.33634708931066E-2</v>
      </c>
      <c r="AM37" s="39">
        <v>1.33634708931066E-2</v>
      </c>
      <c r="AN37" s="39">
        <v>1.33634708931066E-2</v>
      </c>
      <c r="AO37" s="39">
        <v>1.33634708931066E-2</v>
      </c>
      <c r="AP37" s="39">
        <v>1.33634708931066E-2</v>
      </c>
      <c r="AQ37" s="39">
        <v>1.33634708931066E-2</v>
      </c>
      <c r="AR37" s="39">
        <v>1.33634708931066E-2</v>
      </c>
      <c r="AS37" s="39">
        <v>1.33634708931066E-2</v>
      </c>
      <c r="AT37" s="39">
        <v>1.33634708931066E-2</v>
      </c>
      <c r="AU37" s="39">
        <v>1.2392217523121999E-3</v>
      </c>
      <c r="AV37" s="39">
        <v>1.2392217523121999E-3</v>
      </c>
      <c r="AW37" s="39">
        <v>1.2392217523121999E-3</v>
      </c>
      <c r="AX37" s="39">
        <v>1.2392217523121999E-3</v>
      </c>
      <c r="AY37" s="39">
        <v>1.2392217523121999E-3</v>
      </c>
      <c r="AZ37" s="39">
        <v>1.2392217523121999E-3</v>
      </c>
      <c r="BA37" s="39">
        <v>1.2392217523121999E-3</v>
      </c>
      <c r="BB37" s="39">
        <v>1.2392217523121999E-3</v>
      </c>
      <c r="BC37" s="39">
        <v>1.2392217523121999E-3</v>
      </c>
      <c r="BD37" s="39">
        <v>1.2392217523121999E-3</v>
      </c>
      <c r="BE37" s="39">
        <v>1.2392217523121999E-3</v>
      </c>
      <c r="BF37" s="39">
        <v>1.2392217523121999E-3</v>
      </c>
      <c r="BH37" s="12">
        <f t="shared" si="2"/>
        <v>0</v>
      </c>
      <c r="BI37" s="12">
        <f t="shared" si="3"/>
        <v>0</v>
      </c>
      <c r="BJ37" s="12">
        <f t="shared" si="4"/>
        <v>0</v>
      </c>
      <c r="BK37" s="12">
        <f t="shared" si="5"/>
        <v>0</v>
      </c>
      <c r="BL37" s="12">
        <f t="shared" si="6"/>
        <v>0</v>
      </c>
      <c r="BM37" s="12">
        <f t="shared" si="7"/>
        <v>0</v>
      </c>
      <c r="BN37" s="12">
        <f t="shared" si="8"/>
        <v>0</v>
      </c>
      <c r="BO37" s="12">
        <f t="shared" si="9"/>
        <v>0</v>
      </c>
      <c r="BP37" s="12">
        <f t="shared" si="10"/>
        <v>0</v>
      </c>
      <c r="BQ37" s="12">
        <f t="shared" si="11"/>
        <v>0</v>
      </c>
      <c r="BR37" s="12">
        <f t="shared" si="12"/>
        <v>0</v>
      </c>
      <c r="BS37" s="12">
        <f t="shared" si="13"/>
        <v>0</v>
      </c>
      <c r="BU37" s="11">
        <f t="shared" si="19"/>
        <v>0</v>
      </c>
      <c r="BV37" s="11">
        <f t="shared" si="20"/>
        <v>0</v>
      </c>
      <c r="BW37" s="11">
        <f t="shared" si="21"/>
        <v>0</v>
      </c>
      <c r="BX37" s="11">
        <f t="shared" si="22"/>
        <v>0</v>
      </c>
      <c r="BY37" s="11">
        <f t="shared" si="23"/>
        <v>0</v>
      </c>
      <c r="BZ37" s="11">
        <f t="shared" si="24"/>
        <v>0</v>
      </c>
      <c r="CA37" s="11">
        <f t="shared" si="25"/>
        <v>0</v>
      </c>
      <c r="CB37" s="11">
        <f t="shared" si="26"/>
        <v>0</v>
      </c>
      <c r="CC37" s="11">
        <f t="shared" si="27"/>
        <v>0</v>
      </c>
      <c r="CD37" s="11">
        <f t="shared" si="28"/>
        <v>0</v>
      </c>
      <c r="CE37" s="11">
        <f t="shared" si="29"/>
        <v>0</v>
      </c>
      <c r="CF37" s="11">
        <f t="shared" si="30"/>
        <v>0</v>
      </c>
      <c r="CG37" s="11"/>
      <c r="CH37" s="41">
        <v>3.2330000000000001</v>
      </c>
      <c r="CJ37" s="54">
        <f t="shared" si="31"/>
        <v>0</v>
      </c>
      <c r="CK37" s="54">
        <f t="shared" si="32"/>
        <v>0</v>
      </c>
      <c r="CL37" s="54">
        <f t="shared" si="33"/>
        <v>0</v>
      </c>
      <c r="CM37" s="54">
        <f t="shared" si="34"/>
        <v>0</v>
      </c>
      <c r="CN37" s="54">
        <f t="shared" si="35"/>
        <v>0</v>
      </c>
      <c r="CO37" s="54">
        <f t="shared" si="36"/>
        <v>0</v>
      </c>
      <c r="CP37" s="54">
        <f t="shared" si="37"/>
        <v>0</v>
      </c>
      <c r="CQ37" s="54">
        <f t="shared" si="38"/>
        <v>0</v>
      </c>
      <c r="CR37" s="54">
        <f t="shared" si="39"/>
        <v>0</v>
      </c>
      <c r="CS37" s="54">
        <f t="shared" si="40"/>
        <v>0</v>
      </c>
      <c r="CT37" s="54">
        <f t="shared" si="41"/>
        <v>0</v>
      </c>
      <c r="CU37" s="54">
        <f t="shared" si="42"/>
        <v>0</v>
      </c>
      <c r="CV37" s="52">
        <f t="shared" si="43"/>
        <v>0</v>
      </c>
    </row>
    <row r="38" spans="1:100" ht="15.75" x14ac:dyDescent="0.25">
      <c r="A38" s="16"/>
      <c r="B38" s="44"/>
      <c r="C38" s="44"/>
      <c r="D38" s="44"/>
      <c r="E38" s="44"/>
      <c r="F38" s="45" t="s">
        <v>17</v>
      </c>
      <c r="G38" s="72"/>
      <c r="H38" s="72"/>
      <c r="I38" s="74"/>
      <c r="J38" s="74"/>
      <c r="K38" s="74"/>
      <c r="L38" s="74"/>
      <c r="M38" s="74"/>
      <c r="N38" s="74"/>
      <c r="O38" s="74"/>
      <c r="P38" s="74"/>
      <c r="Q38" s="74"/>
      <c r="R38" s="74"/>
      <c r="S38" s="11">
        <f t="shared" si="1"/>
        <v>0</v>
      </c>
      <c r="T38" s="8">
        <f t="shared" si="17"/>
        <v>0</v>
      </c>
      <c r="U38" s="13" t="s">
        <v>2952</v>
      </c>
      <c r="V38" s="46">
        <f t="shared" si="18"/>
        <v>0</v>
      </c>
      <c r="W38" s="36">
        <v>9.06</v>
      </c>
      <c r="X38" s="36">
        <v>9.06</v>
      </c>
      <c r="Y38" s="36">
        <v>9.06</v>
      </c>
      <c r="Z38" s="36">
        <v>9.06</v>
      </c>
      <c r="AA38" s="36">
        <v>9.06</v>
      </c>
      <c r="AB38" s="36">
        <v>9.06</v>
      </c>
      <c r="AC38" s="36">
        <v>9.06</v>
      </c>
      <c r="AD38" s="36">
        <v>9.06</v>
      </c>
      <c r="AE38" s="36">
        <v>9.06</v>
      </c>
      <c r="AF38" s="36">
        <v>9.06</v>
      </c>
      <c r="AG38" s="36">
        <v>9.06</v>
      </c>
      <c r="AH38" s="36">
        <v>9.06</v>
      </c>
      <c r="AI38" s="39">
        <v>0</v>
      </c>
      <c r="AJ38" s="39">
        <v>0</v>
      </c>
      <c r="AK38" s="39">
        <v>0</v>
      </c>
      <c r="AL38" s="39">
        <v>0</v>
      </c>
      <c r="AM38" s="39">
        <v>0</v>
      </c>
      <c r="AN38" s="39">
        <v>0</v>
      </c>
      <c r="AO38" s="39">
        <v>0</v>
      </c>
      <c r="AP38" s="39">
        <v>0</v>
      </c>
      <c r="AQ38" s="39">
        <v>0</v>
      </c>
      <c r="AR38" s="39">
        <v>0</v>
      </c>
      <c r="AS38" s="39">
        <v>0</v>
      </c>
      <c r="AT38" s="39">
        <v>0</v>
      </c>
      <c r="AU38" s="39">
        <v>0</v>
      </c>
      <c r="AV38" s="39">
        <v>0</v>
      </c>
      <c r="AW38" s="39">
        <v>0</v>
      </c>
      <c r="AX38" s="39">
        <v>0</v>
      </c>
      <c r="AY38" s="39">
        <v>0</v>
      </c>
      <c r="AZ38" s="39">
        <v>0</v>
      </c>
      <c r="BA38" s="39">
        <v>0</v>
      </c>
      <c r="BB38" s="39">
        <v>0</v>
      </c>
      <c r="BC38" s="39">
        <v>0</v>
      </c>
      <c r="BD38" s="39">
        <v>0</v>
      </c>
      <c r="BE38" s="39">
        <v>0</v>
      </c>
      <c r="BF38" s="39">
        <v>0</v>
      </c>
      <c r="BH38" s="12">
        <f t="shared" si="2"/>
        <v>0</v>
      </c>
      <c r="BI38" s="12">
        <f t="shared" si="3"/>
        <v>0</v>
      </c>
      <c r="BJ38" s="12">
        <f t="shared" si="4"/>
        <v>0</v>
      </c>
      <c r="BK38" s="12">
        <f t="shared" si="5"/>
        <v>0</v>
      </c>
      <c r="BL38" s="12">
        <f t="shared" si="6"/>
        <v>0</v>
      </c>
      <c r="BM38" s="12">
        <f t="shared" si="7"/>
        <v>0</v>
      </c>
      <c r="BN38" s="12">
        <f t="shared" si="8"/>
        <v>0</v>
      </c>
      <c r="BO38" s="12">
        <f t="shared" si="9"/>
        <v>0</v>
      </c>
      <c r="BP38" s="12">
        <f t="shared" si="10"/>
        <v>0</v>
      </c>
      <c r="BQ38" s="12">
        <f t="shared" si="11"/>
        <v>0</v>
      </c>
      <c r="BR38" s="12">
        <f t="shared" si="12"/>
        <v>0</v>
      </c>
      <c r="BS38" s="12">
        <f t="shared" si="13"/>
        <v>0</v>
      </c>
      <c r="BU38" s="11">
        <f t="shared" si="19"/>
        <v>0</v>
      </c>
      <c r="BV38" s="11">
        <f t="shared" si="20"/>
        <v>0</v>
      </c>
      <c r="BW38" s="11">
        <f t="shared" si="21"/>
        <v>0</v>
      </c>
      <c r="BX38" s="11">
        <f t="shared" si="22"/>
        <v>0</v>
      </c>
      <c r="BY38" s="11">
        <f t="shared" si="23"/>
        <v>0</v>
      </c>
      <c r="BZ38" s="11">
        <f t="shared" si="24"/>
        <v>0</v>
      </c>
      <c r="CA38" s="11">
        <f t="shared" si="25"/>
        <v>0</v>
      </c>
      <c r="CB38" s="11">
        <f t="shared" si="26"/>
        <v>0</v>
      </c>
      <c r="CC38" s="11">
        <f t="shared" si="27"/>
        <v>0</v>
      </c>
      <c r="CD38" s="11">
        <f t="shared" si="28"/>
        <v>0</v>
      </c>
      <c r="CE38" s="11">
        <f t="shared" si="29"/>
        <v>0</v>
      </c>
      <c r="CF38" s="11">
        <f t="shared" si="30"/>
        <v>0</v>
      </c>
      <c r="CG38" s="11"/>
      <c r="CH38" s="41">
        <v>1</v>
      </c>
      <c r="CJ38" s="54">
        <f t="shared" si="31"/>
        <v>0</v>
      </c>
      <c r="CK38" s="54">
        <f t="shared" si="32"/>
        <v>0</v>
      </c>
      <c r="CL38" s="54">
        <f t="shared" si="33"/>
        <v>0</v>
      </c>
      <c r="CM38" s="54">
        <f t="shared" si="34"/>
        <v>0</v>
      </c>
      <c r="CN38" s="54">
        <f t="shared" si="35"/>
        <v>0</v>
      </c>
      <c r="CO38" s="54">
        <f t="shared" si="36"/>
        <v>0</v>
      </c>
      <c r="CP38" s="54">
        <f t="shared" si="37"/>
        <v>0</v>
      </c>
      <c r="CQ38" s="54">
        <f t="shared" si="38"/>
        <v>0</v>
      </c>
      <c r="CR38" s="54">
        <f t="shared" si="39"/>
        <v>0</v>
      </c>
      <c r="CS38" s="54">
        <f t="shared" si="40"/>
        <v>0</v>
      </c>
      <c r="CT38" s="54">
        <f t="shared" si="41"/>
        <v>0</v>
      </c>
      <c r="CU38" s="54">
        <f t="shared" si="42"/>
        <v>0</v>
      </c>
      <c r="CV38" s="52">
        <f t="shared" si="43"/>
        <v>0</v>
      </c>
    </row>
    <row r="39" spans="1:100" ht="15.75" x14ac:dyDescent="0.25">
      <c r="A39" s="16"/>
      <c r="B39" s="44"/>
      <c r="C39" s="44"/>
      <c r="D39" s="44"/>
      <c r="E39" s="44"/>
      <c r="F39" s="45" t="s">
        <v>17</v>
      </c>
      <c r="G39" s="72"/>
      <c r="H39" s="72"/>
      <c r="I39" s="74"/>
      <c r="J39" s="74"/>
      <c r="K39" s="74"/>
      <c r="L39" s="74"/>
      <c r="M39" s="74"/>
      <c r="N39" s="74"/>
      <c r="O39" s="74"/>
      <c r="P39" s="74"/>
      <c r="Q39" s="74"/>
      <c r="R39" s="74"/>
      <c r="S39" s="11">
        <f t="shared" si="1"/>
        <v>0</v>
      </c>
      <c r="T39" s="8">
        <f t="shared" si="17"/>
        <v>0</v>
      </c>
      <c r="U39" s="13" t="s">
        <v>2952</v>
      </c>
      <c r="V39" s="46">
        <f t="shared" si="18"/>
        <v>0</v>
      </c>
      <c r="W39" s="36">
        <v>1.69</v>
      </c>
      <c r="X39" s="36">
        <v>1.69</v>
      </c>
      <c r="Y39" s="36">
        <v>1.69</v>
      </c>
      <c r="Z39" s="36">
        <v>1.69</v>
      </c>
      <c r="AA39" s="36">
        <v>1.69</v>
      </c>
      <c r="AB39" s="36">
        <v>1.69</v>
      </c>
      <c r="AC39" s="36">
        <v>1.69</v>
      </c>
      <c r="AD39" s="36">
        <v>1.69</v>
      </c>
      <c r="AE39" s="36">
        <v>1.69</v>
      </c>
      <c r="AF39" s="36">
        <v>1.69</v>
      </c>
      <c r="AG39" s="36">
        <v>1.69</v>
      </c>
      <c r="AH39" s="36">
        <v>1.69</v>
      </c>
      <c r="AI39" s="39">
        <v>0</v>
      </c>
      <c r="AJ39" s="39">
        <v>0</v>
      </c>
      <c r="AK39" s="39">
        <v>0</v>
      </c>
      <c r="AL39" s="39">
        <v>0</v>
      </c>
      <c r="AM39" s="39">
        <v>0</v>
      </c>
      <c r="AN39" s="39">
        <v>0</v>
      </c>
      <c r="AO39" s="39">
        <v>0</v>
      </c>
      <c r="AP39" s="39">
        <v>0</v>
      </c>
      <c r="AQ39" s="39">
        <v>0</v>
      </c>
      <c r="AR39" s="39">
        <v>0</v>
      </c>
      <c r="AS39" s="39">
        <v>0</v>
      </c>
      <c r="AT39" s="39">
        <v>0</v>
      </c>
      <c r="AU39" s="39">
        <v>0</v>
      </c>
      <c r="AV39" s="39">
        <v>0</v>
      </c>
      <c r="AW39" s="39">
        <v>0</v>
      </c>
      <c r="AX39" s="39">
        <v>0</v>
      </c>
      <c r="AY39" s="39">
        <v>0</v>
      </c>
      <c r="AZ39" s="39">
        <v>0</v>
      </c>
      <c r="BA39" s="39">
        <v>0</v>
      </c>
      <c r="BB39" s="39">
        <v>0</v>
      </c>
      <c r="BC39" s="39">
        <v>0</v>
      </c>
      <c r="BD39" s="39">
        <v>0</v>
      </c>
      <c r="BE39" s="39">
        <v>0</v>
      </c>
      <c r="BF39" s="39">
        <v>0</v>
      </c>
      <c r="BH39" s="12">
        <f t="shared" si="2"/>
        <v>0</v>
      </c>
      <c r="BI39" s="12">
        <f t="shared" si="3"/>
        <v>0</v>
      </c>
      <c r="BJ39" s="12">
        <f t="shared" si="4"/>
        <v>0</v>
      </c>
      <c r="BK39" s="12">
        <f t="shared" si="5"/>
        <v>0</v>
      </c>
      <c r="BL39" s="12">
        <f t="shared" si="6"/>
        <v>0</v>
      </c>
      <c r="BM39" s="12">
        <f t="shared" si="7"/>
        <v>0</v>
      </c>
      <c r="BN39" s="12">
        <f t="shared" si="8"/>
        <v>0</v>
      </c>
      <c r="BO39" s="12">
        <f t="shared" si="9"/>
        <v>0</v>
      </c>
      <c r="BP39" s="12">
        <f t="shared" si="10"/>
        <v>0</v>
      </c>
      <c r="BQ39" s="12">
        <f t="shared" si="11"/>
        <v>0</v>
      </c>
      <c r="BR39" s="12">
        <f t="shared" si="12"/>
        <v>0</v>
      </c>
      <c r="BS39" s="12">
        <f t="shared" si="13"/>
        <v>0</v>
      </c>
      <c r="BU39" s="11">
        <f t="shared" si="19"/>
        <v>0</v>
      </c>
      <c r="BV39" s="11">
        <f t="shared" si="20"/>
        <v>0</v>
      </c>
      <c r="BW39" s="11">
        <f t="shared" si="21"/>
        <v>0</v>
      </c>
      <c r="BX39" s="11">
        <f t="shared" si="22"/>
        <v>0</v>
      </c>
      <c r="BY39" s="11">
        <f t="shared" si="23"/>
        <v>0</v>
      </c>
      <c r="BZ39" s="11">
        <f t="shared" si="24"/>
        <v>0</v>
      </c>
      <c r="CA39" s="11">
        <f t="shared" si="25"/>
        <v>0</v>
      </c>
      <c r="CB39" s="11">
        <f t="shared" si="26"/>
        <v>0</v>
      </c>
      <c r="CC39" s="11">
        <f t="shared" si="27"/>
        <v>0</v>
      </c>
      <c r="CD39" s="11">
        <f t="shared" si="28"/>
        <v>0</v>
      </c>
      <c r="CE39" s="11">
        <f t="shared" si="29"/>
        <v>0</v>
      </c>
      <c r="CF39" s="11">
        <f t="shared" si="30"/>
        <v>0</v>
      </c>
      <c r="CG39" s="11"/>
      <c r="CH39" s="41">
        <v>1</v>
      </c>
      <c r="CJ39" s="54">
        <f t="shared" si="31"/>
        <v>0</v>
      </c>
      <c r="CK39" s="54">
        <f t="shared" si="32"/>
        <v>0</v>
      </c>
      <c r="CL39" s="54">
        <f t="shared" si="33"/>
        <v>0</v>
      </c>
      <c r="CM39" s="54">
        <f t="shared" si="34"/>
        <v>0</v>
      </c>
      <c r="CN39" s="54">
        <f t="shared" si="35"/>
        <v>0</v>
      </c>
      <c r="CO39" s="54">
        <f t="shared" si="36"/>
        <v>0</v>
      </c>
      <c r="CP39" s="54">
        <f t="shared" si="37"/>
        <v>0</v>
      </c>
      <c r="CQ39" s="54">
        <f t="shared" si="38"/>
        <v>0</v>
      </c>
      <c r="CR39" s="54">
        <f t="shared" si="39"/>
        <v>0</v>
      </c>
      <c r="CS39" s="54">
        <f t="shared" si="40"/>
        <v>0</v>
      </c>
      <c r="CT39" s="54">
        <f t="shared" si="41"/>
        <v>0</v>
      </c>
      <c r="CU39" s="54">
        <f t="shared" si="42"/>
        <v>0</v>
      </c>
      <c r="CV39" s="52">
        <f t="shared" si="43"/>
        <v>0</v>
      </c>
    </row>
    <row r="40" spans="1:100" ht="15.75" x14ac:dyDescent="0.25">
      <c r="A40" s="16"/>
      <c r="B40" s="44"/>
      <c r="C40" s="44"/>
      <c r="D40" s="44"/>
      <c r="E40" s="44"/>
      <c r="F40" s="45" t="s">
        <v>17</v>
      </c>
      <c r="G40" s="72"/>
      <c r="H40" s="72"/>
      <c r="I40" s="74"/>
      <c r="J40" s="74"/>
      <c r="K40" s="74"/>
      <c r="L40" s="74"/>
      <c r="M40" s="74"/>
      <c r="N40" s="74"/>
      <c r="O40" s="74"/>
      <c r="P40" s="74"/>
      <c r="Q40" s="74"/>
      <c r="R40" s="74"/>
      <c r="S40" s="11">
        <f t="shared" si="1"/>
        <v>0</v>
      </c>
      <c r="T40" s="8">
        <f t="shared" si="17"/>
        <v>0</v>
      </c>
      <c r="U40" s="13" t="s">
        <v>2952</v>
      </c>
      <c r="V40" s="46">
        <f t="shared" si="18"/>
        <v>0</v>
      </c>
      <c r="W40" s="36">
        <v>1.8400042087542088</v>
      </c>
      <c r="X40" s="36">
        <v>1.8400042087542088</v>
      </c>
      <c r="Y40" s="36">
        <v>1.8400042087542088</v>
      </c>
      <c r="Z40" s="36">
        <v>1.8400042087542088</v>
      </c>
      <c r="AA40" s="36">
        <v>1.8400042087542088</v>
      </c>
      <c r="AB40" s="36">
        <v>1.8400042087542088</v>
      </c>
      <c r="AC40" s="36">
        <v>1.8400042087542088</v>
      </c>
      <c r="AD40" s="36">
        <v>1.8400042087542088</v>
      </c>
      <c r="AE40" s="36">
        <v>1.8400042087542088</v>
      </c>
      <c r="AF40" s="36">
        <v>1.8400042087542088</v>
      </c>
      <c r="AG40" s="36">
        <v>1.8400042087542088</v>
      </c>
      <c r="AH40" s="36">
        <v>1.8400042087542088</v>
      </c>
      <c r="AI40" s="39">
        <v>0</v>
      </c>
      <c r="AJ40" s="39">
        <v>0</v>
      </c>
      <c r="AK40" s="39">
        <v>0</v>
      </c>
      <c r="AL40" s="39">
        <v>0</v>
      </c>
      <c r="AM40" s="39">
        <v>0</v>
      </c>
      <c r="AN40" s="39">
        <v>0</v>
      </c>
      <c r="AO40" s="39">
        <v>0</v>
      </c>
      <c r="AP40" s="39">
        <v>0</v>
      </c>
      <c r="AQ40" s="39">
        <v>0</v>
      </c>
      <c r="AR40" s="39">
        <v>0</v>
      </c>
      <c r="AS40" s="39">
        <v>0</v>
      </c>
      <c r="AT40" s="39">
        <v>0</v>
      </c>
      <c r="AU40" s="39">
        <v>0</v>
      </c>
      <c r="AV40" s="39">
        <v>0</v>
      </c>
      <c r="AW40" s="39">
        <v>0</v>
      </c>
      <c r="AX40" s="39">
        <v>0</v>
      </c>
      <c r="AY40" s="39">
        <v>0</v>
      </c>
      <c r="AZ40" s="39">
        <v>0</v>
      </c>
      <c r="BA40" s="39">
        <v>0</v>
      </c>
      <c r="BB40" s="39">
        <v>0</v>
      </c>
      <c r="BC40" s="39">
        <v>0</v>
      </c>
      <c r="BD40" s="39">
        <v>0</v>
      </c>
      <c r="BE40" s="39">
        <v>0</v>
      </c>
      <c r="BF40" s="39">
        <v>0</v>
      </c>
      <c r="BH40" s="12">
        <f t="shared" si="2"/>
        <v>0</v>
      </c>
      <c r="BI40" s="12">
        <f t="shared" si="3"/>
        <v>0</v>
      </c>
      <c r="BJ40" s="12">
        <f t="shared" si="4"/>
        <v>0</v>
      </c>
      <c r="BK40" s="12">
        <f t="shared" si="5"/>
        <v>0</v>
      </c>
      <c r="BL40" s="12">
        <f t="shared" si="6"/>
        <v>0</v>
      </c>
      <c r="BM40" s="12">
        <f t="shared" si="7"/>
        <v>0</v>
      </c>
      <c r="BN40" s="12">
        <f t="shared" si="8"/>
        <v>0</v>
      </c>
      <c r="BO40" s="12">
        <f t="shared" si="9"/>
        <v>0</v>
      </c>
      <c r="BP40" s="12">
        <f t="shared" si="10"/>
        <v>0</v>
      </c>
      <c r="BQ40" s="12">
        <f t="shared" si="11"/>
        <v>0</v>
      </c>
      <c r="BR40" s="12">
        <f t="shared" si="12"/>
        <v>0</v>
      </c>
      <c r="BS40" s="12">
        <f t="shared" si="13"/>
        <v>0</v>
      </c>
      <c r="BU40" s="11">
        <f t="shared" si="19"/>
        <v>0</v>
      </c>
      <c r="BV40" s="11">
        <f t="shared" si="20"/>
        <v>0</v>
      </c>
      <c r="BW40" s="11">
        <f t="shared" si="21"/>
        <v>0</v>
      </c>
      <c r="BX40" s="11">
        <f t="shared" si="22"/>
        <v>0</v>
      </c>
      <c r="BY40" s="11">
        <f t="shared" si="23"/>
        <v>0</v>
      </c>
      <c r="BZ40" s="11">
        <f t="shared" si="24"/>
        <v>0</v>
      </c>
      <c r="CA40" s="11">
        <f t="shared" si="25"/>
        <v>0</v>
      </c>
      <c r="CB40" s="11">
        <f t="shared" si="26"/>
        <v>0</v>
      </c>
      <c r="CC40" s="11">
        <f t="shared" si="27"/>
        <v>0</v>
      </c>
      <c r="CD40" s="11">
        <f t="shared" si="28"/>
        <v>0</v>
      </c>
      <c r="CE40" s="11">
        <f t="shared" si="29"/>
        <v>0</v>
      </c>
      <c r="CF40" s="11">
        <f t="shared" si="30"/>
        <v>0</v>
      </c>
      <c r="CG40" s="11"/>
      <c r="CH40" s="41">
        <v>1</v>
      </c>
      <c r="CJ40" s="54">
        <f t="shared" si="31"/>
        <v>0</v>
      </c>
      <c r="CK40" s="54">
        <f t="shared" si="32"/>
        <v>0</v>
      </c>
      <c r="CL40" s="54">
        <f t="shared" si="33"/>
        <v>0</v>
      </c>
      <c r="CM40" s="54">
        <f t="shared" si="34"/>
        <v>0</v>
      </c>
      <c r="CN40" s="54">
        <f t="shared" si="35"/>
        <v>0</v>
      </c>
      <c r="CO40" s="54">
        <f t="shared" si="36"/>
        <v>0</v>
      </c>
      <c r="CP40" s="54">
        <f t="shared" si="37"/>
        <v>0</v>
      </c>
      <c r="CQ40" s="54">
        <f t="shared" si="38"/>
        <v>0</v>
      </c>
      <c r="CR40" s="54">
        <f t="shared" si="39"/>
        <v>0</v>
      </c>
      <c r="CS40" s="54">
        <f t="shared" si="40"/>
        <v>0</v>
      </c>
      <c r="CT40" s="54">
        <f t="shared" si="41"/>
        <v>0</v>
      </c>
      <c r="CU40" s="54">
        <f t="shared" si="42"/>
        <v>0</v>
      </c>
      <c r="CV40" s="52">
        <f t="shared" si="43"/>
        <v>0</v>
      </c>
    </row>
    <row r="41" spans="1:100" ht="15.75" x14ac:dyDescent="0.25">
      <c r="A41" s="16"/>
      <c r="B41" s="44"/>
      <c r="C41" s="44"/>
      <c r="D41" s="44"/>
      <c r="E41" s="44"/>
      <c r="F41" s="45" t="s">
        <v>17</v>
      </c>
      <c r="G41" s="72"/>
      <c r="H41" s="72"/>
      <c r="I41" s="74"/>
      <c r="J41" s="74"/>
      <c r="K41" s="74"/>
      <c r="L41" s="74"/>
      <c r="M41" s="74"/>
      <c r="N41" s="74"/>
      <c r="O41" s="74"/>
      <c r="P41" s="74"/>
      <c r="Q41" s="74"/>
      <c r="R41" s="74"/>
      <c r="S41" s="11">
        <f t="shared" si="1"/>
        <v>0</v>
      </c>
      <c r="T41" s="8">
        <f t="shared" si="17"/>
        <v>0</v>
      </c>
      <c r="U41" s="13" t="s">
        <v>2952</v>
      </c>
      <c r="V41" s="46">
        <f t="shared" si="18"/>
        <v>0</v>
      </c>
      <c r="W41" s="36">
        <v>11.423999999999999</v>
      </c>
      <c r="X41" s="36">
        <v>11.423999999999999</v>
      </c>
      <c r="Y41" s="36">
        <v>11.423999999999999</v>
      </c>
      <c r="Z41" s="36">
        <v>11.423999999999999</v>
      </c>
      <c r="AA41" s="36">
        <v>11.423999999999999</v>
      </c>
      <c r="AB41" s="36">
        <v>11.423999999999999</v>
      </c>
      <c r="AC41" s="36">
        <v>11.423999999999999</v>
      </c>
      <c r="AD41" s="36">
        <v>11.423999999999999</v>
      </c>
      <c r="AE41" s="36">
        <v>11.423999999999999</v>
      </c>
      <c r="AF41" s="36">
        <v>11.423999999999999</v>
      </c>
      <c r="AG41" s="36">
        <v>11.423999999999999</v>
      </c>
      <c r="AH41" s="36">
        <v>11.423999999999999</v>
      </c>
      <c r="AI41" s="39">
        <v>0.22999999999999998</v>
      </c>
      <c r="AJ41" s="39">
        <v>0.22999999999999998</v>
      </c>
      <c r="AK41" s="39">
        <v>0.22999999999999998</v>
      </c>
      <c r="AL41" s="39">
        <v>0.22999999999999998</v>
      </c>
      <c r="AM41" s="39">
        <v>0.22999999999999998</v>
      </c>
      <c r="AN41" s="39">
        <v>0.22999999999999998</v>
      </c>
      <c r="AO41" s="39">
        <v>0.22999999999999998</v>
      </c>
      <c r="AP41" s="39">
        <v>0.22999999999999998</v>
      </c>
      <c r="AQ41" s="39">
        <v>0.22999999999999998</v>
      </c>
      <c r="AR41" s="39">
        <v>0.22999999999999998</v>
      </c>
      <c r="AS41" s="39">
        <v>0.22999999999999998</v>
      </c>
      <c r="AT41" s="39">
        <v>0.22999999999999998</v>
      </c>
      <c r="AU41" s="39">
        <v>0</v>
      </c>
      <c r="AV41" s="39">
        <v>0</v>
      </c>
      <c r="AW41" s="39">
        <v>0</v>
      </c>
      <c r="AX41" s="39">
        <v>0</v>
      </c>
      <c r="AY41" s="39">
        <v>0</v>
      </c>
      <c r="AZ41" s="39">
        <v>0</v>
      </c>
      <c r="BA41" s="39">
        <v>0</v>
      </c>
      <c r="BB41" s="39">
        <v>0</v>
      </c>
      <c r="BC41" s="39">
        <v>0</v>
      </c>
      <c r="BD41" s="39">
        <v>0</v>
      </c>
      <c r="BE41" s="39">
        <v>0</v>
      </c>
      <c r="BF41" s="39">
        <v>0</v>
      </c>
      <c r="BH41" s="12">
        <f t="shared" si="2"/>
        <v>0</v>
      </c>
      <c r="BI41" s="12">
        <f t="shared" si="3"/>
        <v>0</v>
      </c>
      <c r="BJ41" s="12">
        <f t="shared" si="4"/>
        <v>0</v>
      </c>
      <c r="BK41" s="12">
        <f t="shared" si="5"/>
        <v>0</v>
      </c>
      <c r="BL41" s="12">
        <f t="shared" si="6"/>
        <v>0</v>
      </c>
      <c r="BM41" s="12">
        <f t="shared" si="7"/>
        <v>0</v>
      </c>
      <c r="BN41" s="12">
        <f t="shared" si="8"/>
        <v>0</v>
      </c>
      <c r="BO41" s="12">
        <f t="shared" si="9"/>
        <v>0</v>
      </c>
      <c r="BP41" s="12">
        <f t="shared" si="10"/>
        <v>0</v>
      </c>
      <c r="BQ41" s="12">
        <f t="shared" si="11"/>
        <v>0</v>
      </c>
      <c r="BR41" s="12">
        <f t="shared" si="12"/>
        <v>0</v>
      </c>
      <c r="BS41" s="12">
        <f t="shared" si="13"/>
        <v>0</v>
      </c>
      <c r="BU41" s="11">
        <f t="shared" si="19"/>
        <v>0</v>
      </c>
      <c r="BV41" s="11">
        <f t="shared" si="20"/>
        <v>0</v>
      </c>
      <c r="BW41" s="11">
        <f t="shared" si="21"/>
        <v>0</v>
      </c>
      <c r="BX41" s="11">
        <f t="shared" si="22"/>
        <v>0</v>
      </c>
      <c r="BY41" s="11">
        <f t="shared" si="23"/>
        <v>0</v>
      </c>
      <c r="BZ41" s="11">
        <f t="shared" si="24"/>
        <v>0</v>
      </c>
      <c r="CA41" s="11">
        <f t="shared" si="25"/>
        <v>0</v>
      </c>
      <c r="CB41" s="11">
        <f t="shared" si="26"/>
        <v>0</v>
      </c>
      <c r="CC41" s="11">
        <f t="shared" si="27"/>
        <v>0</v>
      </c>
      <c r="CD41" s="11">
        <f t="shared" si="28"/>
        <v>0</v>
      </c>
      <c r="CE41" s="11">
        <f t="shared" si="29"/>
        <v>0</v>
      </c>
      <c r="CF41" s="11">
        <f t="shared" si="30"/>
        <v>0</v>
      </c>
      <c r="CG41" s="11"/>
      <c r="CH41" s="41">
        <v>1</v>
      </c>
      <c r="CJ41" s="54">
        <f t="shared" si="31"/>
        <v>0</v>
      </c>
      <c r="CK41" s="54">
        <f t="shared" si="32"/>
        <v>0</v>
      </c>
      <c r="CL41" s="54">
        <f t="shared" si="33"/>
        <v>0</v>
      </c>
      <c r="CM41" s="54">
        <f t="shared" si="34"/>
        <v>0</v>
      </c>
      <c r="CN41" s="54">
        <f t="shared" si="35"/>
        <v>0</v>
      </c>
      <c r="CO41" s="54">
        <f t="shared" si="36"/>
        <v>0</v>
      </c>
      <c r="CP41" s="54">
        <f t="shared" si="37"/>
        <v>0</v>
      </c>
      <c r="CQ41" s="54">
        <f t="shared" si="38"/>
        <v>0</v>
      </c>
      <c r="CR41" s="54">
        <f t="shared" si="39"/>
        <v>0</v>
      </c>
      <c r="CS41" s="54">
        <f t="shared" si="40"/>
        <v>0</v>
      </c>
      <c r="CT41" s="54">
        <f t="shared" si="41"/>
        <v>0</v>
      </c>
      <c r="CU41" s="54">
        <f t="shared" si="42"/>
        <v>0</v>
      </c>
      <c r="CV41" s="52">
        <f t="shared" si="43"/>
        <v>0</v>
      </c>
    </row>
    <row r="42" spans="1:100" ht="15.75" x14ac:dyDescent="0.25">
      <c r="A42" s="86"/>
      <c r="B42" s="17"/>
      <c r="C42" s="17"/>
      <c r="D42" s="17"/>
      <c r="E42" s="17"/>
      <c r="F42" s="31" t="s">
        <v>3645</v>
      </c>
      <c r="G42" s="76"/>
      <c r="H42" s="76"/>
      <c r="I42" s="76"/>
      <c r="J42" s="76"/>
      <c r="K42" s="76"/>
      <c r="L42" s="76"/>
      <c r="M42" s="76"/>
      <c r="N42" s="76"/>
      <c r="O42" s="76"/>
      <c r="P42" s="76"/>
      <c r="Q42" s="76"/>
      <c r="R42" s="76"/>
      <c r="S42" s="11">
        <f t="shared" si="1"/>
        <v>0</v>
      </c>
      <c r="V42" s="46">
        <f t="shared" si="18"/>
        <v>0</v>
      </c>
      <c r="W42" s="36">
        <v>1.1081513747732268</v>
      </c>
      <c r="X42" s="36">
        <v>1.1067046841969763</v>
      </c>
      <c r="Y42" s="36">
        <v>1.1092782083153985</v>
      </c>
      <c r="Z42" s="36">
        <v>1.0966741022789341</v>
      </c>
      <c r="AA42" s="36">
        <v>1.1044289984910007</v>
      </c>
      <c r="AB42" s="36">
        <v>1.1004736385518008</v>
      </c>
      <c r="AC42" s="36">
        <v>1.0876122319820292</v>
      </c>
      <c r="AD42" s="36">
        <v>1.0926347573088411</v>
      </c>
      <c r="AE42" s="36">
        <v>1.0981829791936595</v>
      </c>
      <c r="AF42" s="36">
        <v>1.1419652954153612</v>
      </c>
      <c r="AG42" s="36">
        <v>1.1427417167858083</v>
      </c>
      <c r="AH42" s="36">
        <v>1.1419924605203764</v>
      </c>
      <c r="BH42" s="12">
        <f t="shared" si="2"/>
        <v>0</v>
      </c>
      <c r="BI42" s="12">
        <f t="shared" si="3"/>
        <v>0</v>
      </c>
      <c r="BJ42" s="12">
        <f t="shared" si="4"/>
        <v>0</v>
      </c>
      <c r="BK42" s="12">
        <f t="shared" si="5"/>
        <v>0</v>
      </c>
      <c r="BL42" s="12">
        <f t="shared" si="6"/>
        <v>0</v>
      </c>
      <c r="BM42" s="12">
        <f t="shared" si="7"/>
        <v>0</v>
      </c>
      <c r="BN42" s="12">
        <f t="shared" si="8"/>
        <v>0</v>
      </c>
      <c r="BO42" s="12">
        <f t="shared" si="9"/>
        <v>0</v>
      </c>
      <c r="BP42" s="12">
        <f t="shared" si="10"/>
        <v>0</v>
      </c>
      <c r="BQ42" s="12">
        <f t="shared" si="11"/>
        <v>0</v>
      </c>
      <c r="BR42" s="12">
        <f t="shared" si="12"/>
        <v>0</v>
      </c>
      <c r="BS42" s="12">
        <f t="shared" si="13"/>
        <v>0</v>
      </c>
      <c r="BU42" s="11">
        <f t="shared" si="19"/>
        <v>0</v>
      </c>
      <c r="BV42" s="11">
        <f t="shared" si="20"/>
        <v>0</v>
      </c>
      <c r="BW42" s="11">
        <f t="shared" si="21"/>
        <v>0</v>
      </c>
      <c r="BX42" s="11">
        <f t="shared" si="22"/>
        <v>0</v>
      </c>
      <c r="BY42" s="11">
        <f t="shared" si="23"/>
        <v>0</v>
      </c>
      <c r="BZ42" s="11">
        <f t="shared" si="24"/>
        <v>0</v>
      </c>
      <c r="CA42" s="11">
        <f t="shared" si="25"/>
        <v>0</v>
      </c>
      <c r="CB42" s="11">
        <f t="shared" si="26"/>
        <v>0</v>
      </c>
      <c r="CC42" s="11">
        <f t="shared" si="27"/>
        <v>0</v>
      </c>
      <c r="CD42" s="11">
        <f t="shared" si="28"/>
        <v>0</v>
      </c>
      <c r="CE42" s="11">
        <f t="shared" si="29"/>
        <v>0</v>
      </c>
      <c r="CF42" s="11">
        <f t="shared" si="30"/>
        <v>0</v>
      </c>
      <c r="CG42" s="11"/>
      <c r="CH42" s="41">
        <v>1</v>
      </c>
      <c r="CJ42" s="54">
        <f t="shared" si="31"/>
        <v>0</v>
      </c>
      <c r="CK42" s="54">
        <f t="shared" si="32"/>
        <v>0</v>
      </c>
      <c r="CL42" s="54">
        <f t="shared" si="33"/>
        <v>0</v>
      </c>
      <c r="CM42" s="54">
        <f t="shared" si="34"/>
        <v>0</v>
      </c>
      <c r="CN42" s="54">
        <f t="shared" si="35"/>
        <v>0</v>
      </c>
      <c r="CO42" s="54">
        <f t="shared" si="36"/>
        <v>0</v>
      </c>
      <c r="CP42" s="54">
        <f t="shared" si="37"/>
        <v>0</v>
      </c>
      <c r="CQ42" s="54">
        <f t="shared" si="38"/>
        <v>0</v>
      </c>
      <c r="CR42" s="54">
        <f t="shared" si="39"/>
        <v>0</v>
      </c>
      <c r="CS42" s="54">
        <f t="shared" si="40"/>
        <v>0</v>
      </c>
      <c r="CT42" s="54">
        <f t="shared" si="41"/>
        <v>0</v>
      </c>
      <c r="CU42" s="54">
        <f t="shared" si="42"/>
        <v>0</v>
      </c>
      <c r="CV42" s="52">
        <f t="shared" si="43"/>
        <v>0</v>
      </c>
    </row>
    <row r="43" spans="1:100" ht="15.75" x14ac:dyDescent="0.25">
      <c r="A43" s="86"/>
      <c r="B43" s="17"/>
      <c r="C43" s="17"/>
      <c r="D43" s="17"/>
      <c r="E43" s="17"/>
      <c r="F43" s="31" t="s">
        <v>3645</v>
      </c>
      <c r="G43" s="76"/>
      <c r="H43" s="76"/>
      <c r="I43" s="76"/>
      <c r="J43" s="76"/>
      <c r="K43" s="76"/>
      <c r="L43" s="76"/>
      <c r="M43" s="76"/>
      <c r="N43" s="76"/>
      <c r="O43" s="76"/>
      <c r="P43" s="76"/>
      <c r="Q43" s="76"/>
      <c r="R43" s="76"/>
      <c r="S43" s="11">
        <f t="shared" si="1"/>
        <v>0</v>
      </c>
      <c r="V43" s="46">
        <f t="shared" si="18"/>
        <v>0</v>
      </c>
      <c r="W43" s="36">
        <v>0</v>
      </c>
      <c r="X43" s="36">
        <v>0</v>
      </c>
      <c r="Y43" s="36">
        <v>0</v>
      </c>
      <c r="Z43" s="36">
        <v>0</v>
      </c>
      <c r="AA43" s="36">
        <v>0.28165637921735476</v>
      </c>
      <c r="AB43" s="36">
        <v>0</v>
      </c>
      <c r="AC43" s="36">
        <v>0.277277956402466</v>
      </c>
      <c r="AD43" s="36">
        <v>0.27855978663505698</v>
      </c>
      <c r="AE43" s="36">
        <v>0.28004528391825073</v>
      </c>
      <c r="AF43" s="36">
        <v>0.29102167182662564</v>
      </c>
      <c r="AG43" s="36">
        <v>0.29102167182662536</v>
      </c>
      <c r="AH43" s="36">
        <v>0</v>
      </c>
      <c r="BH43" s="12">
        <f t="shared" si="2"/>
        <v>0</v>
      </c>
      <c r="BI43" s="12">
        <f t="shared" si="3"/>
        <v>0</v>
      </c>
      <c r="BJ43" s="12">
        <f t="shared" si="4"/>
        <v>0</v>
      </c>
      <c r="BK43" s="12">
        <f t="shared" si="5"/>
        <v>0</v>
      </c>
      <c r="BL43" s="12">
        <f t="shared" si="6"/>
        <v>0</v>
      </c>
      <c r="BM43" s="12">
        <f t="shared" si="7"/>
        <v>0</v>
      </c>
      <c r="BN43" s="12">
        <f t="shared" si="8"/>
        <v>0</v>
      </c>
      <c r="BO43" s="12">
        <f t="shared" si="9"/>
        <v>0</v>
      </c>
      <c r="BP43" s="12">
        <f t="shared" si="10"/>
        <v>0</v>
      </c>
      <c r="BQ43" s="12">
        <f t="shared" si="11"/>
        <v>0</v>
      </c>
      <c r="BR43" s="12">
        <f t="shared" ref="BR43:BR66" si="44">(AG43*Q43)</f>
        <v>0</v>
      </c>
      <c r="BS43" s="12">
        <f t="shared" ref="BS43:BS66" si="45">(AH43*R43)</f>
        <v>0</v>
      </c>
      <c r="BU43" s="11">
        <f t="shared" ref="BU43:BU66" si="46">BH43*(1-(AI43+AU43))</f>
        <v>0</v>
      </c>
      <c r="BV43" s="11">
        <f t="shared" ref="BV43:BV66" si="47">BI43*(1-(AJ43+AV43))</f>
        <v>0</v>
      </c>
      <c r="BW43" s="11">
        <f t="shared" ref="BW43:BW66" si="48">BJ43*(1-(AK43+AW43))</f>
        <v>0</v>
      </c>
      <c r="BX43" s="11">
        <f t="shared" ref="BX43:BX66" si="49">BK43*(1-(AL43+AX43))</f>
        <v>0</v>
      </c>
      <c r="BY43" s="11">
        <f t="shared" ref="BY43:BY66" si="50">BL43*(1-(AM43+AY43))</f>
        <v>0</v>
      </c>
      <c r="BZ43" s="11">
        <f t="shared" ref="BZ43:BZ66" si="51">BM43*(1-(AN43+AZ43))</f>
        <v>0</v>
      </c>
      <c r="CA43" s="11">
        <f t="shared" ref="CA43:CA66" si="52">BN43*(1-(AO43+BA43))</f>
        <v>0</v>
      </c>
      <c r="CB43" s="11">
        <f t="shared" ref="CB43:CB66" si="53">BO43*(1-(AP43+BB43))</f>
        <v>0</v>
      </c>
      <c r="CC43" s="11">
        <f t="shared" ref="CC43:CC66" si="54">BP43*(1-(AQ43+BC43))</f>
        <v>0</v>
      </c>
      <c r="CD43" s="11">
        <f t="shared" ref="CD43:CD66" si="55">BQ43*(1-(AR43+BD43))</f>
        <v>0</v>
      </c>
      <c r="CE43" s="11">
        <f t="shared" ref="CE43:CE66" si="56">BR43*(1-(AS43+BE43))</f>
        <v>0</v>
      </c>
      <c r="CF43" s="11">
        <f t="shared" ref="CF43:CF66" si="57">BS43*(1-(AT43+BF43))</f>
        <v>0</v>
      </c>
      <c r="CG43" s="11"/>
      <c r="CH43" s="41">
        <v>1</v>
      </c>
      <c r="CJ43" s="54">
        <f t="shared" ref="CJ43:CJ66" si="58">((BU43/$CH43)/1000)</f>
        <v>0</v>
      </c>
      <c r="CK43" s="54">
        <f t="shared" ref="CK43:CK66" si="59">((BV43/$CH43)/1000)</f>
        <v>0</v>
      </c>
      <c r="CL43" s="54">
        <f t="shared" ref="CL43:CL66" si="60">((BW43/$CH43)/1000)</f>
        <v>0</v>
      </c>
      <c r="CM43" s="54">
        <f t="shared" ref="CM43:CM66" si="61">((BX43/$CH43)/1000)</f>
        <v>0</v>
      </c>
      <c r="CN43" s="54">
        <f t="shared" ref="CN43:CN66" si="62">((BY43/$CH43)/1000)</f>
        <v>0</v>
      </c>
      <c r="CO43" s="54">
        <f t="shared" ref="CO43:CO66" si="63">((BZ43/$CH43)/1000)</f>
        <v>0</v>
      </c>
      <c r="CP43" s="54">
        <f t="shared" ref="CP43:CP66" si="64">((CA43/$CH43)/1000)</f>
        <v>0</v>
      </c>
      <c r="CQ43" s="54">
        <f t="shared" ref="CQ43:CQ66" si="65">((CB43/$CH43)/1000)</f>
        <v>0</v>
      </c>
      <c r="CR43" s="54">
        <f t="shared" ref="CR43:CR66" si="66">((CC43/$CH43)/1000)</f>
        <v>0</v>
      </c>
      <c r="CS43" s="54">
        <f t="shared" ref="CS43:CS66" si="67">((CD43/$CH43)/1000)</f>
        <v>0</v>
      </c>
      <c r="CT43" s="54">
        <f t="shared" ref="CT43:CT66" si="68">((CE43/$CH43)/1000)</f>
        <v>0</v>
      </c>
      <c r="CU43" s="54">
        <f t="shared" ref="CU43:CU66" si="69">((CF43/$CH43)/1000)</f>
        <v>0</v>
      </c>
      <c r="CV43" s="52">
        <f t="shared" si="43"/>
        <v>0</v>
      </c>
    </row>
    <row r="44" spans="1:100" ht="15.75" x14ac:dyDescent="0.25">
      <c r="A44" s="86"/>
      <c r="B44" s="17"/>
      <c r="C44" s="17"/>
      <c r="D44" s="17"/>
      <c r="E44" s="17"/>
      <c r="F44" s="31" t="s">
        <v>3645</v>
      </c>
      <c r="G44" s="76"/>
      <c r="H44" s="76"/>
      <c r="I44" s="76"/>
      <c r="J44" s="76"/>
      <c r="K44" s="76"/>
      <c r="L44" s="76"/>
      <c r="M44" s="76"/>
      <c r="N44" s="76"/>
      <c r="O44" s="76"/>
      <c r="P44" s="76"/>
      <c r="Q44" s="76"/>
      <c r="R44" s="76"/>
      <c r="S44" s="11">
        <f t="shared" si="1"/>
        <v>0</v>
      </c>
      <c r="V44" s="46">
        <f t="shared" si="18"/>
        <v>0</v>
      </c>
      <c r="W44" s="36">
        <v>0</v>
      </c>
      <c r="X44" s="36"/>
      <c r="Y44" s="36"/>
      <c r="Z44" s="36"/>
      <c r="AA44" s="36"/>
      <c r="AB44" s="36"/>
      <c r="AC44" s="36"/>
      <c r="AD44" s="36"/>
      <c r="AE44" s="36"/>
      <c r="AF44" s="36"/>
      <c r="AG44" s="36"/>
      <c r="AH44" s="36"/>
      <c r="BH44" s="12">
        <f t="shared" si="2"/>
        <v>0</v>
      </c>
      <c r="BI44" s="12">
        <f t="shared" si="3"/>
        <v>0</v>
      </c>
      <c r="BJ44" s="12">
        <f t="shared" si="4"/>
        <v>0</v>
      </c>
      <c r="BK44" s="12">
        <f t="shared" si="5"/>
        <v>0</v>
      </c>
      <c r="BL44" s="12">
        <f t="shared" si="6"/>
        <v>0</v>
      </c>
      <c r="BM44" s="12">
        <f t="shared" si="7"/>
        <v>0</v>
      </c>
      <c r="BN44" s="12">
        <f t="shared" si="8"/>
        <v>0</v>
      </c>
      <c r="BO44" s="12">
        <f t="shared" si="9"/>
        <v>0</v>
      </c>
      <c r="BP44" s="12">
        <f t="shared" si="10"/>
        <v>0</v>
      </c>
      <c r="BQ44" s="12">
        <f t="shared" si="11"/>
        <v>0</v>
      </c>
      <c r="BR44" s="12">
        <f t="shared" si="44"/>
        <v>0</v>
      </c>
      <c r="BS44" s="12">
        <f t="shared" si="45"/>
        <v>0</v>
      </c>
      <c r="BU44" s="11">
        <f t="shared" si="46"/>
        <v>0</v>
      </c>
      <c r="BV44" s="11">
        <f t="shared" si="47"/>
        <v>0</v>
      </c>
      <c r="BW44" s="11">
        <f t="shared" si="48"/>
        <v>0</v>
      </c>
      <c r="BX44" s="11">
        <f t="shared" si="49"/>
        <v>0</v>
      </c>
      <c r="BY44" s="11">
        <f t="shared" si="50"/>
        <v>0</v>
      </c>
      <c r="BZ44" s="11">
        <f t="shared" si="51"/>
        <v>0</v>
      </c>
      <c r="CA44" s="11">
        <f t="shared" si="52"/>
        <v>0</v>
      </c>
      <c r="CB44" s="11">
        <f t="shared" si="53"/>
        <v>0</v>
      </c>
      <c r="CC44" s="11">
        <f t="shared" si="54"/>
        <v>0</v>
      </c>
      <c r="CD44" s="11">
        <f t="shared" si="55"/>
        <v>0</v>
      </c>
      <c r="CE44" s="11">
        <f t="shared" si="56"/>
        <v>0</v>
      </c>
      <c r="CF44" s="11">
        <f t="shared" si="57"/>
        <v>0</v>
      </c>
      <c r="CG44" s="11"/>
      <c r="CH44" s="41">
        <v>1</v>
      </c>
      <c r="CJ44" s="54">
        <f t="shared" si="58"/>
        <v>0</v>
      </c>
      <c r="CK44" s="54">
        <f t="shared" si="59"/>
        <v>0</v>
      </c>
      <c r="CL44" s="54">
        <f t="shared" si="60"/>
        <v>0</v>
      </c>
      <c r="CM44" s="54">
        <f t="shared" si="61"/>
        <v>0</v>
      </c>
      <c r="CN44" s="54">
        <f t="shared" si="62"/>
        <v>0</v>
      </c>
      <c r="CO44" s="54">
        <f t="shared" si="63"/>
        <v>0</v>
      </c>
      <c r="CP44" s="54">
        <f t="shared" si="64"/>
        <v>0</v>
      </c>
      <c r="CQ44" s="54">
        <f t="shared" si="65"/>
        <v>0</v>
      </c>
      <c r="CR44" s="54">
        <f t="shared" si="66"/>
        <v>0</v>
      </c>
      <c r="CS44" s="54">
        <f t="shared" si="67"/>
        <v>0</v>
      </c>
      <c r="CT44" s="54">
        <f t="shared" si="68"/>
        <v>0</v>
      </c>
      <c r="CU44" s="54">
        <f t="shared" si="69"/>
        <v>0</v>
      </c>
      <c r="CV44" s="52">
        <f t="shared" si="43"/>
        <v>0</v>
      </c>
    </row>
    <row r="45" spans="1:100" ht="15.75" x14ac:dyDescent="0.25">
      <c r="A45" s="86"/>
      <c r="B45" s="17"/>
      <c r="C45" s="17"/>
      <c r="D45" s="17"/>
      <c r="E45" s="17"/>
      <c r="F45" s="31" t="s">
        <v>3645</v>
      </c>
      <c r="G45" s="76"/>
      <c r="H45" s="76"/>
      <c r="I45" s="76"/>
      <c r="J45" s="76"/>
      <c r="K45" s="76"/>
      <c r="L45" s="76"/>
      <c r="M45" s="76"/>
      <c r="N45" s="76"/>
      <c r="O45" s="76"/>
      <c r="P45" s="76"/>
      <c r="Q45" s="76"/>
      <c r="R45" s="76"/>
      <c r="S45" s="11">
        <f t="shared" si="1"/>
        <v>0</v>
      </c>
      <c r="V45" s="46">
        <f t="shared" si="18"/>
        <v>0</v>
      </c>
      <c r="W45" s="36">
        <v>0.53569029535124613</v>
      </c>
      <c r="X45" s="36">
        <v>0.53457798054988592</v>
      </c>
      <c r="Y45" s="36">
        <v>0.53586776574271677</v>
      </c>
      <c r="Z45" s="36">
        <v>0.52950952743696666</v>
      </c>
      <c r="AA45" s="36">
        <v>0.53455929599222274</v>
      </c>
      <c r="AB45" s="36">
        <v>0.5320088464788032</v>
      </c>
      <c r="AC45" s="36">
        <v>0.52632693015720067</v>
      </c>
      <c r="AD45" s="36">
        <v>0.52790738461631481</v>
      </c>
      <c r="AE45" s="36">
        <v>0.53104228319662106</v>
      </c>
      <c r="AF45" s="36">
        <v>0.55181077694235625</v>
      </c>
      <c r="AG45" s="36">
        <v>0.5518583789791216</v>
      </c>
      <c r="AH45" s="36">
        <v>0.55234163840975115</v>
      </c>
      <c r="BH45" s="12">
        <f t="shared" si="2"/>
        <v>0</v>
      </c>
      <c r="BI45" s="12">
        <f t="shared" si="3"/>
        <v>0</v>
      </c>
      <c r="BJ45" s="12">
        <f t="shared" si="4"/>
        <v>0</v>
      </c>
      <c r="BK45" s="12">
        <f t="shared" si="5"/>
        <v>0</v>
      </c>
      <c r="BL45" s="12">
        <f t="shared" si="6"/>
        <v>0</v>
      </c>
      <c r="BM45" s="12">
        <f t="shared" si="7"/>
        <v>0</v>
      </c>
      <c r="BN45" s="12">
        <f t="shared" si="8"/>
        <v>0</v>
      </c>
      <c r="BO45" s="12">
        <f t="shared" si="9"/>
        <v>0</v>
      </c>
      <c r="BP45" s="12">
        <f t="shared" si="10"/>
        <v>0</v>
      </c>
      <c r="BQ45" s="12">
        <f t="shared" si="11"/>
        <v>0</v>
      </c>
      <c r="BR45" s="12">
        <f t="shared" si="44"/>
        <v>0</v>
      </c>
      <c r="BS45" s="12">
        <f t="shared" si="45"/>
        <v>0</v>
      </c>
      <c r="BU45" s="11">
        <f t="shared" si="46"/>
        <v>0</v>
      </c>
      <c r="BV45" s="11">
        <f t="shared" si="47"/>
        <v>0</v>
      </c>
      <c r="BW45" s="11">
        <f t="shared" si="48"/>
        <v>0</v>
      </c>
      <c r="BX45" s="11">
        <f t="shared" si="49"/>
        <v>0</v>
      </c>
      <c r="BY45" s="11">
        <f t="shared" si="50"/>
        <v>0</v>
      </c>
      <c r="BZ45" s="11">
        <f t="shared" si="51"/>
        <v>0</v>
      </c>
      <c r="CA45" s="11">
        <f t="shared" si="52"/>
        <v>0</v>
      </c>
      <c r="CB45" s="11">
        <f t="shared" si="53"/>
        <v>0</v>
      </c>
      <c r="CC45" s="11">
        <f t="shared" si="54"/>
        <v>0</v>
      </c>
      <c r="CD45" s="11">
        <f t="shared" si="55"/>
        <v>0</v>
      </c>
      <c r="CE45" s="11">
        <f t="shared" si="56"/>
        <v>0</v>
      </c>
      <c r="CF45" s="11">
        <f t="shared" si="57"/>
        <v>0</v>
      </c>
      <c r="CG45" s="11"/>
      <c r="CH45" s="41">
        <v>1</v>
      </c>
      <c r="CJ45" s="54">
        <f t="shared" si="58"/>
        <v>0</v>
      </c>
      <c r="CK45" s="54">
        <f t="shared" si="59"/>
        <v>0</v>
      </c>
      <c r="CL45" s="54">
        <f t="shared" si="60"/>
        <v>0</v>
      </c>
      <c r="CM45" s="54">
        <f t="shared" si="61"/>
        <v>0</v>
      </c>
      <c r="CN45" s="54">
        <f t="shared" si="62"/>
        <v>0</v>
      </c>
      <c r="CO45" s="54">
        <f t="shared" si="63"/>
        <v>0</v>
      </c>
      <c r="CP45" s="54">
        <f t="shared" si="64"/>
        <v>0</v>
      </c>
      <c r="CQ45" s="54">
        <f t="shared" si="65"/>
        <v>0</v>
      </c>
      <c r="CR45" s="54">
        <f t="shared" si="66"/>
        <v>0</v>
      </c>
      <c r="CS45" s="54">
        <f t="shared" si="67"/>
        <v>0</v>
      </c>
      <c r="CT45" s="54">
        <f t="shared" si="68"/>
        <v>0</v>
      </c>
      <c r="CU45" s="54">
        <f t="shared" si="69"/>
        <v>0</v>
      </c>
      <c r="CV45" s="52">
        <f t="shared" si="43"/>
        <v>0</v>
      </c>
    </row>
    <row r="46" spans="1:100" ht="15.75" x14ac:dyDescent="0.25">
      <c r="A46" s="86"/>
      <c r="B46" s="17"/>
      <c r="C46" s="17"/>
      <c r="D46" s="17"/>
      <c r="E46" s="17"/>
      <c r="F46" s="31" t="s">
        <v>3645</v>
      </c>
      <c r="G46" s="76"/>
      <c r="H46" s="76"/>
      <c r="I46" s="76"/>
      <c r="J46" s="76"/>
      <c r="K46" s="76"/>
      <c r="L46" s="76"/>
      <c r="M46" s="76"/>
      <c r="N46" s="76"/>
      <c r="O46" s="76"/>
      <c r="P46" s="76"/>
      <c r="Q46" s="76"/>
      <c r="R46" s="76"/>
      <c r="S46" s="11">
        <f t="shared" si="1"/>
        <v>0</v>
      </c>
      <c r="V46" s="46">
        <f t="shared" si="18"/>
        <v>0</v>
      </c>
      <c r="W46" s="36">
        <v>0.43798425265664725</v>
      </c>
      <c r="X46" s="36">
        <v>0.43729839516548608</v>
      </c>
      <c r="Y46" s="36">
        <v>0.43863988365974821</v>
      </c>
      <c r="Z46" s="36">
        <v>0</v>
      </c>
      <c r="AA46" s="36">
        <v>0.43724487757588792</v>
      </c>
      <c r="AB46" s="36">
        <v>0.43494782701022461</v>
      </c>
      <c r="AC46" s="36">
        <v>0.42979926845815775</v>
      </c>
      <c r="AD46" s="36">
        <v>0.43195196727818846</v>
      </c>
      <c r="AE46" s="36">
        <v>0.43480800884823928</v>
      </c>
      <c r="AF46" s="36">
        <v>0.45110294117647054</v>
      </c>
      <c r="AG46" s="36">
        <v>0.4519865106036417</v>
      </c>
      <c r="AH46" s="36">
        <v>0.45162182840468268</v>
      </c>
      <c r="BH46" s="12">
        <f t="shared" si="2"/>
        <v>0</v>
      </c>
      <c r="BI46" s="12">
        <f t="shared" si="3"/>
        <v>0</v>
      </c>
      <c r="BJ46" s="12">
        <f t="shared" si="4"/>
        <v>0</v>
      </c>
      <c r="BK46" s="12">
        <f t="shared" si="5"/>
        <v>0</v>
      </c>
      <c r="BL46" s="12">
        <f t="shared" si="6"/>
        <v>0</v>
      </c>
      <c r="BM46" s="12">
        <f t="shared" si="7"/>
        <v>0</v>
      </c>
      <c r="BN46" s="12">
        <f t="shared" si="8"/>
        <v>0</v>
      </c>
      <c r="BO46" s="12">
        <f t="shared" si="9"/>
        <v>0</v>
      </c>
      <c r="BP46" s="12">
        <f t="shared" si="10"/>
        <v>0</v>
      </c>
      <c r="BQ46" s="12">
        <f t="shared" si="11"/>
        <v>0</v>
      </c>
      <c r="BR46" s="12">
        <f t="shared" si="44"/>
        <v>0</v>
      </c>
      <c r="BS46" s="12">
        <f t="shared" si="45"/>
        <v>0</v>
      </c>
      <c r="BU46" s="11">
        <f t="shared" si="46"/>
        <v>0</v>
      </c>
      <c r="BV46" s="11">
        <f t="shared" si="47"/>
        <v>0</v>
      </c>
      <c r="BW46" s="11">
        <f t="shared" si="48"/>
        <v>0</v>
      </c>
      <c r="BX46" s="11">
        <f t="shared" si="49"/>
        <v>0</v>
      </c>
      <c r="BY46" s="11">
        <f t="shared" si="50"/>
        <v>0</v>
      </c>
      <c r="BZ46" s="11">
        <f t="shared" si="51"/>
        <v>0</v>
      </c>
      <c r="CA46" s="11">
        <f t="shared" si="52"/>
        <v>0</v>
      </c>
      <c r="CB46" s="11">
        <f t="shared" si="53"/>
        <v>0</v>
      </c>
      <c r="CC46" s="11">
        <f t="shared" si="54"/>
        <v>0</v>
      </c>
      <c r="CD46" s="11">
        <f t="shared" si="55"/>
        <v>0</v>
      </c>
      <c r="CE46" s="11">
        <f t="shared" si="56"/>
        <v>0</v>
      </c>
      <c r="CF46" s="11">
        <f t="shared" si="57"/>
        <v>0</v>
      </c>
      <c r="CG46" s="11"/>
      <c r="CH46" s="41">
        <v>1</v>
      </c>
      <c r="CJ46" s="54">
        <f t="shared" si="58"/>
        <v>0</v>
      </c>
      <c r="CK46" s="54">
        <f t="shared" si="59"/>
        <v>0</v>
      </c>
      <c r="CL46" s="54">
        <f t="shared" si="60"/>
        <v>0</v>
      </c>
      <c r="CM46" s="54">
        <f t="shared" si="61"/>
        <v>0</v>
      </c>
      <c r="CN46" s="54">
        <f t="shared" si="62"/>
        <v>0</v>
      </c>
      <c r="CO46" s="54">
        <f t="shared" si="63"/>
        <v>0</v>
      </c>
      <c r="CP46" s="54">
        <f t="shared" si="64"/>
        <v>0</v>
      </c>
      <c r="CQ46" s="54">
        <f t="shared" si="65"/>
        <v>0</v>
      </c>
      <c r="CR46" s="54">
        <f t="shared" si="66"/>
        <v>0</v>
      </c>
      <c r="CS46" s="54">
        <f t="shared" si="67"/>
        <v>0</v>
      </c>
      <c r="CT46" s="54">
        <f t="shared" si="68"/>
        <v>0</v>
      </c>
      <c r="CU46" s="54">
        <f t="shared" si="69"/>
        <v>0</v>
      </c>
      <c r="CV46" s="52">
        <f t="shared" si="43"/>
        <v>0</v>
      </c>
    </row>
    <row r="47" spans="1:100" ht="15.75" x14ac:dyDescent="0.25">
      <c r="A47" s="86"/>
      <c r="B47" s="17"/>
      <c r="C47" s="17"/>
      <c r="D47" s="17"/>
      <c r="E47" s="17"/>
      <c r="F47" s="31" t="s">
        <v>3645</v>
      </c>
      <c r="G47" s="76"/>
      <c r="H47" s="76"/>
      <c r="I47" s="76"/>
      <c r="J47" s="76"/>
      <c r="K47" s="76"/>
      <c r="L47" s="76"/>
      <c r="M47" s="76"/>
      <c r="N47" s="76"/>
      <c r="O47" s="76"/>
      <c r="P47" s="76"/>
      <c r="Q47" s="76"/>
      <c r="R47" s="76"/>
      <c r="S47" s="11">
        <f t="shared" si="1"/>
        <v>0</v>
      </c>
      <c r="V47" s="46">
        <f t="shared" si="18"/>
        <v>0</v>
      </c>
      <c r="W47" s="36">
        <v>0.58508366180348426</v>
      </c>
      <c r="X47" s="36">
        <v>0.58411048143660127</v>
      </c>
      <c r="Y47" s="36">
        <v>0.58544503562088557</v>
      </c>
      <c r="Z47" s="36">
        <v>0.57839596966075246</v>
      </c>
      <c r="AA47" s="36">
        <v>0.58342488588340835</v>
      </c>
      <c r="AB47" s="36">
        <v>0.5808359425475873</v>
      </c>
      <c r="AC47" s="36">
        <v>0.5744042737734365</v>
      </c>
      <c r="AD47" s="36">
        <v>0.5693033509302563</v>
      </c>
      <c r="AE47" s="36">
        <v>0.5802978787154135</v>
      </c>
      <c r="AF47" s="36">
        <v>0.60294220157622624</v>
      </c>
      <c r="AG47" s="36">
        <v>0.60275925175776124</v>
      </c>
      <c r="AH47" s="36">
        <v>0.60290662207076406</v>
      </c>
      <c r="BH47" s="12">
        <f t="shared" si="2"/>
        <v>0</v>
      </c>
      <c r="BI47" s="12">
        <f t="shared" si="3"/>
        <v>0</v>
      </c>
      <c r="BJ47" s="12">
        <f t="shared" si="4"/>
        <v>0</v>
      </c>
      <c r="BK47" s="12">
        <f t="shared" si="5"/>
        <v>0</v>
      </c>
      <c r="BL47" s="12">
        <f t="shared" si="6"/>
        <v>0</v>
      </c>
      <c r="BM47" s="12">
        <f t="shared" si="7"/>
        <v>0</v>
      </c>
      <c r="BN47" s="12">
        <f t="shared" si="8"/>
        <v>0</v>
      </c>
      <c r="BO47" s="12">
        <f t="shared" si="9"/>
        <v>0</v>
      </c>
      <c r="BP47" s="12">
        <f t="shared" si="10"/>
        <v>0</v>
      </c>
      <c r="BQ47" s="12">
        <f t="shared" si="11"/>
        <v>0</v>
      </c>
      <c r="BR47" s="12">
        <f t="shared" si="44"/>
        <v>0</v>
      </c>
      <c r="BS47" s="12">
        <f t="shared" si="45"/>
        <v>0</v>
      </c>
      <c r="BU47" s="11">
        <f t="shared" si="46"/>
        <v>0</v>
      </c>
      <c r="BV47" s="11">
        <f t="shared" si="47"/>
        <v>0</v>
      </c>
      <c r="BW47" s="11">
        <f t="shared" si="48"/>
        <v>0</v>
      </c>
      <c r="BX47" s="11">
        <f t="shared" si="49"/>
        <v>0</v>
      </c>
      <c r="BY47" s="11">
        <f t="shared" si="50"/>
        <v>0</v>
      </c>
      <c r="BZ47" s="11">
        <f t="shared" si="51"/>
        <v>0</v>
      </c>
      <c r="CA47" s="11">
        <f t="shared" si="52"/>
        <v>0</v>
      </c>
      <c r="CB47" s="11">
        <f t="shared" si="53"/>
        <v>0</v>
      </c>
      <c r="CC47" s="11">
        <f t="shared" si="54"/>
        <v>0</v>
      </c>
      <c r="CD47" s="11">
        <f t="shared" si="55"/>
        <v>0</v>
      </c>
      <c r="CE47" s="11">
        <f t="shared" si="56"/>
        <v>0</v>
      </c>
      <c r="CF47" s="11">
        <f t="shared" si="57"/>
        <v>0</v>
      </c>
      <c r="CG47" s="11"/>
      <c r="CH47" s="41">
        <v>1</v>
      </c>
      <c r="CJ47" s="54">
        <f t="shared" si="58"/>
        <v>0</v>
      </c>
      <c r="CK47" s="54">
        <f t="shared" si="59"/>
        <v>0</v>
      </c>
      <c r="CL47" s="54">
        <f t="shared" si="60"/>
        <v>0</v>
      </c>
      <c r="CM47" s="54">
        <f t="shared" si="61"/>
        <v>0</v>
      </c>
      <c r="CN47" s="54">
        <f t="shared" si="62"/>
        <v>0</v>
      </c>
      <c r="CO47" s="54">
        <f t="shared" si="63"/>
        <v>0</v>
      </c>
      <c r="CP47" s="54">
        <f t="shared" si="64"/>
        <v>0</v>
      </c>
      <c r="CQ47" s="54">
        <f t="shared" si="65"/>
        <v>0</v>
      </c>
      <c r="CR47" s="54">
        <f t="shared" si="66"/>
        <v>0</v>
      </c>
      <c r="CS47" s="54">
        <f t="shared" si="67"/>
        <v>0</v>
      </c>
      <c r="CT47" s="54">
        <f t="shared" si="68"/>
        <v>0</v>
      </c>
      <c r="CU47" s="54">
        <f t="shared" si="69"/>
        <v>0</v>
      </c>
      <c r="CV47" s="52">
        <f t="shared" si="43"/>
        <v>0</v>
      </c>
    </row>
    <row r="48" spans="1:100" ht="15.75" x14ac:dyDescent="0.25">
      <c r="A48" s="86"/>
      <c r="B48" s="17"/>
      <c r="C48" s="17"/>
      <c r="D48" s="17"/>
      <c r="E48" s="17"/>
      <c r="F48" s="31" t="s">
        <v>3645</v>
      </c>
      <c r="G48" s="76"/>
      <c r="H48" s="76"/>
      <c r="I48" s="76"/>
      <c r="J48" s="76"/>
      <c r="K48" s="76"/>
      <c r="L48" s="76"/>
      <c r="M48" s="76"/>
      <c r="N48" s="76"/>
      <c r="O48" s="76"/>
      <c r="P48" s="76"/>
      <c r="Q48" s="76"/>
      <c r="R48" s="76"/>
      <c r="S48" s="11">
        <f t="shared" si="1"/>
        <v>0</v>
      </c>
      <c r="V48" s="46">
        <f t="shared" si="18"/>
        <v>0</v>
      </c>
      <c r="W48" s="36">
        <v>1.85</v>
      </c>
      <c r="X48" s="36">
        <v>1.85</v>
      </c>
      <c r="Y48" s="36">
        <v>1.8499999999999996</v>
      </c>
      <c r="Z48" s="36">
        <v>1.8500000000000003</v>
      </c>
      <c r="AA48" s="36">
        <v>1.8499999999999992</v>
      </c>
      <c r="AB48" s="36">
        <v>1.8499999999999992</v>
      </c>
      <c r="AC48" s="36">
        <v>1.8499999999999999</v>
      </c>
      <c r="AD48" s="36">
        <v>1.85</v>
      </c>
      <c r="AE48" s="36">
        <v>0</v>
      </c>
      <c r="AF48" s="36">
        <v>1.849999999999999</v>
      </c>
      <c r="AG48" s="36">
        <v>1.8499999999999999</v>
      </c>
      <c r="AH48" s="36">
        <v>0</v>
      </c>
      <c r="BH48" s="12">
        <f t="shared" si="2"/>
        <v>0</v>
      </c>
      <c r="BI48" s="12">
        <f t="shared" si="3"/>
        <v>0</v>
      </c>
      <c r="BJ48" s="12">
        <f t="shared" si="4"/>
        <v>0</v>
      </c>
      <c r="BK48" s="12">
        <f t="shared" si="5"/>
        <v>0</v>
      </c>
      <c r="BL48" s="12">
        <f t="shared" si="6"/>
        <v>0</v>
      </c>
      <c r="BM48" s="12">
        <f t="shared" si="7"/>
        <v>0</v>
      </c>
      <c r="BN48" s="12">
        <f t="shared" si="8"/>
        <v>0</v>
      </c>
      <c r="BO48" s="12">
        <f t="shared" si="9"/>
        <v>0</v>
      </c>
      <c r="BP48" s="12">
        <f t="shared" si="10"/>
        <v>0</v>
      </c>
      <c r="BQ48" s="12">
        <f t="shared" si="11"/>
        <v>0</v>
      </c>
      <c r="BR48" s="12">
        <f t="shared" si="44"/>
        <v>0</v>
      </c>
      <c r="BS48" s="12">
        <f t="shared" si="45"/>
        <v>0</v>
      </c>
      <c r="BU48" s="11">
        <f t="shared" si="46"/>
        <v>0</v>
      </c>
      <c r="BV48" s="11">
        <f t="shared" si="47"/>
        <v>0</v>
      </c>
      <c r="BW48" s="11">
        <f t="shared" si="48"/>
        <v>0</v>
      </c>
      <c r="BX48" s="11">
        <f t="shared" si="49"/>
        <v>0</v>
      </c>
      <c r="BY48" s="11">
        <f t="shared" si="50"/>
        <v>0</v>
      </c>
      <c r="BZ48" s="11">
        <f t="shared" si="51"/>
        <v>0</v>
      </c>
      <c r="CA48" s="11">
        <f t="shared" si="52"/>
        <v>0</v>
      </c>
      <c r="CB48" s="11">
        <f t="shared" si="53"/>
        <v>0</v>
      </c>
      <c r="CC48" s="11">
        <f t="shared" si="54"/>
        <v>0</v>
      </c>
      <c r="CD48" s="11">
        <f t="shared" si="55"/>
        <v>0</v>
      </c>
      <c r="CE48" s="11">
        <f t="shared" si="56"/>
        <v>0</v>
      </c>
      <c r="CF48" s="11">
        <f t="shared" si="57"/>
        <v>0</v>
      </c>
      <c r="CG48" s="11"/>
      <c r="CH48" s="41">
        <v>1</v>
      </c>
      <c r="CJ48" s="54">
        <f t="shared" si="58"/>
        <v>0</v>
      </c>
      <c r="CK48" s="54">
        <f t="shared" si="59"/>
        <v>0</v>
      </c>
      <c r="CL48" s="54">
        <f t="shared" si="60"/>
        <v>0</v>
      </c>
      <c r="CM48" s="54">
        <f t="shared" si="61"/>
        <v>0</v>
      </c>
      <c r="CN48" s="54">
        <f t="shared" si="62"/>
        <v>0</v>
      </c>
      <c r="CO48" s="54">
        <f t="shared" si="63"/>
        <v>0</v>
      </c>
      <c r="CP48" s="54">
        <f t="shared" si="64"/>
        <v>0</v>
      </c>
      <c r="CQ48" s="54">
        <f t="shared" si="65"/>
        <v>0</v>
      </c>
      <c r="CR48" s="54">
        <f t="shared" si="66"/>
        <v>0</v>
      </c>
      <c r="CS48" s="54">
        <f t="shared" si="67"/>
        <v>0</v>
      </c>
      <c r="CT48" s="54">
        <f t="shared" si="68"/>
        <v>0</v>
      </c>
      <c r="CU48" s="54">
        <f t="shared" si="69"/>
        <v>0</v>
      </c>
      <c r="CV48" s="52">
        <f t="shared" si="43"/>
        <v>0</v>
      </c>
    </row>
    <row r="49" spans="1:100" ht="15.75" x14ac:dyDescent="0.25">
      <c r="A49" s="86"/>
      <c r="B49" s="17"/>
      <c r="C49" s="17"/>
      <c r="D49" s="17"/>
      <c r="E49" s="17"/>
      <c r="F49" s="31" t="s">
        <v>3645</v>
      </c>
      <c r="G49" s="76"/>
      <c r="H49" s="76"/>
      <c r="I49" s="76"/>
      <c r="J49" s="76"/>
      <c r="K49" s="76"/>
      <c r="L49" s="76"/>
      <c r="M49" s="76"/>
      <c r="N49" s="76"/>
      <c r="O49" s="76"/>
      <c r="P49" s="76"/>
      <c r="Q49" s="76"/>
      <c r="R49" s="76"/>
      <c r="S49" s="11">
        <f t="shared" si="1"/>
        <v>0</v>
      </c>
      <c r="V49" s="46">
        <f t="shared" si="18"/>
        <v>0</v>
      </c>
      <c r="W49" s="36">
        <v>0</v>
      </c>
      <c r="X49" s="36"/>
      <c r="Y49" s="36"/>
      <c r="Z49" s="36"/>
      <c r="AA49" s="36"/>
      <c r="AB49" s="36"/>
      <c r="AC49" s="36"/>
      <c r="AD49" s="36"/>
      <c r="AE49" s="36"/>
      <c r="AF49" s="36"/>
      <c r="AG49" s="36"/>
      <c r="AH49" s="36"/>
      <c r="BH49" s="12">
        <f t="shared" si="2"/>
        <v>0</v>
      </c>
      <c r="BI49" s="12">
        <f t="shared" si="3"/>
        <v>0</v>
      </c>
      <c r="BJ49" s="12">
        <f t="shared" si="4"/>
        <v>0</v>
      </c>
      <c r="BK49" s="12">
        <f t="shared" si="5"/>
        <v>0</v>
      </c>
      <c r="BL49" s="12">
        <f t="shared" si="6"/>
        <v>0</v>
      </c>
      <c r="BM49" s="12">
        <f t="shared" si="7"/>
        <v>0</v>
      </c>
      <c r="BN49" s="12">
        <f t="shared" si="8"/>
        <v>0</v>
      </c>
      <c r="BO49" s="12">
        <f t="shared" si="9"/>
        <v>0</v>
      </c>
      <c r="BP49" s="12">
        <f t="shared" si="10"/>
        <v>0</v>
      </c>
      <c r="BQ49" s="12">
        <f t="shared" si="11"/>
        <v>0</v>
      </c>
      <c r="BR49" s="12">
        <f t="shared" si="44"/>
        <v>0</v>
      </c>
      <c r="BS49" s="12">
        <f t="shared" si="45"/>
        <v>0</v>
      </c>
      <c r="BU49" s="11">
        <f t="shared" si="46"/>
        <v>0</v>
      </c>
      <c r="BV49" s="11">
        <f t="shared" si="47"/>
        <v>0</v>
      </c>
      <c r="BW49" s="11">
        <f t="shared" si="48"/>
        <v>0</v>
      </c>
      <c r="BX49" s="11">
        <f t="shared" si="49"/>
        <v>0</v>
      </c>
      <c r="BY49" s="11">
        <f t="shared" si="50"/>
        <v>0</v>
      </c>
      <c r="BZ49" s="11">
        <f t="shared" si="51"/>
        <v>0</v>
      </c>
      <c r="CA49" s="11">
        <f t="shared" si="52"/>
        <v>0</v>
      </c>
      <c r="CB49" s="11">
        <f t="shared" si="53"/>
        <v>0</v>
      </c>
      <c r="CC49" s="11">
        <f t="shared" si="54"/>
        <v>0</v>
      </c>
      <c r="CD49" s="11">
        <f t="shared" si="55"/>
        <v>0</v>
      </c>
      <c r="CE49" s="11">
        <f t="shared" si="56"/>
        <v>0</v>
      </c>
      <c r="CF49" s="11">
        <f t="shared" si="57"/>
        <v>0</v>
      </c>
      <c r="CG49" s="11"/>
      <c r="CH49" s="41">
        <v>1</v>
      </c>
      <c r="CJ49" s="54">
        <f t="shared" si="58"/>
        <v>0</v>
      </c>
      <c r="CK49" s="54">
        <f t="shared" si="59"/>
        <v>0</v>
      </c>
      <c r="CL49" s="54">
        <f t="shared" si="60"/>
        <v>0</v>
      </c>
      <c r="CM49" s="54">
        <f t="shared" si="61"/>
        <v>0</v>
      </c>
      <c r="CN49" s="54">
        <f t="shared" si="62"/>
        <v>0</v>
      </c>
      <c r="CO49" s="54">
        <f t="shared" si="63"/>
        <v>0</v>
      </c>
      <c r="CP49" s="54">
        <f t="shared" si="64"/>
        <v>0</v>
      </c>
      <c r="CQ49" s="54">
        <f t="shared" si="65"/>
        <v>0</v>
      </c>
      <c r="CR49" s="54">
        <f t="shared" si="66"/>
        <v>0</v>
      </c>
      <c r="CS49" s="54">
        <f t="shared" si="67"/>
        <v>0</v>
      </c>
      <c r="CT49" s="54">
        <f t="shared" si="68"/>
        <v>0</v>
      </c>
      <c r="CU49" s="54">
        <f t="shared" si="69"/>
        <v>0</v>
      </c>
      <c r="CV49" s="52">
        <f t="shared" si="43"/>
        <v>0</v>
      </c>
    </row>
    <row r="50" spans="1:100" ht="15.75" x14ac:dyDescent="0.25">
      <c r="A50" s="86"/>
      <c r="B50" s="17"/>
      <c r="C50" s="17"/>
      <c r="D50" s="17"/>
      <c r="E50" s="17"/>
      <c r="F50" s="31" t="s">
        <v>3645</v>
      </c>
      <c r="G50" s="76"/>
      <c r="H50" s="76"/>
      <c r="I50" s="76"/>
      <c r="J50" s="76"/>
      <c r="K50" s="76"/>
      <c r="L50" s="76"/>
      <c r="M50" s="76"/>
      <c r="N50" s="76"/>
      <c r="O50" s="76"/>
      <c r="P50" s="76"/>
      <c r="Q50" s="76"/>
      <c r="R50" s="76"/>
      <c r="S50" s="11">
        <f t="shared" si="1"/>
        <v>0</v>
      </c>
      <c r="V50" s="46">
        <f t="shared" si="18"/>
        <v>0</v>
      </c>
      <c r="W50" s="36">
        <v>0</v>
      </c>
      <c r="X50" s="36"/>
      <c r="Y50" s="36"/>
      <c r="Z50" s="36"/>
      <c r="AA50" s="36"/>
      <c r="AB50" s="36"/>
      <c r="AC50" s="36"/>
      <c r="AD50" s="36"/>
      <c r="AE50" s="36"/>
      <c r="AF50" s="36"/>
      <c r="AG50" s="36"/>
      <c r="AH50" s="36"/>
      <c r="BH50" s="12">
        <f t="shared" si="2"/>
        <v>0</v>
      </c>
      <c r="BI50" s="12">
        <f t="shared" si="3"/>
        <v>0</v>
      </c>
      <c r="BJ50" s="12">
        <f t="shared" si="4"/>
        <v>0</v>
      </c>
      <c r="BK50" s="12">
        <f t="shared" si="5"/>
        <v>0</v>
      </c>
      <c r="BL50" s="12">
        <f t="shared" si="6"/>
        <v>0</v>
      </c>
      <c r="BM50" s="12">
        <f t="shared" si="7"/>
        <v>0</v>
      </c>
      <c r="BN50" s="12">
        <f t="shared" si="8"/>
        <v>0</v>
      </c>
      <c r="BO50" s="12">
        <f t="shared" si="9"/>
        <v>0</v>
      </c>
      <c r="BP50" s="12">
        <f t="shared" si="10"/>
        <v>0</v>
      </c>
      <c r="BQ50" s="12">
        <f t="shared" si="11"/>
        <v>0</v>
      </c>
      <c r="BR50" s="12">
        <f t="shared" si="44"/>
        <v>0</v>
      </c>
      <c r="BS50" s="12">
        <f t="shared" si="45"/>
        <v>0</v>
      </c>
      <c r="BU50" s="11">
        <f t="shared" si="46"/>
        <v>0</v>
      </c>
      <c r="BV50" s="11">
        <f t="shared" si="47"/>
        <v>0</v>
      </c>
      <c r="BW50" s="11">
        <f t="shared" si="48"/>
        <v>0</v>
      </c>
      <c r="BX50" s="11">
        <f t="shared" si="49"/>
        <v>0</v>
      </c>
      <c r="BY50" s="11">
        <f t="shared" si="50"/>
        <v>0</v>
      </c>
      <c r="BZ50" s="11">
        <f t="shared" si="51"/>
        <v>0</v>
      </c>
      <c r="CA50" s="11">
        <f t="shared" si="52"/>
        <v>0</v>
      </c>
      <c r="CB50" s="11">
        <f t="shared" si="53"/>
        <v>0</v>
      </c>
      <c r="CC50" s="11">
        <f t="shared" si="54"/>
        <v>0</v>
      </c>
      <c r="CD50" s="11">
        <f t="shared" si="55"/>
        <v>0</v>
      </c>
      <c r="CE50" s="11">
        <f t="shared" si="56"/>
        <v>0</v>
      </c>
      <c r="CF50" s="11">
        <f t="shared" si="57"/>
        <v>0</v>
      </c>
      <c r="CG50" s="11"/>
      <c r="CH50" s="41">
        <v>1</v>
      </c>
      <c r="CJ50" s="54">
        <f t="shared" si="58"/>
        <v>0</v>
      </c>
      <c r="CK50" s="54">
        <f t="shared" si="59"/>
        <v>0</v>
      </c>
      <c r="CL50" s="54">
        <f t="shared" si="60"/>
        <v>0</v>
      </c>
      <c r="CM50" s="54">
        <f t="shared" si="61"/>
        <v>0</v>
      </c>
      <c r="CN50" s="54">
        <f t="shared" si="62"/>
        <v>0</v>
      </c>
      <c r="CO50" s="54">
        <f t="shared" si="63"/>
        <v>0</v>
      </c>
      <c r="CP50" s="54">
        <f t="shared" si="64"/>
        <v>0</v>
      </c>
      <c r="CQ50" s="54">
        <f t="shared" si="65"/>
        <v>0</v>
      </c>
      <c r="CR50" s="54">
        <f t="shared" si="66"/>
        <v>0</v>
      </c>
      <c r="CS50" s="54">
        <f t="shared" si="67"/>
        <v>0</v>
      </c>
      <c r="CT50" s="54">
        <f t="shared" si="68"/>
        <v>0</v>
      </c>
      <c r="CU50" s="54">
        <f t="shared" si="69"/>
        <v>0</v>
      </c>
      <c r="CV50" s="52">
        <f t="shared" si="43"/>
        <v>0</v>
      </c>
    </row>
    <row r="51" spans="1:100" ht="15.75" x14ac:dyDescent="0.25">
      <c r="A51" s="86"/>
      <c r="B51" s="17"/>
      <c r="C51" s="17"/>
      <c r="D51" s="17"/>
      <c r="E51" s="17"/>
      <c r="F51" s="31" t="s">
        <v>3645</v>
      </c>
      <c r="G51" s="76"/>
      <c r="H51" s="76"/>
      <c r="I51" s="76"/>
      <c r="J51" s="76"/>
      <c r="K51" s="76"/>
      <c r="L51" s="76"/>
      <c r="M51" s="76"/>
      <c r="N51" s="76"/>
      <c r="O51" s="76"/>
      <c r="P51" s="76"/>
      <c r="Q51" s="76"/>
      <c r="R51" s="76"/>
      <c r="S51" s="11">
        <f t="shared" si="1"/>
        <v>0</v>
      </c>
      <c r="V51" s="46">
        <f t="shared" si="18"/>
        <v>0</v>
      </c>
      <c r="W51" s="36">
        <v>0.32539138669159401</v>
      </c>
      <c r="X51" s="36">
        <v>0.32544702748534821</v>
      </c>
      <c r="Y51" s="36">
        <v>0.32573788505793172</v>
      </c>
      <c r="Z51" s="36">
        <v>0.32233304499602744</v>
      </c>
      <c r="AA51" s="36">
        <v>0.32492139892361621</v>
      </c>
      <c r="AB51" s="36">
        <v>0.32365611129589067</v>
      </c>
      <c r="AC51" s="36">
        <v>0.31952123985247649</v>
      </c>
      <c r="AD51" s="36">
        <v>0.32054813173073876</v>
      </c>
      <c r="AE51" s="36">
        <v>0</v>
      </c>
      <c r="AF51" s="36">
        <v>0</v>
      </c>
      <c r="AG51" s="36">
        <v>0</v>
      </c>
      <c r="AH51" s="36">
        <v>0</v>
      </c>
      <c r="BH51" s="12">
        <f t="shared" si="2"/>
        <v>0</v>
      </c>
      <c r="BI51" s="12">
        <f t="shared" si="3"/>
        <v>0</v>
      </c>
      <c r="BJ51" s="12">
        <f t="shared" si="4"/>
        <v>0</v>
      </c>
      <c r="BK51" s="12">
        <f t="shared" si="5"/>
        <v>0</v>
      </c>
      <c r="BL51" s="12">
        <f t="shared" si="6"/>
        <v>0</v>
      </c>
      <c r="BM51" s="12">
        <f t="shared" si="7"/>
        <v>0</v>
      </c>
      <c r="BN51" s="12">
        <f t="shared" si="8"/>
        <v>0</v>
      </c>
      <c r="BO51" s="12">
        <f t="shared" si="9"/>
        <v>0</v>
      </c>
      <c r="BP51" s="12">
        <f t="shared" si="10"/>
        <v>0</v>
      </c>
      <c r="BQ51" s="12">
        <f t="shared" si="11"/>
        <v>0</v>
      </c>
      <c r="BR51" s="12">
        <f t="shared" si="44"/>
        <v>0</v>
      </c>
      <c r="BS51" s="12">
        <f t="shared" si="45"/>
        <v>0</v>
      </c>
      <c r="BU51" s="11">
        <f t="shared" si="46"/>
        <v>0</v>
      </c>
      <c r="BV51" s="11">
        <f t="shared" si="47"/>
        <v>0</v>
      </c>
      <c r="BW51" s="11">
        <f t="shared" si="48"/>
        <v>0</v>
      </c>
      <c r="BX51" s="11">
        <f t="shared" si="49"/>
        <v>0</v>
      </c>
      <c r="BY51" s="11">
        <f t="shared" si="50"/>
        <v>0</v>
      </c>
      <c r="BZ51" s="11">
        <f t="shared" si="51"/>
        <v>0</v>
      </c>
      <c r="CA51" s="11">
        <f t="shared" si="52"/>
        <v>0</v>
      </c>
      <c r="CB51" s="11">
        <f t="shared" si="53"/>
        <v>0</v>
      </c>
      <c r="CC51" s="11">
        <f t="shared" si="54"/>
        <v>0</v>
      </c>
      <c r="CD51" s="11">
        <f t="shared" si="55"/>
        <v>0</v>
      </c>
      <c r="CE51" s="11">
        <f t="shared" si="56"/>
        <v>0</v>
      </c>
      <c r="CF51" s="11">
        <f t="shared" si="57"/>
        <v>0</v>
      </c>
      <c r="CG51" s="11"/>
      <c r="CH51" s="41">
        <v>1</v>
      </c>
      <c r="CJ51" s="54">
        <f t="shared" si="58"/>
        <v>0</v>
      </c>
      <c r="CK51" s="54">
        <f t="shared" si="59"/>
        <v>0</v>
      </c>
      <c r="CL51" s="54">
        <f t="shared" si="60"/>
        <v>0</v>
      </c>
      <c r="CM51" s="54">
        <f t="shared" si="61"/>
        <v>0</v>
      </c>
      <c r="CN51" s="54">
        <f t="shared" si="62"/>
        <v>0</v>
      </c>
      <c r="CO51" s="54">
        <f t="shared" si="63"/>
        <v>0</v>
      </c>
      <c r="CP51" s="54">
        <f t="shared" si="64"/>
        <v>0</v>
      </c>
      <c r="CQ51" s="54">
        <f t="shared" si="65"/>
        <v>0</v>
      </c>
      <c r="CR51" s="54">
        <f t="shared" si="66"/>
        <v>0</v>
      </c>
      <c r="CS51" s="54">
        <f t="shared" si="67"/>
        <v>0</v>
      </c>
      <c r="CT51" s="54">
        <f t="shared" si="68"/>
        <v>0</v>
      </c>
      <c r="CU51" s="54">
        <f t="shared" si="69"/>
        <v>0</v>
      </c>
      <c r="CV51" s="52">
        <f t="shared" si="43"/>
        <v>0</v>
      </c>
    </row>
    <row r="52" spans="1:100" ht="15.75" x14ac:dyDescent="0.25">
      <c r="A52" s="86"/>
      <c r="B52" s="17"/>
      <c r="C52" s="17"/>
      <c r="D52" s="17"/>
      <c r="E52" s="17"/>
      <c r="F52" s="31" t="s">
        <v>3645</v>
      </c>
      <c r="G52" s="76"/>
      <c r="H52" s="76"/>
      <c r="I52" s="76"/>
      <c r="J52" s="76"/>
      <c r="K52" s="76"/>
      <c r="L52" s="76"/>
      <c r="M52" s="76"/>
      <c r="N52" s="76"/>
      <c r="O52" s="76"/>
      <c r="P52" s="76"/>
      <c r="Q52" s="76"/>
      <c r="R52" s="76"/>
      <c r="S52" s="11">
        <f t="shared" si="1"/>
        <v>0</v>
      </c>
      <c r="V52" s="46">
        <f t="shared" si="18"/>
        <v>0</v>
      </c>
      <c r="W52" s="36">
        <v>0.36985958380090583</v>
      </c>
      <c r="X52" s="36">
        <v>0.36975370664577112</v>
      </c>
      <c r="Y52" s="36">
        <v>0.37004486410392307</v>
      </c>
      <c r="Z52" s="36">
        <v>0.36545863081274449</v>
      </c>
      <c r="AA52" s="36">
        <v>0.36930622762610171</v>
      </c>
      <c r="AB52" s="36">
        <v>0.36737436783323218</v>
      </c>
      <c r="AC52" s="36">
        <v>0</v>
      </c>
      <c r="AD52" s="36">
        <v>0</v>
      </c>
      <c r="AE52" s="36">
        <v>0</v>
      </c>
      <c r="AF52" s="36">
        <v>0.38144012366324553</v>
      </c>
      <c r="AG52" s="36">
        <v>0.38152845933695118</v>
      </c>
      <c r="AH52" s="36">
        <v>0.38155685026255648</v>
      </c>
      <c r="BH52" s="12">
        <f t="shared" si="2"/>
        <v>0</v>
      </c>
      <c r="BI52" s="12">
        <f t="shared" si="3"/>
        <v>0</v>
      </c>
      <c r="BJ52" s="12">
        <f t="shared" si="4"/>
        <v>0</v>
      </c>
      <c r="BK52" s="12">
        <f t="shared" si="5"/>
        <v>0</v>
      </c>
      <c r="BL52" s="12">
        <f t="shared" si="6"/>
        <v>0</v>
      </c>
      <c r="BM52" s="12">
        <f t="shared" si="7"/>
        <v>0</v>
      </c>
      <c r="BN52" s="12">
        <f t="shared" si="8"/>
        <v>0</v>
      </c>
      <c r="BO52" s="12">
        <f t="shared" si="9"/>
        <v>0</v>
      </c>
      <c r="BP52" s="12">
        <f t="shared" si="10"/>
        <v>0</v>
      </c>
      <c r="BQ52" s="12">
        <f t="shared" si="11"/>
        <v>0</v>
      </c>
      <c r="BR52" s="12">
        <f t="shared" si="44"/>
        <v>0</v>
      </c>
      <c r="BS52" s="12">
        <f t="shared" si="45"/>
        <v>0</v>
      </c>
      <c r="BU52" s="11">
        <f t="shared" si="46"/>
        <v>0</v>
      </c>
      <c r="BV52" s="11">
        <f t="shared" si="47"/>
        <v>0</v>
      </c>
      <c r="BW52" s="11">
        <f t="shared" si="48"/>
        <v>0</v>
      </c>
      <c r="BX52" s="11">
        <f t="shared" si="49"/>
        <v>0</v>
      </c>
      <c r="BY52" s="11">
        <f t="shared" si="50"/>
        <v>0</v>
      </c>
      <c r="BZ52" s="11">
        <f t="shared" si="51"/>
        <v>0</v>
      </c>
      <c r="CA52" s="11">
        <f t="shared" si="52"/>
        <v>0</v>
      </c>
      <c r="CB52" s="11">
        <f t="shared" si="53"/>
        <v>0</v>
      </c>
      <c r="CC52" s="11">
        <f t="shared" si="54"/>
        <v>0</v>
      </c>
      <c r="CD52" s="11">
        <f t="shared" si="55"/>
        <v>0</v>
      </c>
      <c r="CE52" s="11">
        <f t="shared" si="56"/>
        <v>0</v>
      </c>
      <c r="CF52" s="11">
        <f t="shared" si="57"/>
        <v>0</v>
      </c>
      <c r="CG52" s="11"/>
      <c r="CH52" s="41">
        <v>1</v>
      </c>
      <c r="CJ52" s="54">
        <f t="shared" si="58"/>
        <v>0</v>
      </c>
      <c r="CK52" s="54">
        <f t="shared" si="59"/>
        <v>0</v>
      </c>
      <c r="CL52" s="54">
        <f t="shared" si="60"/>
        <v>0</v>
      </c>
      <c r="CM52" s="54">
        <f t="shared" si="61"/>
        <v>0</v>
      </c>
      <c r="CN52" s="54">
        <f t="shared" si="62"/>
        <v>0</v>
      </c>
      <c r="CO52" s="54">
        <f t="shared" si="63"/>
        <v>0</v>
      </c>
      <c r="CP52" s="54">
        <f t="shared" si="64"/>
        <v>0</v>
      </c>
      <c r="CQ52" s="54">
        <f t="shared" si="65"/>
        <v>0</v>
      </c>
      <c r="CR52" s="54">
        <f t="shared" si="66"/>
        <v>0</v>
      </c>
      <c r="CS52" s="54">
        <f t="shared" si="67"/>
        <v>0</v>
      </c>
      <c r="CT52" s="54">
        <f t="shared" si="68"/>
        <v>0</v>
      </c>
      <c r="CU52" s="54">
        <f t="shared" si="69"/>
        <v>0</v>
      </c>
      <c r="CV52" s="52">
        <f t="shared" si="43"/>
        <v>0</v>
      </c>
    </row>
    <row r="53" spans="1:100" ht="15.75" x14ac:dyDescent="0.25">
      <c r="A53" s="86"/>
      <c r="B53" s="17"/>
      <c r="C53" s="17"/>
      <c r="D53" s="17"/>
      <c r="E53" s="17"/>
      <c r="F53" s="31" t="s">
        <v>3645</v>
      </c>
      <c r="G53" s="76"/>
      <c r="H53" s="76"/>
      <c r="I53" s="76"/>
      <c r="J53" s="76"/>
      <c r="K53" s="76"/>
      <c r="L53" s="76"/>
      <c r="M53" s="76"/>
      <c r="N53" s="76"/>
      <c r="O53" s="76"/>
      <c r="P53" s="76"/>
      <c r="Q53" s="76"/>
      <c r="R53" s="76"/>
      <c r="S53" s="11">
        <f t="shared" si="1"/>
        <v>0</v>
      </c>
      <c r="V53" s="46">
        <f t="shared" si="18"/>
        <v>0</v>
      </c>
      <c r="W53" s="36">
        <v>0.58226387932789936</v>
      </c>
      <c r="X53" s="36">
        <v>0.58166392851583704</v>
      </c>
      <c r="Y53" s="36">
        <v>0.58242875412949435</v>
      </c>
      <c r="Z53" s="36">
        <v>0.57604240067691703</v>
      </c>
      <c r="AA53" s="36">
        <v>0.5799852751072252</v>
      </c>
      <c r="AB53" s="36">
        <v>0.57817353449132747</v>
      </c>
      <c r="AC53" s="36">
        <v>0.57164627420667047</v>
      </c>
      <c r="AD53" s="36">
        <v>0.57435648966827746</v>
      </c>
      <c r="AE53" s="36">
        <v>0.57740433892641463</v>
      </c>
      <c r="AF53" s="36">
        <v>0.59982160375099303</v>
      </c>
      <c r="AG53" s="36">
        <v>0.59997819200905256</v>
      </c>
      <c r="AH53" s="36">
        <v>0.59986117948362805</v>
      </c>
      <c r="BH53" s="12">
        <f t="shared" si="2"/>
        <v>0</v>
      </c>
      <c r="BI53" s="12">
        <f t="shared" si="3"/>
        <v>0</v>
      </c>
      <c r="BJ53" s="12">
        <f t="shared" si="4"/>
        <v>0</v>
      </c>
      <c r="BK53" s="12">
        <f t="shared" si="5"/>
        <v>0</v>
      </c>
      <c r="BL53" s="12">
        <f t="shared" si="6"/>
        <v>0</v>
      </c>
      <c r="BM53" s="12">
        <f t="shared" si="7"/>
        <v>0</v>
      </c>
      <c r="BN53" s="12">
        <f t="shared" si="8"/>
        <v>0</v>
      </c>
      <c r="BO53" s="12">
        <f t="shared" si="9"/>
        <v>0</v>
      </c>
      <c r="BP53" s="12">
        <f t="shared" si="10"/>
        <v>0</v>
      </c>
      <c r="BQ53" s="12">
        <f t="shared" si="11"/>
        <v>0</v>
      </c>
      <c r="BR53" s="12">
        <f t="shared" si="44"/>
        <v>0</v>
      </c>
      <c r="BS53" s="12">
        <f t="shared" si="45"/>
        <v>0</v>
      </c>
      <c r="BU53" s="11">
        <f t="shared" si="46"/>
        <v>0</v>
      </c>
      <c r="BV53" s="11">
        <f t="shared" si="47"/>
        <v>0</v>
      </c>
      <c r="BW53" s="11">
        <f t="shared" si="48"/>
        <v>0</v>
      </c>
      <c r="BX53" s="11">
        <f t="shared" si="49"/>
        <v>0</v>
      </c>
      <c r="BY53" s="11">
        <f t="shared" si="50"/>
        <v>0</v>
      </c>
      <c r="BZ53" s="11">
        <f t="shared" si="51"/>
        <v>0</v>
      </c>
      <c r="CA53" s="11">
        <f t="shared" si="52"/>
        <v>0</v>
      </c>
      <c r="CB53" s="11">
        <f t="shared" si="53"/>
        <v>0</v>
      </c>
      <c r="CC53" s="11">
        <f t="shared" si="54"/>
        <v>0</v>
      </c>
      <c r="CD53" s="11">
        <f t="shared" si="55"/>
        <v>0</v>
      </c>
      <c r="CE53" s="11">
        <f t="shared" si="56"/>
        <v>0</v>
      </c>
      <c r="CF53" s="11">
        <f t="shared" si="57"/>
        <v>0</v>
      </c>
      <c r="CG53" s="11"/>
      <c r="CH53" s="41">
        <v>1</v>
      </c>
      <c r="CJ53" s="54">
        <f t="shared" si="58"/>
        <v>0</v>
      </c>
      <c r="CK53" s="54">
        <f t="shared" si="59"/>
        <v>0</v>
      </c>
      <c r="CL53" s="54">
        <f t="shared" si="60"/>
        <v>0</v>
      </c>
      <c r="CM53" s="54">
        <f t="shared" si="61"/>
        <v>0</v>
      </c>
      <c r="CN53" s="54">
        <f t="shared" si="62"/>
        <v>0</v>
      </c>
      <c r="CO53" s="54">
        <f t="shared" si="63"/>
        <v>0</v>
      </c>
      <c r="CP53" s="54">
        <f t="shared" si="64"/>
        <v>0</v>
      </c>
      <c r="CQ53" s="54">
        <f t="shared" si="65"/>
        <v>0</v>
      </c>
      <c r="CR53" s="54">
        <f t="shared" si="66"/>
        <v>0</v>
      </c>
      <c r="CS53" s="54">
        <f t="shared" si="67"/>
        <v>0</v>
      </c>
      <c r="CT53" s="54">
        <f t="shared" si="68"/>
        <v>0</v>
      </c>
      <c r="CU53" s="54">
        <f t="shared" si="69"/>
        <v>0</v>
      </c>
      <c r="CV53" s="52">
        <f t="shared" si="43"/>
        <v>0</v>
      </c>
    </row>
    <row r="54" spans="1:100" ht="15.75" x14ac:dyDescent="0.25">
      <c r="A54" s="86"/>
      <c r="B54" s="17"/>
      <c r="C54" s="17"/>
      <c r="D54" s="17"/>
      <c r="E54" s="17"/>
      <c r="F54" s="31" t="s">
        <v>3645</v>
      </c>
      <c r="G54" s="76"/>
      <c r="H54" s="76"/>
      <c r="I54" s="76"/>
      <c r="J54" s="76"/>
      <c r="K54" s="76"/>
      <c r="L54" s="76"/>
      <c r="M54" s="76"/>
      <c r="N54" s="76"/>
      <c r="O54" s="76"/>
      <c r="P54" s="76"/>
      <c r="Q54" s="76"/>
      <c r="R54" s="76"/>
      <c r="S54" s="11">
        <f t="shared" si="1"/>
        <v>0</v>
      </c>
      <c r="V54" s="46">
        <f t="shared" si="18"/>
        <v>0</v>
      </c>
      <c r="W54" s="36">
        <v>0.53609544173937695</v>
      </c>
      <c r="X54" s="36">
        <v>0.53532487798306028</v>
      </c>
      <c r="Y54" s="36">
        <v>0</v>
      </c>
      <c r="Z54" s="36">
        <v>0</v>
      </c>
      <c r="AA54" s="36">
        <v>0</v>
      </c>
      <c r="AB54" s="36">
        <v>0.53247555484538056</v>
      </c>
      <c r="AC54" s="36">
        <v>0.52617234007283487</v>
      </c>
      <c r="AD54" s="36">
        <v>0.52843504752169612</v>
      </c>
      <c r="AE54" s="36">
        <v>0.52827814377624582</v>
      </c>
      <c r="AF54" s="36">
        <v>0.5520158430911325</v>
      </c>
      <c r="AG54" s="36">
        <v>0.55196665231189379</v>
      </c>
      <c r="AH54" s="36">
        <v>0.5530934179106437</v>
      </c>
      <c r="BH54" s="12">
        <f t="shared" si="2"/>
        <v>0</v>
      </c>
      <c r="BI54" s="12">
        <f t="shared" si="3"/>
        <v>0</v>
      </c>
      <c r="BJ54" s="12">
        <f t="shared" si="4"/>
        <v>0</v>
      </c>
      <c r="BK54" s="12">
        <f t="shared" si="5"/>
        <v>0</v>
      </c>
      <c r="BL54" s="12">
        <f t="shared" si="6"/>
        <v>0</v>
      </c>
      <c r="BM54" s="12">
        <f t="shared" si="7"/>
        <v>0</v>
      </c>
      <c r="BN54" s="12">
        <f t="shared" si="8"/>
        <v>0</v>
      </c>
      <c r="BO54" s="12">
        <f t="shared" si="9"/>
        <v>0</v>
      </c>
      <c r="BP54" s="12">
        <f t="shared" si="10"/>
        <v>0</v>
      </c>
      <c r="BQ54" s="12">
        <f t="shared" si="11"/>
        <v>0</v>
      </c>
      <c r="BR54" s="12">
        <f t="shared" si="44"/>
        <v>0</v>
      </c>
      <c r="BS54" s="12">
        <f t="shared" si="45"/>
        <v>0</v>
      </c>
      <c r="BU54" s="11">
        <f t="shared" si="46"/>
        <v>0</v>
      </c>
      <c r="BV54" s="11">
        <f t="shared" si="47"/>
        <v>0</v>
      </c>
      <c r="BW54" s="11">
        <f t="shared" si="48"/>
        <v>0</v>
      </c>
      <c r="BX54" s="11">
        <f t="shared" si="49"/>
        <v>0</v>
      </c>
      <c r="BY54" s="11">
        <f t="shared" si="50"/>
        <v>0</v>
      </c>
      <c r="BZ54" s="11">
        <f t="shared" si="51"/>
        <v>0</v>
      </c>
      <c r="CA54" s="11">
        <f t="shared" si="52"/>
        <v>0</v>
      </c>
      <c r="CB54" s="11">
        <f t="shared" si="53"/>
        <v>0</v>
      </c>
      <c r="CC54" s="11">
        <f t="shared" si="54"/>
        <v>0</v>
      </c>
      <c r="CD54" s="11">
        <f t="shared" si="55"/>
        <v>0</v>
      </c>
      <c r="CE54" s="11">
        <f t="shared" si="56"/>
        <v>0</v>
      </c>
      <c r="CF54" s="11">
        <f t="shared" si="57"/>
        <v>0</v>
      </c>
      <c r="CG54" s="11"/>
      <c r="CH54" s="41">
        <v>1</v>
      </c>
      <c r="CJ54" s="54">
        <f t="shared" si="58"/>
        <v>0</v>
      </c>
      <c r="CK54" s="54">
        <f t="shared" si="59"/>
        <v>0</v>
      </c>
      <c r="CL54" s="54">
        <f t="shared" si="60"/>
        <v>0</v>
      </c>
      <c r="CM54" s="54">
        <f t="shared" si="61"/>
        <v>0</v>
      </c>
      <c r="CN54" s="54">
        <f t="shared" si="62"/>
        <v>0</v>
      </c>
      <c r="CO54" s="54">
        <f t="shared" si="63"/>
        <v>0</v>
      </c>
      <c r="CP54" s="54">
        <f t="shared" si="64"/>
        <v>0</v>
      </c>
      <c r="CQ54" s="54">
        <f t="shared" si="65"/>
        <v>0</v>
      </c>
      <c r="CR54" s="54">
        <f t="shared" si="66"/>
        <v>0</v>
      </c>
      <c r="CS54" s="54">
        <f t="shared" si="67"/>
        <v>0</v>
      </c>
      <c r="CT54" s="54">
        <f t="shared" si="68"/>
        <v>0</v>
      </c>
      <c r="CU54" s="54">
        <f t="shared" si="69"/>
        <v>0</v>
      </c>
      <c r="CV54" s="52">
        <f t="shared" si="43"/>
        <v>0</v>
      </c>
    </row>
    <row r="55" spans="1:100" ht="15.75" x14ac:dyDescent="0.25">
      <c r="A55" s="86"/>
      <c r="B55" s="17"/>
      <c r="C55" s="17"/>
      <c r="D55" s="17"/>
      <c r="E55" s="17"/>
      <c r="F55" s="31" t="s">
        <v>3645</v>
      </c>
      <c r="G55" s="76"/>
      <c r="H55" s="76"/>
      <c r="I55" s="76"/>
      <c r="J55" s="76"/>
      <c r="K55" s="76"/>
      <c r="L55" s="76"/>
      <c r="M55" s="76"/>
      <c r="N55" s="76"/>
      <c r="O55" s="76"/>
      <c r="P55" s="76"/>
      <c r="Q55" s="76"/>
      <c r="R55" s="76"/>
      <c r="S55" s="11">
        <f t="shared" si="1"/>
        <v>0</v>
      </c>
      <c r="V55" s="46">
        <f t="shared" si="18"/>
        <v>0</v>
      </c>
      <c r="W55" s="36">
        <v>0.69313490954706325</v>
      </c>
      <c r="X55" s="36">
        <v>0.69236487553270931</v>
      </c>
      <c r="Y55" s="36">
        <v>0.6935990317643429</v>
      </c>
      <c r="Z55" s="36">
        <v>0.68556511070502157</v>
      </c>
      <c r="AA55" s="36">
        <v>0.69887237570138816</v>
      </c>
      <c r="AB55" s="36">
        <v>0.6884986213622335</v>
      </c>
      <c r="AC55" s="36">
        <v>0.6809128417340774</v>
      </c>
      <c r="AD55" s="36">
        <v>0.69817750777891874</v>
      </c>
      <c r="AE55" s="36">
        <v>0.68802327127885021</v>
      </c>
      <c r="AF55" s="36">
        <v>0.71451621135104071</v>
      </c>
      <c r="AG55" s="36">
        <v>0.71423297254552798</v>
      </c>
      <c r="AH55" s="36">
        <v>0.71443629269276976</v>
      </c>
      <c r="BH55" s="12">
        <f t="shared" si="2"/>
        <v>0</v>
      </c>
      <c r="BI55" s="12">
        <f t="shared" si="3"/>
        <v>0</v>
      </c>
      <c r="BJ55" s="12">
        <f t="shared" si="4"/>
        <v>0</v>
      </c>
      <c r="BK55" s="12">
        <f t="shared" si="5"/>
        <v>0</v>
      </c>
      <c r="BL55" s="12">
        <f t="shared" si="6"/>
        <v>0</v>
      </c>
      <c r="BM55" s="12">
        <f t="shared" si="7"/>
        <v>0</v>
      </c>
      <c r="BN55" s="12">
        <f t="shared" si="8"/>
        <v>0</v>
      </c>
      <c r="BO55" s="12">
        <f t="shared" si="9"/>
        <v>0</v>
      </c>
      <c r="BP55" s="12">
        <f t="shared" si="10"/>
        <v>0</v>
      </c>
      <c r="BQ55" s="12">
        <f t="shared" si="11"/>
        <v>0</v>
      </c>
      <c r="BR55" s="12">
        <f t="shared" si="44"/>
        <v>0</v>
      </c>
      <c r="BS55" s="12">
        <f t="shared" si="45"/>
        <v>0</v>
      </c>
      <c r="BU55" s="11">
        <f t="shared" si="46"/>
        <v>0</v>
      </c>
      <c r="BV55" s="11">
        <f t="shared" si="47"/>
        <v>0</v>
      </c>
      <c r="BW55" s="11">
        <f t="shared" si="48"/>
        <v>0</v>
      </c>
      <c r="BX55" s="11">
        <f t="shared" si="49"/>
        <v>0</v>
      </c>
      <c r="BY55" s="11">
        <f t="shared" si="50"/>
        <v>0</v>
      </c>
      <c r="BZ55" s="11">
        <f t="shared" si="51"/>
        <v>0</v>
      </c>
      <c r="CA55" s="11">
        <f t="shared" si="52"/>
        <v>0</v>
      </c>
      <c r="CB55" s="11">
        <f t="shared" si="53"/>
        <v>0</v>
      </c>
      <c r="CC55" s="11">
        <f t="shared" si="54"/>
        <v>0</v>
      </c>
      <c r="CD55" s="11">
        <f t="shared" si="55"/>
        <v>0</v>
      </c>
      <c r="CE55" s="11">
        <f t="shared" si="56"/>
        <v>0</v>
      </c>
      <c r="CF55" s="11">
        <f t="shared" si="57"/>
        <v>0</v>
      </c>
      <c r="CG55" s="11"/>
      <c r="CH55" s="41">
        <v>1</v>
      </c>
      <c r="CJ55" s="54">
        <f t="shared" si="58"/>
        <v>0</v>
      </c>
      <c r="CK55" s="54">
        <f t="shared" si="59"/>
        <v>0</v>
      </c>
      <c r="CL55" s="54">
        <f t="shared" si="60"/>
        <v>0</v>
      </c>
      <c r="CM55" s="54">
        <f t="shared" si="61"/>
        <v>0</v>
      </c>
      <c r="CN55" s="54">
        <f t="shared" si="62"/>
        <v>0</v>
      </c>
      <c r="CO55" s="54">
        <f t="shared" si="63"/>
        <v>0</v>
      </c>
      <c r="CP55" s="54">
        <f t="shared" si="64"/>
        <v>0</v>
      </c>
      <c r="CQ55" s="54">
        <f t="shared" si="65"/>
        <v>0</v>
      </c>
      <c r="CR55" s="54">
        <f t="shared" si="66"/>
        <v>0</v>
      </c>
      <c r="CS55" s="54">
        <f t="shared" si="67"/>
        <v>0</v>
      </c>
      <c r="CT55" s="54">
        <f t="shared" si="68"/>
        <v>0</v>
      </c>
      <c r="CU55" s="54">
        <f t="shared" si="69"/>
        <v>0</v>
      </c>
      <c r="CV55" s="52">
        <f t="shared" si="43"/>
        <v>0</v>
      </c>
    </row>
    <row r="56" spans="1:100" ht="15.75" x14ac:dyDescent="0.25">
      <c r="A56" s="86"/>
      <c r="B56" s="17"/>
      <c r="C56" s="17"/>
      <c r="D56" s="17"/>
      <c r="E56" s="17"/>
      <c r="F56" s="31" t="s">
        <v>3645</v>
      </c>
      <c r="G56" s="76"/>
      <c r="H56" s="76"/>
      <c r="I56" s="76"/>
      <c r="J56" s="76"/>
      <c r="K56" s="76"/>
      <c r="L56" s="76"/>
      <c r="M56" s="76"/>
      <c r="N56" s="76"/>
      <c r="O56" s="76"/>
      <c r="P56" s="76"/>
      <c r="Q56" s="76"/>
      <c r="R56" s="76"/>
      <c r="S56" s="11">
        <f t="shared" si="1"/>
        <v>0</v>
      </c>
      <c r="V56" s="46">
        <f t="shared" si="18"/>
        <v>0</v>
      </c>
      <c r="W56" s="36">
        <v>0.57727224573690028</v>
      </c>
      <c r="X56" s="36">
        <v>0.57721296486845919</v>
      </c>
      <c r="Y56" s="36">
        <v>0.57799659346041554</v>
      </c>
      <c r="Z56" s="36">
        <v>0.5710276665019357</v>
      </c>
      <c r="AA56" s="36">
        <v>0.57617956456801467</v>
      </c>
      <c r="AB56" s="36">
        <v>0.57332795055971209</v>
      </c>
      <c r="AC56" s="36">
        <v>0.56699238510428407</v>
      </c>
      <c r="AD56" s="36">
        <v>0.56966147825825464</v>
      </c>
      <c r="AE56" s="36">
        <v>0.57286072726083181</v>
      </c>
      <c r="AF56" s="36">
        <v>0.59520905142870584</v>
      </c>
      <c r="AG56" s="36">
        <v>0.59489281064673927</v>
      </c>
      <c r="AH56" s="36">
        <v>0.59510088820767515</v>
      </c>
      <c r="BH56" s="12">
        <f t="shared" si="2"/>
        <v>0</v>
      </c>
      <c r="BI56" s="12">
        <f t="shared" si="3"/>
        <v>0</v>
      </c>
      <c r="BJ56" s="12">
        <f t="shared" si="4"/>
        <v>0</v>
      </c>
      <c r="BK56" s="12">
        <f t="shared" si="5"/>
        <v>0</v>
      </c>
      <c r="BL56" s="12">
        <f t="shared" si="6"/>
        <v>0</v>
      </c>
      <c r="BM56" s="12">
        <f t="shared" si="7"/>
        <v>0</v>
      </c>
      <c r="BN56" s="12">
        <f t="shared" si="8"/>
        <v>0</v>
      </c>
      <c r="BO56" s="12">
        <f t="shared" si="9"/>
        <v>0</v>
      </c>
      <c r="BP56" s="12">
        <f t="shared" si="10"/>
        <v>0</v>
      </c>
      <c r="BQ56" s="12">
        <f t="shared" si="11"/>
        <v>0</v>
      </c>
      <c r="BR56" s="12">
        <f t="shared" si="44"/>
        <v>0</v>
      </c>
      <c r="BS56" s="12">
        <f t="shared" si="45"/>
        <v>0</v>
      </c>
      <c r="BU56" s="11">
        <f t="shared" si="46"/>
        <v>0</v>
      </c>
      <c r="BV56" s="11">
        <f t="shared" si="47"/>
        <v>0</v>
      </c>
      <c r="BW56" s="11">
        <f t="shared" si="48"/>
        <v>0</v>
      </c>
      <c r="BX56" s="11">
        <f t="shared" si="49"/>
        <v>0</v>
      </c>
      <c r="BY56" s="11">
        <f t="shared" si="50"/>
        <v>0</v>
      </c>
      <c r="BZ56" s="11">
        <f t="shared" si="51"/>
        <v>0</v>
      </c>
      <c r="CA56" s="11">
        <f t="shared" si="52"/>
        <v>0</v>
      </c>
      <c r="CB56" s="11">
        <f t="shared" si="53"/>
        <v>0</v>
      </c>
      <c r="CC56" s="11">
        <f t="shared" si="54"/>
        <v>0</v>
      </c>
      <c r="CD56" s="11">
        <f t="shared" si="55"/>
        <v>0</v>
      </c>
      <c r="CE56" s="11">
        <f t="shared" si="56"/>
        <v>0</v>
      </c>
      <c r="CF56" s="11">
        <f t="shared" si="57"/>
        <v>0</v>
      </c>
      <c r="CG56" s="11"/>
      <c r="CH56" s="41">
        <v>1</v>
      </c>
      <c r="CJ56" s="54">
        <f t="shared" si="58"/>
        <v>0</v>
      </c>
      <c r="CK56" s="54">
        <f t="shared" si="59"/>
        <v>0</v>
      </c>
      <c r="CL56" s="54">
        <f t="shared" si="60"/>
        <v>0</v>
      </c>
      <c r="CM56" s="54">
        <f t="shared" si="61"/>
        <v>0</v>
      </c>
      <c r="CN56" s="54">
        <f t="shared" si="62"/>
        <v>0</v>
      </c>
      <c r="CO56" s="54">
        <f t="shared" si="63"/>
        <v>0</v>
      </c>
      <c r="CP56" s="54">
        <f t="shared" si="64"/>
        <v>0</v>
      </c>
      <c r="CQ56" s="54">
        <f t="shared" si="65"/>
        <v>0</v>
      </c>
      <c r="CR56" s="54">
        <f t="shared" si="66"/>
        <v>0</v>
      </c>
      <c r="CS56" s="54">
        <f t="shared" si="67"/>
        <v>0</v>
      </c>
      <c r="CT56" s="54">
        <f t="shared" si="68"/>
        <v>0</v>
      </c>
      <c r="CU56" s="54">
        <f t="shared" si="69"/>
        <v>0</v>
      </c>
      <c r="CV56" s="52">
        <f t="shared" si="43"/>
        <v>0</v>
      </c>
    </row>
    <row r="57" spans="1:100" ht="15.75" x14ac:dyDescent="0.25">
      <c r="A57" s="86"/>
      <c r="B57" s="17"/>
      <c r="C57" s="17"/>
      <c r="D57" s="17"/>
      <c r="E57" s="17"/>
      <c r="F57" s="31" t="s">
        <v>3645</v>
      </c>
      <c r="G57" s="76"/>
      <c r="H57" s="76"/>
      <c r="I57" s="76"/>
      <c r="J57" s="76"/>
      <c r="K57" s="76"/>
      <c r="L57" s="76"/>
      <c r="M57" s="76"/>
      <c r="N57" s="76"/>
      <c r="O57" s="76"/>
      <c r="P57" s="76"/>
      <c r="Q57" s="76"/>
      <c r="R57" s="76"/>
      <c r="S57" s="11">
        <f t="shared" si="1"/>
        <v>0</v>
      </c>
      <c r="V57" s="46">
        <f t="shared" si="18"/>
        <v>0</v>
      </c>
      <c r="W57" s="36">
        <v>0</v>
      </c>
      <c r="X57" s="36"/>
      <c r="Y57" s="36"/>
      <c r="Z57" s="36"/>
      <c r="AA57" s="36"/>
      <c r="AB57" s="36"/>
      <c r="AC57" s="36"/>
      <c r="AD57" s="36"/>
      <c r="AE57" s="36"/>
      <c r="AF57" s="36"/>
      <c r="AG57" s="36"/>
      <c r="AH57" s="36"/>
      <c r="BH57" s="12">
        <f t="shared" si="2"/>
        <v>0</v>
      </c>
      <c r="BI57" s="12">
        <f t="shared" si="3"/>
        <v>0</v>
      </c>
      <c r="BJ57" s="12">
        <f t="shared" si="4"/>
        <v>0</v>
      </c>
      <c r="BK57" s="12">
        <f t="shared" si="5"/>
        <v>0</v>
      </c>
      <c r="BL57" s="12">
        <f t="shared" si="6"/>
        <v>0</v>
      </c>
      <c r="BM57" s="12">
        <f t="shared" si="7"/>
        <v>0</v>
      </c>
      <c r="BN57" s="12">
        <f t="shared" si="8"/>
        <v>0</v>
      </c>
      <c r="BO57" s="12">
        <f t="shared" si="9"/>
        <v>0</v>
      </c>
      <c r="BP57" s="12">
        <f t="shared" si="10"/>
        <v>0</v>
      </c>
      <c r="BQ57" s="12">
        <f t="shared" si="11"/>
        <v>0</v>
      </c>
      <c r="BR57" s="12">
        <f t="shared" si="44"/>
        <v>0</v>
      </c>
      <c r="BS57" s="12">
        <f t="shared" si="45"/>
        <v>0</v>
      </c>
      <c r="BU57" s="11">
        <f t="shared" si="46"/>
        <v>0</v>
      </c>
      <c r="BV57" s="11">
        <f t="shared" si="47"/>
        <v>0</v>
      </c>
      <c r="BW57" s="11">
        <f t="shared" si="48"/>
        <v>0</v>
      </c>
      <c r="BX57" s="11">
        <f t="shared" si="49"/>
        <v>0</v>
      </c>
      <c r="BY57" s="11">
        <f t="shared" si="50"/>
        <v>0</v>
      </c>
      <c r="BZ57" s="11">
        <f t="shared" si="51"/>
        <v>0</v>
      </c>
      <c r="CA57" s="11">
        <f t="shared" si="52"/>
        <v>0</v>
      </c>
      <c r="CB57" s="11">
        <f t="shared" si="53"/>
        <v>0</v>
      </c>
      <c r="CC57" s="11">
        <f t="shared" si="54"/>
        <v>0</v>
      </c>
      <c r="CD57" s="11">
        <f t="shared" si="55"/>
        <v>0</v>
      </c>
      <c r="CE57" s="11">
        <f t="shared" si="56"/>
        <v>0</v>
      </c>
      <c r="CF57" s="11">
        <f t="shared" si="57"/>
        <v>0</v>
      </c>
      <c r="CG57" s="11"/>
      <c r="CH57" s="41">
        <v>1</v>
      </c>
      <c r="CJ57" s="54">
        <f t="shared" si="58"/>
        <v>0</v>
      </c>
      <c r="CK57" s="54">
        <f t="shared" si="59"/>
        <v>0</v>
      </c>
      <c r="CL57" s="54">
        <f t="shared" si="60"/>
        <v>0</v>
      </c>
      <c r="CM57" s="54">
        <f t="shared" si="61"/>
        <v>0</v>
      </c>
      <c r="CN57" s="54">
        <f t="shared" si="62"/>
        <v>0</v>
      </c>
      <c r="CO57" s="54">
        <f t="shared" si="63"/>
        <v>0</v>
      </c>
      <c r="CP57" s="54">
        <f t="shared" si="64"/>
        <v>0</v>
      </c>
      <c r="CQ57" s="54">
        <f t="shared" si="65"/>
        <v>0</v>
      </c>
      <c r="CR57" s="54">
        <f t="shared" si="66"/>
        <v>0</v>
      </c>
      <c r="CS57" s="54">
        <f t="shared" si="67"/>
        <v>0</v>
      </c>
      <c r="CT57" s="54">
        <f t="shared" si="68"/>
        <v>0</v>
      </c>
      <c r="CU57" s="54">
        <f t="shared" si="69"/>
        <v>0</v>
      </c>
      <c r="CV57" s="52">
        <f t="shared" si="43"/>
        <v>0</v>
      </c>
    </row>
    <row r="58" spans="1:100" ht="15.75" x14ac:dyDescent="0.25">
      <c r="A58" s="86"/>
      <c r="B58" s="17"/>
      <c r="C58" s="17"/>
      <c r="D58" s="17"/>
      <c r="E58" s="17"/>
      <c r="F58" s="31" t="s">
        <v>3645</v>
      </c>
      <c r="G58" s="76"/>
      <c r="H58" s="76"/>
      <c r="I58" s="76"/>
      <c r="J58" s="76"/>
      <c r="K58" s="76"/>
      <c r="L58" s="76"/>
      <c r="M58" s="76"/>
      <c r="N58" s="76"/>
      <c r="O58" s="76"/>
      <c r="P58" s="76"/>
      <c r="Q58" s="76"/>
      <c r="R58" s="76"/>
      <c r="S58" s="11">
        <f t="shared" si="1"/>
        <v>0</v>
      </c>
      <c r="V58" s="46">
        <f t="shared" si="18"/>
        <v>0</v>
      </c>
      <c r="W58" s="36">
        <v>0.95494024585649506</v>
      </c>
      <c r="X58" s="36">
        <v>0.94816804738463933</v>
      </c>
      <c r="Y58" s="36">
        <v>0</v>
      </c>
      <c r="Z58" s="36">
        <v>0</v>
      </c>
      <c r="AA58" s="36">
        <v>0.9562478042021707</v>
      </c>
      <c r="AB58" s="36">
        <v>0.95428552778080644</v>
      </c>
      <c r="AC58" s="36">
        <v>0.94000164048361734</v>
      </c>
      <c r="AD58" s="36">
        <v>0.94559687854991736</v>
      </c>
      <c r="AE58" s="36">
        <v>0.9497823442383807</v>
      </c>
      <c r="AF58" s="36">
        <v>0.98705536982008413</v>
      </c>
      <c r="AG58" s="36">
        <v>0.98797729618163654</v>
      </c>
      <c r="AH58" s="36">
        <v>0</v>
      </c>
      <c r="BH58" s="12">
        <f t="shared" si="2"/>
        <v>0</v>
      </c>
      <c r="BI58" s="12">
        <f t="shared" si="3"/>
        <v>0</v>
      </c>
      <c r="BJ58" s="12">
        <f t="shared" si="4"/>
        <v>0</v>
      </c>
      <c r="BK58" s="12">
        <f t="shared" si="5"/>
        <v>0</v>
      </c>
      <c r="BL58" s="12">
        <f t="shared" si="6"/>
        <v>0</v>
      </c>
      <c r="BM58" s="12">
        <f t="shared" si="7"/>
        <v>0</v>
      </c>
      <c r="BN58" s="12">
        <f t="shared" si="8"/>
        <v>0</v>
      </c>
      <c r="BO58" s="12">
        <f t="shared" si="9"/>
        <v>0</v>
      </c>
      <c r="BP58" s="12">
        <f t="shared" si="10"/>
        <v>0</v>
      </c>
      <c r="BQ58" s="12">
        <f t="shared" si="11"/>
        <v>0</v>
      </c>
      <c r="BR58" s="12">
        <f t="shared" si="44"/>
        <v>0</v>
      </c>
      <c r="BS58" s="12">
        <f t="shared" si="45"/>
        <v>0</v>
      </c>
      <c r="BU58" s="11">
        <f t="shared" si="46"/>
        <v>0</v>
      </c>
      <c r="BV58" s="11">
        <f t="shared" si="47"/>
        <v>0</v>
      </c>
      <c r="BW58" s="11">
        <f t="shared" si="48"/>
        <v>0</v>
      </c>
      <c r="BX58" s="11">
        <f t="shared" si="49"/>
        <v>0</v>
      </c>
      <c r="BY58" s="11">
        <f t="shared" si="50"/>
        <v>0</v>
      </c>
      <c r="BZ58" s="11">
        <f t="shared" si="51"/>
        <v>0</v>
      </c>
      <c r="CA58" s="11">
        <f t="shared" si="52"/>
        <v>0</v>
      </c>
      <c r="CB58" s="11">
        <f t="shared" si="53"/>
        <v>0</v>
      </c>
      <c r="CC58" s="11">
        <f t="shared" si="54"/>
        <v>0</v>
      </c>
      <c r="CD58" s="11">
        <f t="shared" si="55"/>
        <v>0</v>
      </c>
      <c r="CE58" s="11">
        <f t="shared" si="56"/>
        <v>0</v>
      </c>
      <c r="CF58" s="11">
        <f t="shared" si="57"/>
        <v>0</v>
      </c>
      <c r="CG58" s="11"/>
      <c r="CH58" s="41">
        <v>1</v>
      </c>
      <c r="CJ58" s="54">
        <f t="shared" si="58"/>
        <v>0</v>
      </c>
      <c r="CK58" s="54">
        <f t="shared" si="59"/>
        <v>0</v>
      </c>
      <c r="CL58" s="54">
        <f t="shared" si="60"/>
        <v>0</v>
      </c>
      <c r="CM58" s="54">
        <f t="shared" si="61"/>
        <v>0</v>
      </c>
      <c r="CN58" s="54">
        <f t="shared" si="62"/>
        <v>0</v>
      </c>
      <c r="CO58" s="54">
        <f t="shared" si="63"/>
        <v>0</v>
      </c>
      <c r="CP58" s="54">
        <f t="shared" si="64"/>
        <v>0</v>
      </c>
      <c r="CQ58" s="54">
        <f t="shared" si="65"/>
        <v>0</v>
      </c>
      <c r="CR58" s="54">
        <f t="shared" si="66"/>
        <v>0</v>
      </c>
      <c r="CS58" s="54">
        <f t="shared" si="67"/>
        <v>0</v>
      </c>
      <c r="CT58" s="54">
        <f t="shared" si="68"/>
        <v>0</v>
      </c>
      <c r="CU58" s="54">
        <f t="shared" si="69"/>
        <v>0</v>
      </c>
      <c r="CV58" s="52">
        <f t="shared" si="43"/>
        <v>0</v>
      </c>
    </row>
    <row r="59" spans="1:100" ht="15.75" x14ac:dyDescent="0.25">
      <c r="A59" s="86"/>
      <c r="B59" s="17"/>
      <c r="C59" s="17"/>
      <c r="D59" s="17"/>
      <c r="E59" s="17"/>
      <c r="F59" s="31" t="s">
        <v>3645</v>
      </c>
      <c r="G59" s="76"/>
      <c r="H59" s="76"/>
      <c r="I59" s="76"/>
      <c r="J59" s="76"/>
      <c r="K59" s="76"/>
      <c r="L59" s="76"/>
      <c r="M59" s="76"/>
      <c r="N59" s="76"/>
      <c r="O59" s="76"/>
      <c r="P59" s="76"/>
      <c r="Q59" s="76"/>
      <c r="R59" s="76"/>
      <c r="S59" s="11">
        <f t="shared" si="1"/>
        <v>0</v>
      </c>
      <c r="V59" s="46">
        <f t="shared" si="18"/>
        <v>0</v>
      </c>
      <c r="W59" s="36">
        <v>0</v>
      </c>
      <c r="X59" s="36">
        <v>0.42185991006041179</v>
      </c>
      <c r="Y59" s="36">
        <v>0.42482122120220306</v>
      </c>
      <c r="Z59" s="36">
        <v>0</v>
      </c>
      <c r="AA59" s="36">
        <v>0.42136395794932385</v>
      </c>
      <c r="AB59" s="36">
        <v>0.41963491009264087</v>
      </c>
      <c r="AC59" s="36">
        <v>0.41395842751431489</v>
      </c>
      <c r="AD59" s="36">
        <v>0.41625182050457354</v>
      </c>
      <c r="AE59" s="36">
        <v>0.41869394140973304</v>
      </c>
      <c r="AF59" s="36">
        <v>0.43500829081048392</v>
      </c>
      <c r="AG59" s="36">
        <v>0.43513970805006796</v>
      </c>
      <c r="AH59" s="36">
        <v>0.43574862802966752</v>
      </c>
      <c r="BH59" s="12">
        <f t="shared" si="2"/>
        <v>0</v>
      </c>
      <c r="BI59" s="12">
        <f t="shared" si="3"/>
        <v>0</v>
      </c>
      <c r="BJ59" s="12">
        <f t="shared" si="4"/>
        <v>0</v>
      </c>
      <c r="BK59" s="12">
        <f t="shared" si="5"/>
        <v>0</v>
      </c>
      <c r="BL59" s="12">
        <f t="shared" si="6"/>
        <v>0</v>
      </c>
      <c r="BM59" s="12">
        <f t="shared" si="7"/>
        <v>0</v>
      </c>
      <c r="BN59" s="12">
        <f t="shared" si="8"/>
        <v>0</v>
      </c>
      <c r="BO59" s="12">
        <f t="shared" si="9"/>
        <v>0</v>
      </c>
      <c r="BP59" s="12">
        <f t="shared" si="10"/>
        <v>0</v>
      </c>
      <c r="BQ59" s="12">
        <f t="shared" si="11"/>
        <v>0</v>
      </c>
      <c r="BR59" s="12">
        <f t="shared" si="44"/>
        <v>0</v>
      </c>
      <c r="BS59" s="12">
        <f t="shared" si="45"/>
        <v>0</v>
      </c>
      <c r="BU59" s="11">
        <f t="shared" si="46"/>
        <v>0</v>
      </c>
      <c r="BV59" s="11">
        <f t="shared" si="47"/>
        <v>0</v>
      </c>
      <c r="BW59" s="11">
        <f t="shared" si="48"/>
        <v>0</v>
      </c>
      <c r="BX59" s="11">
        <f t="shared" si="49"/>
        <v>0</v>
      </c>
      <c r="BY59" s="11">
        <f t="shared" si="50"/>
        <v>0</v>
      </c>
      <c r="BZ59" s="11">
        <f t="shared" si="51"/>
        <v>0</v>
      </c>
      <c r="CA59" s="11">
        <f t="shared" si="52"/>
        <v>0</v>
      </c>
      <c r="CB59" s="11">
        <f t="shared" si="53"/>
        <v>0</v>
      </c>
      <c r="CC59" s="11">
        <f t="shared" si="54"/>
        <v>0</v>
      </c>
      <c r="CD59" s="11">
        <f t="shared" si="55"/>
        <v>0</v>
      </c>
      <c r="CE59" s="11">
        <f t="shared" si="56"/>
        <v>0</v>
      </c>
      <c r="CF59" s="11">
        <f t="shared" si="57"/>
        <v>0</v>
      </c>
      <c r="CG59" s="11"/>
      <c r="CH59" s="41">
        <v>1</v>
      </c>
      <c r="CJ59" s="54">
        <f t="shared" si="58"/>
        <v>0</v>
      </c>
      <c r="CK59" s="54">
        <f t="shared" si="59"/>
        <v>0</v>
      </c>
      <c r="CL59" s="54">
        <f t="shared" si="60"/>
        <v>0</v>
      </c>
      <c r="CM59" s="54">
        <f t="shared" si="61"/>
        <v>0</v>
      </c>
      <c r="CN59" s="54">
        <f t="shared" si="62"/>
        <v>0</v>
      </c>
      <c r="CO59" s="54">
        <f t="shared" si="63"/>
        <v>0</v>
      </c>
      <c r="CP59" s="54">
        <f t="shared" si="64"/>
        <v>0</v>
      </c>
      <c r="CQ59" s="54">
        <f t="shared" si="65"/>
        <v>0</v>
      </c>
      <c r="CR59" s="54">
        <f t="shared" si="66"/>
        <v>0</v>
      </c>
      <c r="CS59" s="54">
        <f t="shared" si="67"/>
        <v>0</v>
      </c>
      <c r="CT59" s="54">
        <f t="shared" si="68"/>
        <v>0</v>
      </c>
      <c r="CU59" s="54">
        <f t="shared" si="69"/>
        <v>0</v>
      </c>
      <c r="CV59" s="52">
        <f t="shared" si="43"/>
        <v>0</v>
      </c>
    </row>
    <row r="60" spans="1:100" ht="15.75" x14ac:dyDescent="0.25">
      <c r="A60" s="86"/>
      <c r="B60" s="17"/>
      <c r="C60" s="17"/>
      <c r="D60" s="17"/>
      <c r="E60" s="17"/>
      <c r="F60" s="31" t="s">
        <v>3645</v>
      </c>
      <c r="G60" s="76"/>
      <c r="H60" s="76"/>
      <c r="I60" s="76"/>
      <c r="J60" s="76"/>
      <c r="K60" s="76"/>
      <c r="L60" s="76"/>
      <c r="M60" s="76"/>
      <c r="N60" s="76"/>
      <c r="O60" s="76"/>
      <c r="P60" s="76"/>
      <c r="Q60" s="76"/>
      <c r="R60" s="76"/>
      <c r="S60" s="11">
        <f t="shared" si="1"/>
        <v>0</v>
      </c>
      <c r="V60" s="46">
        <f t="shared" si="18"/>
        <v>0</v>
      </c>
      <c r="W60" s="36">
        <v>0</v>
      </c>
      <c r="X60" s="36">
        <v>0</v>
      </c>
      <c r="Y60" s="36">
        <v>0</v>
      </c>
      <c r="Z60" s="36">
        <v>0</v>
      </c>
      <c r="AA60" s="36">
        <v>0.86846403582319809</v>
      </c>
      <c r="AB60" s="36">
        <v>0.86288372015970138</v>
      </c>
      <c r="AC60" s="36">
        <v>0.85295821254937687</v>
      </c>
      <c r="AD60" s="36">
        <v>0.85887973997323386</v>
      </c>
      <c r="AE60" s="36">
        <v>0.86239186839496673</v>
      </c>
      <c r="AF60" s="36">
        <v>0.89512509413438301</v>
      </c>
      <c r="AG60" s="36">
        <v>0.89652562779497713</v>
      </c>
      <c r="AH60" s="36">
        <v>0.8971273966650386</v>
      </c>
      <c r="BH60" s="12">
        <f t="shared" si="2"/>
        <v>0</v>
      </c>
      <c r="BI60" s="12">
        <f t="shared" si="3"/>
        <v>0</v>
      </c>
      <c r="BJ60" s="12">
        <f t="shared" si="4"/>
        <v>0</v>
      </c>
      <c r="BK60" s="12">
        <f t="shared" si="5"/>
        <v>0</v>
      </c>
      <c r="BL60" s="12">
        <f t="shared" si="6"/>
        <v>0</v>
      </c>
      <c r="BM60" s="12">
        <f t="shared" si="7"/>
        <v>0</v>
      </c>
      <c r="BN60" s="12">
        <f t="shared" si="8"/>
        <v>0</v>
      </c>
      <c r="BO60" s="12">
        <f t="shared" si="9"/>
        <v>0</v>
      </c>
      <c r="BP60" s="12">
        <f t="shared" si="10"/>
        <v>0</v>
      </c>
      <c r="BQ60" s="12">
        <f t="shared" si="11"/>
        <v>0</v>
      </c>
      <c r="BR60" s="12">
        <f t="shared" si="44"/>
        <v>0</v>
      </c>
      <c r="BS60" s="12">
        <f t="shared" si="45"/>
        <v>0</v>
      </c>
      <c r="BU60" s="11">
        <f t="shared" si="46"/>
        <v>0</v>
      </c>
      <c r="BV60" s="11">
        <f t="shared" si="47"/>
        <v>0</v>
      </c>
      <c r="BW60" s="11">
        <f t="shared" si="48"/>
        <v>0</v>
      </c>
      <c r="BX60" s="11">
        <f t="shared" si="49"/>
        <v>0</v>
      </c>
      <c r="BY60" s="11">
        <f t="shared" si="50"/>
        <v>0</v>
      </c>
      <c r="BZ60" s="11">
        <f t="shared" si="51"/>
        <v>0</v>
      </c>
      <c r="CA60" s="11">
        <f t="shared" si="52"/>
        <v>0</v>
      </c>
      <c r="CB60" s="11">
        <f t="shared" si="53"/>
        <v>0</v>
      </c>
      <c r="CC60" s="11">
        <f t="shared" si="54"/>
        <v>0</v>
      </c>
      <c r="CD60" s="11">
        <f t="shared" si="55"/>
        <v>0</v>
      </c>
      <c r="CE60" s="11">
        <f t="shared" si="56"/>
        <v>0</v>
      </c>
      <c r="CF60" s="11">
        <f t="shared" si="57"/>
        <v>0</v>
      </c>
      <c r="CG60" s="11"/>
      <c r="CH60" s="41">
        <v>1</v>
      </c>
      <c r="CJ60" s="54">
        <f t="shared" si="58"/>
        <v>0</v>
      </c>
      <c r="CK60" s="54">
        <f t="shared" si="59"/>
        <v>0</v>
      </c>
      <c r="CL60" s="54">
        <f t="shared" si="60"/>
        <v>0</v>
      </c>
      <c r="CM60" s="54">
        <f t="shared" si="61"/>
        <v>0</v>
      </c>
      <c r="CN60" s="54">
        <f t="shared" si="62"/>
        <v>0</v>
      </c>
      <c r="CO60" s="54">
        <f t="shared" si="63"/>
        <v>0</v>
      </c>
      <c r="CP60" s="54">
        <f t="shared" si="64"/>
        <v>0</v>
      </c>
      <c r="CQ60" s="54">
        <f t="shared" si="65"/>
        <v>0</v>
      </c>
      <c r="CR60" s="54">
        <f t="shared" si="66"/>
        <v>0</v>
      </c>
      <c r="CS60" s="54">
        <f t="shared" si="67"/>
        <v>0</v>
      </c>
      <c r="CT60" s="54">
        <f t="shared" si="68"/>
        <v>0</v>
      </c>
      <c r="CU60" s="54">
        <f t="shared" si="69"/>
        <v>0</v>
      </c>
      <c r="CV60" s="52">
        <f t="shared" si="43"/>
        <v>0</v>
      </c>
    </row>
    <row r="61" spans="1:100" ht="15.75" x14ac:dyDescent="0.25">
      <c r="A61" s="86"/>
      <c r="B61" s="17"/>
      <c r="C61" s="17"/>
      <c r="D61" s="17"/>
      <c r="E61" s="17"/>
      <c r="F61" s="31" t="s">
        <v>3645</v>
      </c>
      <c r="G61" s="76"/>
      <c r="H61" s="76"/>
      <c r="I61" s="76"/>
      <c r="J61" s="76"/>
      <c r="K61" s="76"/>
      <c r="L61" s="76"/>
      <c r="M61" s="76"/>
      <c r="N61" s="76"/>
      <c r="O61" s="76"/>
      <c r="P61" s="76"/>
      <c r="Q61" s="76"/>
      <c r="R61" s="76"/>
      <c r="S61" s="11">
        <f t="shared" si="1"/>
        <v>0</v>
      </c>
      <c r="V61" s="46">
        <f t="shared" si="18"/>
        <v>0</v>
      </c>
      <c r="W61" s="36">
        <v>1.0226018209051564</v>
      </c>
      <c r="X61" s="36">
        <v>1.0216695623285035</v>
      </c>
      <c r="Y61" s="36">
        <v>1.0232707537343377</v>
      </c>
      <c r="Z61" s="36">
        <v>1.0125196051777128</v>
      </c>
      <c r="AA61" s="36">
        <v>1.0204925645163163</v>
      </c>
      <c r="AB61" s="36">
        <v>1.0145701659466704</v>
      </c>
      <c r="AC61" s="36">
        <v>1.0019732048323384</v>
      </c>
      <c r="AD61" s="36">
        <v>1.0061443852043073</v>
      </c>
      <c r="AE61" s="36">
        <v>1.0138877023487023</v>
      </c>
      <c r="AF61" s="36">
        <v>1.0537901674651957</v>
      </c>
      <c r="AG61" s="36">
        <v>1.0523104687927467</v>
      </c>
      <c r="AH61" s="36">
        <v>1.0542306313505363</v>
      </c>
      <c r="BH61" s="12">
        <f t="shared" si="2"/>
        <v>0</v>
      </c>
      <c r="BI61" s="12">
        <f t="shared" si="3"/>
        <v>0</v>
      </c>
      <c r="BJ61" s="12">
        <f t="shared" si="4"/>
        <v>0</v>
      </c>
      <c r="BK61" s="12">
        <f t="shared" si="5"/>
        <v>0</v>
      </c>
      <c r="BL61" s="12">
        <f t="shared" si="6"/>
        <v>0</v>
      </c>
      <c r="BM61" s="12">
        <f t="shared" si="7"/>
        <v>0</v>
      </c>
      <c r="BN61" s="12">
        <f t="shared" si="8"/>
        <v>0</v>
      </c>
      <c r="BO61" s="12">
        <f t="shared" si="9"/>
        <v>0</v>
      </c>
      <c r="BP61" s="12">
        <f t="shared" si="10"/>
        <v>0</v>
      </c>
      <c r="BQ61" s="12">
        <f t="shared" si="11"/>
        <v>0</v>
      </c>
      <c r="BR61" s="12">
        <f t="shared" si="44"/>
        <v>0</v>
      </c>
      <c r="BS61" s="12">
        <f t="shared" si="45"/>
        <v>0</v>
      </c>
      <c r="BU61" s="11">
        <f t="shared" si="46"/>
        <v>0</v>
      </c>
      <c r="BV61" s="11">
        <f t="shared" si="47"/>
        <v>0</v>
      </c>
      <c r="BW61" s="11">
        <f t="shared" si="48"/>
        <v>0</v>
      </c>
      <c r="BX61" s="11">
        <f t="shared" si="49"/>
        <v>0</v>
      </c>
      <c r="BY61" s="11">
        <f t="shared" si="50"/>
        <v>0</v>
      </c>
      <c r="BZ61" s="11">
        <f t="shared" si="51"/>
        <v>0</v>
      </c>
      <c r="CA61" s="11">
        <f t="shared" si="52"/>
        <v>0</v>
      </c>
      <c r="CB61" s="11">
        <f t="shared" si="53"/>
        <v>0</v>
      </c>
      <c r="CC61" s="11">
        <f t="shared" si="54"/>
        <v>0</v>
      </c>
      <c r="CD61" s="11">
        <f t="shared" si="55"/>
        <v>0</v>
      </c>
      <c r="CE61" s="11">
        <f t="shared" si="56"/>
        <v>0</v>
      </c>
      <c r="CF61" s="11">
        <f t="shared" si="57"/>
        <v>0</v>
      </c>
      <c r="CG61" s="11"/>
      <c r="CH61" s="41">
        <v>1</v>
      </c>
      <c r="CJ61" s="54">
        <f t="shared" si="58"/>
        <v>0</v>
      </c>
      <c r="CK61" s="54">
        <f t="shared" si="59"/>
        <v>0</v>
      </c>
      <c r="CL61" s="54">
        <f t="shared" si="60"/>
        <v>0</v>
      </c>
      <c r="CM61" s="54">
        <f t="shared" si="61"/>
        <v>0</v>
      </c>
      <c r="CN61" s="54">
        <f t="shared" si="62"/>
        <v>0</v>
      </c>
      <c r="CO61" s="54">
        <f t="shared" si="63"/>
        <v>0</v>
      </c>
      <c r="CP61" s="54">
        <f t="shared" si="64"/>
        <v>0</v>
      </c>
      <c r="CQ61" s="54">
        <f t="shared" si="65"/>
        <v>0</v>
      </c>
      <c r="CR61" s="54">
        <f t="shared" si="66"/>
        <v>0</v>
      </c>
      <c r="CS61" s="54">
        <f t="shared" si="67"/>
        <v>0</v>
      </c>
      <c r="CT61" s="54">
        <f t="shared" si="68"/>
        <v>0</v>
      </c>
      <c r="CU61" s="54">
        <f t="shared" si="69"/>
        <v>0</v>
      </c>
      <c r="CV61" s="52">
        <f t="shared" si="43"/>
        <v>0</v>
      </c>
    </row>
    <row r="62" spans="1:100" ht="15.75" x14ac:dyDescent="0.25">
      <c r="A62" s="86"/>
      <c r="B62" s="17"/>
      <c r="C62" s="17"/>
      <c r="D62" s="17"/>
      <c r="E62" s="17"/>
      <c r="F62" s="31" t="s">
        <v>3645</v>
      </c>
      <c r="G62" s="76"/>
      <c r="H62" s="76"/>
      <c r="I62" s="76"/>
      <c r="J62" s="76"/>
      <c r="K62" s="76"/>
      <c r="L62" s="76"/>
      <c r="M62" s="76"/>
      <c r="N62" s="76"/>
      <c r="O62" s="76"/>
      <c r="P62" s="76"/>
      <c r="Q62" s="76"/>
      <c r="R62" s="76"/>
      <c r="S62" s="11">
        <f t="shared" si="1"/>
        <v>0</v>
      </c>
      <c r="V62" s="46">
        <f t="shared" si="18"/>
        <v>0</v>
      </c>
      <c r="W62" s="36">
        <v>0</v>
      </c>
      <c r="X62" s="36">
        <v>0</v>
      </c>
      <c r="Y62" s="36">
        <v>1.1525520629901591</v>
      </c>
      <c r="Z62" s="36">
        <v>1.1389889796277686</v>
      </c>
      <c r="AA62" s="36">
        <v>1.149537921085813</v>
      </c>
      <c r="AB62" s="36">
        <v>1.1433962189892928</v>
      </c>
      <c r="AC62" s="36">
        <v>1.129517619536986</v>
      </c>
      <c r="AD62" s="36">
        <v>1.1343636716713885</v>
      </c>
      <c r="AE62" s="36">
        <v>1.1422819319530526</v>
      </c>
      <c r="AF62" s="36">
        <v>1.1866108613073012</v>
      </c>
      <c r="AG62" s="36">
        <v>1.1852111440903401</v>
      </c>
      <c r="AH62" s="36">
        <v>1.159251315212096</v>
      </c>
      <c r="BH62" s="12">
        <f t="shared" si="2"/>
        <v>0</v>
      </c>
      <c r="BI62" s="12">
        <f t="shared" si="3"/>
        <v>0</v>
      </c>
      <c r="BJ62" s="12">
        <f t="shared" si="4"/>
        <v>0</v>
      </c>
      <c r="BK62" s="12">
        <f t="shared" si="5"/>
        <v>0</v>
      </c>
      <c r="BL62" s="12">
        <f t="shared" si="6"/>
        <v>0</v>
      </c>
      <c r="BM62" s="12">
        <f t="shared" si="7"/>
        <v>0</v>
      </c>
      <c r="BN62" s="12">
        <f t="shared" si="8"/>
        <v>0</v>
      </c>
      <c r="BO62" s="12">
        <f t="shared" si="9"/>
        <v>0</v>
      </c>
      <c r="BP62" s="12">
        <f t="shared" si="10"/>
        <v>0</v>
      </c>
      <c r="BQ62" s="12">
        <f t="shared" si="11"/>
        <v>0</v>
      </c>
      <c r="BR62" s="12">
        <f t="shared" si="44"/>
        <v>0</v>
      </c>
      <c r="BS62" s="12">
        <f t="shared" si="45"/>
        <v>0</v>
      </c>
      <c r="BU62" s="11">
        <f t="shared" si="46"/>
        <v>0</v>
      </c>
      <c r="BV62" s="11">
        <f t="shared" si="47"/>
        <v>0</v>
      </c>
      <c r="BW62" s="11">
        <f t="shared" si="48"/>
        <v>0</v>
      </c>
      <c r="BX62" s="11">
        <f t="shared" si="49"/>
        <v>0</v>
      </c>
      <c r="BY62" s="11">
        <f t="shared" si="50"/>
        <v>0</v>
      </c>
      <c r="BZ62" s="11">
        <f t="shared" si="51"/>
        <v>0</v>
      </c>
      <c r="CA62" s="11">
        <f t="shared" si="52"/>
        <v>0</v>
      </c>
      <c r="CB62" s="11">
        <f t="shared" si="53"/>
        <v>0</v>
      </c>
      <c r="CC62" s="11">
        <f t="shared" si="54"/>
        <v>0</v>
      </c>
      <c r="CD62" s="11">
        <f t="shared" si="55"/>
        <v>0</v>
      </c>
      <c r="CE62" s="11">
        <f t="shared" si="56"/>
        <v>0</v>
      </c>
      <c r="CF62" s="11">
        <f t="shared" si="57"/>
        <v>0</v>
      </c>
      <c r="CG62" s="11"/>
      <c r="CH62" s="41">
        <v>1</v>
      </c>
      <c r="CJ62" s="54">
        <f t="shared" si="58"/>
        <v>0</v>
      </c>
      <c r="CK62" s="54">
        <f t="shared" si="59"/>
        <v>0</v>
      </c>
      <c r="CL62" s="54">
        <f t="shared" si="60"/>
        <v>0</v>
      </c>
      <c r="CM62" s="54">
        <f t="shared" si="61"/>
        <v>0</v>
      </c>
      <c r="CN62" s="54">
        <f t="shared" si="62"/>
        <v>0</v>
      </c>
      <c r="CO62" s="54">
        <f t="shared" si="63"/>
        <v>0</v>
      </c>
      <c r="CP62" s="54">
        <f t="shared" si="64"/>
        <v>0</v>
      </c>
      <c r="CQ62" s="54">
        <f t="shared" si="65"/>
        <v>0</v>
      </c>
      <c r="CR62" s="54">
        <f t="shared" si="66"/>
        <v>0</v>
      </c>
      <c r="CS62" s="54">
        <f t="shared" si="67"/>
        <v>0</v>
      </c>
      <c r="CT62" s="54">
        <f t="shared" si="68"/>
        <v>0</v>
      </c>
      <c r="CU62" s="54">
        <f t="shared" si="69"/>
        <v>0</v>
      </c>
      <c r="CV62" s="52">
        <f t="shared" si="43"/>
        <v>0</v>
      </c>
    </row>
    <row r="63" spans="1:100" ht="15.75" x14ac:dyDescent="0.25">
      <c r="A63" s="86"/>
      <c r="B63" s="17"/>
      <c r="C63" s="17"/>
      <c r="D63" s="17"/>
      <c r="E63" s="17"/>
      <c r="F63" s="31" t="s">
        <v>3645</v>
      </c>
      <c r="G63" s="76"/>
      <c r="H63" s="76"/>
      <c r="I63" s="76"/>
      <c r="J63" s="76"/>
      <c r="K63" s="76"/>
      <c r="L63" s="76"/>
      <c r="M63" s="76"/>
      <c r="N63" s="76"/>
      <c r="O63" s="76"/>
      <c r="P63" s="76"/>
      <c r="Q63" s="76"/>
      <c r="R63" s="76"/>
      <c r="S63" s="11">
        <f t="shared" si="1"/>
        <v>0</v>
      </c>
      <c r="V63" s="46">
        <f t="shared" si="18"/>
        <v>0</v>
      </c>
      <c r="W63" s="36">
        <v>0</v>
      </c>
      <c r="X63" s="36">
        <v>9.06</v>
      </c>
      <c r="Y63" s="36">
        <v>0</v>
      </c>
      <c r="Z63" s="36">
        <v>9.06</v>
      </c>
      <c r="AA63" s="36">
        <v>9.06</v>
      </c>
      <c r="AB63" s="36">
        <v>0</v>
      </c>
      <c r="AC63" s="36">
        <v>0</v>
      </c>
      <c r="AD63" s="36">
        <v>0</v>
      </c>
      <c r="AE63" s="36">
        <v>0</v>
      </c>
      <c r="AF63" s="36">
        <v>0</v>
      </c>
      <c r="AG63" s="36">
        <v>9.0599999999999987</v>
      </c>
      <c r="AH63" s="36">
        <v>0</v>
      </c>
      <c r="BH63" s="12">
        <f t="shared" si="2"/>
        <v>0</v>
      </c>
      <c r="BI63" s="12">
        <f t="shared" si="3"/>
        <v>0</v>
      </c>
      <c r="BJ63" s="12">
        <f t="shared" si="4"/>
        <v>0</v>
      </c>
      <c r="BK63" s="12">
        <f t="shared" si="5"/>
        <v>0</v>
      </c>
      <c r="BL63" s="12">
        <f t="shared" si="6"/>
        <v>0</v>
      </c>
      <c r="BM63" s="12">
        <f t="shared" si="7"/>
        <v>0</v>
      </c>
      <c r="BN63" s="12">
        <f t="shared" si="8"/>
        <v>0</v>
      </c>
      <c r="BO63" s="12">
        <f t="shared" si="9"/>
        <v>0</v>
      </c>
      <c r="BP63" s="12">
        <f t="shared" si="10"/>
        <v>0</v>
      </c>
      <c r="BQ63" s="12">
        <f t="shared" si="11"/>
        <v>0</v>
      </c>
      <c r="BR63" s="12">
        <f t="shared" si="44"/>
        <v>0</v>
      </c>
      <c r="BS63" s="12">
        <f t="shared" si="45"/>
        <v>0</v>
      </c>
      <c r="BU63" s="11">
        <f t="shared" si="46"/>
        <v>0</v>
      </c>
      <c r="BV63" s="11">
        <f t="shared" si="47"/>
        <v>0</v>
      </c>
      <c r="BW63" s="11">
        <f t="shared" si="48"/>
        <v>0</v>
      </c>
      <c r="BX63" s="11">
        <f t="shared" si="49"/>
        <v>0</v>
      </c>
      <c r="BY63" s="11">
        <f t="shared" si="50"/>
        <v>0</v>
      </c>
      <c r="BZ63" s="11">
        <f t="shared" si="51"/>
        <v>0</v>
      </c>
      <c r="CA63" s="11">
        <f t="shared" si="52"/>
        <v>0</v>
      </c>
      <c r="CB63" s="11">
        <f t="shared" si="53"/>
        <v>0</v>
      </c>
      <c r="CC63" s="11">
        <f t="shared" si="54"/>
        <v>0</v>
      </c>
      <c r="CD63" s="11">
        <f t="shared" si="55"/>
        <v>0</v>
      </c>
      <c r="CE63" s="11">
        <f t="shared" si="56"/>
        <v>0</v>
      </c>
      <c r="CF63" s="11">
        <f t="shared" si="57"/>
        <v>0</v>
      </c>
      <c r="CG63" s="11"/>
      <c r="CH63" s="41">
        <v>1</v>
      </c>
      <c r="CJ63" s="54">
        <f t="shared" si="58"/>
        <v>0</v>
      </c>
      <c r="CK63" s="54">
        <f t="shared" si="59"/>
        <v>0</v>
      </c>
      <c r="CL63" s="54">
        <f t="shared" si="60"/>
        <v>0</v>
      </c>
      <c r="CM63" s="54">
        <f t="shared" si="61"/>
        <v>0</v>
      </c>
      <c r="CN63" s="54">
        <f t="shared" si="62"/>
        <v>0</v>
      </c>
      <c r="CO63" s="54">
        <f t="shared" si="63"/>
        <v>0</v>
      </c>
      <c r="CP63" s="54">
        <f t="shared" si="64"/>
        <v>0</v>
      </c>
      <c r="CQ63" s="54">
        <f t="shared" si="65"/>
        <v>0</v>
      </c>
      <c r="CR63" s="54">
        <f t="shared" si="66"/>
        <v>0</v>
      </c>
      <c r="CS63" s="54">
        <f t="shared" si="67"/>
        <v>0</v>
      </c>
      <c r="CT63" s="54">
        <f t="shared" si="68"/>
        <v>0</v>
      </c>
      <c r="CU63" s="54">
        <f t="shared" si="69"/>
        <v>0</v>
      </c>
      <c r="CV63" s="52">
        <f t="shared" si="43"/>
        <v>0</v>
      </c>
    </row>
    <row r="64" spans="1:100" ht="15.75" x14ac:dyDescent="0.25">
      <c r="A64" s="86"/>
      <c r="B64" s="17"/>
      <c r="C64" s="17"/>
      <c r="D64" s="17"/>
      <c r="E64" s="17"/>
      <c r="F64" s="31" t="s">
        <v>3645</v>
      </c>
      <c r="G64" s="76"/>
      <c r="H64" s="76"/>
      <c r="I64" s="76"/>
      <c r="J64" s="76"/>
      <c r="K64" s="76"/>
      <c r="L64" s="76"/>
      <c r="M64" s="76"/>
      <c r="N64" s="76"/>
      <c r="O64" s="76"/>
      <c r="P64" s="76"/>
      <c r="Q64" s="76"/>
      <c r="R64" s="76"/>
      <c r="S64" s="11">
        <f t="shared" si="1"/>
        <v>0</v>
      </c>
      <c r="V64" s="46">
        <f t="shared" si="18"/>
        <v>0</v>
      </c>
      <c r="W64" s="36">
        <v>0</v>
      </c>
      <c r="X64" s="36">
        <v>1.69</v>
      </c>
      <c r="Y64" s="36">
        <v>0</v>
      </c>
      <c r="Z64" s="36">
        <v>1.69</v>
      </c>
      <c r="AA64" s="36">
        <v>1.6900000000000002</v>
      </c>
      <c r="AB64" s="36">
        <v>0</v>
      </c>
      <c r="AC64" s="36">
        <v>0</v>
      </c>
      <c r="AD64" s="36">
        <v>0</v>
      </c>
      <c r="AE64" s="36">
        <v>0</v>
      </c>
      <c r="AF64" s="36">
        <v>0</v>
      </c>
      <c r="AG64" s="36">
        <v>0</v>
      </c>
      <c r="AH64" s="36">
        <v>0</v>
      </c>
      <c r="BH64" s="12">
        <f t="shared" si="2"/>
        <v>0</v>
      </c>
      <c r="BI64" s="12">
        <f t="shared" si="3"/>
        <v>0</v>
      </c>
      <c r="BJ64" s="12">
        <f t="shared" si="4"/>
        <v>0</v>
      </c>
      <c r="BK64" s="12">
        <f t="shared" si="5"/>
        <v>0</v>
      </c>
      <c r="BL64" s="12">
        <f t="shared" si="6"/>
        <v>0</v>
      </c>
      <c r="BM64" s="12">
        <f t="shared" si="7"/>
        <v>0</v>
      </c>
      <c r="BN64" s="12">
        <f t="shared" si="8"/>
        <v>0</v>
      </c>
      <c r="BO64" s="12">
        <f t="shared" si="9"/>
        <v>0</v>
      </c>
      <c r="BP64" s="12">
        <f t="shared" si="10"/>
        <v>0</v>
      </c>
      <c r="BQ64" s="12">
        <f t="shared" si="11"/>
        <v>0</v>
      </c>
      <c r="BR64" s="12">
        <f t="shared" si="44"/>
        <v>0</v>
      </c>
      <c r="BS64" s="12">
        <f t="shared" si="45"/>
        <v>0</v>
      </c>
      <c r="BU64" s="11">
        <f t="shared" si="46"/>
        <v>0</v>
      </c>
      <c r="BV64" s="11">
        <f t="shared" si="47"/>
        <v>0</v>
      </c>
      <c r="BW64" s="11">
        <f t="shared" si="48"/>
        <v>0</v>
      </c>
      <c r="BX64" s="11">
        <f t="shared" si="49"/>
        <v>0</v>
      </c>
      <c r="BY64" s="11">
        <f t="shared" si="50"/>
        <v>0</v>
      </c>
      <c r="BZ64" s="11">
        <f t="shared" si="51"/>
        <v>0</v>
      </c>
      <c r="CA64" s="11">
        <f t="shared" si="52"/>
        <v>0</v>
      </c>
      <c r="CB64" s="11">
        <f t="shared" si="53"/>
        <v>0</v>
      </c>
      <c r="CC64" s="11">
        <f t="shared" si="54"/>
        <v>0</v>
      </c>
      <c r="CD64" s="11">
        <f t="shared" si="55"/>
        <v>0</v>
      </c>
      <c r="CE64" s="11">
        <f t="shared" si="56"/>
        <v>0</v>
      </c>
      <c r="CF64" s="11">
        <f t="shared" si="57"/>
        <v>0</v>
      </c>
      <c r="CG64" s="11"/>
      <c r="CH64" s="41">
        <v>1</v>
      </c>
      <c r="CJ64" s="54">
        <f t="shared" si="58"/>
        <v>0</v>
      </c>
      <c r="CK64" s="54">
        <f t="shared" si="59"/>
        <v>0</v>
      </c>
      <c r="CL64" s="54">
        <f t="shared" si="60"/>
        <v>0</v>
      </c>
      <c r="CM64" s="54">
        <f t="shared" si="61"/>
        <v>0</v>
      </c>
      <c r="CN64" s="54">
        <f t="shared" si="62"/>
        <v>0</v>
      </c>
      <c r="CO64" s="54">
        <f t="shared" si="63"/>
        <v>0</v>
      </c>
      <c r="CP64" s="54">
        <f t="shared" si="64"/>
        <v>0</v>
      </c>
      <c r="CQ64" s="54">
        <f t="shared" si="65"/>
        <v>0</v>
      </c>
      <c r="CR64" s="54">
        <f t="shared" si="66"/>
        <v>0</v>
      </c>
      <c r="CS64" s="54">
        <f t="shared" si="67"/>
        <v>0</v>
      </c>
      <c r="CT64" s="54">
        <f t="shared" si="68"/>
        <v>0</v>
      </c>
      <c r="CU64" s="54">
        <f t="shared" si="69"/>
        <v>0</v>
      </c>
      <c r="CV64" s="52">
        <f t="shared" si="43"/>
        <v>0</v>
      </c>
    </row>
    <row r="65" spans="1:100" ht="15.75" x14ac:dyDescent="0.25">
      <c r="A65" s="86"/>
      <c r="B65" s="17"/>
      <c r="C65" s="17"/>
      <c r="D65" s="17"/>
      <c r="E65" s="17"/>
      <c r="F65" s="31" t="s">
        <v>3645</v>
      </c>
      <c r="G65" s="76"/>
      <c r="H65" s="76"/>
      <c r="I65" s="76"/>
      <c r="J65" s="76"/>
      <c r="K65" s="76"/>
      <c r="L65" s="76"/>
      <c r="M65" s="76"/>
      <c r="N65" s="76"/>
      <c r="O65" s="76"/>
      <c r="P65" s="76"/>
      <c r="Q65" s="76"/>
      <c r="R65" s="76"/>
      <c r="S65" s="11">
        <f t="shared" si="1"/>
        <v>0</v>
      </c>
      <c r="V65" s="46">
        <f t="shared" si="18"/>
        <v>0</v>
      </c>
      <c r="W65" s="36">
        <v>1.84</v>
      </c>
      <c r="X65" s="36">
        <v>0</v>
      </c>
      <c r="Y65" s="36">
        <v>0</v>
      </c>
      <c r="Z65" s="36">
        <v>1.84</v>
      </c>
      <c r="AA65" s="36">
        <v>1.8399999999999999</v>
      </c>
      <c r="AB65" s="36">
        <v>0</v>
      </c>
      <c r="AC65" s="36">
        <v>0</v>
      </c>
      <c r="AD65" s="36">
        <v>0</v>
      </c>
      <c r="AE65" s="36">
        <v>0</v>
      </c>
      <c r="AF65" s="36">
        <v>0</v>
      </c>
      <c r="AG65" s="36">
        <v>0</v>
      </c>
      <c r="AH65" s="36">
        <v>0</v>
      </c>
      <c r="BH65" s="12">
        <f t="shared" si="2"/>
        <v>0</v>
      </c>
      <c r="BI65" s="12">
        <f t="shared" si="3"/>
        <v>0</v>
      </c>
      <c r="BJ65" s="12">
        <f t="shared" si="4"/>
        <v>0</v>
      </c>
      <c r="BK65" s="12">
        <f t="shared" si="5"/>
        <v>0</v>
      </c>
      <c r="BL65" s="12">
        <f t="shared" si="6"/>
        <v>0</v>
      </c>
      <c r="BM65" s="12">
        <f t="shared" si="7"/>
        <v>0</v>
      </c>
      <c r="BN65" s="12">
        <f t="shared" si="8"/>
        <v>0</v>
      </c>
      <c r="BO65" s="12">
        <f t="shared" si="9"/>
        <v>0</v>
      </c>
      <c r="BP65" s="12">
        <f t="shared" si="10"/>
        <v>0</v>
      </c>
      <c r="BQ65" s="12">
        <f t="shared" si="11"/>
        <v>0</v>
      </c>
      <c r="BR65" s="12">
        <f t="shared" si="44"/>
        <v>0</v>
      </c>
      <c r="BS65" s="12">
        <f t="shared" si="45"/>
        <v>0</v>
      </c>
      <c r="BU65" s="11">
        <f t="shared" si="46"/>
        <v>0</v>
      </c>
      <c r="BV65" s="11">
        <f t="shared" si="47"/>
        <v>0</v>
      </c>
      <c r="BW65" s="11">
        <f t="shared" si="48"/>
        <v>0</v>
      </c>
      <c r="BX65" s="11">
        <f t="shared" si="49"/>
        <v>0</v>
      </c>
      <c r="BY65" s="11">
        <f t="shared" si="50"/>
        <v>0</v>
      </c>
      <c r="BZ65" s="11">
        <f t="shared" si="51"/>
        <v>0</v>
      </c>
      <c r="CA65" s="11">
        <f t="shared" si="52"/>
        <v>0</v>
      </c>
      <c r="CB65" s="11">
        <f t="shared" si="53"/>
        <v>0</v>
      </c>
      <c r="CC65" s="11">
        <f t="shared" si="54"/>
        <v>0</v>
      </c>
      <c r="CD65" s="11">
        <f t="shared" si="55"/>
        <v>0</v>
      </c>
      <c r="CE65" s="11">
        <f t="shared" si="56"/>
        <v>0</v>
      </c>
      <c r="CF65" s="11">
        <f t="shared" si="57"/>
        <v>0</v>
      </c>
      <c r="CG65" s="11"/>
      <c r="CH65" s="41">
        <v>1</v>
      </c>
      <c r="CJ65" s="54">
        <f t="shared" si="58"/>
        <v>0</v>
      </c>
      <c r="CK65" s="54">
        <f t="shared" si="59"/>
        <v>0</v>
      </c>
      <c r="CL65" s="54">
        <f t="shared" si="60"/>
        <v>0</v>
      </c>
      <c r="CM65" s="54">
        <f t="shared" si="61"/>
        <v>0</v>
      </c>
      <c r="CN65" s="54">
        <f t="shared" si="62"/>
        <v>0</v>
      </c>
      <c r="CO65" s="54">
        <f t="shared" si="63"/>
        <v>0</v>
      </c>
      <c r="CP65" s="54">
        <f t="shared" si="64"/>
        <v>0</v>
      </c>
      <c r="CQ65" s="54">
        <f t="shared" si="65"/>
        <v>0</v>
      </c>
      <c r="CR65" s="54">
        <f t="shared" si="66"/>
        <v>0</v>
      </c>
      <c r="CS65" s="54">
        <f t="shared" si="67"/>
        <v>0</v>
      </c>
      <c r="CT65" s="54">
        <f t="shared" si="68"/>
        <v>0</v>
      </c>
      <c r="CU65" s="54">
        <f t="shared" si="69"/>
        <v>0</v>
      </c>
      <c r="CV65" s="52">
        <f t="shared" si="43"/>
        <v>0</v>
      </c>
    </row>
    <row r="66" spans="1:100" ht="15.75" x14ac:dyDescent="0.25">
      <c r="A66" s="86"/>
      <c r="B66" s="17"/>
      <c r="C66" s="17"/>
      <c r="D66" s="17"/>
      <c r="E66" s="17"/>
      <c r="F66" s="31" t="s">
        <v>3645</v>
      </c>
      <c r="G66" s="76"/>
      <c r="H66" s="76"/>
      <c r="I66" s="76"/>
      <c r="J66" s="76"/>
      <c r="K66" s="76"/>
      <c r="L66" s="76"/>
      <c r="M66" s="76"/>
      <c r="N66" s="76"/>
      <c r="O66" s="76"/>
      <c r="P66" s="76"/>
      <c r="Q66" s="76"/>
      <c r="R66" s="76"/>
      <c r="S66" s="11">
        <f t="shared" si="1"/>
        <v>0</v>
      </c>
      <c r="V66" s="46">
        <f t="shared" si="18"/>
        <v>0</v>
      </c>
      <c r="W66" s="36">
        <v>0</v>
      </c>
      <c r="X66" s="36"/>
      <c r="Y66" s="36"/>
      <c r="Z66" s="36"/>
      <c r="AA66" s="36"/>
      <c r="AB66" s="36"/>
      <c r="AC66" s="36"/>
      <c r="AD66" s="36"/>
      <c r="AE66" s="36"/>
      <c r="AF66" s="36"/>
      <c r="AG66" s="36"/>
      <c r="AH66" s="36"/>
      <c r="BH66" s="12">
        <f t="shared" si="2"/>
        <v>0</v>
      </c>
      <c r="BI66" s="12">
        <f t="shared" si="3"/>
        <v>0</v>
      </c>
      <c r="BJ66" s="12">
        <f t="shared" si="4"/>
        <v>0</v>
      </c>
      <c r="BK66" s="12">
        <f t="shared" si="5"/>
        <v>0</v>
      </c>
      <c r="BL66" s="12">
        <f t="shared" si="6"/>
        <v>0</v>
      </c>
      <c r="BM66" s="12">
        <f t="shared" si="7"/>
        <v>0</v>
      </c>
      <c r="BN66" s="12">
        <f t="shared" si="8"/>
        <v>0</v>
      </c>
      <c r="BO66" s="12">
        <f t="shared" si="9"/>
        <v>0</v>
      </c>
      <c r="BP66" s="12">
        <f t="shared" si="10"/>
        <v>0</v>
      </c>
      <c r="BQ66" s="12">
        <f t="shared" si="11"/>
        <v>0</v>
      </c>
      <c r="BR66" s="12">
        <f t="shared" si="44"/>
        <v>0</v>
      </c>
      <c r="BS66" s="12">
        <f t="shared" si="45"/>
        <v>0</v>
      </c>
      <c r="BU66" s="11">
        <f t="shared" si="46"/>
        <v>0</v>
      </c>
      <c r="BV66" s="11">
        <f t="shared" si="47"/>
        <v>0</v>
      </c>
      <c r="BW66" s="11">
        <f t="shared" si="48"/>
        <v>0</v>
      </c>
      <c r="BX66" s="11">
        <f t="shared" si="49"/>
        <v>0</v>
      </c>
      <c r="BY66" s="11">
        <f t="shared" si="50"/>
        <v>0</v>
      </c>
      <c r="BZ66" s="11">
        <f t="shared" si="51"/>
        <v>0</v>
      </c>
      <c r="CA66" s="11">
        <f t="shared" si="52"/>
        <v>0</v>
      </c>
      <c r="CB66" s="11">
        <f t="shared" si="53"/>
        <v>0</v>
      </c>
      <c r="CC66" s="11">
        <f t="shared" si="54"/>
        <v>0</v>
      </c>
      <c r="CD66" s="11">
        <f t="shared" si="55"/>
        <v>0</v>
      </c>
      <c r="CE66" s="11">
        <f t="shared" si="56"/>
        <v>0</v>
      </c>
      <c r="CF66" s="11">
        <f t="shared" si="57"/>
        <v>0</v>
      </c>
      <c r="CG66" s="11"/>
      <c r="CH66" s="41">
        <v>1</v>
      </c>
      <c r="CJ66" s="54">
        <f t="shared" si="58"/>
        <v>0</v>
      </c>
      <c r="CK66" s="54">
        <f t="shared" si="59"/>
        <v>0</v>
      </c>
      <c r="CL66" s="54">
        <f t="shared" si="60"/>
        <v>0</v>
      </c>
      <c r="CM66" s="54">
        <f t="shared" si="61"/>
        <v>0</v>
      </c>
      <c r="CN66" s="54">
        <f t="shared" si="62"/>
        <v>0</v>
      </c>
      <c r="CO66" s="54">
        <f t="shared" si="63"/>
        <v>0</v>
      </c>
      <c r="CP66" s="54">
        <f t="shared" si="64"/>
        <v>0</v>
      </c>
      <c r="CQ66" s="54">
        <f t="shared" si="65"/>
        <v>0</v>
      </c>
      <c r="CR66" s="54">
        <f t="shared" si="66"/>
        <v>0</v>
      </c>
      <c r="CS66" s="54">
        <f t="shared" si="67"/>
        <v>0</v>
      </c>
      <c r="CT66" s="54">
        <f t="shared" si="68"/>
        <v>0</v>
      </c>
      <c r="CU66" s="54">
        <f t="shared" si="69"/>
        <v>0</v>
      </c>
      <c r="CV66" s="52">
        <f t="shared" si="43"/>
        <v>0</v>
      </c>
    </row>
    <row r="67" spans="1:100" ht="15.75" x14ac:dyDescent="0.25">
      <c r="A67" s="17"/>
      <c r="B67" s="17"/>
      <c r="C67" s="17"/>
      <c r="D67" s="17"/>
      <c r="E67" s="17"/>
      <c r="F67" s="31" t="s">
        <v>19</v>
      </c>
      <c r="G67" s="75"/>
      <c r="H67" s="76"/>
      <c r="I67" s="76"/>
      <c r="J67" s="76"/>
      <c r="K67" s="76"/>
      <c r="L67" s="76"/>
      <c r="M67" s="76"/>
      <c r="N67" s="76"/>
      <c r="O67" s="76"/>
      <c r="P67" s="76"/>
      <c r="Q67" s="76"/>
      <c r="R67" s="76"/>
      <c r="S67" s="11">
        <f t="shared" si="1"/>
        <v>0</v>
      </c>
      <c r="T67" s="8">
        <f t="shared" ref="T67:T91" si="70">IFERROR((S17-S67)/S67,0)</f>
        <v>0</v>
      </c>
      <c r="U67" s="13" t="s">
        <v>3628</v>
      </c>
      <c r="V67" s="46">
        <f t="shared" si="18"/>
        <v>0</v>
      </c>
      <c r="W67" s="36">
        <v>3.766</v>
      </c>
      <c r="X67" s="36">
        <v>3.766</v>
      </c>
      <c r="Y67" s="36">
        <v>3.766</v>
      </c>
      <c r="Z67" s="36">
        <v>3.766</v>
      </c>
      <c r="AA67" s="36">
        <v>3.766</v>
      </c>
      <c r="AB67" s="36">
        <v>3.766</v>
      </c>
      <c r="AC67" s="36">
        <v>3.766</v>
      </c>
      <c r="AD67" s="36">
        <v>3.766</v>
      </c>
      <c r="AE67" s="36">
        <v>3.766</v>
      </c>
      <c r="AF67" s="36">
        <v>3.766</v>
      </c>
      <c r="AG67" s="36">
        <v>3.766</v>
      </c>
      <c r="AH67" s="36">
        <v>3.766</v>
      </c>
      <c r="AI67" s="39">
        <v>1.33634708931066E-2</v>
      </c>
      <c r="AJ67" s="39">
        <v>1.33634708931066E-2</v>
      </c>
      <c r="AK67" s="39">
        <v>1.33634708931066E-2</v>
      </c>
      <c r="AL67" s="39">
        <v>1.33634708931066E-2</v>
      </c>
      <c r="AM67" s="39">
        <v>1.33634708931066E-2</v>
      </c>
      <c r="AN67" s="39">
        <v>1.33634708931066E-2</v>
      </c>
      <c r="AO67" s="39">
        <v>1.33634708931066E-2</v>
      </c>
      <c r="AP67" s="39">
        <v>1.33634708931066E-2</v>
      </c>
      <c r="AQ67" s="39">
        <v>1.33634708931066E-2</v>
      </c>
      <c r="AR67" s="39">
        <v>1.33634708931066E-2</v>
      </c>
      <c r="AS67" s="39">
        <v>1.33634708931066E-2</v>
      </c>
      <c r="AT67" s="39">
        <v>1.33634708931066E-2</v>
      </c>
      <c r="AU67" s="39">
        <v>1.2392217523121999E-3</v>
      </c>
      <c r="AV67" s="39">
        <v>1.2392217523121999E-3</v>
      </c>
      <c r="AW67" s="39">
        <v>1.2392217523121999E-3</v>
      </c>
      <c r="AX67" s="39">
        <v>1.2392217523121999E-3</v>
      </c>
      <c r="AY67" s="39">
        <v>1.2392217523121999E-3</v>
      </c>
      <c r="AZ67" s="39">
        <v>1.2392217523121999E-3</v>
      </c>
      <c r="BA67" s="39">
        <v>1.2392217523121999E-3</v>
      </c>
      <c r="BB67" s="39">
        <v>1.2392217523121999E-3</v>
      </c>
      <c r="BC67" s="39">
        <v>1.2392217523121999E-3</v>
      </c>
      <c r="BD67" s="39">
        <v>1.2392217523121999E-3</v>
      </c>
      <c r="BE67" s="39">
        <v>1.2392217523121999E-3</v>
      </c>
      <c r="BF67" s="39">
        <v>1.2392217523121999E-3</v>
      </c>
      <c r="BH67" s="12">
        <f t="shared" si="2"/>
        <v>0</v>
      </c>
      <c r="BI67" s="12">
        <f t="shared" si="3"/>
        <v>0</v>
      </c>
      <c r="BJ67" s="12">
        <f t="shared" si="4"/>
        <v>0</v>
      </c>
      <c r="BK67" s="12">
        <f t="shared" si="5"/>
        <v>0</v>
      </c>
      <c r="BL67" s="12">
        <f t="shared" si="6"/>
        <v>0</v>
      </c>
      <c r="BM67" s="12">
        <f t="shared" si="7"/>
        <v>0</v>
      </c>
      <c r="BN67" s="12">
        <f t="shared" si="8"/>
        <v>0</v>
      </c>
      <c r="BO67" s="12">
        <f t="shared" si="9"/>
        <v>0</v>
      </c>
      <c r="BP67" s="12">
        <f t="shared" si="10"/>
        <v>0</v>
      </c>
      <c r="BQ67" s="12">
        <f t="shared" si="11"/>
        <v>0</v>
      </c>
      <c r="BR67" s="12">
        <f t="shared" si="12"/>
        <v>0</v>
      </c>
      <c r="BS67" s="12">
        <f t="shared" si="13"/>
        <v>0</v>
      </c>
      <c r="BU67" s="11">
        <f t="shared" si="19"/>
        <v>0</v>
      </c>
      <c r="BV67" s="11">
        <f t="shared" si="20"/>
        <v>0</v>
      </c>
      <c r="BW67" s="11">
        <f t="shared" si="21"/>
        <v>0</v>
      </c>
      <c r="BX67" s="11">
        <f t="shared" si="22"/>
        <v>0</v>
      </c>
      <c r="BY67" s="11">
        <f t="shared" si="23"/>
        <v>0</v>
      </c>
      <c r="BZ67" s="11">
        <f t="shared" si="24"/>
        <v>0</v>
      </c>
      <c r="CA67" s="11">
        <f t="shared" si="25"/>
        <v>0</v>
      </c>
      <c r="CB67" s="11">
        <f t="shared" si="26"/>
        <v>0</v>
      </c>
      <c r="CC67" s="11">
        <f t="shared" si="27"/>
        <v>0</v>
      </c>
      <c r="CD67" s="11">
        <f t="shared" si="28"/>
        <v>0</v>
      </c>
      <c r="CE67" s="11">
        <f t="shared" si="29"/>
        <v>0</v>
      </c>
      <c r="CF67" s="11">
        <f t="shared" si="30"/>
        <v>0</v>
      </c>
      <c r="CG67" s="11"/>
      <c r="CH67" s="41">
        <v>3.2330000000000001</v>
      </c>
      <c r="CJ67" s="54">
        <f t="shared" si="31"/>
        <v>0</v>
      </c>
      <c r="CK67" s="54">
        <f t="shared" si="32"/>
        <v>0</v>
      </c>
      <c r="CL67" s="54">
        <f t="shared" si="33"/>
        <v>0</v>
      </c>
      <c r="CM67" s="54">
        <f t="shared" si="34"/>
        <v>0</v>
      </c>
      <c r="CN67" s="54">
        <f t="shared" si="35"/>
        <v>0</v>
      </c>
      <c r="CO67" s="54">
        <f t="shared" si="36"/>
        <v>0</v>
      </c>
      <c r="CP67" s="54">
        <f t="shared" si="37"/>
        <v>0</v>
      </c>
      <c r="CQ67" s="54">
        <f t="shared" si="38"/>
        <v>0</v>
      </c>
      <c r="CR67" s="54">
        <f t="shared" si="39"/>
        <v>0</v>
      </c>
      <c r="CS67" s="54">
        <f t="shared" si="40"/>
        <v>0</v>
      </c>
      <c r="CT67" s="54">
        <f t="shared" si="41"/>
        <v>0</v>
      </c>
      <c r="CU67" s="54">
        <f t="shared" si="42"/>
        <v>0</v>
      </c>
      <c r="CV67" s="52">
        <f t="shared" si="43"/>
        <v>0</v>
      </c>
    </row>
    <row r="68" spans="1:100" ht="15.75" x14ac:dyDescent="0.25">
      <c r="A68" s="17"/>
      <c r="B68" s="17"/>
      <c r="C68" s="17"/>
      <c r="D68" s="17"/>
      <c r="E68" s="17"/>
      <c r="F68" s="31" t="s">
        <v>19</v>
      </c>
      <c r="G68" s="75"/>
      <c r="H68" s="76"/>
      <c r="I68" s="76"/>
      <c r="J68" s="76"/>
      <c r="K68" s="76"/>
      <c r="L68" s="76"/>
      <c r="M68" s="76"/>
      <c r="N68" s="76"/>
      <c r="O68" s="76"/>
      <c r="P68" s="76"/>
      <c r="Q68" s="76"/>
      <c r="R68" s="76"/>
      <c r="S68" s="11">
        <f t="shared" si="1"/>
        <v>0</v>
      </c>
      <c r="T68" s="8">
        <f t="shared" si="70"/>
        <v>0</v>
      </c>
      <c r="U68" s="13" t="s">
        <v>3628</v>
      </c>
      <c r="V68" s="46">
        <f t="shared" si="18"/>
        <v>0</v>
      </c>
      <c r="W68" s="36">
        <v>0.94</v>
      </c>
      <c r="X68" s="36">
        <v>0.94</v>
      </c>
      <c r="Y68" s="36">
        <v>0.94</v>
      </c>
      <c r="Z68" s="36">
        <v>0.94</v>
      </c>
      <c r="AA68" s="36">
        <v>0.94</v>
      </c>
      <c r="AB68" s="36">
        <v>0.94</v>
      </c>
      <c r="AC68" s="36">
        <v>0.94</v>
      </c>
      <c r="AD68" s="36">
        <v>0.94</v>
      </c>
      <c r="AE68" s="36">
        <v>0.94</v>
      </c>
      <c r="AF68" s="36">
        <v>0.94</v>
      </c>
      <c r="AG68" s="36">
        <v>0.94</v>
      </c>
      <c r="AH68" s="36">
        <v>0.94</v>
      </c>
      <c r="AI68" s="39">
        <v>1.33634708931066E-2</v>
      </c>
      <c r="AJ68" s="39">
        <v>1.33634708931066E-2</v>
      </c>
      <c r="AK68" s="39">
        <v>1.33634708931066E-2</v>
      </c>
      <c r="AL68" s="39">
        <v>1.33634708931066E-2</v>
      </c>
      <c r="AM68" s="39">
        <v>1.33634708931066E-2</v>
      </c>
      <c r="AN68" s="39">
        <v>1.33634708931066E-2</v>
      </c>
      <c r="AO68" s="39">
        <v>1.33634708931066E-2</v>
      </c>
      <c r="AP68" s="39">
        <v>1.33634708931066E-2</v>
      </c>
      <c r="AQ68" s="39">
        <v>1.33634708931066E-2</v>
      </c>
      <c r="AR68" s="39">
        <v>1.33634708931066E-2</v>
      </c>
      <c r="AS68" s="39">
        <v>1.33634708931066E-2</v>
      </c>
      <c r="AT68" s="39">
        <v>1.33634708931066E-2</v>
      </c>
      <c r="AU68" s="39">
        <v>1.2392217523121999E-3</v>
      </c>
      <c r="AV68" s="39">
        <v>1.2392217523121999E-3</v>
      </c>
      <c r="AW68" s="39">
        <v>1.2392217523121999E-3</v>
      </c>
      <c r="AX68" s="39">
        <v>1.2392217523121999E-3</v>
      </c>
      <c r="AY68" s="39">
        <v>1.2392217523121999E-3</v>
      </c>
      <c r="AZ68" s="39">
        <v>1.2392217523121999E-3</v>
      </c>
      <c r="BA68" s="39">
        <v>1.2392217523121999E-3</v>
      </c>
      <c r="BB68" s="39">
        <v>1.2392217523121999E-3</v>
      </c>
      <c r="BC68" s="39">
        <v>1.2392217523121999E-3</v>
      </c>
      <c r="BD68" s="39">
        <v>1.2392217523121999E-3</v>
      </c>
      <c r="BE68" s="39">
        <v>1.2392217523121999E-3</v>
      </c>
      <c r="BF68" s="39">
        <v>1.2392217523121999E-3</v>
      </c>
      <c r="BH68" s="12">
        <f t="shared" si="2"/>
        <v>0</v>
      </c>
      <c r="BI68" s="12">
        <f t="shared" si="3"/>
        <v>0</v>
      </c>
      <c r="BJ68" s="12">
        <f t="shared" si="4"/>
        <v>0</v>
      </c>
      <c r="BK68" s="12">
        <f t="shared" si="5"/>
        <v>0</v>
      </c>
      <c r="BL68" s="12">
        <f t="shared" si="6"/>
        <v>0</v>
      </c>
      <c r="BM68" s="12">
        <f t="shared" si="7"/>
        <v>0</v>
      </c>
      <c r="BN68" s="12">
        <f t="shared" si="8"/>
        <v>0</v>
      </c>
      <c r="BO68" s="12">
        <f t="shared" si="9"/>
        <v>0</v>
      </c>
      <c r="BP68" s="12">
        <f t="shared" si="10"/>
        <v>0</v>
      </c>
      <c r="BQ68" s="12">
        <f t="shared" si="11"/>
        <v>0</v>
      </c>
      <c r="BR68" s="12">
        <f t="shared" si="12"/>
        <v>0</v>
      </c>
      <c r="BS68" s="12">
        <f t="shared" si="13"/>
        <v>0</v>
      </c>
      <c r="BU68" s="11">
        <f t="shared" si="19"/>
        <v>0</v>
      </c>
      <c r="BV68" s="11">
        <f t="shared" si="20"/>
        <v>0</v>
      </c>
      <c r="BW68" s="11">
        <f t="shared" si="21"/>
        <v>0</v>
      </c>
      <c r="BX68" s="11">
        <f t="shared" si="22"/>
        <v>0</v>
      </c>
      <c r="BY68" s="11">
        <f t="shared" si="23"/>
        <v>0</v>
      </c>
      <c r="BZ68" s="11">
        <f t="shared" si="24"/>
        <v>0</v>
      </c>
      <c r="CA68" s="11">
        <f t="shared" si="25"/>
        <v>0</v>
      </c>
      <c r="CB68" s="11">
        <f t="shared" si="26"/>
        <v>0</v>
      </c>
      <c r="CC68" s="11">
        <f t="shared" si="27"/>
        <v>0</v>
      </c>
      <c r="CD68" s="11">
        <f t="shared" si="28"/>
        <v>0</v>
      </c>
      <c r="CE68" s="11">
        <f t="shared" si="29"/>
        <v>0</v>
      </c>
      <c r="CF68" s="11">
        <f t="shared" si="30"/>
        <v>0</v>
      </c>
      <c r="CG68" s="11"/>
      <c r="CH68" s="41">
        <v>3.2330000000000001</v>
      </c>
      <c r="CJ68" s="54">
        <f t="shared" si="31"/>
        <v>0</v>
      </c>
      <c r="CK68" s="54">
        <f t="shared" si="32"/>
        <v>0</v>
      </c>
      <c r="CL68" s="54">
        <f t="shared" si="33"/>
        <v>0</v>
      </c>
      <c r="CM68" s="54">
        <f t="shared" si="34"/>
        <v>0</v>
      </c>
      <c r="CN68" s="54">
        <f t="shared" si="35"/>
        <v>0</v>
      </c>
      <c r="CO68" s="54">
        <f t="shared" si="36"/>
        <v>0</v>
      </c>
      <c r="CP68" s="54">
        <f t="shared" si="37"/>
        <v>0</v>
      </c>
      <c r="CQ68" s="54">
        <f t="shared" si="38"/>
        <v>0</v>
      </c>
      <c r="CR68" s="54">
        <f t="shared" si="39"/>
        <v>0</v>
      </c>
      <c r="CS68" s="54">
        <f t="shared" si="40"/>
        <v>0</v>
      </c>
      <c r="CT68" s="54">
        <f t="shared" si="41"/>
        <v>0</v>
      </c>
      <c r="CU68" s="54">
        <f t="shared" si="42"/>
        <v>0</v>
      </c>
      <c r="CV68" s="52">
        <f t="shared" si="43"/>
        <v>0</v>
      </c>
    </row>
    <row r="69" spans="1:100" ht="15.75" x14ac:dyDescent="0.25">
      <c r="A69" s="17"/>
      <c r="B69" s="17"/>
      <c r="C69" s="17"/>
      <c r="D69" s="17"/>
      <c r="E69" s="17"/>
      <c r="F69" s="31" t="s">
        <v>19</v>
      </c>
      <c r="G69" s="75"/>
      <c r="H69" s="76"/>
      <c r="I69" s="76"/>
      <c r="J69" s="76"/>
      <c r="K69" s="76"/>
      <c r="L69" s="76"/>
      <c r="M69" s="76"/>
      <c r="N69" s="76"/>
      <c r="O69" s="76"/>
      <c r="P69" s="76"/>
      <c r="Q69" s="76"/>
      <c r="R69" s="76"/>
      <c r="S69" s="11">
        <f t="shared" si="1"/>
        <v>0</v>
      </c>
      <c r="T69" s="8">
        <f t="shared" si="70"/>
        <v>0</v>
      </c>
      <c r="U69" s="13" t="s">
        <v>3628</v>
      </c>
      <c r="V69" s="46">
        <f t="shared" si="18"/>
        <v>0</v>
      </c>
      <c r="W69" s="36">
        <v>1.75</v>
      </c>
      <c r="X69" s="36">
        <v>1.75</v>
      </c>
      <c r="Y69" s="36">
        <v>1.75</v>
      </c>
      <c r="Z69" s="36">
        <v>1.75</v>
      </c>
      <c r="AA69" s="36">
        <v>1.75</v>
      </c>
      <c r="AB69" s="36">
        <v>1.75</v>
      </c>
      <c r="AC69" s="36">
        <v>1.75</v>
      </c>
      <c r="AD69" s="36">
        <v>1.75</v>
      </c>
      <c r="AE69" s="36">
        <v>1.75</v>
      </c>
      <c r="AF69" s="36">
        <v>1.75</v>
      </c>
      <c r="AG69" s="36">
        <v>1.75</v>
      </c>
      <c r="AH69" s="36">
        <v>1.75</v>
      </c>
      <c r="AI69" s="39">
        <v>1.33634708931066E-2</v>
      </c>
      <c r="AJ69" s="39">
        <v>1.33634708931066E-2</v>
      </c>
      <c r="AK69" s="39">
        <v>1.33634708931066E-2</v>
      </c>
      <c r="AL69" s="39">
        <v>1.33634708931066E-2</v>
      </c>
      <c r="AM69" s="39">
        <v>1.33634708931066E-2</v>
      </c>
      <c r="AN69" s="39">
        <v>1.33634708931066E-2</v>
      </c>
      <c r="AO69" s="39">
        <v>1.33634708931066E-2</v>
      </c>
      <c r="AP69" s="39">
        <v>1.33634708931066E-2</v>
      </c>
      <c r="AQ69" s="39">
        <v>1.33634708931066E-2</v>
      </c>
      <c r="AR69" s="39">
        <v>1.33634708931066E-2</v>
      </c>
      <c r="AS69" s="39">
        <v>1.33634708931066E-2</v>
      </c>
      <c r="AT69" s="39">
        <v>1.33634708931066E-2</v>
      </c>
      <c r="AU69" s="39">
        <v>1.2392217523121999E-3</v>
      </c>
      <c r="AV69" s="39">
        <v>1.2392217523121999E-3</v>
      </c>
      <c r="AW69" s="39">
        <v>1.2392217523121999E-3</v>
      </c>
      <c r="AX69" s="39">
        <v>1.2392217523121999E-3</v>
      </c>
      <c r="AY69" s="39">
        <v>1.2392217523121999E-3</v>
      </c>
      <c r="AZ69" s="39">
        <v>1.2392217523121999E-3</v>
      </c>
      <c r="BA69" s="39">
        <v>1.2392217523121999E-3</v>
      </c>
      <c r="BB69" s="39">
        <v>1.2392217523121999E-3</v>
      </c>
      <c r="BC69" s="39">
        <v>1.2392217523121999E-3</v>
      </c>
      <c r="BD69" s="39">
        <v>1.2392217523121999E-3</v>
      </c>
      <c r="BE69" s="39">
        <v>1.2392217523121999E-3</v>
      </c>
      <c r="BF69" s="39">
        <v>1.2392217523121999E-3</v>
      </c>
      <c r="BH69" s="12">
        <f t="shared" si="2"/>
        <v>0</v>
      </c>
      <c r="BI69" s="12">
        <f t="shared" si="3"/>
        <v>0</v>
      </c>
      <c r="BJ69" s="12">
        <f t="shared" si="4"/>
        <v>0</v>
      </c>
      <c r="BK69" s="12">
        <f t="shared" si="5"/>
        <v>0</v>
      </c>
      <c r="BL69" s="12">
        <f t="shared" si="6"/>
        <v>0</v>
      </c>
      <c r="BM69" s="12">
        <f t="shared" si="7"/>
        <v>0</v>
      </c>
      <c r="BN69" s="12">
        <f t="shared" si="8"/>
        <v>0</v>
      </c>
      <c r="BO69" s="12">
        <f t="shared" si="9"/>
        <v>0</v>
      </c>
      <c r="BP69" s="12">
        <f t="shared" si="10"/>
        <v>0</v>
      </c>
      <c r="BQ69" s="12">
        <f t="shared" si="11"/>
        <v>0</v>
      </c>
      <c r="BR69" s="12">
        <f t="shared" si="12"/>
        <v>0</v>
      </c>
      <c r="BS69" s="12">
        <f t="shared" si="13"/>
        <v>0</v>
      </c>
      <c r="BU69" s="11">
        <f t="shared" si="19"/>
        <v>0</v>
      </c>
      <c r="BV69" s="11">
        <f t="shared" si="20"/>
        <v>0</v>
      </c>
      <c r="BW69" s="11">
        <f t="shared" si="21"/>
        <v>0</v>
      </c>
      <c r="BX69" s="11">
        <f t="shared" si="22"/>
        <v>0</v>
      </c>
      <c r="BY69" s="11">
        <f t="shared" si="23"/>
        <v>0</v>
      </c>
      <c r="BZ69" s="11">
        <f t="shared" si="24"/>
        <v>0</v>
      </c>
      <c r="CA69" s="11">
        <f t="shared" si="25"/>
        <v>0</v>
      </c>
      <c r="CB69" s="11">
        <f t="shared" si="26"/>
        <v>0</v>
      </c>
      <c r="CC69" s="11">
        <f t="shared" si="27"/>
        <v>0</v>
      </c>
      <c r="CD69" s="11">
        <f t="shared" si="28"/>
        <v>0</v>
      </c>
      <c r="CE69" s="11">
        <f t="shared" si="29"/>
        <v>0</v>
      </c>
      <c r="CF69" s="11">
        <f t="shared" si="30"/>
        <v>0</v>
      </c>
      <c r="CG69" s="11"/>
      <c r="CH69" s="41">
        <v>3.2330000000000001</v>
      </c>
      <c r="CJ69" s="54">
        <f t="shared" si="31"/>
        <v>0</v>
      </c>
      <c r="CK69" s="54">
        <f t="shared" si="32"/>
        <v>0</v>
      </c>
      <c r="CL69" s="54">
        <f t="shared" si="33"/>
        <v>0</v>
      </c>
      <c r="CM69" s="54">
        <f t="shared" si="34"/>
        <v>0</v>
      </c>
      <c r="CN69" s="54">
        <f t="shared" si="35"/>
        <v>0</v>
      </c>
      <c r="CO69" s="54">
        <f t="shared" si="36"/>
        <v>0</v>
      </c>
      <c r="CP69" s="54">
        <f t="shared" si="37"/>
        <v>0</v>
      </c>
      <c r="CQ69" s="54">
        <f t="shared" si="38"/>
        <v>0</v>
      </c>
      <c r="CR69" s="54">
        <f t="shared" si="39"/>
        <v>0</v>
      </c>
      <c r="CS69" s="54">
        <f t="shared" si="40"/>
        <v>0</v>
      </c>
      <c r="CT69" s="54">
        <f t="shared" si="41"/>
        <v>0</v>
      </c>
      <c r="CU69" s="54">
        <f t="shared" si="42"/>
        <v>0</v>
      </c>
      <c r="CV69" s="52">
        <f t="shared" si="43"/>
        <v>0</v>
      </c>
    </row>
    <row r="70" spans="1:100" ht="15.75" x14ac:dyDescent="0.25">
      <c r="A70" s="17"/>
      <c r="B70" s="17"/>
      <c r="C70" s="17"/>
      <c r="D70" s="17"/>
      <c r="E70" s="17"/>
      <c r="F70" s="31" t="s">
        <v>19</v>
      </c>
      <c r="G70" s="75"/>
      <c r="H70" s="76"/>
      <c r="I70" s="76"/>
      <c r="J70" s="76"/>
      <c r="K70" s="76"/>
      <c r="L70" s="76"/>
      <c r="M70" s="76"/>
      <c r="N70" s="76"/>
      <c r="O70" s="76"/>
      <c r="P70" s="76"/>
      <c r="Q70" s="76"/>
      <c r="R70" s="76"/>
      <c r="S70" s="11">
        <f t="shared" si="1"/>
        <v>0</v>
      </c>
      <c r="T70" s="8">
        <f t="shared" si="70"/>
        <v>0</v>
      </c>
      <c r="U70" s="13" t="s">
        <v>3628</v>
      </c>
      <c r="V70" s="46">
        <f t="shared" si="18"/>
        <v>0</v>
      </c>
      <c r="W70" s="36">
        <v>1.82</v>
      </c>
      <c r="X70" s="36">
        <v>1.82</v>
      </c>
      <c r="Y70" s="36">
        <v>2.367</v>
      </c>
      <c r="Z70" s="36">
        <v>2.367</v>
      </c>
      <c r="AA70" s="36">
        <v>2.367</v>
      </c>
      <c r="AB70" s="36">
        <v>2.367</v>
      </c>
      <c r="AC70" s="36">
        <v>2.367</v>
      </c>
      <c r="AD70" s="36">
        <v>2.367</v>
      </c>
      <c r="AE70" s="36">
        <v>2.367</v>
      </c>
      <c r="AF70" s="36">
        <v>2.367</v>
      </c>
      <c r="AG70" s="36">
        <v>2.367</v>
      </c>
      <c r="AH70" s="36">
        <v>2.367</v>
      </c>
      <c r="AI70" s="39">
        <v>1.33634708931066E-2</v>
      </c>
      <c r="AJ70" s="39">
        <v>1.33634708931066E-2</v>
      </c>
      <c r="AK70" s="39">
        <v>1.33634708931066E-2</v>
      </c>
      <c r="AL70" s="39">
        <v>1.33634708931066E-2</v>
      </c>
      <c r="AM70" s="39">
        <v>1.33634708931066E-2</v>
      </c>
      <c r="AN70" s="39">
        <v>1.33634708931066E-2</v>
      </c>
      <c r="AO70" s="39">
        <v>1.33634708931066E-2</v>
      </c>
      <c r="AP70" s="39">
        <v>1.33634708931066E-2</v>
      </c>
      <c r="AQ70" s="39">
        <v>1.33634708931066E-2</v>
      </c>
      <c r="AR70" s="39">
        <v>1.33634708931066E-2</v>
      </c>
      <c r="AS70" s="39">
        <v>1.33634708931066E-2</v>
      </c>
      <c r="AT70" s="39">
        <v>1.33634708931066E-2</v>
      </c>
      <c r="AU70" s="39">
        <v>1.2392217523121999E-3</v>
      </c>
      <c r="AV70" s="39">
        <v>1.2392217523121999E-3</v>
      </c>
      <c r="AW70" s="39">
        <v>1.2392217523121999E-3</v>
      </c>
      <c r="AX70" s="39">
        <v>1.2392217523121999E-3</v>
      </c>
      <c r="AY70" s="39">
        <v>1.2392217523121999E-3</v>
      </c>
      <c r="AZ70" s="39">
        <v>1.2392217523121999E-3</v>
      </c>
      <c r="BA70" s="39">
        <v>1.2392217523121999E-3</v>
      </c>
      <c r="BB70" s="39">
        <v>1.2392217523121999E-3</v>
      </c>
      <c r="BC70" s="39">
        <v>1.2392217523121999E-3</v>
      </c>
      <c r="BD70" s="39">
        <v>1.2392217523121999E-3</v>
      </c>
      <c r="BE70" s="39">
        <v>1.2392217523121999E-3</v>
      </c>
      <c r="BF70" s="39">
        <v>1.2392217523121999E-3</v>
      </c>
      <c r="BH70" s="12">
        <f t="shared" si="2"/>
        <v>0</v>
      </c>
      <c r="BI70" s="12">
        <f t="shared" si="3"/>
        <v>0</v>
      </c>
      <c r="BJ70" s="12">
        <f t="shared" si="4"/>
        <v>0</v>
      </c>
      <c r="BK70" s="12">
        <f t="shared" si="5"/>
        <v>0</v>
      </c>
      <c r="BL70" s="12">
        <f t="shared" si="6"/>
        <v>0</v>
      </c>
      <c r="BM70" s="12">
        <f t="shared" si="7"/>
        <v>0</v>
      </c>
      <c r="BN70" s="12">
        <f t="shared" si="8"/>
        <v>0</v>
      </c>
      <c r="BO70" s="12">
        <f t="shared" si="9"/>
        <v>0</v>
      </c>
      <c r="BP70" s="12">
        <f t="shared" si="10"/>
        <v>0</v>
      </c>
      <c r="BQ70" s="12">
        <f t="shared" si="11"/>
        <v>0</v>
      </c>
      <c r="BR70" s="12">
        <f t="shared" si="12"/>
        <v>0</v>
      </c>
      <c r="BS70" s="12">
        <f t="shared" si="13"/>
        <v>0</v>
      </c>
      <c r="BU70" s="11">
        <f t="shared" si="19"/>
        <v>0</v>
      </c>
      <c r="BV70" s="11">
        <f t="shared" si="20"/>
        <v>0</v>
      </c>
      <c r="BW70" s="11">
        <f t="shared" si="21"/>
        <v>0</v>
      </c>
      <c r="BX70" s="11">
        <f t="shared" si="22"/>
        <v>0</v>
      </c>
      <c r="BY70" s="11">
        <f t="shared" si="23"/>
        <v>0</v>
      </c>
      <c r="BZ70" s="11">
        <f t="shared" si="24"/>
        <v>0</v>
      </c>
      <c r="CA70" s="11">
        <f t="shared" si="25"/>
        <v>0</v>
      </c>
      <c r="CB70" s="11">
        <f t="shared" si="26"/>
        <v>0</v>
      </c>
      <c r="CC70" s="11">
        <f t="shared" si="27"/>
        <v>0</v>
      </c>
      <c r="CD70" s="11">
        <f t="shared" si="28"/>
        <v>0</v>
      </c>
      <c r="CE70" s="11">
        <f t="shared" si="29"/>
        <v>0</v>
      </c>
      <c r="CF70" s="11">
        <f t="shared" si="30"/>
        <v>0</v>
      </c>
      <c r="CG70" s="11"/>
      <c r="CH70" s="41">
        <v>3.2330000000000001</v>
      </c>
      <c r="CJ70" s="54">
        <f t="shared" si="31"/>
        <v>0</v>
      </c>
      <c r="CK70" s="54">
        <f t="shared" si="32"/>
        <v>0</v>
      </c>
      <c r="CL70" s="54">
        <f t="shared" si="33"/>
        <v>0</v>
      </c>
      <c r="CM70" s="54">
        <f t="shared" si="34"/>
        <v>0</v>
      </c>
      <c r="CN70" s="54">
        <f t="shared" si="35"/>
        <v>0</v>
      </c>
      <c r="CO70" s="54">
        <f t="shared" si="36"/>
        <v>0</v>
      </c>
      <c r="CP70" s="54">
        <f t="shared" si="37"/>
        <v>0</v>
      </c>
      <c r="CQ70" s="54">
        <f t="shared" si="38"/>
        <v>0</v>
      </c>
      <c r="CR70" s="54">
        <f t="shared" si="39"/>
        <v>0</v>
      </c>
      <c r="CS70" s="54">
        <f t="shared" si="40"/>
        <v>0</v>
      </c>
      <c r="CT70" s="54">
        <f t="shared" si="41"/>
        <v>0</v>
      </c>
      <c r="CU70" s="54">
        <f t="shared" si="42"/>
        <v>0</v>
      </c>
      <c r="CV70" s="52">
        <f t="shared" si="43"/>
        <v>0</v>
      </c>
    </row>
    <row r="71" spans="1:100" ht="15.75" x14ac:dyDescent="0.25">
      <c r="A71" s="17"/>
      <c r="B71" s="17"/>
      <c r="C71" s="17"/>
      <c r="D71" s="17"/>
      <c r="E71" s="17"/>
      <c r="F71" s="31" t="s">
        <v>19</v>
      </c>
      <c r="G71" s="75"/>
      <c r="H71" s="76"/>
      <c r="I71" s="76"/>
      <c r="J71" s="76"/>
      <c r="K71" s="76"/>
      <c r="L71" s="76"/>
      <c r="M71" s="76"/>
      <c r="N71" s="76"/>
      <c r="O71" s="76"/>
      <c r="P71" s="76"/>
      <c r="Q71" s="76"/>
      <c r="R71" s="76"/>
      <c r="S71" s="11">
        <f t="shared" si="1"/>
        <v>0</v>
      </c>
      <c r="T71" s="8">
        <f t="shared" si="70"/>
        <v>0</v>
      </c>
      <c r="U71" s="13" t="s">
        <v>3628</v>
      </c>
      <c r="V71" s="46">
        <f t="shared" si="18"/>
        <v>0</v>
      </c>
      <c r="W71" s="36">
        <v>1.4890000000000001</v>
      </c>
      <c r="X71" s="36">
        <v>1.4890000000000001</v>
      </c>
      <c r="Y71" s="36">
        <v>1.9370000000000001</v>
      </c>
      <c r="Z71" s="36">
        <v>1.9370000000000001</v>
      </c>
      <c r="AA71" s="36">
        <v>1.9370000000000001</v>
      </c>
      <c r="AB71" s="36">
        <v>1.9370000000000001</v>
      </c>
      <c r="AC71" s="36">
        <v>1.9370000000000001</v>
      </c>
      <c r="AD71" s="36">
        <v>1.9370000000000001</v>
      </c>
      <c r="AE71" s="36">
        <v>1.9370000000000001</v>
      </c>
      <c r="AF71" s="36">
        <v>1.9370000000000001</v>
      </c>
      <c r="AG71" s="36">
        <v>1.9370000000000001</v>
      </c>
      <c r="AH71" s="36">
        <v>1.9370000000000001</v>
      </c>
      <c r="AI71" s="39">
        <v>1.33634708931066E-2</v>
      </c>
      <c r="AJ71" s="39">
        <v>1.33634708931066E-2</v>
      </c>
      <c r="AK71" s="39">
        <v>1.33634708931066E-2</v>
      </c>
      <c r="AL71" s="39">
        <v>1.33634708931066E-2</v>
      </c>
      <c r="AM71" s="39">
        <v>1.33634708931066E-2</v>
      </c>
      <c r="AN71" s="39">
        <v>1.33634708931066E-2</v>
      </c>
      <c r="AO71" s="39">
        <v>1.33634708931066E-2</v>
      </c>
      <c r="AP71" s="39">
        <v>1.33634708931066E-2</v>
      </c>
      <c r="AQ71" s="39">
        <v>1.33634708931066E-2</v>
      </c>
      <c r="AR71" s="39">
        <v>1.33634708931066E-2</v>
      </c>
      <c r="AS71" s="39">
        <v>1.33634708931066E-2</v>
      </c>
      <c r="AT71" s="39">
        <v>1.33634708931066E-2</v>
      </c>
      <c r="AU71" s="39">
        <v>1.2392217523121999E-3</v>
      </c>
      <c r="AV71" s="39">
        <v>1.2392217523121999E-3</v>
      </c>
      <c r="AW71" s="39">
        <v>1.2392217523121999E-3</v>
      </c>
      <c r="AX71" s="39">
        <v>1.2392217523121999E-3</v>
      </c>
      <c r="AY71" s="39">
        <v>1.2392217523121999E-3</v>
      </c>
      <c r="AZ71" s="39">
        <v>1.2392217523121999E-3</v>
      </c>
      <c r="BA71" s="39">
        <v>1.2392217523121999E-3</v>
      </c>
      <c r="BB71" s="39">
        <v>1.2392217523121999E-3</v>
      </c>
      <c r="BC71" s="39">
        <v>1.2392217523121999E-3</v>
      </c>
      <c r="BD71" s="39">
        <v>1.2392217523121999E-3</v>
      </c>
      <c r="BE71" s="39">
        <v>1.2392217523121999E-3</v>
      </c>
      <c r="BF71" s="39">
        <v>1.2392217523121999E-3</v>
      </c>
      <c r="BH71" s="12">
        <f t="shared" si="2"/>
        <v>0</v>
      </c>
      <c r="BI71" s="12">
        <f t="shared" si="3"/>
        <v>0</v>
      </c>
      <c r="BJ71" s="12">
        <f t="shared" si="4"/>
        <v>0</v>
      </c>
      <c r="BK71" s="12">
        <f t="shared" si="5"/>
        <v>0</v>
      </c>
      <c r="BL71" s="12">
        <f t="shared" si="6"/>
        <v>0</v>
      </c>
      <c r="BM71" s="12">
        <f t="shared" si="7"/>
        <v>0</v>
      </c>
      <c r="BN71" s="12">
        <f t="shared" si="8"/>
        <v>0</v>
      </c>
      <c r="BO71" s="12">
        <f t="shared" si="9"/>
        <v>0</v>
      </c>
      <c r="BP71" s="12">
        <f t="shared" si="10"/>
        <v>0</v>
      </c>
      <c r="BQ71" s="12">
        <f t="shared" si="11"/>
        <v>0</v>
      </c>
      <c r="BR71" s="12">
        <f t="shared" si="12"/>
        <v>0</v>
      </c>
      <c r="BS71" s="12">
        <f t="shared" si="13"/>
        <v>0</v>
      </c>
      <c r="BU71" s="11">
        <f t="shared" si="19"/>
        <v>0</v>
      </c>
      <c r="BV71" s="11">
        <f t="shared" si="20"/>
        <v>0</v>
      </c>
      <c r="BW71" s="11">
        <f t="shared" si="21"/>
        <v>0</v>
      </c>
      <c r="BX71" s="11">
        <f t="shared" si="22"/>
        <v>0</v>
      </c>
      <c r="BY71" s="11">
        <f t="shared" si="23"/>
        <v>0</v>
      </c>
      <c r="BZ71" s="11">
        <f t="shared" si="24"/>
        <v>0</v>
      </c>
      <c r="CA71" s="11">
        <f t="shared" si="25"/>
        <v>0</v>
      </c>
      <c r="CB71" s="11">
        <f t="shared" si="26"/>
        <v>0</v>
      </c>
      <c r="CC71" s="11">
        <f t="shared" si="27"/>
        <v>0</v>
      </c>
      <c r="CD71" s="11">
        <f t="shared" si="28"/>
        <v>0</v>
      </c>
      <c r="CE71" s="11">
        <f t="shared" si="29"/>
        <v>0</v>
      </c>
      <c r="CF71" s="11">
        <f t="shared" si="30"/>
        <v>0</v>
      </c>
      <c r="CG71" s="11"/>
      <c r="CH71" s="41">
        <v>3.2330000000000001</v>
      </c>
      <c r="CJ71" s="54">
        <f t="shared" si="31"/>
        <v>0</v>
      </c>
      <c r="CK71" s="54">
        <f t="shared" si="32"/>
        <v>0</v>
      </c>
      <c r="CL71" s="54">
        <f t="shared" si="33"/>
        <v>0</v>
      </c>
      <c r="CM71" s="54">
        <f t="shared" si="34"/>
        <v>0</v>
      </c>
      <c r="CN71" s="54">
        <f t="shared" si="35"/>
        <v>0</v>
      </c>
      <c r="CO71" s="54">
        <f t="shared" si="36"/>
        <v>0</v>
      </c>
      <c r="CP71" s="54">
        <f t="shared" si="37"/>
        <v>0</v>
      </c>
      <c r="CQ71" s="54">
        <f t="shared" si="38"/>
        <v>0</v>
      </c>
      <c r="CR71" s="54">
        <f t="shared" si="39"/>
        <v>0</v>
      </c>
      <c r="CS71" s="54">
        <f t="shared" si="40"/>
        <v>0</v>
      </c>
      <c r="CT71" s="54">
        <f t="shared" si="41"/>
        <v>0</v>
      </c>
      <c r="CU71" s="54">
        <f t="shared" si="42"/>
        <v>0</v>
      </c>
      <c r="CV71" s="52">
        <f t="shared" si="43"/>
        <v>0</v>
      </c>
    </row>
    <row r="72" spans="1:100" ht="15.75" x14ac:dyDescent="0.25">
      <c r="A72" s="17"/>
      <c r="B72" s="17"/>
      <c r="C72" s="17"/>
      <c r="D72" s="17"/>
      <c r="E72" s="17"/>
      <c r="F72" s="31" t="s">
        <v>19</v>
      </c>
      <c r="G72" s="75"/>
      <c r="H72" s="76"/>
      <c r="I72" s="76"/>
      <c r="J72" s="76"/>
      <c r="K72" s="76"/>
      <c r="L72" s="76"/>
      <c r="M72" s="76"/>
      <c r="N72" s="76"/>
      <c r="O72" s="76"/>
      <c r="P72" s="76"/>
      <c r="Q72" s="76"/>
      <c r="R72" s="76"/>
      <c r="S72" s="11">
        <f t="shared" si="1"/>
        <v>0</v>
      </c>
      <c r="T72" s="8">
        <f t="shared" si="70"/>
        <v>0</v>
      </c>
      <c r="U72" s="13" t="s">
        <v>3628</v>
      </c>
      <c r="V72" s="46">
        <f t="shared" si="18"/>
        <v>0</v>
      </c>
      <c r="W72" s="36">
        <v>1.9890000000000001</v>
      </c>
      <c r="X72" s="36">
        <v>1.9890000000000001</v>
      </c>
      <c r="Y72" s="36">
        <v>2.6589999999999998</v>
      </c>
      <c r="Z72" s="36">
        <v>2.6589999999999998</v>
      </c>
      <c r="AA72" s="36">
        <v>2.6589999999999998</v>
      </c>
      <c r="AB72" s="36">
        <v>2.6589999999999998</v>
      </c>
      <c r="AC72" s="36">
        <v>2.6589999999999998</v>
      </c>
      <c r="AD72" s="36">
        <v>2.6589999999999998</v>
      </c>
      <c r="AE72" s="36">
        <v>2.6589999999999998</v>
      </c>
      <c r="AF72" s="36">
        <v>2.6589999999999998</v>
      </c>
      <c r="AG72" s="36">
        <v>2.6589999999999998</v>
      </c>
      <c r="AH72" s="36">
        <v>2.6589999999999998</v>
      </c>
      <c r="AI72" s="39">
        <v>1.33634708931066E-2</v>
      </c>
      <c r="AJ72" s="39">
        <v>1.33634708931066E-2</v>
      </c>
      <c r="AK72" s="39">
        <v>1.33634708931066E-2</v>
      </c>
      <c r="AL72" s="39">
        <v>1.33634708931066E-2</v>
      </c>
      <c r="AM72" s="39">
        <v>1.33634708931066E-2</v>
      </c>
      <c r="AN72" s="39">
        <v>1.33634708931066E-2</v>
      </c>
      <c r="AO72" s="39">
        <v>1.33634708931066E-2</v>
      </c>
      <c r="AP72" s="39">
        <v>1.33634708931066E-2</v>
      </c>
      <c r="AQ72" s="39">
        <v>1.33634708931066E-2</v>
      </c>
      <c r="AR72" s="39">
        <v>1.33634708931066E-2</v>
      </c>
      <c r="AS72" s="39">
        <v>1.33634708931066E-2</v>
      </c>
      <c r="AT72" s="39">
        <v>1.33634708931066E-2</v>
      </c>
      <c r="AU72" s="39">
        <v>1.2392217523121999E-3</v>
      </c>
      <c r="AV72" s="39">
        <v>1.2392217523121999E-3</v>
      </c>
      <c r="AW72" s="39">
        <v>1.2392217523121999E-3</v>
      </c>
      <c r="AX72" s="39">
        <v>1.2392217523121999E-3</v>
      </c>
      <c r="AY72" s="39">
        <v>1.2392217523121999E-3</v>
      </c>
      <c r="AZ72" s="39">
        <v>1.2392217523121999E-3</v>
      </c>
      <c r="BA72" s="39">
        <v>1.2392217523121999E-3</v>
      </c>
      <c r="BB72" s="39">
        <v>1.2392217523121999E-3</v>
      </c>
      <c r="BC72" s="39">
        <v>1.2392217523121999E-3</v>
      </c>
      <c r="BD72" s="39">
        <v>1.2392217523121999E-3</v>
      </c>
      <c r="BE72" s="39">
        <v>1.2392217523121999E-3</v>
      </c>
      <c r="BF72" s="39">
        <v>1.2392217523121999E-3</v>
      </c>
      <c r="BH72" s="12">
        <f t="shared" si="2"/>
        <v>0</v>
      </c>
      <c r="BI72" s="12">
        <f t="shared" si="3"/>
        <v>0</v>
      </c>
      <c r="BJ72" s="12">
        <f t="shared" si="4"/>
        <v>0</v>
      </c>
      <c r="BK72" s="12">
        <f t="shared" si="5"/>
        <v>0</v>
      </c>
      <c r="BL72" s="12">
        <f t="shared" si="6"/>
        <v>0</v>
      </c>
      <c r="BM72" s="12">
        <f t="shared" si="7"/>
        <v>0</v>
      </c>
      <c r="BN72" s="12">
        <f t="shared" si="8"/>
        <v>0</v>
      </c>
      <c r="BO72" s="12">
        <f t="shared" si="9"/>
        <v>0</v>
      </c>
      <c r="BP72" s="12">
        <f t="shared" si="10"/>
        <v>0</v>
      </c>
      <c r="BQ72" s="12">
        <f t="shared" si="11"/>
        <v>0</v>
      </c>
      <c r="BR72" s="12">
        <f t="shared" si="12"/>
        <v>0</v>
      </c>
      <c r="BS72" s="12">
        <f t="shared" si="13"/>
        <v>0</v>
      </c>
      <c r="BU72" s="11">
        <f t="shared" si="19"/>
        <v>0</v>
      </c>
      <c r="BV72" s="11">
        <f t="shared" si="20"/>
        <v>0</v>
      </c>
      <c r="BW72" s="11">
        <f t="shared" si="21"/>
        <v>0</v>
      </c>
      <c r="BX72" s="11">
        <f t="shared" si="22"/>
        <v>0</v>
      </c>
      <c r="BY72" s="11">
        <f t="shared" si="23"/>
        <v>0</v>
      </c>
      <c r="BZ72" s="11">
        <f t="shared" si="24"/>
        <v>0</v>
      </c>
      <c r="CA72" s="11">
        <f t="shared" si="25"/>
        <v>0</v>
      </c>
      <c r="CB72" s="11">
        <f t="shared" si="26"/>
        <v>0</v>
      </c>
      <c r="CC72" s="11">
        <f t="shared" si="27"/>
        <v>0</v>
      </c>
      <c r="CD72" s="11">
        <f t="shared" si="28"/>
        <v>0</v>
      </c>
      <c r="CE72" s="11">
        <f t="shared" si="29"/>
        <v>0</v>
      </c>
      <c r="CF72" s="11">
        <f t="shared" si="30"/>
        <v>0</v>
      </c>
      <c r="CG72" s="11"/>
      <c r="CH72" s="41">
        <v>3.2330000000000001</v>
      </c>
      <c r="CJ72" s="54">
        <f t="shared" si="31"/>
        <v>0</v>
      </c>
      <c r="CK72" s="54">
        <f t="shared" si="32"/>
        <v>0</v>
      </c>
      <c r="CL72" s="54">
        <f t="shared" si="33"/>
        <v>0</v>
      </c>
      <c r="CM72" s="54">
        <f t="shared" si="34"/>
        <v>0</v>
      </c>
      <c r="CN72" s="54">
        <f t="shared" si="35"/>
        <v>0</v>
      </c>
      <c r="CO72" s="54">
        <f t="shared" si="36"/>
        <v>0</v>
      </c>
      <c r="CP72" s="54">
        <f t="shared" si="37"/>
        <v>0</v>
      </c>
      <c r="CQ72" s="54">
        <f t="shared" si="38"/>
        <v>0</v>
      </c>
      <c r="CR72" s="54">
        <f t="shared" si="39"/>
        <v>0</v>
      </c>
      <c r="CS72" s="54">
        <f t="shared" si="40"/>
        <v>0</v>
      </c>
      <c r="CT72" s="54">
        <f t="shared" si="41"/>
        <v>0</v>
      </c>
      <c r="CU72" s="54">
        <f t="shared" si="42"/>
        <v>0</v>
      </c>
      <c r="CV72" s="52">
        <f t="shared" si="43"/>
        <v>0</v>
      </c>
    </row>
    <row r="73" spans="1:100" ht="15.75" x14ac:dyDescent="0.25">
      <c r="A73" s="17"/>
      <c r="B73" s="17"/>
      <c r="C73" s="17"/>
      <c r="D73" s="17"/>
      <c r="E73" s="17"/>
      <c r="F73" s="31" t="s">
        <v>19</v>
      </c>
      <c r="G73" s="75"/>
      <c r="H73" s="76"/>
      <c r="I73" s="76"/>
      <c r="J73" s="76"/>
      <c r="K73" s="76"/>
      <c r="L73" s="76"/>
      <c r="M73" s="76"/>
      <c r="N73" s="76"/>
      <c r="O73" s="76"/>
      <c r="P73" s="76"/>
      <c r="Q73" s="76"/>
      <c r="R73" s="76"/>
      <c r="S73" s="11">
        <f t="shared" si="1"/>
        <v>0</v>
      </c>
      <c r="T73" s="8">
        <f t="shared" si="70"/>
        <v>0</v>
      </c>
      <c r="U73" s="13" t="s">
        <v>3628</v>
      </c>
      <c r="V73" s="46">
        <f t="shared" si="18"/>
        <v>0</v>
      </c>
      <c r="W73" s="36">
        <v>1.8500010816189674</v>
      </c>
      <c r="X73" s="36">
        <v>1.8500010816189674</v>
      </c>
      <c r="Y73" s="36">
        <v>1.8500010816189674</v>
      </c>
      <c r="Z73" s="36">
        <v>1.8500010816189674</v>
      </c>
      <c r="AA73" s="36">
        <v>1.8500010816189674</v>
      </c>
      <c r="AB73" s="36">
        <v>1.8500010816189674</v>
      </c>
      <c r="AC73" s="36">
        <v>1.8500010816189674</v>
      </c>
      <c r="AD73" s="36">
        <v>1.8500010816189674</v>
      </c>
      <c r="AE73" s="36">
        <v>1.8500010816189674</v>
      </c>
      <c r="AF73" s="36">
        <v>1.8500010816189674</v>
      </c>
      <c r="AG73" s="36">
        <v>1.8500010816189674</v>
      </c>
      <c r="AH73" s="36">
        <v>1.8500010816189674</v>
      </c>
      <c r="AI73" s="39">
        <v>0</v>
      </c>
      <c r="AJ73" s="39">
        <v>0</v>
      </c>
      <c r="AK73" s="39">
        <v>0</v>
      </c>
      <c r="AL73" s="39">
        <v>0</v>
      </c>
      <c r="AM73" s="39">
        <v>0</v>
      </c>
      <c r="AN73" s="39">
        <v>0</v>
      </c>
      <c r="AO73" s="39">
        <v>0</v>
      </c>
      <c r="AP73" s="39">
        <v>0</v>
      </c>
      <c r="AQ73" s="39">
        <v>0</v>
      </c>
      <c r="AR73" s="39">
        <v>0</v>
      </c>
      <c r="AS73" s="39">
        <v>0</v>
      </c>
      <c r="AT73" s="39">
        <v>0</v>
      </c>
      <c r="AU73" s="39">
        <v>0</v>
      </c>
      <c r="AV73" s="39">
        <v>0</v>
      </c>
      <c r="AW73" s="39">
        <v>0</v>
      </c>
      <c r="AX73" s="39">
        <v>0</v>
      </c>
      <c r="AY73" s="39">
        <v>0</v>
      </c>
      <c r="AZ73" s="39">
        <v>0</v>
      </c>
      <c r="BA73" s="39">
        <v>0</v>
      </c>
      <c r="BB73" s="39">
        <v>0</v>
      </c>
      <c r="BC73" s="39">
        <v>0</v>
      </c>
      <c r="BD73" s="39">
        <v>0</v>
      </c>
      <c r="BE73" s="39">
        <v>0</v>
      </c>
      <c r="BF73" s="39">
        <v>0</v>
      </c>
      <c r="BH73" s="12">
        <f t="shared" si="2"/>
        <v>0</v>
      </c>
      <c r="BI73" s="12">
        <f t="shared" si="3"/>
        <v>0</v>
      </c>
      <c r="BJ73" s="12">
        <f t="shared" si="4"/>
        <v>0</v>
      </c>
      <c r="BK73" s="12">
        <f t="shared" si="5"/>
        <v>0</v>
      </c>
      <c r="BL73" s="12">
        <f t="shared" si="6"/>
        <v>0</v>
      </c>
      <c r="BM73" s="12">
        <f t="shared" si="7"/>
        <v>0</v>
      </c>
      <c r="BN73" s="12">
        <f t="shared" si="8"/>
        <v>0</v>
      </c>
      <c r="BO73" s="12">
        <f t="shared" si="9"/>
        <v>0</v>
      </c>
      <c r="BP73" s="12">
        <f t="shared" si="10"/>
        <v>0</v>
      </c>
      <c r="BQ73" s="12">
        <f t="shared" si="11"/>
        <v>0</v>
      </c>
      <c r="BR73" s="12">
        <f t="shared" si="12"/>
        <v>0</v>
      </c>
      <c r="BS73" s="12">
        <f t="shared" si="13"/>
        <v>0</v>
      </c>
      <c r="BU73" s="11">
        <f t="shared" si="19"/>
        <v>0</v>
      </c>
      <c r="BV73" s="11">
        <f t="shared" si="20"/>
        <v>0</v>
      </c>
      <c r="BW73" s="11">
        <f t="shared" si="21"/>
        <v>0</v>
      </c>
      <c r="BX73" s="11">
        <f t="shared" si="22"/>
        <v>0</v>
      </c>
      <c r="BY73" s="11">
        <f t="shared" si="23"/>
        <v>0</v>
      </c>
      <c r="BZ73" s="11">
        <f t="shared" si="24"/>
        <v>0</v>
      </c>
      <c r="CA73" s="11">
        <f t="shared" si="25"/>
        <v>0</v>
      </c>
      <c r="CB73" s="11">
        <f t="shared" si="26"/>
        <v>0</v>
      </c>
      <c r="CC73" s="11">
        <f t="shared" si="27"/>
        <v>0</v>
      </c>
      <c r="CD73" s="11">
        <f t="shared" si="28"/>
        <v>0</v>
      </c>
      <c r="CE73" s="11">
        <f t="shared" si="29"/>
        <v>0</v>
      </c>
      <c r="CF73" s="11">
        <f t="shared" si="30"/>
        <v>0</v>
      </c>
      <c r="CG73" s="11"/>
      <c r="CH73" s="41">
        <v>1</v>
      </c>
      <c r="CJ73" s="54">
        <f t="shared" si="31"/>
        <v>0</v>
      </c>
      <c r="CK73" s="54">
        <f t="shared" si="32"/>
        <v>0</v>
      </c>
      <c r="CL73" s="54">
        <f t="shared" si="33"/>
        <v>0</v>
      </c>
      <c r="CM73" s="54">
        <f t="shared" si="34"/>
        <v>0</v>
      </c>
      <c r="CN73" s="54">
        <f t="shared" si="35"/>
        <v>0</v>
      </c>
      <c r="CO73" s="54">
        <f t="shared" si="36"/>
        <v>0</v>
      </c>
      <c r="CP73" s="54">
        <f t="shared" si="37"/>
        <v>0</v>
      </c>
      <c r="CQ73" s="54">
        <f t="shared" si="38"/>
        <v>0</v>
      </c>
      <c r="CR73" s="54">
        <f t="shared" si="39"/>
        <v>0</v>
      </c>
      <c r="CS73" s="54">
        <f t="shared" si="40"/>
        <v>0</v>
      </c>
      <c r="CT73" s="54">
        <f t="shared" si="41"/>
        <v>0</v>
      </c>
      <c r="CU73" s="54">
        <f t="shared" si="42"/>
        <v>0</v>
      </c>
      <c r="CV73" s="52">
        <f t="shared" si="43"/>
        <v>0</v>
      </c>
    </row>
    <row r="74" spans="1:100" ht="15.75" x14ac:dyDescent="0.25">
      <c r="A74" s="17"/>
      <c r="B74" s="17"/>
      <c r="C74" s="17"/>
      <c r="D74" s="17"/>
      <c r="E74" s="17"/>
      <c r="F74" s="31" t="s">
        <v>19</v>
      </c>
      <c r="G74" s="75"/>
      <c r="H74" s="76"/>
      <c r="I74" s="76"/>
      <c r="J74" s="76"/>
      <c r="K74" s="76"/>
      <c r="L74" s="76"/>
      <c r="M74" s="76"/>
      <c r="N74" s="76"/>
      <c r="O74" s="76"/>
      <c r="P74" s="76"/>
      <c r="Q74" s="76"/>
      <c r="R74" s="76"/>
      <c r="S74" s="11">
        <f t="shared" ref="S74:S105" si="71">SUM(G74:R74)</f>
        <v>0</v>
      </c>
      <c r="T74" s="8">
        <f t="shared" si="70"/>
        <v>0</v>
      </c>
      <c r="U74" s="13" t="s">
        <v>3628</v>
      </c>
      <c r="V74" s="46">
        <f t="shared" si="18"/>
        <v>0</v>
      </c>
      <c r="W74" s="36">
        <v>3.17</v>
      </c>
      <c r="X74" s="36">
        <v>3.17</v>
      </c>
      <c r="Y74" s="36">
        <v>3.17</v>
      </c>
      <c r="Z74" s="36">
        <v>3.17</v>
      </c>
      <c r="AA74" s="36">
        <v>3.17</v>
      </c>
      <c r="AB74" s="36">
        <v>3.17</v>
      </c>
      <c r="AC74" s="36">
        <v>3.17</v>
      </c>
      <c r="AD74" s="36">
        <v>3.17</v>
      </c>
      <c r="AE74" s="36">
        <v>3.17</v>
      </c>
      <c r="AF74" s="36">
        <v>3.17</v>
      </c>
      <c r="AG74" s="36">
        <v>3.17</v>
      </c>
      <c r="AH74" s="36">
        <v>3.17</v>
      </c>
      <c r="AI74" s="39">
        <v>0</v>
      </c>
      <c r="AJ74" s="39">
        <v>0</v>
      </c>
      <c r="AK74" s="39">
        <v>0</v>
      </c>
      <c r="AL74" s="39">
        <v>0</v>
      </c>
      <c r="AM74" s="39">
        <v>0</v>
      </c>
      <c r="AN74" s="39">
        <v>0</v>
      </c>
      <c r="AO74" s="39">
        <v>0</v>
      </c>
      <c r="AP74" s="39">
        <v>0</v>
      </c>
      <c r="AQ74" s="39">
        <v>0</v>
      </c>
      <c r="AR74" s="39">
        <v>0</v>
      </c>
      <c r="AS74" s="39">
        <v>0</v>
      </c>
      <c r="AT74" s="39">
        <v>0</v>
      </c>
      <c r="AU74" s="39">
        <v>0</v>
      </c>
      <c r="AV74" s="39">
        <v>0</v>
      </c>
      <c r="AW74" s="39">
        <v>0</v>
      </c>
      <c r="AX74" s="39">
        <v>0</v>
      </c>
      <c r="AY74" s="39">
        <v>0</v>
      </c>
      <c r="AZ74" s="39">
        <v>0</v>
      </c>
      <c r="BA74" s="39">
        <v>0</v>
      </c>
      <c r="BB74" s="39">
        <v>0</v>
      </c>
      <c r="BC74" s="39">
        <v>0</v>
      </c>
      <c r="BD74" s="39">
        <v>0</v>
      </c>
      <c r="BE74" s="39">
        <v>0</v>
      </c>
      <c r="BF74" s="39">
        <v>0</v>
      </c>
      <c r="BH74" s="12">
        <f t="shared" si="2"/>
        <v>0</v>
      </c>
      <c r="BI74" s="12">
        <f t="shared" si="3"/>
        <v>0</v>
      </c>
      <c r="BJ74" s="12">
        <f t="shared" si="4"/>
        <v>0</v>
      </c>
      <c r="BK74" s="12">
        <f t="shared" si="5"/>
        <v>0</v>
      </c>
      <c r="BL74" s="12">
        <f t="shared" si="6"/>
        <v>0</v>
      </c>
      <c r="BM74" s="12">
        <f t="shared" si="7"/>
        <v>0</v>
      </c>
      <c r="BN74" s="12">
        <f t="shared" si="8"/>
        <v>0</v>
      </c>
      <c r="BO74" s="12">
        <f t="shared" si="9"/>
        <v>0</v>
      </c>
      <c r="BP74" s="12">
        <f t="shared" si="10"/>
        <v>0</v>
      </c>
      <c r="BQ74" s="12">
        <f t="shared" si="11"/>
        <v>0</v>
      </c>
      <c r="BR74" s="12">
        <f t="shared" ref="BR74:BR105" si="72">(AG74*Q74)</f>
        <v>0</v>
      </c>
      <c r="BS74" s="12">
        <f t="shared" ref="BS74:BS105" si="73">(AH74*R74)</f>
        <v>0</v>
      </c>
      <c r="BU74" s="11">
        <f t="shared" si="19"/>
        <v>0</v>
      </c>
      <c r="BV74" s="11">
        <f t="shared" si="20"/>
        <v>0</v>
      </c>
      <c r="BW74" s="11">
        <f t="shared" si="21"/>
        <v>0</v>
      </c>
      <c r="BX74" s="11">
        <f t="shared" si="22"/>
        <v>0</v>
      </c>
      <c r="BY74" s="11">
        <f t="shared" si="23"/>
        <v>0</v>
      </c>
      <c r="BZ74" s="11">
        <f t="shared" si="24"/>
        <v>0</v>
      </c>
      <c r="CA74" s="11">
        <f t="shared" si="25"/>
        <v>0</v>
      </c>
      <c r="CB74" s="11">
        <f t="shared" si="26"/>
        <v>0</v>
      </c>
      <c r="CC74" s="11">
        <f t="shared" si="27"/>
        <v>0</v>
      </c>
      <c r="CD74" s="11">
        <f t="shared" si="28"/>
        <v>0</v>
      </c>
      <c r="CE74" s="11">
        <f t="shared" si="29"/>
        <v>0</v>
      </c>
      <c r="CF74" s="11">
        <f t="shared" si="30"/>
        <v>0</v>
      </c>
      <c r="CG74" s="11"/>
      <c r="CH74" s="41">
        <v>1</v>
      </c>
      <c r="CJ74" s="54">
        <f t="shared" si="31"/>
        <v>0</v>
      </c>
      <c r="CK74" s="54">
        <f t="shared" si="32"/>
        <v>0</v>
      </c>
      <c r="CL74" s="54">
        <f t="shared" si="33"/>
        <v>0</v>
      </c>
      <c r="CM74" s="54">
        <f t="shared" si="34"/>
        <v>0</v>
      </c>
      <c r="CN74" s="54">
        <f t="shared" si="35"/>
        <v>0</v>
      </c>
      <c r="CO74" s="54">
        <f t="shared" si="36"/>
        <v>0</v>
      </c>
      <c r="CP74" s="54">
        <f t="shared" si="37"/>
        <v>0</v>
      </c>
      <c r="CQ74" s="54">
        <f t="shared" si="38"/>
        <v>0</v>
      </c>
      <c r="CR74" s="54">
        <f t="shared" si="39"/>
        <v>0</v>
      </c>
      <c r="CS74" s="54">
        <f t="shared" si="40"/>
        <v>0</v>
      </c>
      <c r="CT74" s="54">
        <f t="shared" si="41"/>
        <v>0</v>
      </c>
      <c r="CU74" s="54">
        <f t="shared" si="42"/>
        <v>0</v>
      </c>
      <c r="CV74" s="52">
        <f t="shared" si="43"/>
        <v>0</v>
      </c>
    </row>
    <row r="75" spans="1:100" ht="15.75" x14ac:dyDescent="0.25">
      <c r="A75" s="17"/>
      <c r="B75" s="17"/>
      <c r="C75" s="17"/>
      <c r="D75" s="17"/>
      <c r="E75" s="17"/>
      <c r="F75" s="31" t="s">
        <v>19</v>
      </c>
      <c r="G75" s="75"/>
      <c r="H75" s="76"/>
      <c r="I75" s="76"/>
      <c r="J75" s="76"/>
      <c r="K75" s="76"/>
      <c r="L75" s="76"/>
      <c r="M75" s="76"/>
      <c r="N75" s="76"/>
      <c r="O75" s="76"/>
      <c r="P75" s="76"/>
      <c r="Q75" s="76"/>
      <c r="R75" s="76"/>
      <c r="S75" s="11">
        <f t="shared" si="71"/>
        <v>0</v>
      </c>
      <c r="T75" s="8">
        <f t="shared" si="70"/>
        <v>0</v>
      </c>
      <c r="U75" s="13" t="s">
        <v>3628</v>
      </c>
      <c r="V75" s="46">
        <f t="shared" si="18"/>
        <v>0</v>
      </c>
      <c r="W75" s="36">
        <v>3.149</v>
      </c>
      <c r="X75" s="36">
        <v>3.149</v>
      </c>
      <c r="Y75" s="36">
        <v>3.149</v>
      </c>
      <c r="Z75" s="36">
        <v>3.149</v>
      </c>
      <c r="AA75" s="36">
        <v>3.149</v>
      </c>
      <c r="AB75" s="36">
        <v>3.149</v>
      </c>
      <c r="AC75" s="36">
        <v>3.149</v>
      </c>
      <c r="AD75" s="36">
        <v>3.149</v>
      </c>
      <c r="AE75" s="36">
        <v>3.149</v>
      </c>
      <c r="AF75" s="36">
        <v>3.149</v>
      </c>
      <c r="AG75" s="36">
        <v>3.149</v>
      </c>
      <c r="AH75" s="36">
        <v>3.149</v>
      </c>
      <c r="AI75" s="39">
        <v>1.33634708931066E-2</v>
      </c>
      <c r="AJ75" s="39">
        <v>1.33634708931066E-2</v>
      </c>
      <c r="AK75" s="39">
        <v>1.33634708931066E-2</v>
      </c>
      <c r="AL75" s="39">
        <v>1.33634708931066E-2</v>
      </c>
      <c r="AM75" s="39">
        <v>1.33634708931066E-2</v>
      </c>
      <c r="AN75" s="39">
        <v>1.33634708931066E-2</v>
      </c>
      <c r="AO75" s="39">
        <v>1.33634708931066E-2</v>
      </c>
      <c r="AP75" s="39">
        <v>1.33634708931066E-2</v>
      </c>
      <c r="AQ75" s="39">
        <v>1.33634708931066E-2</v>
      </c>
      <c r="AR75" s="39">
        <v>1.33634708931066E-2</v>
      </c>
      <c r="AS75" s="39">
        <v>1.33634708931066E-2</v>
      </c>
      <c r="AT75" s="39">
        <v>1.33634708931066E-2</v>
      </c>
      <c r="AU75" s="39">
        <v>1.2392217523121999E-3</v>
      </c>
      <c r="AV75" s="39">
        <v>1.2392217523121999E-3</v>
      </c>
      <c r="AW75" s="39">
        <v>1.2392217523121999E-3</v>
      </c>
      <c r="AX75" s="39">
        <v>1.2392217523121999E-3</v>
      </c>
      <c r="AY75" s="39">
        <v>1.2392217523121999E-3</v>
      </c>
      <c r="AZ75" s="39">
        <v>1.2392217523121999E-3</v>
      </c>
      <c r="BA75" s="39">
        <v>1.2392217523121999E-3</v>
      </c>
      <c r="BB75" s="39">
        <v>1.2392217523121999E-3</v>
      </c>
      <c r="BC75" s="39">
        <v>1.2392217523121999E-3</v>
      </c>
      <c r="BD75" s="39">
        <v>1.2392217523121999E-3</v>
      </c>
      <c r="BE75" s="39">
        <v>1.2392217523121999E-3</v>
      </c>
      <c r="BF75" s="39">
        <v>1.2392217523121999E-3</v>
      </c>
      <c r="BH75" s="12">
        <f t="shared" si="2"/>
        <v>0</v>
      </c>
      <c r="BI75" s="12">
        <f t="shared" si="3"/>
        <v>0</v>
      </c>
      <c r="BJ75" s="12">
        <f t="shared" si="4"/>
        <v>0</v>
      </c>
      <c r="BK75" s="12">
        <f t="shared" si="5"/>
        <v>0</v>
      </c>
      <c r="BL75" s="12">
        <f t="shared" si="6"/>
        <v>0</v>
      </c>
      <c r="BM75" s="12">
        <f t="shared" si="7"/>
        <v>0</v>
      </c>
      <c r="BN75" s="12">
        <f t="shared" si="8"/>
        <v>0</v>
      </c>
      <c r="BO75" s="12">
        <f t="shared" si="9"/>
        <v>0</v>
      </c>
      <c r="BP75" s="12">
        <f t="shared" si="10"/>
        <v>0</v>
      </c>
      <c r="BQ75" s="12">
        <f t="shared" si="11"/>
        <v>0</v>
      </c>
      <c r="BR75" s="12">
        <f t="shared" si="72"/>
        <v>0</v>
      </c>
      <c r="BS75" s="12">
        <f t="shared" si="73"/>
        <v>0</v>
      </c>
      <c r="BU75" s="11">
        <f t="shared" si="19"/>
        <v>0</v>
      </c>
      <c r="BV75" s="11">
        <f t="shared" si="20"/>
        <v>0</v>
      </c>
      <c r="BW75" s="11">
        <f t="shared" si="21"/>
        <v>0</v>
      </c>
      <c r="BX75" s="11">
        <f t="shared" si="22"/>
        <v>0</v>
      </c>
      <c r="BY75" s="11">
        <f t="shared" si="23"/>
        <v>0</v>
      </c>
      <c r="BZ75" s="11">
        <f t="shared" si="24"/>
        <v>0</v>
      </c>
      <c r="CA75" s="11">
        <f t="shared" si="25"/>
        <v>0</v>
      </c>
      <c r="CB75" s="11">
        <f t="shared" si="26"/>
        <v>0</v>
      </c>
      <c r="CC75" s="11">
        <f t="shared" si="27"/>
        <v>0</v>
      </c>
      <c r="CD75" s="11">
        <f t="shared" si="28"/>
        <v>0</v>
      </c>
      <c r="CE75" s="11">
        <f t="shared" si="29"/>
        <v>0</v>
      </c>
      <c r="CF75" s="11">
        <f t="shared" si="30"/>
        <v>0</v>
      </c>
      <c r="CG75" s="11"/>
      <c r="CH75" s="41">
        <v>3.2330000000000001</v>
      </c>
      <c r="CJ75" s="54">
        <f t="shared" si="31"/>
        <v>0</v>
      </c>
      <c r="CK75" s="54">
        <f t="shared" si="32"/>
        <v>0</v>
      </c>
      <c r="CL75" s="54">
        <f t="shared" si="33"/>
        <v>0</v>
      </c>
      <c r="CM75" s="54">
        <f t="shared" si="34"/>
        <v>0</v>
      </c>
      <c r="CN75" s="54">
        <f t="shared" si="35"/>
        <v>0</v>
      </c>
      <c r="CO75" s="54">
        <f t="shared" si="36"/>
        <v>0</v>
      </c>
      <c r="CP75" s="54">
        <f t="shared" si="37"/>
        <v>0</v>
      </c>
      <c r="CQ75" s="54">
        <f t="shared" si="38"/>
        <v>0</v>
      </c>
      <c r="CR75" s="54">
        <f t="shared" si="39"/>
        <v>0</v>
      </c>
      <c r="CS75" s="54">
        <f t="shared" si="40"/>
        <v>0</v>
      </c>
      <c r="CT75" s="54">
        <f t="shared" si="41"/>
        <v>0</v>
      </c>
      <c r="CU75" s="54">
        <f t="shared" si="42"/>
        <v>0</v>
      </c>
      <c r="CV75" s="52">
        <f t="shared" si="43"/>
        <v>0</v>
      </c>
    </row>
    <row r="76" spans="1:100" ht="15.75" x14ac:dyDescent="0.25">
      <c r="A76" s="17"/>
      <c r="B76" s="17"/>
      <c r="C76" s="17"/>
      <c r="D76" s="17"/>
      <c r="E76" s="17"/>
      <c r="F76" s="31" t="s">
        <v>19</v>
      </c>
      <c r="G76" s="75"/>
      <c r="H76" s="76"/>
      <c r="I76" s="76"/>
      <c r="J76" s="76"/>
      <c r="K76" s="76"/>
      <c r="L76" s="76"/>
      <c r="M76" s="76"/>
      <c r="N76" s="76"/>
      <c r="O76" s="76"/>
      <c r="P76" s="76"/>
      <c r="Q76" s="76"/>
      <c r="R76" s="76"/>
      <c r="S76" s="11">
        <f t="shared" si="71"/>
        <v>0</v>
      </c>
      <c r="T76" s="8">
        <f t="shared" si="70"/>
        <v>0</v>
      </c>
      <c r="U76" s="13" t="s">
        <v>3628</v>
      </c>
      <c r="V76" s="46">
        <f t="shared" si="18"/>
        <v>0</v>
      </c>
      <c r="W76" s="36">
        <v>1.107</v>
      </c>
      <c r="X76" s="36">
        <v>1.107</v>
      </c>
      <c r="Y76" s="36">
        <v>1.4379999999999999</v>
      </c>
      <c r="Z76" s="36">
        <v>1.4379999999999999</v>
      </c>
      <c r="AA76" s="36">
        <v>1.4379999999999999</v>
      </c>
      <c r="AB76" s="36">
        <v>1.4379999999999999</v>
      </c>
      <c r="AC76" s="36">
        <v>1.4379999999999999</v>
      </c>
      <c r="AD76" s="36">
        <v>1.4379999999999999</v>
      </c>
      <c r="AE76" s="36">
        <v>1.4379999999999999</v>
      </c>
      <c r="AF76" s="36">
        <v>1.4379999999999999</v>
      </c>
      <c r="AG76" s="36">
        <v>1.4379999999999999</v>
      </c>
      <c r="AH76" s="36">
        <v>1.4379999999999999</v>
      </c>
      <c r="AI76" s="39">
        <v>1.33634708931066E-2</v>
      </c>
      <c r="AJ76" s="39">
        <v>1.33634708931066E-2</v>
      </c>
      <c r="AK76" s="39">
        <v>1.33634708931066E-2</v>
      </c>
      <c r="AL76" s="39">
        <v>1.33634708931066E-2</v>
      </c>
      <c r="AM76" s="39">
        <v>1.33634708931066E-2</v>
      </c>
      <c r="AN76" s="39">
        <v>1.33634708931066E-2</v>
      </c>
      <c r="AO76" s="39">
        <v>1.33634708931066E-2</v>
      </c>
      <c r="AP76" s="39">
        <v>1.33634708931066E-2</v>
      </c>
      <c r="AQ76" s="39">
        <v>1.33634708931066E-2</v>
      </c>
      <c r="AR76" s="39">
        <v>1.33634708931066E-2</v>
      </c>
      <c r="AS76" s="39">
        <v>1.33634708931066E-2</v>
      </c>
      <c r="AT76" s="39">
        <v>1.33634708931066E-2</v>
      </c>
      <c r="AU76" s="39">
        <v>1.2392217523121999E-3</v>
      </c>
      <c r="AV76" s="39">
        <v>1.2392217523121999E-3</v>
      </c>
      <c r="AW76" s="39">
        <v>1.2392217523121999E-3</v>
      </c>
      <c r="AX76" s="39">
        <v>1.2392217523121999E-3</v>
      </c>
      <c r="AY76" s="39">
        <v>1.2392217523121999E-3</v>
      </c>
      <c r="AZ76" s="39">
        <v>1.2392217523121999E-3</v>
      </c>
      <c r="BA76" s="39">
        <v>1.2392217523121999E-3</v>
      </c>
      <c r="BB76" s="39">
        <v>1.2392217523121999E-3</v>
      </c>
      <c r="BC76" s="39">
        <v>1.2392217523121999E-3</v>
      </c>
      <c r="BD76" s="39">
        <v>1.2392217523121999E-3</v>
      </c>
      <c r="BE76" s="39">
        <v>1.2392217523121999E-3</v>
      </c>
      <c r="BF76" s="39">
        <v>1.2392217523121999E-3</v>
      </c>
      <c r="BH76" s="12">
        <f t="shared" si="2"/>
        <v>0</v>
      </c>
      <c r="BI76" s="12">
        <f t="shared" si="3"/>
        <v>0</v>
      </c>
      <c r="BJ76" s="12">
        <f t="shared" si="4"/>
        <v>0</v>
      </c>
      <c r="BK76" s="12">
        <f t="shared" si="5"/>
        <v>0</v>
      </c>
      <c r="BL76" s="12">
        <f t="shared" si="6"/>
        <v>0</v>
      </c>
      <c r="BM76" s="12">
        <f t="shared" si="7"/>
        <v>0</v>
      </c>
      <c r="BN76" s="12">
        <f t="shared" si="8"/>
        <v>0</v>
      </c>
      <c r="BO76" s="12">
        <f t="shared" si="9"/>
        <v>0</v>
      </c>
      <c r="BP76" s="12">
        <f t="shared" si="10"/>
        <v>0</v>
      </c>
      <c r="BQ76" s="12">
        <f t="shared" si="11"/>
        <v>0</v>
      </c>
      <c r="BR76" s="12">
        <f t="shared" si="72"/>
        <v>0</v>
      </c>
      <c r="BS76" s="12">
        <f t="shared" si="73"/>
        <v>0</v>
      </c>
      <c r="BU76" s="11">
        <f t="shared" si="19"/>
        <v>0</v>
      </c>
      <c r="BV76" s="11">
        <f t="shared" si="20"/>
        <v>0</v>
      </c>
      <c r="BW76" s="11">
        <f t="shared" si="21"/>
        <v>0</v>
      </c>
      <c r="BX76" s="11">
        <f t="shared" si="22"/>
        <v>0</v>
      </c>
      <c r="BY76" s="11">
        <f t="shared" si="23"/>
        <v>0</v>
      </c>
      <c r="BZ76" s="11">
        <f t="shared" si="24"/>
        <v>0</v>
      </c>
      <c r="CA76" s="11">
        <f t="shared" si="25"/>
        <v>0</v>
      </c>
      <c r="CB76" s="11">
        <f t="shared" si="26"/>
        <v>0</v>
      </c>
      <c r="CC76" s="11">
        <f t="shared" si="27"/>
        <v>0</v>
      </c>
      <c r="CD76" s="11">
        <f t="shared" si="28"/>
        <v>0</v>
      </c>
      <c r="CE76" s="11">
        <f t="shared" si="29"/>
        <v>0</v>
      </c>
      <c r="CF76" s="11">
        <f t="shared" si="30"/>
        <v>0</v>
      </c>
      <c r="CG76" s="11"/>
      <c r="CH76" s="41">
        <v>3.2330000000000001</v>
      </c>
      <c r="CJ76" s="54">
        <f t="shared" si="31"/>
        <v>0</v>
      </c>
      <c r="CK76" s="54">
        <f t="shared" si="32"/>
        <v>0</v>
      </c>
      <c r="CL76" s="54">
        <f t="shared" si="33"/>
        <v>0</v>
      </c>
      <c r="CM76" s="54">
        <f t="shared" si="34"/>
        <v>0</v>
      </c>
      <c r="CN76" s="54">
        <f t="shared" si="35"/>
        <v>0</v>
      </c>
      <c r="CO76" s="54">
        <f t="shared" si="36"/>
        <v>0</v>
      </c>
      <c r="CP76" s="54">
        <f t="shared" si="37"/>
        <v>0</v>
      </c>
      <c r="CQ76" s="54">
        <f t="shared" si="38"/>
        <v>0</v>
      </c>
      <c r="CR76" s="54">
        <f t="shared" si="39"/>
        <v>0</v>
      </c>
      <c r="CS76" s="54">
        <f t="shared" si="40"/>
        <v>0</v>
      </c>
      <c r="CT76" s="54">
        <f t="shared" si="41"/>
        <v>0</v>
      </c>
      <c r="CU76" s="54">
        <f t="shared" si="42"/>
        <v>0</v>
      </c>
      <c r="CV76" s="52">
        <f t="shared" si="43"/>
        <v>0</v>
      </c>
    </row>
    <row r="77" spans="1:100" ht="15.75" x14ac:dyDescent="0.25">
      <c r="A77" s="17"/>
      <c r="B77" s="17"/>
      <c r="C77" s="17"/>
      <c r="D77" s="17"/>
      <c r="E77" s="17"/>
      <c r="F77" s="31" t="s">
        <v>19</v>
      </c>
      <c r="G77" s="75"/>
      <c r="H77" s="76"/>
      <c r="I77" s="76"/>
      <c r="J77" s="76"/>
      <c r="K77" s="76"/>
      <c r="L77" s="76"/>
      <c r="M77" s="76"/>
      <c r="N77" s="76"/>
      <c r="O77" s="76"/>
      <c r="P77" s="76"/>
      <c r="Q77" s="76"/>
      <c r="R77" s="76"/>
      <c r="S77" s="11">
        <f t="shared" si="71"/>
        <v>0</v>
      </c>
      <c r="T77" s="8">
        <f t="shared" si="70"/>
        <v>0</v>
      </c>
      <c r="U77" s="13" t="s">
        <v>3628</v>
      </c>
      <c r="V77" s="46">
        <f t="shared" si="18"/>
        <v>0</v>
      </c>
      <c r="W77" s="36">
        <v>1.258</v>
      </c>
      <c r="X77" s="36">
        <v>1.258</v>
      </c>
      <c r="Y77" s="36">
        <v>1.6339999999999999</v>
      </c>
      <c r="Z77" s="36">
        <v>1.6339999999999999</v>
      </c>
      <c r="AA77" s="36">
        <v>1.6339999999999999</v>
      </c>
      <c r="AB77" s="36">
        <v>1.6339999999999999</v>
      </c>
      <c r="AC77" s="36">
        <v>1.6339999999999999</v>
      </c>
      <c r="AD77" s="36">
        <v>1.6339999999999999</v>
      </c>
      <c r="AE77" s="36">
        <v>1.6339999999999999</v>
      </c>
      <c r="AF77" s="36">
        <v>1.6339999999999999</v>
      </c>
      <c r="AG77" s="36">
        <v>1.6339999999999999</v>
      </c>
      <c r="AH77" s="36">
        <v>1.6339999999999999</v>
      </c>
      <c r="AI77" s="39">
        <v>1.33634708931066E-2</v>
      </c>
      <c r="AJ77" s="39">
        <v>1.33634708931066E-2</v>
      </c>
      <c r="AK77" s="39">
        <v>1.33634708931066E-2</v>
      </c>
      <c r="AL77" s="39">
        <v>1.33634708931066E-2</v>
      </c>
      <c r="AM77" s="39">
        <v>1.33634708931066E-2</v>
      </c>
      <c r="AN77" s="39">
        <v>1.33634708931066E-2</v>
      </c>
      <c r="AO77" s="39">
        <v>1.33634708931066E-2</v>
      </c>
      <c r="AP77" s="39">
        <v>1.33634708931066E-2</v>
      </c>
      <c r="AQ77" s="39">
        <v>1.33634708931066E-2</v>
      </c>
      <c r="AR77" s="39">
        <v>1.33634708931066E-2</v>
      </c>
      <c r="AS77" s="39">
        <v>1.33634708931066E-2</v>
      </c>
      <c r="AT77" s="39">
        <v>1.33634708931066E-2</v>
      </c>
      <c r="AU77" s="39">
        <v>1.2392217523121999E-3</v>
      </c>
      <c r="AV77" s="39">
        <v>1.2392217523121999E-3</v>
      </c>
      <c r="AW77" s="39">
        <v>1.2392217523121999E-3</v>
      </c>
      <c r="AX77" s="39">
        <v>1.2392217523121999E-3</v>
      </c>
      <c r="AY77" s="39">
        <v>1.2392217523121999E-3</v>
      </c>
      <c r="AZ77" s="39">
        <v>1.2392217523121999E-3</v>
      </c>
      <c r="BA77" s="39">
        <v>1.2392217523121999E-3</v>
      </c>
      <c r="BB77" s="39">
        <v>1.2392217523121999E-3</v>
      </c>
      <c r="BC77" s="39">
        <v>1.2392217523121999E-3</v>
      </c>
      <c r="BD77" s="39">
        <v>1.2392217523121999E-3</v>
      </c>
      <c r="BE77" s="39">
        <v>1.2392217523121999E-3</v>
      </c>
      <c r="BF77" s="39">
        <v>1.2392217523121999E-3</v>
      </c>
      <c r="BH77" s="12">
        <f t="shared" si="2"/>
        <v>0</v>
      </c>
      <c r="BI77" s="12">
        <f t="shared" si="3"/>
        <v>0</v>
      </c>
      <c r="BJ77" s="12">
        <f t="shared" si="4"/>
        <v>0</v>
      </c>
      <c r="BK77" s="12">
        <f t="shared" si="5"/>
        <v>0</v>
      </c>
      <c r="BL77" s="12">
        <f t="shared" si="6"/>
        <v>0</v>
      </c>
      <c r="BM77" s="12">
        <f t="shared" si="7"/>
        <v>0</v>
      </c>
      <c r="BN77" s="12">
        <f t="shared" si="8"/>
        <v>0</v>
      </c>
      <c r="BO77" s="12">
        <f t="shared" si="9"/>
        <v>0</v>
      </c>
      <c r="BP77" s="12">
        <f t="shared" si="10"/>
        <v>0</v>
      </c>
      <c r="BQ77" s="12">
        <f t="shared" si="11"/>
        <v>0</v>
      </c>
      <c r="BR77" s="12">
        <f t="shared" si="72"/>
        <v>0</v>
      </c>
      <c r="BS77" s="12">
        <f t="shared" si="73"/>
        <v>0</v>
      </c>
      <c r="BU77" s="11">
        <f t="shared" si="19"/>
        <v>0</v>
      </c>
      <c r="BV77" s="11">
        <f t="shared" si="20"/>
        <v>0</v>
      </c>
      <c r="BW77" s="11">
        <f t="shared" si="21"/>
        <v>0</v>
      </c>
      <c r="BX77" s="11">
        <f t="shared" si="22"/>
        <v>0</v>
      </c>
      <c r="BY77" s="11">
        <f t="shared" si="23"/>
        <v>0</v>
      </c>
      <c r="BZ77" s="11">
        <f t="shared" si="24"/>
        <v>0</v>
      </c>
      <c r="CA77" s="11">
        <f t="shared" si="25"/>
        <v>0</v>
      </c>
      <c r="CB77" s="11">
        <f t="shared" si="26"/>
        <v>0</v>
      </c>
      <c r="CC77" s="11">
        <f t="shared" si="27"/>
        <v>0</v>
      </c>
      <c r="CD77" s="11">
        <f t="shared" si="28"/>
        <v>0</v>
      </c>
      <c r="CE77" s="11">
        <f t="shared" si="29"/>
        <v>0</v>
      </c>
      <c r="CF77" s="11">
        <f t="shared" si="30"/>
        <v>0</v>
      </c>
      <c r="CG77" s="11"/>
      <c r="CH77" s="41">
        <v>3.2330000000000001</v>
      </c>
      <c r="CJ77" s="54">
        <f t="shared" si="31"/>
        <v>0</v>
      </c>
      <c r="CK77" s="54">
        <f t="shared" si="32"/>
        <v>0</v>
      </c>
      <c r="CL77" s="54">
        <f t="shared" si="33"/>
        <v>0</v>
      </c>
      <c r="CM77" s="54">
        <f t="shared" si="34"/>
        <v>0</v>
      </c>
      <c r="CN77" s="54">
        <f t="shared" si="35"/>
        <v>0</v>
      </c>
      <c r="CO77" s="54">
        <f t="shared" si="36"/>
        <v>0</v>
      </c>
      <c r="CP77" s="54">
        <f t="shared" si="37"/>
        <v>0</v>
      </c>
      <c r="CQ77" s="54">
        <f t="shared" si="38"/>
        <v>0</v>
      </c>
      <c r="CR77" s="54">
        <f t="shared" si="39"/>
        <v>0</v>
      </c>
      <c r="CS77" s="54">
        <f t="shared" si="40"/>
        <v>0</v>
      </c>
      <c r="CT77" s="54">
        <f t="shared" si="41"/>
        <v>0</v>
      </c>
      <c r="CU77" s="54">
        <f t="shared" si="42"/>
        <v>0</v>
      </c>
      <c r="CV77" s="52">
        <f t="shared" si="43"/>
        <v>0</v>
      </c>
    </row>
    <row r="78" spans="1:100" ht="15.75" x14ac:dyDescent="0.25">
      <c r="A78" s="17"/>
      <c r="B78" s="17"/>
      <c r="C78" s="17"/>
      <c r="D78" s="17"/>
      <c r="E78" s="17"/>
      <c r="F78" s="31" t="s">
        <v>19</v>
      </c>
      <c r="G78" s="75"/>
      <c r="H78" s="76"/>
      <c r="I78" s="76"/>
      <c r="J78" s="76"/>
      <c r="K78" s="76"/>
      <c r="L78" s="76"/>
      <c r="M78" s="76"/>
      <c r="N78" s="76"/>
      <c r="O78" s="76"/>
      <c r="P78" s="76"/>
      <c r="Q78" s="76"/>
      <c r="R78" s="76"/>
      <c r="S78" s="11">
        <f t="shared" si="71"/>
        <v>0</v>
      </c>
      <c r="T78" s="8">
        <f t="shared" si="70"/>
        <v>0</v>
      </c>
      <c r="U78" s="13" t="s">
        <v>3628</v>
      </c>
      <c r="V78" s="46">
        <f t="shared" si="18"/>
        <v>0</v>
      </c>
      <c r="W78" s="36">
        <v>1.9790000000000001</v>
      </c>
      <c r="X78" s="36">
        <v>1.9790000000000001</v>
      </c>
      <c r="Y78" s="36">
        <v>2.6459999999999999</v>
      </c>
      <c r="Z78" s="36">
        <v>2.6459999999999999</v>
      </c>
      <c r="AA78" s="36">
        <v>2.6459999999999999</v>
      </c>
      <c r="AB78" s="36">
        <v>2.6459999999999999</v>
      </c>
      <c r="AC78" s="36">
        <v>2.6459999999999999</v>
      </c>
      <c r="AD78" s="36">
        <v>2.6459999999999999</v>
      </c>
      <c r="AE78" s="36">
        <v>2.6459999999999999</v>
      </c>
      <c r="AF78" s="36">
        <v>2.6459999999999999</v>
      </c>
      <c r="AG78" s="36">
        <v>2.6459999999999999</v>
      </c>
      <c r="AH78" s="36">
        <v>2.6459999999999999</v>
      </c>
      <c r="AI78" s="39">
        <v>1.33634708931066E-2</v>
      </c>
      <c r="AJ78" s="39">
        <v>1.33634708931066E-2</v>
      </c>
      <c r="AK78" s="39">
        <v>1.33634708931066E-2</v>
      </c>
      <c r="AL78" s="39">
        <v>1.33634708931066E-2</v>
      </c>
      <c r="AM78" s="39">
        <v>1.33634708931066E-2</v>
      </c>
      <c r="AN78" s="39">
        <v>1.33634708931066E-2</v>
      </c>
      <c r="AO78" s="39">
        <v>1.33634708931066E-2</v>
      </c>
      <c r="AP78" s="39">
        <v>1.33634708931066E-2</v>
      </c>
      <c r="AQ78" s="39">
        <v>1.33634708931066E-2</v>
      </c>
      <c r="AR78" s="39">
        <v>1.33634708931066E-2</v>
      </c>
      <c r="AS78" s="39">
        <v>1.33634708931066E-2</v>
      </c>
      <c r="AT78" s="39">
        <v>1.33634708931066E-2</v>
      </c>
      <c r="AU78" s="39">
        <v>1.2392217523121999E-3</v>
      </c>
      <c r="AV78" s="39">
        <v>1.2392217523121999E-3</v>
      </c>
      <c r="AW78" s="39">
        <v>1.2392217523121999E-3</v>
      </c>
      <c r="AX78" s="39">
        <v>1.2392217523121999E-3</v>
      </c>
      <c r="AY78" s="39">
        <v>1.2392217523121999E-3</v>
      </c>
      <c r="AZ78" s="39">
        <v>1.2392217523121999E-3</v>
      </c>
      <c r="BA78" s="39">
        <v>1.2392217523121999E-3</v>
      </c>
      <c r="BB78" s="39">
        <v>1.2392217523121999E-3</v>
      </c>
      <c r="BC78" s="39">
        <v>1.2392217523121999E-3</v>
      </c>
      <c r="BD78" s="39">
        <v>1.2392217523121999E-3</v>
      </c>
      <c r="BE78" s="39">
        <v>1.2392217523121999E-3</v>
      </c>
      <c r="BF78" s="39">
        <v>1.2392217523121999E-3</v>
      </c>
      <c r="BH78" s="12">
        <f t="shared" si="2"/>
        <v>0</v>
      </c>
      <c r="BI78" s="12">
        <f t="shared" si="3"/>
        <v>0</v>
      </c>
      <c r="BJ78" s="12">
        <f t="shared" si="4"/>
        <v>0</v>
      </c>
      <c r="BK78" s="12">
        <f t="shared" si="5"/>
        <v>0</v>
      </c>
      <c r="BL78" s="12">
        <f t="shared" si="6"/>
        <v>0</v>
      </c>
      <c r="BM78" s="12">
        <f t="shared" si="7"/>
        <v>0</v>
      </c>
      <c r="BN78" s="12">
        <f t="shared" si="8"/>
        <v>0</v>
      </c>
      <c r="BO78" s="12">
        <f t="shared" si="9"/>
        <v>0</v>
      </c>
      <c r="BP78" s="12">
        <f t="shared" si="10"/>
        <v>0</v>
      </c>
      <c r="BQ78" s="12">
        <f t="shared" si="11"/>
        <v>0</v>
      </c>
      <c r="BR78" s="12">
        <f t="shared" si="72"/>
        <v>0</v>
      </c>
      <c r="BS78" s="12">
        <f t="shared" si="73"/>
        <v>0</v>
      </c>
      <c r="BU78" s="11">
        <f t="shared" si="19"/>
        <v>0</v>
      </c>
      <c r="BV78" s="11">
        <f t="shared" si="20"/>
        <v>0</v>
      </c>
      <c r="BW78" s="11">
        <f t="shared" si="21"/>
        <v>0</v>
      </c>
      <c r="BX78" s="11">
        <f t="shared" si="22"/>
        <v>0</v>
      </c>
      <c r="BY78" s="11">
        <f t="shared" si="23"/>
        <v>0</v>
      </c>
      <c r="BZ78" s="11">
        <f t="shared" si="24"/>
        <v>0</v>
      </c>
      <c r="CA78" s="11">
        <f t="shared" si="25"/>
        <v>0</v>
      </c>
      <c r="CB78" s="11">
        <f t="shared" si="26"/>
        <v>0</v>
      </c>
      <c r="CC78" s="11">
        <f t="shared" si="27"/>
        <v>0</v>
      </c>
      <c r="CD78" s="11">
        <f t="shared" si="28"/>
        <v>0</v>
      </c>
      <c r="CE78" s="11">
        <f t="shared" si="29"/>
        <v>0</v>
      </c>
      <c r="CF78" s="11">
        <f t="shared" si="30"/>
        <v>0</v>
      </c>
      <c r="CG78" s="11"/>
      <c r="CH78" s="41">
        <v>3.2330000000000001</v>
      </c>
      <c r="CJ78" s="54">
        <f t="shared" si="31"/>
        <v>0</v>
      </c>
      <c r="CK78" s="54">
        <f t="shared" si="32"/>
        <v>0</v>
      </c>
      <c r="CL78" s="54">
        <f t="shared" si="33"/>
        <v>0</v>
      </c>
      <c r="CM78" s="54">
        <f t="shared" si="34"/>
        <v>0</v>
      </c>
      <c r="CN78" s="54">
        <f t="shared" si="35"/>
        <v>0</v>
      </c>
      <c r="CO78" s="54">
        <f t="shared" si="36"/>
        <v>0</v>
      </c>
      <c r="CP78" s="54">
        <f t="shared" si="37"/>
        <v>0</v>
      </c>
      <c r="CQ78" s="54">
        <f t="shared" si="38"/>
        <v>0</v>
      </c>
      <c r="CR78" s="54">
        <f t="shared" si="39"/>
        <v>0</v>
      </c>
      <c r="CS78" s="54">
        <f t="shared" si="40"/>
        <v>0</v>
      </c>
      <c r="CT78" s="54">
        <f t="shared" si="41"/>
        <v>0</v>
      </c>
      <c r="CU78" s="54">
        <f t="shared" si="42"/>
        <v>0</v>
      </c>
      <c r="CV78" s="52">
        <f t="shared" si="43"/>
        <v>0</v>
      </c>
    </row>
    <row r="79" spans="1:100" ht="15.75" x14ac:dyDescent="0.25">
      <c r="A79" s="17"/>
      <c r="B79" s="17"/>
      <c r="C79" s="17"/>
      <c r="D79" s="17"/>
      <c r="E79" s="17"/>
      <c r="F79" s="31" t="s">
        <v>19</v>
      </c>
      <c r="G79" s="75"/>
      <c r="H79" s="76"/>
      <c r="I79" s="76"/>
      <c r="J79" s="76"/>
      <c r="K79" s="76"/>
      <c r="L79" s="76"/>
      <c r="M79" s="76"/>
      <c r="N79" s="76"/>
      <c r="O79" s="76"/>
      <c r="P79" s="76"/>
      <c r="Q79" s="76"/>
      <c r="R79" s="76"/>
      <c r="S79" s="11">
        <f t="shared" si="71"/>
        <v>0</v>
      </c>
      <c r="T79" s="8">
        <f t="shared" si="70"/>
        <v>0</v>
      </c>
      <c r="U79" s="13" t="s">
        <v>3628</v>
      </c>
      <c r="V79" s="46">
        <f t="shared" si="18"/>
        <v>0</v>
      </c>
      <c r="W79" s="36">
        <v>1.82</v>
      </c>
      <c r="X79" s="36">
        <v>1.82</v>
      </c>
      <c r="Y79" s="36">
        <v>2.367</v>
      </c>
      <c r="Z79" s="36">
        <v>2.367</v>
      </c>
      <c r="AA79" s="36">
        <v>2.367</v>
      </c>
      <c r="AB79" s="36">
        <v>2.367</v>
      </c>
      <c r="AC79" s="36">
        <v>2.367</v>
      </c>
      <c r="AD79" s="36">
        <v>2.367</v>
      </c>
      <c r="AE79" s="36">
        <v>2.367</v>
      </c>
      <c r="AF79" s="36">
        <v>2.367</v>
      </c>
      <c r="AG79" s="36">
        <v>2.367</v>
      </c>
      <c r="AH79" s="36">
        <v>2.367</v>
      </c>
      <c r="AI79" s="39">
        <v>1.33634708931066E-2</v>
      </c>
      <c r="AJ79" s="39">
        <v>1.33634708931066E-2</v>
      </c>
      <c r="AK79" s="39">
        <v>1.33634708931066E-2</v>
      </c>
      <c r="AL79" s="39">
        <v>1.33634708931066E-2</v>
      </c>
      <c r="AM79" s="39">
        <v>1.33634708931066E-2</v>
      </c>
      <c r="AN79" s="39">
        <v>1.33634708931066E-2</v>
      </c>
      <c r="AO79" s="39">
        <v>1.33634708931066E-2</v>
      </c>
      <c r="AP79" s="39">
        <v>1.33634708931066E-2</v>
      </c>
      <c r="AQ79" s="39">
        <v>1.33634708931066E-2</v>
      </c>
      <c r="AR79" s="39">
        <v>1.33634708931066E-2</v>
      </c>
      <c r="AS79" s="39">
        <v>1.33634708931066E-2</v>
      </c>
      <c r="AT79" s="39">
        <v>1.33634708931066E-2</v>
      </c>
      <c r="AU79" s="39">
        <v>1.2392217523121999E-3</v>
      </c>
      <c r="AV79" s="39">
        <v>1.2392217523121999E-3</v>
      </c>
      <c r="AW79" s="39">
        <v>1.2392217523121999E-3</v>
      </c>
      <c r="AX79" s="39">
        <v>1.2392217523121999E-3</v>
      </c>
      <c r="AY79" s="39">
        <v>1.2392217523121999E-3</v>
      </c>
      <c r="AZ79" s="39">
        <v>1.2392217523121999E-3</v>
      </c>
      <c r="BA79" s="39">
        <v>1.2392217523121999E-3</v>
      </c>
      <c r="BB79" s="39">
        <v>1.2392217523121999E-3</v>
      </c>
      <c r="BC79" s="39">
        <v>1.2392217523121999E-3</v>
      </c>
      <c r="BD79" s="39">
        <v>1.2392217523121999E-3</v>
      </c>
      <c r="BE79" s="39">
        <v>1.2392217523121999E-3</v>
      </c>
      <c r="BF79" s="39">
        <v>1.2392217523121999E-3</v>
      </c>
      <c r="BH79" s="12">
        <f t="shared" si="2"/>
        <v>0</v>
      </c>
      <c r="BI79" s="12">
        <f t="shared" si="3"/>
        <v>0</v>
      </c>
      <c r="BJ79" s="12">
        <f t="shared" si="4"/>
        <v>0</v>
      </c>
      <c r="BK79" s="12">
        <f t="shared" si="5"/>
        <v>0</v>
      </c>
      <c r="BL79" s="12">
        <f t="shared" si="6"/>
        <v>0</v>
      </c>
      <c r="BM79" s="12">
        <f t="shared" si="7"/>
        <v>0</v>
      </c>
      <c r="BN79" s="12">
        <f t="shared" si="8"/>
        <v>0</v>
      </c>
      <c r="BO79" s="12">
        <f t="shared" si="9"/>
        <v>0</v>
      </c>
      <c r="BP79" s="12">
        <f t="shared" si="10"/>
        <v>0</v>
      </c>
      <c r="BQ79" s="12">
        <f t="shared" si="11"/>
        <v>0</v>
      </c>
      <c r="BR79" s="12">
        <f t="shared" si="72"/>
        <v>0</v>
      </c>
      <c r="BS79" s="12">
        <f t="shared" si="73"/>
        <v>0</v>
      </c>
      <c r="BU79" s="11">
        <f t="shared" si="19"/>
        <v>0</v>
      </c>
      <c r="BV79" s="11">
        <f t="shared" si="20"/>
        <v>0</v>
      </c>
      <c r="BW79" s="11">
        <f t="shared" si="21"/>
        <v>0</v>
      </c>
      <c r="BX79" s="11">
        <f t="shared" si="22"/>
        <v>0</v>
      </c>
      <c r="BY79" s="11">
        <f t="shared" si="23"/>
        <v>0</v>
      </c>
      <c r="BZ79" s="11">
        <f t="shared" si="24"/>
        <v>0</v>
      </c>
      <c r="CA79" s="11">
        <f t="shared" si="25"/>
        <v>0</v>
      </c>
      <c r="CB79" s="11">
        <f t="shared" si="26"/>
        <v>0</v>
      </c>
      <c r="CC79" s="11">
        <f t="shared" si="27"/>
        <v>0</v>
      </c>
      <c r="CD79" s="11">
        <f t="shared" si="28"/>
        <v>0</v>
      </c>
      <c r="CE79" s="11">
        <f t="shared" si="29"/>
        <v>0</v>
      </c>
      <c r="CF79" s="11">
        <f t="shared" si="30"/>
        <v>0</v>
      </c>
      <c r="CG79" s="11"/>
      <c r="CH79" s="41">
        <v>3.2330000000000001</v>
      </c>
      <c r="CJ79" s="54">
        <f t="shared" si="31"/>
        <v>0</v>
      </c>
      <c r="CK79" s="54">
        <f t="shared" si="32"/>
        <v>0</v>
      </c>
      <c r="CL79" s="54">
        <f t="shared" si="33"/>
        <v>0</v>
      </c>
      <c r="CM79" s="54">
        <f t="shared" si="34"/>
        <v>0</v>
      </c>
      <c r="CN79" s="54">
        <f t="shared" si="35"/>
        <v>0</v>
      </c>
      <c r="CO79" s="54">
        <f t="shared" si="36"/>
        <v>0</v>
      </c>
      <c r="CP79" s="54">
        <f t="shared" si="37"/>
        <v>0</v>
      </c>
      <c r="CQ79" s="54">
        <f t="shared" si="38"/>
        <v>0</v>
      </c>
      <c r="CR79" s="54">
        <f t="shared" si="39"/>
        <v>0</v>
      </c>
      <c r="CS79" s="54">
        <f t="shared" si="40"/>
        <v>0</v>
      </c>
      <c r="CT79" s="54">
        <f t="shared" si="41"/>
        <v>0</v>
      </c>
      <c r="CU79" s="54">
        <f t="shared" si="42"/>
        <v>0</v>
      </c>
      <c r="CV79" s="52">
        <f t="shared" si="43"/>
        <v>0</v>
      </c>
    </row>
    <row r="80" spans="1:100" ht="15.75" x14ac:dyDescent="0.25">
      <c r="A80" s="17"/>
      <c r="B80" s="17"/>
      <c r="C80" s="17"/>
      <c r="D80" s="17"/>
      <c r="E80" s="17"/>
      <c r="F80" s="31" t="s">
        <v>19</v>
      </c>
      <c r="G80" s="75"/>
      <c r="H80" s="76"/>
      <c r="I80" s="76"/>
      <c r="J80" s="76"/>
      <c r="K80" s="76"/>
      <c r="L80" s="76"/>
      <c r="M80" s="76"/>
      <c r="N80" s="76"/>
      <c r="O80" s="76"/>
      <c r="P80" s="76"/>
      <c r="Q80" s="76"/>
      <c r="R80" s="76"/>
      <c r="S80" s="11">
        <f t="shared" si="71"/>
        <v>0</v>
      </c>
      <c r="T80" s="8">
        <f t="shared" si="70"/>
        <v>0</v>
      </c>
      <c r="U80" s="13" t="s">
        <v>3628</v>
      </c>
      <c r="V80" s="46">
        <f t="shared" si="18"/>
        <v>0</v>
      </c>
      <c r="W80" s="36">
        <v>2.3559999999999999</v>
      </c>
      <c r="X80" s="36">
        <v>2.3559999999999999</v>
      </c>
      <c r="Y80" s="36">
        <v>3.0640000000000001</v>
      </c>
      <c r="Z80" s="36">
        <v>3.0640000000000001</v>
      </c>
      <c r="AA80" s="36">
        <v>3.0640000000000001</v>
      </c>
      <c r="AB80" s="36">
        <v>3.0640000000000001</v>
      </c>
      <c r="AC80" s="36">
        <v>3.0640000000000001</v>
      </c>
      <c r="AD80" s="36">
        <v>3.0640000000000001</v>
      </c>
      <c r="AE80" s="36">
        <v>3.0640000000000001</v>
      </c>
      <c r="AF80" s="36">
        <v>3.0640000000000001</v>
      </c>
      <c r="AG80" s="36">
        <v>3.0640000000000001</v>
      </c>
      <c r="AH80" s="36">
        <v>3.0640000000000001</v>
      </c>
      <c r="AI80" s="39">
        <v>1.33634708931066E-2</v>
      </c>
      <c r="AJ80" s="39">
        <v>1.33634708931066E-2</v>
      </c>
      <c r="AK80" s="39">
        <v>1.33634708931066E-2</v>
      </c>
      <c r="AL80" s="39">
        <v>1.33634708931066E-2</v>
      </c>
      <c r="AM80" s="39">
        <v>1.33634708931066E-2</v>
      </c>
      <c r="AN80" s="39">
        <v>1.33634708931066E-2</v>
      </c>
      <c r="AO80" s="39">
        <v>1.33634708931066E-2</v>
      </c>
      <c r="AP80" s="39">
        <v>1.33634708931066E-2</v>
      </c>
      <c r="AQ80" s="39">
        <v>1.33634708931066E-2</v>
      </c>
      <c r="AR80" s="39">
        <v>1.33634708931066E-2</v>
      </c>
      <c r="AS80" s="39">
        <v>1.33634708931066E-2</v>
      </c>
      <c r="AT80" s="39">
        <v>1.33634708931066E-2</v>
      </c>
      <c r="AU80" s="39">
        <v>1.2392217523121999E-3</v>
      </c>
      <c r="AV80" s="39">
        <v>1.2392217523121999E-3</v>
      </c>
      <c r="AW80" s="39">
        <v>1.2392217523121999E-3</v>
      </c>
      <c r="AX80" s="39">
        <v>1.2392217523121999E-3</v>
      </c>
      <c r="AY80" s="39">
        <v>1.2392217523121999E-3</v>
      </c>
      <c r="AZ80" s="39">
        <v>1.2392217523121999E-3</v>
      </c>
      <c r="BA80" s="39">
        <v>1.2392217523121999E-3</v>
      </c>
      <c r="BB80" s="39">
        <v>1.2392217523121999E-3</v>
      </c>
      <c r="BC80" s="39">
        <v>1.2392217523121999E-3</v>
      </c>
      <c r="BD80" s="39">
        <v>1.2392217523121999E-3</v>
      </c>
      <c r="BE80" s="39">
        <v>1.2392217523121999E-3</v>
      </c>
      <c r="BF80" s="39">
        <v>1.2392217523121999E-3</v>
      </c>
      <c r="BH80" s="12">
        <f t="shared" si="2"/>
        <v>0</v>
      </c>
      <c r="BI80" s="12">
        <f t="shared" si="3"/>
        <v>0</v>
      </c>
      <c r="BJ80" s="12">
        <f t="shared" si="4"/>
        <v>0</v>
      </c>
      <c r="BK80" s="12">
        <f t="shared" si="5"/>
        <v>0</v>
      </c>
      <c r="BL80" s="12">
        <f t="shared" si="6"/>
        <v>0</v>
      </c>
      <c r="BM80" s="12">
        <f t="shared" si="7"/>
        <v>0</v>
      </c>
      <c r="BN80" s="12">
        <f t="shared" si="8"/>
        <v>0</v>
      </c>
      <c r="BO80" s="12">
        <f t="shared" si="9"/>
        <v>0</v>
      </c>
      <c r="BP80" s="12">
        <f t="shared" si="10"/>
        <v>0</v>
      </c>
      <c r="BQ80" s="12">
        <f t="shared" si="11"/>
        <v>0</v>
      </c>
      <c r="BR80" s="12">
        <f t="shared" si="72"/>
        <v>0</v>
      </c>
      <c r="BS80" s="12">
        <f t="shared" si="73"/>
        <v>0</v>
      </c>
      <c r="BU80" s="11">
        <f t="shared" si="19"/>
        <v>0</v>
      </c>
      <c r="BV80" s="11">
        <f t="shared" si="20"/>
        <v>0</v>
      </c>
      <c r="BW80" s="11">
        <f t="shared" si="21"/>
        <v>0</v>
      </c>
      <c r="BX80" s="11">
        <f t="shared" si="22"/>
        <v>0</v>
      </c>
      <c r="BY80" s="11">
        <f t="shared" si="23"/>
        <v>0</v>
      </c>
      <c r="BZ80" s="11">
        <f t="shared" si="24"/>
        <v>0</v>
      </c>
      <c r="CA80" s="11">
        <f t="shared" si="25"/>
        <v>0</v>
      </c>
      <c r="CB80" s="11">
        <f t="shared" si="26"/>
        <v>0</v>
      </c>
      <c r="CC80" s="11">
        <f t="shared" si="27"/>
        <v>0</v>
      </c>
      <c r="CD80" s="11">
        <f t="shared" si="28"/>
        <v>0</v>
      </c>
      <c r="CE80" s="11">
        <f t="shared" si="29"/>
        <v>0</v>
      </c>
      <c r="CF80" s="11">
        <f t="shared" si="30"/>
        <v>0</v>
      </c>
      <c r="CG80" s="11"/>
      <c r="CH80" s="41">
        <v>3.2330000000000001</v>
      </c>
      <c r="CJ80" s="54">
        <f t="shared" si="31"/>
        <v>0</v>
      </c>
      <c r="CK80" s="54">
        <f t="shared" si="32"/>
        <v>0</v>
      </c>
      <c r="CL80" s="54">
        <f t="shared" si="33"/>
        <v>0</v>
      </c>
      <c r="CM80" s="54">
        <f t="shared" si="34"/>
        <v>0</v>
      </c>
      <c r="CN80" s="54">
        <f t="shared" si="35"/>
        <v>0</v>
      </c>
      <c r="CO80" s="54">
        <f t="shared" si="36"/>
        <v>0</v>
      </c>
      <c r="CP80" s="54">
        <f t="shared" si="37"/>
        <v>0</v>
      </c>
      <c r="CQ80" s="54">
        <f t="shared" si="38"/>
        <v>0</v>
      </c>
      <c r="CR80" s="54">
        <f t="shared" si="39"/>
        <v>0</v>
      </c>
      <c r="CS80" s="54">
        <f t="shared" si="40"/>
        <v>0</v>
      </c>
      <c r="CT80" s="54">
        <f t="shared" si="41"/>
        <v>0</v>
      </c>
      <c r="CU80" s="54">
        <f t="shared" si="42"/>
        <v>0</v>
      </c>
      <c r="CV80" s="52">
        <f t="shared" si="43"/>
        <v>0</v>
      </c>
    </row>
    <row r="81" spans="1:100" ht="15.75" x14ac:dyDescent="0.25">
      <c r="A81" s="17"/>
      <c r="B81" s="17"/>
      <c r="C81" s="17"/>
      <c r="D81" s="17"/>
      <c r="E81" s="17"/>
      <c r="F81" s="31" t="s">
        <v>19</v>
      </c>
      <c r="G81" s="75"/>
      <c r="H81" s="76"/>
      <c r="I81" s="76"/>
      <c r="J81" s="76"/>
      <c r="K81" s="76"/>
      <c r="L81" s="76"/>
      <c r="M81" s="76"/>
      <c r="N81" s="76"/>
      <c r="O81" s="76"/>
      <c r="P81" s="76"/>
      <c r="Q81" s="76"/>
      <c r="R81" s="76"/>
      <c r="S81" s="11">
        <f t="shared" si="71"/>
        <v>0</v>
      </c>
      <c r="T81" s="8">
        <f t="shared" si="70"/>
        <v>0</v>
      </c>
      <c r="U81" s="13" t="s">
        <v>3628</v>
      </c>
      <c r="V81" s="46">
        <f t="shared" si="18"/>
        <v>0</v>
      </c>
      <c r="W81" s="36">
        <v>1.964</v>
      </c>
      <c r="X81" s="36">
        <v>1.964</v>
      </c>
      <c r="Y81" s="36">
        <v>2.6280000000000001</v>
      </c>
      <c r="Z81" s="36">
        <v>2.6280000000000001</v>
      </c>
      <c r="AA81" s="36">
        <v>2.6280000000000001</v>
      </c>
      <c r="AB81" s="36">
        <v>2.6280000000000001</v>
      </c>
      <c r="AC81" s="36">
        <v>2.6280000000000001</v>
      </c>
      <c r="AD81" s="36">
        <v>2.6280000000000001</v>
      </c>
      <c r="AE81" s="36">
        <v>2.6280000000000001</v>
      </c>
      <c r="AF81" s="36">
        <v>2.6280000000000001</v>
      </c>
      <c r="AG81" s="36">
        <v>2.6280000000000001</v>
      </c>
      <c r="AH81" s="36">
        <v>2.6280000000000001</v>
      </c>
      <c r="AI81" s="39">
        <v>1.33634708931066E-2</v>
      </c>
      <c r="AJ81" s="39">
        <v>1.33634708931066E-2</v>
      </c>
      <c r="AK81" s="39">
        <v>1.33634708931066E-2</v>
      </c>
      <c r="AL81" s="39">
        <v>1.33634708931066E-2</v>
      </c>
      <c r="AM81" s="39">
        <v>1.33634708931066E-2</v>
      </c>
      <c r="AN81" s="39">
        <v>1.33634708931066E-2</v>
      </c>
      <c r="AO81" s="39">
        <v>1.33634708931066E-2</v>
      </c>
      <c r="AP81" s="39">
        <v>1.33634708931066E-2</v>
      </c>
      <c r="AQ81" s="39">
        <v>1.33634708931066E-2</v>
      </c>
      <c r="AR81" s="39">
        <v>1.33634708931066E-2</v>
      </c>
      <c r="AS81" s="39">
        <v>1.33634708931066E-2</v>
      </c>
      <c r="AT81" s="39">
        <v>1.33634708931066E-2</v>
      </c>
      <c r="AU81" s="39">
        <v>1.2392217523121999E-3</v>
      </c>
      <c r="AV81" s="39">
        <v>1.2392217523121999E-3</v>
      </c>
      <c r="AW81" s="39">
        <v>1.2392217523121999E-3</v>
      </c>
      <c r="AX81" s="39">
        <v>1.2392217523121999E-3</v>
      </c>
      <c r="AY81" s="39">
        <v>1.2392217523121999E-3</v>
      </c>
      <c r="AZ81" s="39">
        <v>1.2392217523121999E-3</v>
      </c>
      <c r="BA81" s="39">
        <v>1.2392217523121999E-3</v>
      </c>
      <c r="BB81" s="39">
        <v>1.2392217523121999E-3</v>
      </c>
      <c r="BC81" s="39">
        <v>1.2392217523121999E-3</v>
      </c>
      <c r="BD81" s="39">
        <v>1.2392217523121999E-3</v>
      </c>
      <c r="BE81" s="39">
        <v>1.2392217523121999E-3</v>
      </c>
      <c r="BF81" s="39">
        <v>1.2392217523121999E-3</v>
      </c>
      <c r="BH81" s="12">
        <f t="shared" ref="BH81:BH144" si="74">(W81*G81)</f>
        <v>0</v>
      </c>
      <c r="BI81" s="12">
        <f t="shared" ref="BI81:BI144" si="75">(X81*H81)</f>
        <v>0</v>
      </c>
      <c r="BJ81" s="12">
        <f t="shared" ref="BJ81:BJ144" si="76">(Y81*I81)</f>
        <v>0</v>
      </c>
      <c r="BK81" s="12">
        <f t="shared" ref="BK81:BK144" si="77">(Z81*J81)</f>
        <v>0</v>
      </c>
      <c r="BL81" s="12">
        <f t="shared" ref="BL81:BL144" si="78">(AA81*K81)</f>
        <v>0</v>
      </c>
      <c r="BM81" s="12">
        <f t="shared" ref="BM81:BM144" si="79">(AB81*L81)</f>
        <v>0</v>
      </c>
      <c r="BN81" s="12">
        <f t="shared" ref="BN81:BN144" si="80">(AC81*M81)</f>
        <v>0</v>
      </c>
      <c r="BO81" s="12">
        <f t="shared" ref="BO81:BO144" si="81">(AD81*N81)</f>
        <v>0</v>
      </c>
      <c r="BP81" s="12">
        <f t="shared" ref="BP81:BP144" si="82">(AE81*O81)</f>
        <v>0</v>
      </c>
      <c r="BQ81" s="12">
        <f t="shared" ref="BQ81:BQ144" si="83">(AF81*P81)</f>
        <v>0</v>
      </c>
      <c r="BR81" s="12">
        <f t="shared" si="72"/>
        <v>0</v>
      </c>
      <c r="BS81" s="12">
        <f t="shared" si="73"/>
        <v>0</v>
      </c>
      <c r="BU81" s="11">
        <f t="shared" si="19"/>
        <v>0</v>
      </c>
      <c r="BV81" s="11">
        <f t="shared" si="20"/>
        <v>0</v>
      </c>
      <c r="BW81" s="11">
        <f t="shared" si="21"/>
        <v>0</v>
      </c>
      <c r="BX81" s="11">
        <f t="shared" si="22"/>
        <v>0</v>
      </c>
      <c r="BY81" s="11">
        <f t="shared" si="23"/>
        <v>0</v>
      </c>
      <c r="BZ81" s="11">
        <f t="shared" si="24"/>
        <v>0</v>
      </c>
      <c r="CA81" s="11">
        <f t="shared" si="25"/>
        <v>0</v>
      </c>
      <c r="CB81" s="11">
        <f t="shared" si="26"/>
        <v>0</v>
      </c>
      <c r="CC81" s="11">
        <f t="shared" si="27"/>
        <v>0</v>
      </c>
      <c r="CD81" s="11">
        <f t="shared" si="28"/>
        <v>0</v>
      </c>
      <c r="CE81" s="11">
        <f t="shared" si="29"/>
        <v>0</v>
      </c>
      <c r="CF81" s="11">
        <f t="shared" si="30"/>
        <v>0</v>
      </c>
      <c r="CG81" s="11"/>
      <c r="CH81" s="41">
        <v>3.2330000000000001</v>
      </c>
      <c r="CJ81" s="54">
        <f t="shared" si="31"/>
        <v>0</v>
      </c>
      <c r="CK81" s="54">
        <f t="shared" si="32"/>
        <v>0</v>
      </c>
      <c r="CL81" s="54">
        <f t="shared" si="33"/>
        <v>0</v>
      </c>
      <c r="CM81" s="54">
        <f t="shared" si="34"/>
        <v>0</v>
      </c>
      <c r="CN81" s="54">
        <f t="shared" si="35"/>
        <v>0</v>
      </c>
      <c r="CO81" s="54">
        <f t="shared" si="36"/>
        <v>0</v>
      </c>
      <c r="CP81" s="54">
        <f t="shared" si="37"/>
        <v>0</v>
      </c>
      <c r="CQ81" s="54">
        <f t="shared" si="38"/>
        <v>0</v>
      </c>
      <c r="CR81" s="54">
        <f t="shared" si="39"/>
        <v>0</v>
      </c>
      <c r="CS81" s="54">
        <f t="shared" si="40"/>
        <v>0</v>
      </c>
      <c r="CT81" s="54">
        <f t="shared" si="41"/>
        <v>0</v>
      </c>
      <c r="CU81" s="54">
        <f t="shared" si="42"/>
        <v>0</v>
      </c>
      <c r="CV81" s="52">
        <f t="shared" si="43"/>
        <v>0</v>
      </c>
    </row>
    <row r="82" spans="1:100" ht="15.75" x14ac:dyDescent="0.25">
      <c r="A82" s="17"/>
      <c r="B82" s="17"/>
      <c r="C82" s="17"/>
      <c r="D82" s="17"/>
      <c r="E82" s="17"/>
      <c r="F82" s="31" t="s">
        <v>19</v>
      </c>
      <c r="G82" s="75"/>
      <c r="H82" s="76"/>
      <c r="I82" s="76"/>
      <c r="J82" s="76"/>
      <c r="K82" s="76"/>
      <c r="L82" s="76"/>
      <c r="M82" s="76"/>
      <c r="N82" s="76"/>
      <c r="O82" s="76"/>
      <c r="P82" s="76"/>
      <c r="Q82" s="76"/>
      <c r="R82" s="76"/>
      <c r="S82" s="11">
        <f t="shared" si="71"/>
        <v>0</v>
      </c>
      <c r="T82" s="8">
        <f t="shared" si="70"/>
        <v>0</v>
      </c>
      <c r="U82" s="13" t="s">
        <v>3628</v>
      </c>
      <c r="V82" s="46">
        <f t="shared" si="18"/>
        <v>0</v>
      </c>
      <c r="W82" s="36">
        <v>5.1070000000000002</v>
      </c>
      <c r="X82" s="36">
        <v>5.1070000000000002</v>
      </c>
      <c r="Y82" s="36">
        <v>5.1070000000000002</v>
      </c>
      <c r="Z82" s="36">
        <v>5.1070000000000002</v>
      </c>
      <c r="AA82" s="36">
        <v>5.1070000000000002</v>
      </c>
      <c r="AB82" s="36">
        <v>5.1070000000000002</v>
      </c>
      <c r="AC82" s="36">
        <v>5.1070000000000002</v>
      </c>
      <c r="AD82" s="36">
        <v>5.1070000000000002</v>
      </c>
      <c r="AE82" s="36">
        <v>5.1070000000000002</v>
      </c>
      <c r="AF82" s="36">
        <v>5.1070000000000002</v>
      </c>
      <c r="AG82" s="36">
        <v>5.1070000000000002</v>
      </c>
      <c r="AH82" s="36">
        <v>5.1070000000000002</v>
      </c>
      <c r="AI82" s="39">
        <v>1.33634708931066E-2</v>
      </c>
      <c r="AJ82" s="39">
        <v>1.33634708931066E-2</v>
      </c>
      <c r="AK82" s="39">
        <v>1.33634708931066E-2</v>
      </c>
      <c r="AL82" s="39">
        <v>1.33634708931066E-2</v>
      </c>
      <c r="AM82" s="39">
        <v>1.33634708931066E-2</v>
      </c>
      <c r="AN82" s="39">
        <v>1.33634708931066E-2</v>
      </c>
      <c r="AO82" s="39">
        <v>1.33634708931066E-2</v>
      </c>
      <c r="AP82" s="39">
        <v>1.33634708931066E-2</v>
      </c>
      <c r="AQ82" s="39">
        <v>1.33634708931066E-2</v>
      </c>
      <c r="AR82" s="39">
        <v>1.33634708931066E-2</v>
      </c>
      <c r="AS82" s="39">
        <v>1.33634708931066E-2</v>
      </c>
      <c r="AT82" s="39">
        <v>1.33634708931066E-2</v>
      </c>
      <c r="AU82" s="39">
        <v>1.2392217523121999E-3</v>
      </c>
      <c r="AV82" s="39">
        <v>1.2392217523121999E-3</v>
      </c>
      <c r="AW82" s="39">
        <v>1.2392217523121999E-3</v>
      </c>
      <c r="AX82" s="39">
        <v>1.2392217523121999E-3</v>
      </c>
      <c r="AY82" s="39">
        <v>1.2392217523121999E-3</v>
      </c>
      <c r="AZ82" s="39">
        <v>1.2392217523121999E-3</v>
      </c>
      <c r="BA82" s="39">
        <v>1.2392217523121999E-3</v>
      </c>
      <c r="BB82" s="39">
        <v>1.2392217523121999E-3</v>
      </c>
      <c r="BC82" s="39">
        <v>1.2392217523121999E-3</v>
      </c>
      <c r="BD82" s="39">
        <v>1.2392217523121999E-3</v>
      </c>
      <c r="BE82" s="39">
        <v>1.2392217523121999E-3</v>
      </c>
      <c r="BF82" s="39">
        <v>1.2392217523121999E-3</v>
      </c>
      <c r="BH82" s="12">
        <f t="shared" si="74"/>
        <v>0</v>
      </c>
      <c r="BI82" s="12">
        <f t="shared" si="75"/>
        <v>0</v>
      </c>
      <c r="BJ82" s="12">
        <f t="shared" si="76"/>
        <v>0</v>
      </c>
      <c r="BK82" s="12">
        <f t="shared" si="77"/>
        <v>0</v>
      </c>
      <c r="BL82" s="12">
        <f t="shared" si="78"/>
        <v>0</v>
      </c>
      <c r="BM82" s="12">
        <f t="shared" si="79"/>
        <v>0</v>
      </c>
      <c r="BN82" s="12">
        <f t="shared" si="80"/>
        <v>0</v>
      </c>
      <c r="BO82" s="12">
        <f t="shared" si="81"/>
        <v>0</v>
      </c>
      <c r="BP82" s="12">
        <f t="shared" si="82"/>
        <v>0</v>
      </c>
      <c r="BQ82" s="12">
        <f t="shared" si="83"/>
        <v>0</v>
      </c>
      <c r="BR82" s="12">
        <f t="shared" si="72"/>
        <v>0</v>
      </c>
      <c r="BS82" s="12">
        <f t="shared" si="73"/>
        <v>0</v>
      </c>
      <c r="BU82" s="11">
        <f t="shared" si="19"/>
        <v>0</v>
      </c>
      <c r="BV82" s="11">
        <f t="shared" si="20"/>
        <v>0</v>
      </c>
      <c r="BW82" s="11">
        <f t="shared" si="21"/>
        <v>0</v>
      </c>
      <c r="BX82" s="11">
        <f t="shared" si="22"/>
        <v>0</v>
      </c>
      <c r="BY82" s="11">
        <f t="shared" si="23"/>
        <v>0</v>
      </c>
      <c r="BZ82" s="11">
        <f t="shared" si="24"/>
        <v>0</v>
      </c>
      <c r="CA82" s="11">
        <f t="shared" si="25"/>
        <v>0</v>
      </c>
      <c r="CB82" s="11">
        <f t="shared" si="26"/>
        <v>0</v>
      </c>
      <c r="CC82" s="11">
        <f t="shared" si="27"/>
        <v>0</v>
      </c>
      <c r="CD82" s="11">
        <f t="shared" si="28"/>
        <v>0</v>
      </c>
      <c r="CE82" s="11">
        <f t="shared" si="29"/>
        <v>0</v>
      </c>
      <c r="CF82" s="11">
        <f t="shared" si="30"/>
        <v>0</v>
      </c>
      <c r="CG82" s="11"/>
      <c r="CH82" s="41">
        <v>3.2330000000000001</v>
      </c>
      <c r="CJ82" s="54">
        <f t="shared" si="31"/>
        <v>0</v>
      </c>
      <c r="CK82" s="54">
        <f t="shared" si="32"/>
        <v>0</v>
      </c>
      <c r="CL82" s="54">
        <f t="shared" si="33"/>
        <v>0</v>
      </c>
      <c r="CM82" s="54">
        <f t="shared" si="34"/>
        <v>0</v>
      </c>
      <c r="CN82" s="54">
        <f t="shared" si="35"/>
        <v>0</v>
      </c>
      <c r="CO82" s="54">
        <f t="shared" si="36"/>
        <v>0</v>
      </c>
      <c r="CP82" s="54">
        <f t="shared" si="37"/>
        <v>0</v>
      </c>
      <c r="CQ82" s="54">
        <f t="shared" si="38"/>
        <v>0</v>
      </c>
      <c r="CR82" s="54">
        <f t="shared" si="39"/>
        <v>0</v>
      </c>
      <c r="CS82" s="54">
        <f t="shared" si="40"/>
        <v>0</v>
      </c>
      <c r="CT82" s="54">
        <f t="shared" si="41"/>
        <v>0</v>
      </c>
      <c r="CU82" s="54">
        <f t="shared" si="42"/>
        <v>0</v>
      </c>
      <c r="CV82" s="52">
        <f t="shared" si="43"/>
        <v>0</v>
      </c>
    </row>
    <row r="83" spans="1:100" ht="15.75" x14ac:dyDescent="0.25">
      <c r="A83" s="17"/>
      <c r="B83" s="17"/>
      <c r="C83" s="17"/>
      <c r="D83" s="17"/>
      <c r="E83" s="17"/>
      <c r="F83" s="31" t="s">
        <v>19</v>
      </c>
      <c r="G83" s="75"/>
      <c r="H83" s="76"/>
      <c r="I83" s="76"/>
      <c r="J83" s="76"/>
      <c r="K83" s="76"/>
      <c r="L83" s="76"/>
      <c r="M83" s="76"/>
      <c r="N83" s="76"/>
      <c r="O83" s="76"/>
      <c r="P83" s="76"/>
      <c r="Q83" s="76"/>
      <c r="R83" s="76"/>
      <c r="S83" s="11">
        <f t="shared" si="71"/>
        <v>0</v>
      </c>
      <c r="T83" s="8">
        <f t="shared" si="70"/>
        <v>0</v>
      </c>
      <c r="U83" s="13" t="s">
        <v>3628</v>
      </c>
      <c r="V83" s="46">
        <f t="shared" si="18"/>
        <v>0</v>
      </c>
      <c r="W83" s="36">
        <v>3.2559999999999998</v>
      </c>
      <c r="X83" s="36">
        <v>3.2559999999999998</v>
      </c>
      <c r="Y83" s="36">
        <v>3.2559999999999998</v>
      </c>
      <c r="Z83" s="36">
        <v>3.2559999999999998</v>
      </c>
      <c r="AA83" s="36">
        <v>3.2559999999999998</v>
      </c>
      <c r="AB83" s="36">
        <v>3.2559999999999998</v>
      </c>
      <c r="AC83" s="36">
        <v>3.2559999999999998</v>
      </c>
      <c r="AD83" s="36">
        <v>3.2559999999999998</v>
      </c>
      <c r="AE83" s="36">
        <v>3.2559999999999998</v>
      </c>
      <c r="AF83" s="36">
        <v>3.2559999999999998</v>
      </c>
      <c r="AG83" s="36">
        <v>3.2559999999999998</v>
      </c>
      <c r="AH83" s="36">
        <v>3.2559999999999998</v>
      </c>
      <c r="AI83" s="39">
        <v>1.33634708931066E-2</v>
      </c>
      <c r="AJ83" s="39">
        <v>1.33634708931066E-2</v>
      </c>
      <c r="AK83" s="39">
        <v>1.33634708931066E-2</v>
      </c>
      <c r="AL83" s="39">
        <v>1.33634708931066E-2</v>
      </c>
      <c r="AM83" s="39">
        <v>1.33634708931066E-2</v>
      </c>
      <c r="AN83" s="39">
        <v>1.33634708931066E-2</v>
      </c>
      <c r="AO83" s="39">
        <v>1.33634708931066E-2</v>
      </c>
      <c r="AP83" s="39">
        <v>1.33634708931066E-2</v>
      </c>
      <c r="AQ83" s="39">
        <v>1.33634708931066E-2</v>
      </c>
      <c r="AR83" s="39">
        <v>1.33634708931066E-2</v>
      </c>
      <c r="AS83" s="39">
        <v>1.33634708931066E-2</v>
      </c>
      <c r="AT83" s="39">
        <v>1.33634708931066E-2</v>
      </c>
      <c r="AU83" s="39">
        <v>1.2392217523121999E-3</v>
      </c>
      <c r="AV83" s="39">
        <v>1.2392217523121999E-3</v>
      </c>
      <c r="AW83" s="39">
        <v>1.2392217523121999E-3</v>
      </c>
      <c r="AX83" s="39">
        <v>1.2392217523121999E-3</v>
      </c>
      <c r="AY83" s="39">
        <v>1.2392217523121999E-3</v>
      </c>
      <c r="AZ83" s="39">
        <v>1.2392217523121999E-3</v>
      </c>
      <c r="BA83" s="39">
        <v>1.2392217523121999E-3</v>
      </c>
      <c r="BB83" s="39">
        <v>1.2392217523121999E-3</v>
      </c>
      <c r="BC83" s="39">
        <v>1.2392217523121999E-3</v>
      </c>
      <c r="BD83" s="39">
        <v>1.2392217523121999E-3</v>
      </c>
      <c r="BE83" s="39">
        <v>1.2392217523121999E-3</v>
      </c>
      <c r="BF83" s="39">
        <v>1.2392217523121999E-3</v>
      </c>
      <c r="BH83" s="12">
        <f t="shared" si="74"/>
        <v>0</v>
      </c>
      <c r="BI83" s="12">
        <f t="shared" si="75"/>
        <v>0</v>
      </c>
      <c r="BJ83" s="12">
        <f t="shared" si="76"/>
        <v>0</v>
      </c>
      <c r="BK83" s="12">
        <f t="shared" si="77"/>
        <v>0</v>
      </c>
      <c r="BL83" s="12">
        <f t="shared" si="78"/>
        <v>0</v>
      </c>
      <c r="BM83" s="12">
        <f t="shared" si="79"/>
        <v>0</v>
      </c>
      <c r="BN83" s="12">
        <f t="shared" si="80"/>
        <v>0</v>
      </c>
      <c r="BO83" s="12">
        <f t="shared" si="81"/>
        <v>0</v>
      </c>
      <c r="BP83" s="12">
        <f t="shared" si="82"/>
        <v>0</v>
      </c>
      <c r="BQ83" s="12">
        <f t="shared" si="83"/>
        <v>0</v>
      </c>
      <c r="BR83" s="12">
        <f t="shared" si="72"/>
        <v>0</v>
      </c>
      <c r="BS83" s="12">
        <f t="shared" si="73"/>
        <v>0</v>
      </c>
      <c r="BU83" s="11">
        <f t="shared" si="19"/>
        <v>0</v>
      </c>
      <c r="BV83" s="11">
        <f t="shared" si="20"/>
        <v>0</v>
      </c>
      <c r="BW83" s="11">
        <f t="shared" si="21"/>
        <v>0</v>
      </c>
      <c r="BX83" s="11">
        <f t="shared" si="22"/>
        <v>0</v>
      </c>
      <c r="BY83" s="11">
        <f t="shared" si="23"/>
        <v>0</v>
      </c>
      <c r="BZ83" s="11">
        <f t="shared" si="24"/>
        <v>0</v>
      </c>
      <c r="CA83" s="11">
        <f t="shared" si="25"/>
        <v>0</v>
      </c>
      <c r="CB83" s="11">
        <f t="shared" si="26"/>
        <v>0</v>
      </c>
      <c r="CC83" s="11">
        <f t="shared" si="27"/>
        <v>0</v>
      </c>
      <c r="CD83" s="11">
        <f t="shared" si="28"/>
        <v>0</v>
      </c>
      <c r="CE83" s="11">
        <f t="shared" si="29"/>
        <v>0</v>
      </c>
      <c r="CF83" s="11">
        <f t="shared" si="30"/>
        <v>0</v>
      </c>
      <c r="CG83" s="11"/>
      <c r="CH83" s="41">
        <v>3.2330000000000001</v>
      </c>
      <c r="CJ83" s="54">
        <f t="shared" si="31"/>
        <v>0</v>
      </c>
      <c r="CK83" s="54">
        <f t="shared" si="32"/>
        <v>0</v>
      </c>
      <c r="CL83" s="54">
        <f t="shared" si="33"/>
        <v>0</v>
      </c>
      <c r="CM83" s="54">
        <f t="shared" si="34"/>
        <v>0</v>
      </c>
      <c r="CN83" s="54">
        <f t="shared" si="35"/>
        <v>0</v>
      </c>
      <c r="CO83" s="54">
        <f t="shared" si="36"/>
        <v>0</v>
      </c>
      <c r="CP83" s="54">
        <f t="shared" si="37"/>
        <v>0</v>
      </c>
      <c r="CQ83" s="54">
        <f t="shared" si="38"/>
        <v>0</v>
      </c>
      <c r="CR83" s="54">
        <f t="shared" si="39"/>
        <v>0</v>
      </c>
      <c r="CS83" s="54">
        <f t="shared" si="40"/>
        <v>0</v>
      </c>
      <c r="CT83" s="54">
        <f t="shared" si="41"/>
        <v>0</v>
      </c>
      <c r="CU83" s="54">
        <f t="shared" si="42"/>
        <v>0</v>
      </c>
      <c r="CV83" s="52">
        <f t="shared" si="43"/>
        <v>0</v>
      </c>
    </row>
    <row r="84" spans="1:100" ht="15.75" x14ac:dyDescent="0.25">
      <c r="A84" s="17"/>
      <c r="B84" s="17"/>
      <c r="C84" s="17"/>
      <c r="D84" s="17"/>
      <c r="E84" s="17"/>
      <c r="F84" s="31" t="s">
        <v>19</v>
      </c>
      <c r="G84" s="75"/>
      <c r="H84" s="76"/>
      <c r="I84" s="76"/>
      <c r="J84" s="76"/>
      <c r="K84" s="76"/>
      <c r="L84" s="76"/>
      <c r="M84" s="76"/>
      <c r="N84" s="76"/>
      <c r="O84" s="76"/>
      <c r="P84" s="76"/>
      <c r="Q84" s="76"/>
      <c r="R84" s="76"/>
      <c r="S84" s="11">
        <f t="shared" si="71"/>
        <v>0</v>
      </c>
      <c r="T84" s="8">
        <f t="shared" si="70"/>
        <v>0</v>
      </c>
      <c r="U84" s="13" t="s">
        <v>3628</v>
      </c>
      <c r="V84" s="46">
        <f t="shared" si="18"/>
        <v>0</v>
      </c>
      <c r="W84" s="36">
        <v>1.4350000000000001</v>
      </c>
      <c r="X84" s="36">
        <v>1.4350000000000001</v>
      </c>
      <c r="Y84" s="36">
        <v>1.4350000000000001</v>
      </c>
      <c r="Z84" s="36">
        <v>1.4350000000000001</v>
      </c>
      <c r="AA84" s="36">
        <v>1.4350000000000001</v>
      </c>
      <c r="AB84" s="36">
        <v>1.4350000000000001</v>
      </c>
      <c r="AC84" s="36">
        <v>1.4350000000000001</v>
      </c>
      <c r="AD84" s="36">
        <v>1.4350000000000001</v>
      </c>
      <c r="AE84" s="36">
        <v>1.4350000000000001</v>
      </c>
      <c r="AF84" s="36">
        <v>1.4350000000000001</v>
      </c>
      <c r="AG84" s="36">
        <v>1.4350000000000001</v>
      </c>
      <c r="AH84" s="36">
        <v>1.4350000000000001</v>
      </c>
      <c r="AI84" s="39">
        <v>1.33634708931066E-2</v>
      </c>
      <c r="AJ84" s="39">
        <v>1.33634708931066E-2</v>
      </c>
      <c r="AK84" s="39">
        <v>1.33634708931066E-2</v>
      </c>
      <c r="AL84" s="39">
        <v>1.33634708931066E-2</v>
      </c>
      <c r="AM84" s="39">
        <v>1.33634708931066E-2</v>
      </c>
      <c r="AN84" s="39">
        <v>1.33634708931066E-2</v>
      </c>
      <c r="AO84" s="39">
        <v>1.33634708931066E-2</v>
      </c>
      <c r="AP84" s="39">
        <v>1.33634708931066E-2</v>
      </c>
      <c r="AQ84" s="39">
        <v>1.33634708931066E-2</v>
      </c>
      <c r="AR84" s="39">
        <v>1.33634708931066E-2</v>
      </c>
      <c r="AS84" s="39">
        <v>1.33634708931066E-2</v>
      </c>
      <c r="AT84" s="39">
        <v>1.33634708931066E-2</v>
      </c>
      <c r="AU84" s="39">
        <v>1.2392217523121999E-3</v>
      </c>
      <c r="AV84" s="39">
        <v>1.2392217523121999E-3</v>
      </c>
      <c r="AW84" s="39">
        <v>1.2392217523121999E-3</v>
      </c>
      <c r="AX84" s="39">
        <v>1.2392217523121999E-3</v>
      </c>
      <c r="AY84" s="39">
        <v>1.2392217523121999E-3</v>
      </c>
      <c r="AZ84" s="39">
        <v>1.2392217523121999E-3</v>
      </c>
      <c r="BA84" s="39">
        <v>1.2392217523121999E-3</v>
      </c>
      <c r="BB84" s="39">
        <v>1.2392217523121999E-3</v>
      </c>
      <c r="BC84" s="39">
        <v>1.2392217523121999E-3</v>
      </c>
      <c r="BD84" s="39">
        <v>1.2392217523121999E-3</v>
      </c>
      <c r="BE84" s="39">
        <v>1.2392217523121999E-3</v>
      </c>
      <c r="BF84" s="39">
        <v>1.2392217523121999E-3</v>
      </c>
      <c r="BH84" s="12">
        <f t="shared" si="74"/>
        <v>0</v>
      </c>
      <c r="BI84" s="12">
        <f t="shared" si="75"/>
        <v>0</v>
      </c>
      <c r="BJ84" s="12">
        <f t="shared" si="76"/>
        <v>0</v>
      </c>
      <c r="BK84" s="12">
        <f t="shared" si="77"/>
        <v>0</v>
      </c>
      <c r="BL84" s="12">
        <f t="shared" si="78"/>
        <v>0</v>
      </c>
      <c r="BM84" s="12">
        <f t="shared" si="79"/>
        <v>0</v>
      </c>
      <c r="BN84" s="12">
        <f t="shared" si="80"/>
        <v>0</v>
      </c>
      <c r="BO84" s="12">
        <f t="shared" si="81"/>
        <v>0</v>
      </c>
      <c r="BP84" s="12">
        <f t="shared" si="82"/>
        <v>0</v>
      </c>
      <c r="BQ84" s="12">
        <f t="shared" si="83"/>
        <v>0</v>
      </c>
      <c r="BR84" s="12">
        <f t="shared" si="72"/>
        <v>0</v>
      </c>
      <c r="BS84" s="12">
        <f t="shared" si="73"/>
        <v>0</v>
      </c>
      <c r="BU84" s="11">
        <f t="shared" si="19"/>
        <v>0</v>
      </c>
      <c r="BV84" s="11">
        <f t="shared" si="20"/>
        <v>0</v>
      </c>
      <c r="BW84" s="11">
        <f t="shared" si="21"/>
        <v>0</v>
      </c>
      <c r="BX84" s="11">
        <f t="shared" si="22"/>
        <v>0</v>
      </c>
      <c r="BY84" s="11">
        <f t="shared" si="23"/>
        <v>0</v>
      </c>
      <c r="BZ84" s="11">
        <f t="shared" si="24"/>
        <v>0</v>
      </c>
      <c r="CA84" s="11">
        <f t="shared" si="25"/>
        <v>0</v>
      </c>
      <c r="CB84" s="11">
        <f t="shared" si="26"/>
        <v>0</v>
      </c>
      <c r="CC84" s="11">
        <f t="shared" si="27"/>
        <v>0</v>
      </c>
      <c r="CD84" s="11">
        <f t="shared" si="28"/>
        <v>0</v>
      </c>
      <c r="CE84" s="11">
        <f t="shared" si="29"/>
        <v>0</v>
      </c>
      <c r="CF84" s="11">
        <f t="shared" si="30"/>
        <v>0</v>
      </c>
      <c r="CG84" s="11"/>
      <c r="CH84" s="41">
        <v>3.2330000000000001</v>
      </c>
      <c r="CJ84" s="54">
        <f t="shared" si="31"/>
        <v>0</v>
      </c>
      <c r="CK84" s="54">
        <f t="shared" si="32"/>
        <v>0</v>
      </c>
      <c r="CL84" s="54">
        <f t="shared" si="33"/>
        <v>0</v>
      </c>
      <c r="CM84" s="54">
        <f t="shared" si="34"/>
        <v>0</v>
      </c>
      <c r="CN84" s="54">
        <f t="shared" si="35"/>
        <v>0</v>
      </c>
      <c r="CO84" s="54">
        <f t="shared" si="36"/>
        <v>0</v>
      </c>
      <c r="CP84" s="54">
        <f t="shared" si="37"/>
        <v>0</v>
      </c>
      <c r="CQ84" s="54">
        <f t="shared" si="38"/>
        <v>0</v>
      </c>
      <c r="CR84" s="54">
        <f t="shared" si="39"/>
        <v>0</v>
      </c>
      <c r="CS84" s="54">
        <f t="shared" si="40"/>
        <v>0</v>
      </c>
      <c r="CT84" s="54">
        <f t="shared" si="41"/>
        <v>0</v>
      </c>
      <c r="CU84" s="54">
        <f t="shared" si="42"/>
        <v>0</v>
      </c>
      <c r="CV84" s="52">
        <f t="shared" si="43"/>
        <v>0</v>
      </c>
    </row>
    <row r="85" spans="1:100" ht="15.75" x14ac:dyDescent="0.25">
      <c r="A85" s="17"/>
      <c r="B85" s="17"/>
      <c r="C85" s="17"/>
      <c r="D85" s="17"/>
      <c r="E85" s="17"/>
      <c r="F85" s="31" t="s">
        <v>19</v>
      </c>
      <c r="G85" s="75"/>
      <c r="H85" s="76"/>
      <c r="I85" s="76"/>
      <c r="J85" s="76"/>
      <c r="K85" s="76"/>
      <c r="L85" s="76"/>
      <c r="M85" s="76"/>
      <c r="N85" s="76"/>
      <c r="O85" s="76"/>
      <c r="P85" s="76"/>
      <c r="Q85" s="76"/>
      <c r="R85" s="76"/>
      <c r="S85" s="11">
        <f t="shared" si="71"/>
        <v>0</v>
      </c>
      <c r="T85" s="8">
        <f t="shared" si="70"/>
        <v>0</v>
      </c>
      <c r="U85" s="13" t="s">
        <v>3628</v>
      </c>
      <c r="V85" s="46">
        <f t="shared" si="18"/>
        <v>0</v>
      </c>
      <c r="W85" s="36">
        <v>2.956</v>
      </c>
      <c r="X85" s="36">
        <v>2.956</v>
      </c>
      <c r="Y85" s="36">
        <v>2.956</v>
      </c>
      <c r="Z85" s="36">
        <v>2.956</v>
      </c>
      <c r="AA85" s="36">
        <v>2.956</v>
      </c>
      <c r="AB85" s="36">
        <v>2.956</v>
      </c>
      <c r="AC85" s="36">
        <v>2.956</v>
      </c>
      <c r="AD85" s="36">
        <v>2.956</v>
      </c>
      <c r="AE85" s="36">
        <v>2.956</v>
      </c>
      <c r="AF85" s="36">
        <v>2.956</v>
      </c>
      <c r="AG85" s="36">
        <v>2.956</v>
      </c>
      <c r="AH85" s="36">
        <v>2.956</v>
      </c>
      <c r="AI85" s="39">
        <v>1.33634708931066E-2</v>
      </c>
      <c r="AJ85" s="39">
        <v>1.33634708931066E-2</v>
      </c>
      <c r="AK85" s="39">
        <v>1.33634708931066E-2</v>
      </c>
      <c r="AL85" s="39">
        <v>1.33634708931066E-2</v>
      </c>
      <c r="AM85" s="39">
        <v>1.33634708931066E-2</v>
      </c>
      <c r="AN85" s="39">
        <v>1.33634708931066E-2</v>
      </c>
      <c r="AO85" s="39">
        <v>1.33634708931066E-2</v>
      </c>
      <c r="AP85" s="39">
        <v>1.33634708931066E-2</v>
      </c>
      <c r="AQ85" s="39">
        <v>1.33634708931066E-2</v>
      </c>
      <c r="AR85" s="39">
        <v>1.33634708931066E-2</v>
      </c>
      <c r="AS85" s="39">
        <v>1.33634708931066E-2</v>
      </c>
      <c r="AT85" s="39">
        <v>1.33634708931066E-2</v>
      </c>
      <c r="AU85" s="39">
        <v>1.2392217523121999E-3</v>
      </c>
      <c r="AV85" s="39">
        <v>1.2392217523121999E-3</v>
      </c>
      <c r="AW85" s="39">
        <v>1.2392217523121999E-3</v>
      </c>
      <c r="AX85" s="39">
        <v>1.2392217523121999E-3</v>
      </c>
      <c r="AY85" s="39">
        <v>1.2392217523121999E-3</v>
      </c>
      <c r="AZ85" s="39">
        <v>1.2392217523121999E-3</v>
      </c>
      <c r="BA85" s="39">
        <v>1.2392217523121999E-3</v>
      </c>
      <c r="BB85" s="39">
        <v>1.2392217523121999E-3</v>
      </c>
      <c r="BC85" s="39">
        <v>1.2392217523121999E-3</v>
      </c>
      <c r="BD85" s="39">
        <v>1.2392217523121999E-3</v>
      </c>
      <c r="BE85" s="39">
        <v>1.2392217523121999E-3</v>
      </c>
      <c r="BF85" s="39">
        <v>1.2392217523121999E-3</v>
      </c>
      <c r="BH85" s="12">
        <f t="shared" si="74"/>
        <v>0</v>
      </c>
      <c r="BI85" s="12">
        <f t="shared" si="75"/>
        <v>0</v>
      </c>
      <c r="BJ85" s="12">
        <f t="shared" si="76"/>
        <v>0</v>
      </c>
      <c r="BK85" s="12">
        <f t="shared" si="77"/>
        <v>0</v>
      </c>
      <c r="BL85" s="12">
        <f t="shared" si="78"/>
        <v>0</v>
      </c>
      <c r="BM85" s="12">
        <f t="shared" si="79"/>
        <v>0</v>
      </c>
      <c r="BN85" s="12">
        <f t="shared" si="80"/>
        <v>0</v>
      </c>
      <c r="BO85" s="12">
        <f t="shared" si="81"/>
        <v>0</v>
      </c>
      <c r="BP85" s="12">
        <f t="shared" si="82"/>
        <v>0</v>
      </c>
      <c r="BQ85" s="12">
        <f t="shared" si="83"/>
        <v>0</v>
      </c>
      <c r="BR85" s="12">
        <f t="shared" si="72"/>
        <v>0</v>
      </c>
      <c r="BS85" s="12">
        <f t="shared" si="73"/>
        <v>0</v>
      </c>
      <c r="BU85" s="11">
        <f t="shared" si="19"/>
        <v>0</v>
      </c>
      <c r="BV85" s="11">
        <f t="shared" si="20"/>
        <v>0</v>
      </c>
      <c r="BW85" s="11">
        <f t="shared" si="21"/>
        <v>0</v>
      </c>
      <c r="BX85" s="11">
        <f t="shared" si="22"/>
        <v>0</v>
      </c>
      <c r="BY85" s="11">
        <f t="shared" si="23"/>
        <v>0</v>
      </c>
      <c r="BZ85" s="11">
        <f t="shared" si="24"/>
        <v>0</v>
      </c>
      <c r="CA85" s="11">
        <f t="shared" si="25"/>
        <v>0</v>
      </c>
      <c r="CB85" s="11">
        <f t="shared" si="26"/>
        <v>0</v>
      </c>
      <c r="CC85" s="11">
        <f t="shared" si="27"/>
        <v>0</v>
      </c>
      <c r="CD85" s="11">
        <f t="shared" si="28"/>
        <v>0</v>
      </c>
      <c r="CE85" s="11">
        <f t="shared" si="29"/>
        <v>0</v>
      </c>
      <c r="CF85" s="11">
        <f t="shared" si="30"/>
        <v>0</v>
      </c>
      <c r="CG85" s="11"/>
      <c r="CH85" s="41">
        <v>3.2330000000000001</v>
      </c>
      <c r="CJ85" s="54">
        <f t="shared" si="31"/>
        <v>0</v>
      </c>
      <c r="CK85" s="54">
        <f t="shared" si="32"/>
        <v>0</v>
      </c>
      <c r="CL85" s="54">
        <f t="shared" si="33"/>
        <v>0</v>
      </c>
      <c r="CM85" s="54">
        <f t="shared" si="34"/>
        <v>0</v>
      </c>
      <c r="CN85" s="54">
        <f t="shared" si="35"/>
        <v>0</v>
      </c>
      <c r="CO85" s="54">
        <f t="shared" si="36"/>
        <v>0</v>
      </c>
      <c r="CP85" s="54">
        <f t="shared" si="37"/>
        <v>0</v>
      </c>
      <c r="CQ85" s="54">
        <f t="shared" si="38"/>
        <v>0</v>
      </c>
      <c r="CR85" s="54">
        <f t="shared" si="39"/>
        <v>0</v>
      </c>
      <c r="CS85" s="54">
        <f t="shared" si="40"/>
        <v>0</v>
      </c>
      <c r="CT85" s="54">
        <f t="shared" si="41"/>
        <v>0</v>
      </c>
      <c r="CU85" s="54">
        <f t="shared" si="42"/>
        <v>0</v>
      </c>
      <c r="CV85" s="52">
        <f t="shared" si="43"/>
        <v>0</v>
      </c>
    </row>
    <row r="86" spans="1:100" ht="15.75" x14ac:dyDescent="0.25">
      <c r="A86" s="17"/>
      <c r="B86" s="17"/>
      <c r="C86" s="17"/>
      <c r="D86" s="17"/>
      <c r="E86" s="17"/>
      <c r="F86" s="31" t="s">
        <v>19</v>
      </c>
      <c r="G86" s="75"/>
      <c r="H86" s="76"/>
      <c r="I86" s="76"/>
      <c r="J86" s="76"/>
      <c r="K86" s="76"/>
      <c r="L86" s="76"/>
      <c r="M86" s="76"/>
      <c r="N86" s="76"/>
      <c r="O86" s="76"/>
      <c r="P86" s="76"/>
      <c r="Q86" s="76"/>
      <c r="R86" s="76"/>
      <c r="S86" s="11">
        <f t="shared" si="71"/>
        <v>0</v>
      </c>
      <c r="T86" s="8">
        <f t="shared" si="70"/>
        <v>0</v>
      </c>
      <c r="U86" s="13" t="s">
        <v>3628</v>
      </c>
      <c r="V86" s="46">
        <f t="shared" si="18"/>
        <v>0</v>
      </c>
      <c r="W86" s="36">
        <v>3.476</v>
      </c>
      <c r="X86" s="36">
        <v>3.476</v>
      </c>
      <c r="Y86" s="36">
        <v>3.476</v>
      </c>
      <c r="Z86" s="36">
        <v>3.476</v>
      </c>
      <c r="AA86" s="36">
        <v>3.476</v>
      </c>
      <c r="AB86" s="36">
        <v>3.476</v>
      </c>
      <c r="AC86" s="36">
        <v>3.476</v>
      </c>
      <c r="AD86" s="36">
        <v>3.476</v>
      </c>
      <c r="AE86" s="36">
        <v>3.476</v>
      </c>
      <c r="AF86" s="36">
        <v>3.476</v>
      </c>
      <c r="AG86" s="36">
        <v>3.476</v>
      </c>
      <c r="AH86" s="36">
        <v>3.476</v>
      </c>
      <c r="AI86" s="39">
        <v>1.33634708931066E-2</v>
      </c>
      <c r="AJ86" s="39">
        <v>1.33634708931066E-2</v>
      </c>
      <c r="AK86" s="39">
        <v>1.33634708931066E-2</v>
      </c>
      <c r="AL86" s="39">
        <v>1.33634708931066E-2</v>
      </c>
      <c r="AM86" s="39">
        <v>1.33634708931066E-2</v>
      </c>
      <c r="AN86" s="39">
        <v>1.33634708931066E-2</v>
      </c>
      <c r="AO86" s="39">
        <v>1.33634708931066E-2</v>
      </c>
      <c r="AP86" s="39">
        <v>1.33634708931066E-2</v>
      </c>
      <c r="AQ86" s="39">
        <v>1.33634708931066E-2</v>
      </c>
      <c r="AR86" s="39">
        <v>1.33634708931066E-2</v>
      </c>
      <c r="AS86" s="39">
        <v>1.33634708931066E-2</v>
      </c>
      <c r="AT86" s="39">
        <v>1.33634708931066E-2</v>
      </c>
      <c r="AU86" s="39">
        <v>1.2392217523121999E-3</v>
      </c>
      <c r="AV86" s="39">
        <v>1.2392217523121999E-3</v>
      </c>
      <c r="AW86" s="39">
        <v>1.2392217523121999E-3</v>
      </c>
      <c r="AX86" s="39">
        <v>1.2392217523121999E-3</v>
      </c>
      <c r="AY86" s="39">
        <v>1.2392217523121999E-3</v>
      </c>
      <c r="AZ86" s="39">
        <v>1.2392217523121999E-3</v>
      </c>
      <c r="BA86" s="39">
        <v>1.2392217523121999E-3</v>
      </c>
      <c r="BB86" s="39">
        <v>1.2392217523121999E-3</v>
      </c>
      <c r="BC86" s="39">
        <v>1.2392217523121999E-3</v>
      </c>
      <c r="BD86" s="39">
        <v>1.2392217523121999E-3</v>
      </c>
      <c r="BE86" s="39">
        <v>1.2392217523121999E-3</v>
      </c>
      <c r="BF86" s="39">
        <v>1.2392217523121999E-3</v>
      </c>
      <c r="BH86" s="12">
        <f t="shared" si="74"/>
        <v>0</v>
      </c>
      <c r="BI86" s="12">
        <f t="shared" si="75"/>
        <v>0</v>
      </c>
      <c r="BJ86" s="12">
        <f t="shared" si="76"/>
        <v>0</v>
      </c>
      <c r="BK86" s="12">
        <f t="shared" si="77"/>
        <v>0</v>
      </c>
      <c r="BL86" s="12">
        <f t="shared" si="78"/>
        <v>0</v>
      </c>
      <c r="BM86" s="12">
        <f t="shared" si="79"/>
        <v>0</v>
      </c>
      <c r="BN86" s="12">
        <f t="shared" si="80"/>
        <v>0</v>
      </c>
      <c r="BO86" s="12">
        <f t="shared" si="81"/>
        <v>0</v>
      </c>
      <c r="BP86" s="12">
        <f t="shared" si="82"/>
        <v>0</v>
      </c>
      <c r="BQ86" s="12">
        <f t="shared" si="83"/>
        <v>0</v>
      </c>
      <c r="BR86" s="12">
        <f t="shared" si="72"/>
        <v>0</v>
      </c>
      <c r="BS86" s="12">
        <f t="shared" si="73"/>
        <v>0</v>
      </c>
      <c r="BU86" s="11">
        <f t="shared" si="19"/>
        <v>0</v>
      </c>
      <c r="BV86" s="11">
        <f t="shared" si="20"/>
        <v>0</v>
      </c>
      <c r="BW86" s="11">
        <f t="shared" si="21"/>
        <v>0</v>
      </c>
      <c r="BX86" s="11">
        <f t="shared" si="22"/>
        <v>0</v>
      </c>
      <c r="BY86" s="11">
        <f t="shared" si="23"/>
        <v>0</v>
      </c>
      <c r="BZ86" s="11">
        <f t="shared" si="24"/>
        <v>0</v>
      </c>
      <c r="CA86" s="11">
        <f t="shared" si="25"/>
        <v>0</v>
      </c>
      <c r="CB86" s="11">
        <f t="shared" si="26"/>
        <v>0</v>
      </c>
      <c r="CC86" s="11">
        <f t="shared" si="27"/>
        <v>0</v>
      </c>
      <c r="CD86" s="11">
        <f t="shared" si="28"/>
        <v>0</v>
      </c>
      <c r="CE86" s="11">
        <f t="shared" si="29"/>
        <v>0</v>
      </c>
      <c r="CF86" s="11">
        <f t="shared" si="30"/>
        <v>0</v>
      </c>
      <c r="CG86" s="11"/>
      <c r="CH86" s="41">
        <v>3.2330000000000001</v>
      </c>
      <c r="CJ86" s="54">
        <f t="shared" si="31"/>
        <v>0</v>
      </c>
      <c r="CK86" s="54">
        <f t="shared" si="32"/>
        <v>0</v>
      </c>
      <c r="CL86" s="54">
        <f t="shared" si="33"/>
        <v>0</v>
      </c>
      <c r="CM86" s="54">
        <f t="shared" si="34"/>
        <v>0</v>
      </c>
      <c r="CN86" s="54">
        <f t="shared" si="35"/>
        <v>0</v>
      </c>
      <c r="CO86" s="54">
        <f t="shared" si="36"/>
        <v>0</v>
      </c>
      <c r="CP86" s="54">
        <f t="shared" si="37"/>
        <v>0</v>
      </c>
      <c r="CQ86" s="54">
        <f t="shared" si="38"/>
        <v>0</v>
      </c>
      <c r="CR86" s="54">
        <f t="shared" si="39"/>
        <v>0</v>
      </c>
      <c r="CS86" s="54">
        <f t="shared" si="40"/>
        <v>0</v>
      </c>
      <c r="CT86" s="54">
        <f t="shared" si="41"/>
        <v>0</v>
      </c>
      <c r="CU86" s="54">
        <f t="shared" si="42"/>
        <v>0</v>
      </c>
      <c r="CV86" s="52">
        <f t="shared" si="43"/>
        <v>0</v>
      </c>
    </row>
    <row r="87" spans="1:100" ht="15.75" x14ac:dyDescent="0.25">
      <c r="A87" s="17"/>
      <c r="B87" s="17"/>
      <c r="C87" s="17"/>
      <c r="D87" s="17"/>
      <c r="E87" s="17"/>
      <c r="F87" s="31" t="s">
        <v>19</v>
      </c>
      <c r="G87" s="75"/>
      <c r="H87" s="76"/>
      <c r="I87" s="76"/>
      <c r="J87" s="76"/>
      <c r="K87" s="76"/>
      <c r="L87" s="76"/>
      <c r="M87" s="76"/>
      <c r="N87" s="76"/>
      <c r="O87" s="76"/>
      <c r="P87" s="76"/>
      <c r="Q87" s="76"/>
      <c r="R87" s="76"/>
      <c r="S87" s="11">
        <f t="shared" si="71"/>
        <v>0</v>
      </c>
      <c r="T87" s="8">
        <f t="shared" si="70"/>
        <v>0</v>
      </c>
      <c r="U87" s="13" t="s">
        <v>3628</v>
      </c>
      <c r="V87" s="46">
        <f t="shared" si="18"/>
        <v>0</v>
      </c>
      <c r="W87" s="36">
        <v>3.915</v>
      </c>
      <c r="X87" s="36">
        <v>3.915</v>
      </c>
      <c r="Y87" s="36">
        <v>3.915</v>
      </c>
      <c r="Z87" s="36">
        <v>3.915</v>
      </c>
      <c r="AA87" s="36">
        <v>3.915</v>
      </c>
      <c r="AB87" s="36">
        <v>3.915</v>
      </c>
      <c r="AC87" s="36">
        <v>3.915</v>
      </c>
      <c r="AD87" s="36">
        <v>3.915</v>
      </c>
      <c r="AE87" s="36">
        <v>3.915</v>
      </c>
      <c r="AF87" s="36">
        <v>3.915</v>
      </c>
      <c r="AG87" s="36">
        <v>3.915</v>
      </c>
      <c r="AH87" s="36">
        <v>3.915</v>
      </c>
      <c r="AI87" s="39">
        <v>1.33634708931066E-2</v>
      </c>
      <c r="AJ87" s="39">
        <v>1.33634708931066E-2</v>
      </c>
      <c r="AK87" s="39">
        <v>1.33634708931066E-2</v>
      </c>
      <c r="AL87" s="39">
        <v>1.33634708931066E-2</v>
      </c>
      <c r="AM87" s="39">
        <v>1.33634708931066E-2</v>
      </c>
      <c r="AN87" s="39">
        <v>1.33634708931066E-2</v>
      </c>
      <c r="AO87" s="39">
        <v>1.33634708931066E-2</v>
      </c>
      <c r="AP87" s="39">
        <v>1.33634708931066E-2</v>
      </c>
      <c r="AQ87" s="39">
        <v>1.33634708931066E-2</v>
      </c>
      <c r="AR87" s="39">
        <v>1.33634708931066E-2</v>
      </c>
      <c r="AS87" s="39">
        <v>1.33634708931066E-2</v>
      </c>
      <c r="AT87" s="39">
        <v>1.33634708931066E-2</v>
      </c>
      <c r="AU87" s="39">
        <v>1.2392217523121999E-3</v>
      </c>
      <c r="AV87" s="39">
        <v>1.2392217523121999E-3</v>
      </c>
      <c r="AW87" s="39">
        <v>1.2392217523121999E-3</v>
      </c>
      <c r="AX87" s="39">
        <v>1.2392217523121999E-3</v>
      </c>
      <c r="AY87" s="39">
        <v>1.2392217523121999E-3</v>
      </c>
      <c r="AZ87" s="39">
        <v>1.2392217523121999E-3</v>
      </c>
      <c r="BA87" s="39">
        <v>1.2392217523121999E-3</v>
      </c>
      <c r="BB87" s="39">
        <v>1.2392217523121999E-3</v>
      </c>
      <c r="BC87" s="39">
        <v>1.2392217523121999E-3</v>
      </c>
      <c r="BD87" s="39">
        <v>1.2392217523121999E-3</v>
      </c>
      <c r="BE87" s="39">
        <v>1.2392217523121999E-3</v>
      </c>
      <c r="BF87" s="39">
        <v>1.2392217523121999E-3</v>
      </c>
      <c r="BH87" s="12">
        <f t="shared" si="74"/>
        <v>0</v>
      </c>
      <c r="BI87" s="12">
        <f t="shared" si="75"/>
        <v>0</v>
      </c>
      <c r="BJ87" s="12">
        <f t="shared" si="76"/>
        <v>0</v>
      </c>
      <c r="BK87" s="12">
        <f t="shared" si="77"/>
        <v>0</v>
      </c>
      <c r="BL87" s="12">
        <f t="shared" si="78"/>
        <v>0</v>
      </c>
      <c r="BM87" s="12">
        <f t="shared" si="79"/>
        <v>0</v>
      </c>
      <c r="BN87" s="12">
        <f t="shared" si="80"/>
        <v>0</v>
      </c>
      <c r="BO87" s="12">
        <f t="shared" si="81"/>
        <v>0</v>
      </c>
      <c r="BP87" s="12">
        <f t="shared" si="82"/>
        <v>0</v>
      </c>
      <c r="BQ87" s="12">
        <f t="shared" si="83"/>
        <v>0</v>
      </c>
      <c r="BR87" s="12">
        <f t="shared" si="72"/>
        <v>0</v>
      </c>
      <c r="BS87" s="12">
        <f t="shared" si="73"/>
        <v>0</v>
      </c>
      <c r="BU87" s="11">
        <f t="shared" si="19"/>
        <v>0</v>
      </c>
      <c r="BV87" s="11">
        <f t="shared" si="20"/>
        <v>0</v>
      </c>
      <c r="BW87" s="11">
        <f t="shared" si="21"/>
        <v>0</v>
      </c>
      <c r="BX87" s="11">
        <f t="shared" si="22"/>
        <v>0</v>
      </c>
      <c r="BY87" s="11">
        <f t="shared" si="23"/>
        <v>0</v>
      </c>
      <c r="BZ87" s="11">
        <f t="shared" si="24"/>
        <v>0</v>
      </c>
      <c r="CA87" s="11">
        <f t="shared" si="25"/>
        <v>0</v>
      </c>
      <c r="CB87" s="11">
        <f t="shared" si="26"/>
        <v>0</v>
      </c>
      <c r="CC87" s="11">
        <f t="shared" si="27"/>
        <v>0</v>
      </c>
      <c r="CD87" s="11">
        <f t="shared" si="28"/>
        <v>0</v>
      </c>
      <c r="CE87" s="11">
        <f t="shared" si="29"/>
        <v>0</v>
      </c>
      <c r="CF87" s="11">
        <f t="shared" si="30"/>
        <v>0</v>
      </c>
      <c r="CG87" s="11"/>
      <c r="CH87" s="41">
        <v>3.2330000000000001</v>
      </c>
      <c r="CJ87" s="54">
        <f t="shared" si="31"/>
        <v>0</v>
      </c>
      <c r="CK87" s="54">
        <f t="shared" si="32"/>
        <v>0</v>
      </c>
      <c r="CL87" s="54">
        <f t="shared" si="33"/>
        <v>0</v>
      </c>
      <c r="CM87" s="54">
        <f t="shared" si="34"/>
        <v>0</v>
      </c>
      <c r="CN87" s="54">
        <f t="shared" si="35"/>
        <v>0</v>
      </c>
      <c r="CO87" s="54">
        <f t="shared" si="36"/>
        <v>0</v>
      </c>
      <c r="CP87" s="54">
        <f t="shared" si="37"/>
        <v>0</v>
      </c>
      <c r="CQ87" s="54">
        <f t="shared" si="38"/>
        <v>0</v>
      </c>
      <c r="CR87" s="54">
        <f t="shared" si="39"/>
        <v>0</v>
      </c>
      <c r="CS87" s="54">
        <f t="shared" si="40"/>
        <v>0</v>
      </c>
      <c r="CT87" s="54">
        <f t="shared" si="41"/>
        <v>0</v>
      </c>
      <c r="CU87" s="54">
        <f t="shared" si="42"/>
        <v>0</v>
      </c>
      <c r="CV87" s="52">
        <f t="shared" si="43"/>
        <v>0</v>
      </c>
    </row>
    <row r="88" spans="1:100" ht="15.75" x14ac:dyDescent="0.25">
      <c r="A88" s="17"/>
      <c r="B88" s="17"/>
      <c r="C88" s="17"/>
      <c r="D88" s="17"/>
      <c r="E88" s="17"/>
      <c r="F88" s="31" t="s">
        <v>19</v>
      </c>
      <c r="G88" s="75"/>
      <c r="H88" s="76"/>
      <c r="I88" s="76"/>
      <c r="J88" s="76"/>
      <c r="K88" s="76"/>
      <c r="L88" s="76"/>
      <c r="M88" s="76"/>
      <c r="N88" s="76"/>
      <c r="O88" s="76"/>
      <c r="P88" s="76"/>
      <c r="Q88" s="76"/>
      <c r="R88" s="76"/>
      <c r="S88" s="11">
        <f t="shared" si="71"/>
        <v>0</v>
      </c>
      <c r="T88" s="8">
        <f t="shared" si="70"/>
        <v>0</v>
      </c>
      <c r="U88" s="13" t="s">
        <v>3628</v>
      </c>
      <c r="V88" s="46">
        <f t="shared" si="18"/>
        <v>0</v>
      </c>
      <c r="W88" s="36">
        <v>9.06</v>
      </c>
      <c r="X88" s="36">
        <v>9.06</v>
      </c>
      <c r="Y88" s="36">
        <v>9.06</v>
      </c>
      <c r="Z88" s="36">
        <v>9.06</v>
      </c>
      <c r="AA88" s="36">
        <v>9.06</v>
      </c>
      <c r="AB88" s="36">
        <v>9.06</v>
      </c>
      <c r="AC88" s="36">
        <v>9.06</v>
      </c>
      <c r="AD88" s="36">
        <v>9.06</v>
      </c>
      <c r="AE88" s="36">
        <v>9.06</v>
      </c>
      <c r="AF88" s="36">
        <v>9.06</v>
      </c>
      <c r="AG88" s="36">
        <v>9.06</v>
      </c>
      <c r="AH88" s="36">
        <v>9.06</v>
      </c>
      <c r="AI88" s="39">
        <v>0</v>
      </c>
      <c r="AJ88" s="39">
        <v>0</v>
      </c>
      <c r="AK88" s="39">
        <v>0</v>
      </c>
      <c r="AL88" s="39">
        <v>0</v>
      </c>
      <c r="AM88" s="39">
        <v>0</v>
      </c>
      <c r="AN88" s="39">
        <v>0</v>
      </c>
      <c r="AO88" s="39">
        <v>0</v>
      </c>
      <c r="AP88" s="39">
        <v>0</v>
      </c>
      <c r="AQ88" s="39">
        <v>0</v>
      </c>
      <c r="AR88" s="39">
        <v>0</v>
      </c>
      <c r="AS88" s="39">
        <v>0</v>
      </c>
      <c r="AT88" s="39">
        <v>0</v>
      </c>
      <c r="AU88" s="39">
        <v>0</v>
      </c>
      <c r="AV88" s="39">
        <v>0</v>
      </c>
      <c r="AW88" s="39">
        <v>0</v>
      </c>
      <c r="AX88" s="39">
        <v>0</v>
      </c>
      <c r="AY88" s="39">
        <v>0</v>
      </c>
      <c r="AZ88" s="39">
        <v>0</v>
      </c>
      <c r="BA88" s="39">
        <v>0</v>
      </c>
      <c r="BB88" s="39">
        <v>0</v>
      </c>
      <c r="BC88" s="39">
        <v>0</v>
      </c>
      <c r="BD88" s="39">
        <v>0</v>
      </c>
      <c r="BE88" s="39">
        <v>0</v>
      </c>
      <c r="BF88" s="39">
        <v>0</v>
      </c>
      <c r="BH88" s="12">
        <f t="shared" si="74"/>
        <v>0</v>
      </c>
      <c r="BI88" s="12">
        <f t="shared" si="75"/>
        <v>0</v>
      </c>
      <c r="BJ88" s="12">
        <f t="shared" si="76"/>
        <v>0</v>
      </c>
      <c r="BK88" s="12">
        <f t="shared" si="77"/>
        <v>0</v>
      </c>
      <c r="BL88" s="12">
        <f t="shared" si="78"/>
        <v>0</v>
      </c>
      <c r="BM88" s="12">
        <f t="shared" si="79"/>
        <v>0</v>
      </c>
      <c r="BN88" s="12">
        <f t="shared" si="80"/>
        <v>0</v>
      </c>
      <c r="BO88" s="12">
        <f t="shared" si="81"/>
        <v>0</v>
      </c>
      <c r="BP88" s="12">
        <f t="shared" si="82"/>
        <v>0</v>
      </c>
      <c r="BQ88" s="12">
        <f t="shared" si="83"/>
        <v>0</v>
      </c>
      <c r="BR88" s="12">
        <f t="shared" si="72"/>
        <v>0</v>
      </c>
      <c r="BS88" s="12">
        <f t="shared" si="73"/>
        <v>0</v>
      </c>
      <c r="BU88" s="11">
        <f t="shared" si="19"/>
        <v>0</v>
      </c>
      <c r="BV88" s="11">
        <f t="shared" si="20"/>
        <v>0</v>
      </c>
      <c r="BW88" s="11">
        <f t="shared" si="21"/>
        <v>0</v>
      </c>
      <c r="BX88" s="11">
        <f t="shared" si="22"/>
        <v>0</v>
      </c>
      <c r="BY88" s="11">
        <f t="shared" si="23"/>
        <v>0</v>
      </c>
      <c r="BZ88" s="11">
        <f t="shared" si="24"/>
        <v>0</v>
      </c>
      <c r="CA88" s="11">
        <f t="shared" si="25"/>
        <v>0</v>
      </c>
      <c r="CB88" s="11">
        <f t="shared" si="26"/>
        <v>0</v>
      </c>
      <c r="CC88" s="11">
        <f t="shared" si="27"/>
        <v>0</v>
      </c>
      <c r="CD88" s="11">
        <f t="shared" si="28"/>
        <v>0</v>
      </c>
      <c r="CE88" s="11">
        <f t="shared" si="29"/>
        <v>0</v>
      </c>
      <c r="CF88" s="11">
        <f t="shared" si="30"/>
        <v>0</v>
      </c>
      <c r="CG88" s="11"/>
      <c r="CH88" s="41">
        <v>1</v>
      </c>
      <c r="CJ88" s="54">
        <f t="shared" si="31"/>
        <v>0</v>
      </c>
      <c r="CK88" s="54">
        <f t="shared" si="32"/>
        <v>0</v>
      </c>
      <c r="CL88" s="54">
        <f t="shared" si="33"/>
        <v>0</v>
      </c>
      <c r="CM88" s="54">
        <f t="shared" si="34"/>
        <v>0</v>
      </c>
      <c r="CN88" s="54">
        <f t="shared" si="35"/>
        <v>0</v>
      </c>
      <c r="CO88" s="54">
        <f t="shared" si="36"/>
        <v>0</v>
      </c>
      <c r="CP88" s="54">
        <f t="shared" si="37"/>
        <v>0</v>
      </c>
      <c r="CQ88" s="54">
        <f t="shared" si="38"/>
        <v>0</v>
      </c>
      <c r="CR88" s="54">
        <f t="shared" si="39"/>
        <v>0</v>
      </c>
      <c r="CS88" s="54">
        <f t="shared" si="40"/>
        <v>0</v>
      </c>
      <c r="CT88" s="54">
        <f t="shared" si="41"/>
        <v>0</v>
      </c>
      <c r="CU88" s="54">
        <f t="shared" si="42"/>
        <v>0</v>
      </c>
      <c r="CV88" s="52">
        <f t="shared" si="43"/>
        <v>0</v>
      </c>
    </row>
    <row r="89" spans="1:100" ht="15.75" x14ac:dyDescent="0.25">
      <c r="A89" s="17"/>
      <c r="B89" s="17"/>
      <c r="C89" s="17"/>
      <c r="D89" s="17"/>
      <c r="E89" s="17"/>
      <c r="F89" s="31" t="s">
        <v>19</v>
      </c>
      <c r="G89" s="75"/>
      <c r="H89" s="76"/>
      <c r="I89" s="76"/>
      <c r="J89" s="76"/>
      <c r="K89" s="76"/>
      <c r="L89" s="76"/>
      <c r="M89" s="76"/>
      <c r="N89" s="76"/>
      <c r="O89" s="76"/>
      <c r="P89" s="76"/>
      <c r="Q89" s="76"/>
      <c r="R89" s="76"/>
      <c r="S89" s="11">
        <f t="shared" si="71"/>
        <v>0</v>
      </c>
      <c r="T89" s="8">
        <f t="shared" si="70"/>
        <v>0</v>
      </c>
      <c r="U89" s="13" t="s">
        <v>3628</v>
      </c>
      <c r="V89" s="46">
        <f t="shared" si="18"/>
        <v>0</v>
      </c>
      <c r="W89" s="36">
        <v>1.69</v>
      </c>
      <c r="X89" s="36">
        <v>1.69</v>
      </c>
      <c r="Y89" s="36">
        <v>1.69</v>
      </c>
      <c r="Z89" s="36">
        <v>1.69</v>
      </c>
      <c r="AA89" s="36">
        <v>1.69</v>
      </c>
      <c r="AB89" s="36">
        <v>1.69</v>
      </c>
      <c r="AC89" s="36">
        <v>1.69</v>
      </c>
      <c r="AD89" s="36">
        <v>1.69</v>
      </c>
      <c r="AE89" s="36">
        <v>1.69</v>
      </c>
      <c r="AF89" s="36">
        <v>1.69</v>
      </c>
      <c r="AG89" s="36">
        <v>1.69</v>
      </c>
      <c r="AH89" s="36">
        <v>1.69</v>
      </c>
      <c r="AI89" s="39">
        <v>0</v>
      </c>
      <c r="AJ89" s="39">
        <v>0</v>
      </c>
      <c r="AK89" s="39">
        <v>0</v>
      </c>
      <c r="AL89" s="39">
        <v>0</v>
      </c>
      <c r="AM89" s="39">
        <v>0</v>
      </c>
      <c r="AN89" s="39">
        <v>0</v>
      </c>
      <c r="AO89" s="39">
        <v>0</v>
      </c>
      <c r="AP89" s="39">
        <v>0</v>
      </c>
      <c r="AQ89" s="39">
        <v>0</v>
      </c>
      <c r="AR89" s="39">
        <v>0</v>
      </c>
      <c r="AS89" s="39">
        <v>0</v>
      </c>
      <c r="AT89" s="39">
        <v>0</v>
      </c>
      <c r="AU89" s="39">
        <v>0</v>
      </c>
      <c r="AV89" s="39">
        <v>0</v>
      </c>
      <c r="AW89" s="39">
        <v>0</v>
      </c>
      <c r="AX89" s="39">
        <v>0</v>
      </c>
      <c r="AY89" s="39">
        <v>0</v>
      </c>
      <c r="AZ89" s="39">
        <v>0</v>
      </c>
      <c r="BA89" s="39">
        <v>0</v>
      </c>
      <c r="BB89" s="39">
        <v>0</v>
      </c>
      <c r="BC89" s="39">
        <v>0</v>
      </c>
      <c r="BD89" s="39">
        <v>0</v>
      </c>
      <c r="BE89" s="39">
        <v>0</v>
      </c>
      <c r="BF89" s="39">
        <v>0</v>
      </c>
      <c r="BH89" s="12">
        <f t="shared" si="74"/>
        <v>0</v>
      </c>
      <c r="BI89" s="12">
        <f t="shared" si="75"/>
        <v>0</v>
      </c>
      <c r="BJ89" s="12">
        <f t="shared" si="76"/>
        <v>0</v>
      </c>
      <c r="BK89" s="12">
        <f t="shared" si="77"/>
        <v>0</v>
      </c>
      <c r="BL89" s="12">
        <f t="shared" si="78"/>
        <v>0</v>
      </c>
      <c r="BM89" s="12">
        <f t="shared" si="79"/>
        <v>0</v>
      </c>
      <c r="BN89" s="12">
        <f t="shared" si="80"/>
        <v>0</v>
      </c>
      <c r="BO89" s="12">
        <f t="shared" si="81"/>
        <v>0</v>
      </c>
      <c r="BP89" s="12">
        <f t="shared" si="82"/>
        <v>0</v>
      </c>
      <c r="BQ89" s="12">
        <f t="shared" si="83"/>
        <v>0</v>
      </c>
      <c r="BR89" s="12">
        <f t="shared" si="72"/>
        <v>0</v>
      </c>
      <c r="BS89" s="12">
        <f t="shared" si="73"/>
        <v>0</v>
      </c>
      <c r="BU89" s="11">
        <f t="shared" si="19"/>
        <v>0</v>
      </c>
      <c r="BV89" s="11">
        <f t="shared" si="20"/>
        <v>0</v>
      </c>
      <c r="BW89" s="11">
        <f t="shared" si="21"/>
        <v>0</v>
      </c>
      <c r="BX89" s="11">
        <f t="shared" si="22"/>
        <v>0</v>
      </c>
      <c r="BY89" s="11">
        <f t="shared" si="23"/>
        <v>0</v>
      </c>
      <c r="BZ89" s="11">
        <f t="shared" si="24"/>
        <v>0</v>
      </c>
      <c r="CA89" s="11">
        <f t="shared" si="25"/>
        <v>0</v>
      </c>
      <c r="CB89" s="11">
        <f t="shared" si="26"/>
        <v>0</v>
      </c>
      <c r="CC89" s="11">
        <f t="shared" si="27"/>
        <v>0</v>
      </c>
      <c r="CD89" s="11">
        <f t="shared" si="28"/>
        <v>0</v>
      </c>
      <c r="CE89" s="11">
        <f t="shared" si="29"/>
        <v>0</v>
      </c>
      <c r="CF89" s="11">
        <f t="shared" si="30"/>
        <v>0</v>
      </c>
      <c r="CG89" s="11"/>
      <c r="CH89" s="41">
        <v>1</v>
      </c>
      <c r="CJ89" s="54">
        <f t="shared" si="31"/>
        <v>0</v>
      </c>
      <c r="CK89" s="54">
        <f t="shared" si="32"/>
        <v>0</v>
      </c>
      <c r="CL89" s="54">
        <f t="shared" si="33"/>
        <v>0</v>
      </c>
      <c r="CM89" s="54">
        <f t="shared" si="34"/>
        <v>0</v>
      </c>
      <c r="CN89" s="54">
        <f t="shared" si="35"/>
        <v>0</v>
      </c>
      <c r="CO89" s="54">
        <f t="shared" si="36"/>
        <v>0</v>
      </c>
      <c r="CP89" s="54">
        <f t="shared" si="37"/>
        <v>0</v>
      </c>
      <c r="CQ89" s="54">
        <f t="shared" si="38"/>
        <v>0</v>
      </c>
      <c r="CR89" s="54">
        <f t="shared" si="39"/>
        <v>0</v>
      </c>
      <c r="CS89" s="54">
        <f t="shared" si="40"/>
        <v>0</v>
      </c>
      <c r="CT89" s="54">
        <f t="shared" si="41"/>
        <v>0</v>
      </c>
      <c r="CU89" s="54">
        <f t="shared" si="42"/>
        <v>0</v>
      </c>
      <c r="CV89" s="52">
        <f t="shared" si="43"/>
        <v>0</v>
      </c>
    </row>
    <row r="90" spans="1:100" ht="15.75" x14ac:dyDescent="0.25">
      <c r="A90" s="17"/>
      <c r="B90" s="17"/>
      <c r="C90" s="17"/>
      <c r="D90" s="17"/>
      <c r="E90" s="17"/>
      <c r="F90" s="31" t="s">
        <v>19</v>
      </c>
      <c r="G90" s="75"/>
      <c r="H90" s="76"/>
      <c r="I90" s="76"/>
      <c r="J90" s="76"/>
      <c r="K90" s="76"/>
      <c r="L90" s="76"/>
      <c r="M90" s="76"/>
      <c r="N90" s="76"/>
      <c r="O90" s="76"/>
      <c r="P90" s="76"/>
      <c r="Q90" s="76"/>
      <c r="R90" s="76"/>
      <c r="S90" s="11">
        <f t="shared" si="71"/>
        <v>0</v>
      </c>
      <c r="T90" s="8">
        <f t="shared" si="70"/>
        <v>0</v>
      </c>
      <c r="U90" s="13" t="s">
        <v>3628</v>
      </c>
      <c r="V90" s="46">
        <f t="shared" si="18"/>
        <v>0</v>
      </c>
      <c r="W90" s="36">
        <v>1.8400042087542088</v>
      </c>
      <c r="X90" s="36">
        <v>1.8400042087542088</v>
      </c>
      <c r="Y90" s="36">
        <v>1.8400042087542088</v>
      </c>
      <c r="Z90" s="36">
        <v>1.8400042087542088</v>
      </c>
      <c r="AA90" s="36">
        <v>1.8400042087542088</v>
      </c>
      <c r="AB90" s="36">
        <v>1.8400042087542088</v>
      </c>
      <c r="AC90" s="36">
        <v>1.8400042087542088</v>
      </c>
      <c r="AD90" s="36">
        <v>1.8400042087542088</v>
      </c>
      <c r="AE90" s="36">
        <v>1.8400042087542088</v>
      </c>
      <c r="AF90" s="36">
        <v>1.8400042087542088</v>
      </c>
      <c r="AG90" s="36">
        <v>1.8400042087542088</v>
      </c>
      <c r="AH90" s="36">
        <v>1.8400042087542088</v>
      </c>
      <c r="AI90" s="39">
        <v>0</v>
      </c>
      <c r="AJ90" s="39">
        <v>0</v>
      </c>
      <c r="AK90" s="39">
        <v>0</v>
      </c>
      <c r="AL90" s="39">
        <v>0</v>
      </c>
      <c r="AM90" s="39">
        <v>0</v>
      </c>
      <c r="AN90" s="39">
        <v>0</v>
      </c>
      <c r="AO90" s="39">
        <v>0</v>
      </c>
      <c r="AP90" s="39">
        <v>0</v>
      </c>
      <c r="AQ90" s="39">
        <v>0</v>
      </c>
      <c r="AR90" s="39">
        <v>0</v>
      </c>
      <c r="AS90" s="39">
        <v>0</v>
      </c>
      <c r="AT90" s="39">
        <v>0</v>
      </c>
      <c r="AU90" s="39">
        <v>0</v>
      </c>
      <c r="AV90" s="39">
        <v>0</v>
      </c>
      <c r="AW90" s="39">
        <v>0</v>
      </c>
      <c r="AX90" s="39">
        <v>0</v>
      </c>
      <c r="AY90" s="39">
        <v>0</v>
      </c>
      <c r="AZ90" s="39">
        <v>0</v>
      </c>
      <c r="BA90" s="39">
        <v>0</v>
      </c>
      <c r="BB90" s="39">
        <v>0</v>
      </c>
      <c r="BC90" s="39">
        <v>0</v>
      </c>
      <c r="BD90" s="39">
        <v>0</v>
      </c>
      <c r="BE90" s="39">
        <v>0</v>
      </c>
      <c r="BF90" s="39">
        <v>0</v>
      </c>
      <c r="BH90" s="12">
        <f t="shared" si="74"/>
        <v>0</v>
      </c>
      <c r="BI90" s="12">
        <f t="shared" si="75"/>
        <v>0</v>
      </c>
      <c r="BJ90" s="12">
        <f t="shared" si="76"/>
        <v>0</v>
      </c>
      <c r="BK90" s="12">
        <f t="shared" si="77"/>
        <v>0</v>
      </c>
      <c r="BL90" s="12">
        <f t="shared" si="78"/>
        <v>0</v>
      </c>
      <c r="BM90" s="12">
        <f t="shared" si="79"/>
        <v>0</v>
      </c>
      <c r="BN90" s="12">
        <f t="shared" si="80"/>
        <v>0</v>
      </c>
      <c r="BO90" s="12">
        <f t="shared" si="81"/>
        <v>0</v>
      </c>
      <c r="BP90" s="12">
        <f t="shared" si="82"/>
        <v>0</v>
      </c>
      <c r="BQ90" s="12">
        <f t="shared" si="83"/>
        <v>0</v>
      </c>
      <c r="BR90" s="12">
        <f t="shared" si="72"/>
        <v>0</v>
      </c>
      <c r="BS90" s="12">
        <f t="shared" si="73"/>
        <v>0</v>
      </c>
      <c r="BU90" s="11">
        <f t="shared" si="19"/>
        <v>0</v>
      </c>
      <c r="BV90" s="11">
        <f t="shared" si="20"/>
        <v>0</v>
      </c>
      <c r="BW90" s="11">
        <f t="shared" si="21"/>
        <v>0</v>
      </c>
      <c r="BX90" s="11">
        <f t="shared" si="22"/>
        <v>0</v>
      </c>
      <c r="BY90" s="11">
        <f t="shared" si="23"/>
        <v>0</v>
      </c>
      <c r="BZ90" s="11">
        <f t="shared" si="24"/>
        <v>0</v>
      </c>
      <c r="CA90" s="11">
        <f t="shared" si="25"/>
        <v>0</v>
      </c>
      <c r="CB90" s="11">
        <f t="shared" si="26"/>
        <v>0</v>
      </c>
      <c r="CC90" s="11">
        <f t="shared" si="27"/>
        <v>0</v>
      </c>
      <c r="CD90" s="11">
        <f t="shared" si="28"/>
        <v>0</v>
      </c>
      <c r="CE90" s="11">
        <f t="shared" si="29"/>
        <v>0</v>
      </c>
      <c r="CF90" s="11">
        <f t="shared" si="30"/>
        <v>0</v>
      </c>
      <c r="CG90" s="11"/>
      <c r="CH90" s="41">
        <v>1</v>
      </c>
      <c r="CJ90" s="54">
        <f t="shared" si="31"/>
        <v>0</v>
      </c>
      <c r="CK90" s="54">
        <f t="shared" si="32"/>
        <v>0</v>
      </c>
      <c r="CL90" s="54">
        <f t="shared" si="33"/>
        <v>0</v>
      </c>
      <c r="CM90" s="54">
        <f t="shared" si="34"/>
        <v>0</v>
      </c>
      <c r="CN90" s="54">
        <f t="shared" si="35"/>
        <v>0</v>
      </c>
      <c r="CO90" s="54">
        <f t="shared" si="36"/>
        <v>0</v>
      </c>
      <c r="CP90" s="54">
        <f t="shared" si="37"/>
        <v>0</v>
      </c>
      <c r="CQ90" s="54">
        <f t="shared" si="38"/>
        <v>0</v>
      </c>
      <c r="CR90" s="54">
        <f t="shared" si="39"/>
        <v>0</v>
      </c>
      <c r="CS90" s="54">
        <f t="shared" si="40"/>
        <v>0</v>
      </c>
      <c r="CT90" s="54">
        <f t="shared" si="41"/>
        <v>0</v>
      </c>
      <c r="CU90" s="54">
        <f t="shared" si="42"/>
        <v>0</v>
      </c>
      <c r="CV90" s="52">
        <f t="shared" si="43"/>
        <v>0</v>
      </c>
    </row>
    <row r="91" spans="1:100" ht="15.75" x14ac:dyDescent="0.25">
      <c r="A91" s="17"/>
      <c r="B91" s="17"/>
      <c r="C91" s="17"/>
      <c r="D91" s="17"/>
      <c r="E91" s="17"/>
      <c r="F91" s="31" t="s">
        <v>19</v>
      </c>
      <c r="G91" s="75"/>
      <c r="H91" s="76"/>
      <c r="I91" s="76"/>
      <c r="J91" s="76"/>
      <c r="K91" s="76"/>
      <c r="L91" s="76"/>
      <c r="M91" s="76"/>
      <c r="N91" s="76"/>
      <c r="O91" s="76"/>
      <c r="P91" s="76"/>
      <c r="Q91" s="76"/>
      <c r="R91" s="76"/>
      <c r="S91" s="11">
        <f t="shared" si="71"/>
        <v>0</v>
      </c>
      <c r="T91" s="8">
        <f t="shared" si="70"/>
        <v>0</v>
      </c>
      <c r="U91" s="13" t="s">
        <v>3628</v>
      </c>
      <c r="V91" s="46">
        <f t="shared" si="18"/>
        <v>0</v>
      </c>
      <c r="W91" s="36">
        <v>11.423999999999999</v>
      </c>
      <c r="X91" s="36">
        <v>11.423999999999999</v>
      </c>
      <c r="Y91" s="36">
        <v>11.423999999999999</v>
      </c>
      <c r="Z91" s="36">
        <v>11.423999999999999</v>
      </c>
      <c r="AA91" s="36">
        <v>11.423999999999999</v>
      </c>
      <c r="AB91" s="36">
        <v>11.423999999999999</v>
      </c>
      <c r="AC91" s="36">
        <v>11.423999999999999</v>
      </c>
      <c r="AD91" s="36">
        <v>11.423999999999999</v>
      </c>
      <c r="AE91" s="36">
        <v>11.423999999999999</v>
      </c>
      <c r="AF91" s="36">
        <v>11.423999999999999</v>
      </c>
      <c r="AG91" s="36">
        <v>11.423999999999999</v>
      </c>
      <c r="AH91" s="36">
        <v>11.423999999999999</v>
      </c>
      <c r="AI91" s="39">
        <v>0.22999999999999998</v>
      </c>
      <c r="AJ91" s="39">
        <v>0.22999999999999998</v>
      </c>
      <c r="AK91" s="39">
        <v>0.22999999999999998</v>
      </c>
      <c r="AL91" s="39">
        <v>0.22999999999999998</v>
      </c>
      <c r="AM91" s="39">
        <v>0.22999999999999998</v>
      </c>
      <c r="AN91" s="39">
        <v>0.22999999999999998</v>
      </c>
      <c r="AO91" s="39">
        <v>0.22999999999999998</v>
      </c>
      <c r="AP91" s="39">
        <v>0.22999999999999998</v>
      </c>
      <c r="AQ91" s="39">
        <v>0.22999999999999998</v>
      </c>
      <c r="AR91" s="39">
        <v>0.22999999999999998</v>
      </c>
      <c r="AS91" s="39">
        <v>0.22999999999999998</v>
      </c>
      <c r="AT91" s="39">
        <v>0.22999999999999998</v>
      </c>
      <c r="AU91" s="39">
        <v>0</v>
      </c>
      <c r="AV91" s="39">
        <v>0</v>
      </c>
      <c r="AW91" s="39">
        <v>0</v>
      </c>
      <c r="AX91" s="39">
        <v>0</v>
      </c>
      <c r="AY91" s="39">
        <v>0</v>
      </c>
      <c r="AZ91" s="39">
        <v>0</v>
      </c>
      <c r="BA91" s="39">
        <v>0</v>
      </c>
      <c r="BB91" s="39">
        <v>0</v>
      </c>
      <c r="BC91" s="39">
        <v>0</v>
      </c>
      <c r="BD91" s="39">
        <v>0</v>
      </c>
      <c r="BE91" s="39">
        <v>0</v>
      </c>
      <c r="BF91" s="39">
        <v>0</v>
      </c>
      <c r="BH91" s="12">
        <f t="shared" si="74"/>
        <v>0</v>
      </c>
      <c r="BI91" s="12">
        <f t="shared" si="75"/>
        <v>0</v>
      </c>
      <c r="BJ91" s="12">
        <f t="shared" si="76"/>
        <v>0</v>
      </c>
      <c r="BK91" s="12">
        <f t="shared" si="77"/>
        <v>0</v>
      </c>
      <c r="BL91" s="12">
        <f t="shared" si="78"/>
        <v>0</v>
      </c>
      <c r="BM91" s="12">
        <f t="shared" si="79"/>
        <v>0</v>
      </c>
      <c r="BN91" s="12">
        <f t="shared" si="80"/>
        <v>0</v>
      </c>
      <c r="BO91" s="12">
        <f t="shared" si="81"/>
        <v>0</v>
      </c>
      <c r="BP91" s="12">
        <f t="shared" si="82"/>
        <v>0</v>
      </c>
      <c r="BQ91" s="12">
        <f t="shared" si="83"/>
        <v>0</v>
      </c>
      <c r="BR91" s="12">
        <f t="shared" si="72"/>
        <v>0</v>
      </c>
      <c r="BS91" s="12">
        <f t="shared" si="73"/>
        <v>0</v>
      </c>
      <c r="BU91" s="11">
        <f t="shared" si="19"/>
        <v>0</v>
      </c>
      <c r="BV91" s="11">
        <f t="shared" si="20"/>
        <v>0</v>
      </c>
      <c r="BW91" s="11">
        <f t="shared" si="21"/>
        <v>0</v>
      </c>
      <c r="BX91" s="11">
        <f t="shared" si="22"/>
        <v>0</v>
      </c>
      <c r="BY91" s="11">
        <f t="shared" si="23"/>
        <v>0</v>
      </c>
      <c r="BZ91" s="11">
        <f t="shared" si="24"/>
        <v>0</v>
      </c>
      <c r="CA91" s="11">
        <f t="shared" si="25"/>
        <v>0</v>
      </c>
      <c r="CB91" s="11">
        <f t="shared" si="26"/>
        <v>0</v>
      </c>
      <c r="CC91" s="11">
        <f t="shared" si="27"/>
        <v>0</v>
      </c>
      <c r="CD91" s="11">
        <f t="shared" si="28"/>
        <v>0</v>
      </c>
      <c r="CE91" s="11">
        <f t="shared" si="29"/>
        <v>0</v>
      </c>
      <c r="CF91" s="11">
        <f t="shared" si="30"/>
        <v>0</v>
      </c>
      <c r="CG91" s="11"/>
      <c r="CH91" s="41">
        <v>1</v>
      </c>
      <c r="CJ91" s="54">
        <f t="shared" si="31"/>
        <v>0</v>
      </c>
      <c r="CK91" s="54">
        <f t="shared" si="32"/>
        <v>0</v>
      </c>
      <c r="CL91" s="54">
        <f t="shared" si="33"/>
        <v>0</v>
      </c>
      <c r="CM91" s="54">
        <f t="shared" si="34"/>
        <v>0</v>
      </c>
      <c r="CN91" s="54">
        <f t="shared" si="35"/>
        <v>0</v>
      </c>
      <c r="CO91" s="54">
        <f t="shared" si="36"/>
        <v>0</v>
      </c>
      <c r="CP91" s="54">
        <f t="shared" si="37"/>
        <v>0</v>
      </c>
      <c r="CQ91" s="54">
        <f t="shared" si="38"/>
        <v>0</v>
      </c>
      <c r="CR91" s="54">
        <f t="shared" si="39"/>
        <v>0</v>
      </c>
      <c r="CS91" s="54">
        <f t="shared" si="40"/>
        <v>0</v>
      </c>
      <c r="CT91" s="54">
        <f t="shared" si="41"/>
        <v>0</v>
      </c>
      <c r="CU91" s="54">
        <f t="shared" si="42"/>
        <v>0</v>
      </c>
      <c r="CV91" s="52">
        <f t="shared" si="43"/>
        <v>0</v>
      </c>
    </row>
    <row r="92" spans="1:100" ht="15.75" x14ac:dyDescent="0.25">
      <c r="A92" s="17"/>
      <c r="B92" s="17"/>
      <c r="C92" s="17"/>
      <c r="D92" s="17"/>
      <c r="E92" s="17"/>
      <c r="F92" s="33" t="s">
        <v>18</v>
      </c>
      <c r="G92" s="77"/>
      <c r="H92" s="77"/>
      <c r="I92" s="77"/>
      <c r="J92" s="77"/>
      <c r="K92" s="77"/>
      <c r="L92" s="77"/>
      <c r="M92" s="77"/>
      <c r="N92" s="77"/>
      <c r="O92" s="77"/>
      <c r="P92" s="77"/>
      <c r="Q92" s="77"/>
      <c r="R92" s="77"/>
      <c r="S92" s="11">
        <f t="shared" si="71"/>
        <v>0</v>
      </c>
      <c r="T92" s="8">
        <f t="shared" ref="T92:T116" si="84">IFERROR((S17-S92)/S92,0)</f>
        <v>0</v>
      </c>
      <c r="U92" s="13" t="s">
        <v>23</v>
      </c>
      <c r="V92" s="46">
        <f t="shared" si="18"/>
        <v>0</v>
      </c>
      <c r="W92" s="36">
        <v>1.1148702569408897</v>
      </c>
      <c r="X92" s="36">
        <v>1.1138998151876396</v>
      </c>
      <c r="Y92" s="36">
        <v>1.1155405129044216</v>
      </c>
      <c r="Z92" s="36">
        <v>1.1027124931001189</v>
      </c>
      <c r="AA92" s="36">
        <v>1.1119639912144603</v>
      </c>
      <c r="AB92" s="36">
        <v>1.1066255029906482</v>
      </c>
      <c r="AC92" s="36">
        <v>1.0946782172440752</v>
      </c>
      <c r="AD92" s="36">
        <v>1.099738812943885</v>
      </c>
      <c r="AE92" s="36">
        <v>1.1056034750280461</v>
      </c>
      <c r="AF92" s="36">
        <v>1.1489376545755847</v>
      </c>
      <c r="AG92" s="36">
        <v>1.1489376545755849</v>
      </c>
      <c r="AH92" s="36">
        <v>1.1489376545755852</v>
      </c>
      <c r="BH92" s="12">
        <f t="shared" si="74"/>
        <v>0</v>
      </c>
      <c r="BI92" s="12">
        <f t="shared" si="75"/>
        <v>0</v>
      </c>
      <c r="BJ92" s="12">
        <f t="shared" si="76"/>
        <v>0</v>
      </c>
      <c r="BK92" s="12">
        <f t="shared" si="77"/>
        <v>0</v>
      </c>
      <c r="BL92" s="12">
        <f t="shared" si="78"/>
        <v>0</v>
      </c>
      <c r="BM92" s="12">
        <f t="shared" si="79"/>
        <v>0</v>
      </c>
      <c r="BN92" s="12">
        <f t="shared" si="80"/>
        <v>0</v>
      </c>
      <c r="BO92" s="12">
        <f t="shared" si="81"/>
        <v>0</v>
      </c>
      <c r="BP92" s="12">
        <f t="shared" si="82"/>
        <v>0</v>
      </c>
      <c r="BQ92" s="12">
        <f t="shared" si="83"/>
        <v>0</v>
      </c>
      <c r="BR92" s="12">
        <f t="shared" si="72"/>
        <v>0</v>
      </c>
      <c r="BS92" s="12">
        <f t="shared" si="73"/>
        <v>0</v>
      </c>
      <c r="BU92" s="11">
        <f t="shared" si="19"/>
        <v>0</v>
      </c>
      <c r="BV92" s="11">
        <f t="shared" si="20"/>
        <v>0</v>
      </c>
      <c r="BW92" s="11">
        <f t="shared" si="21"/>
        <v>0</v>
      </c>
      <c r="BX92" s="11">
        <f t="shared" si="22"/>
        <v>0</v>
      </c>
      <c r="BY92" s="11">
        <f t="shared" si="23"/>
        <v>0</v>
      </c>
      <c r="BZ92" s="11">
        <f t="shared" si="24"/>
        <v>0</v>
      </c>
      <c r="CA92" s="11">
        <f t="shared" si="25"/>
        <v>0</v>
      </c>
      <c r="CB92" s="11">
        <f t="shared" si="26"/>
        <v>0</v>
      </c>
      <c r="CC92" s="11">
        <f t="shared" si="27"/>
        <v>0</v>
      </c>
      <c r="CD92" s="11">
        <f t="shared" si="28"/>
        <v>0</v>
      </c>
      <c r="CE92" s="11">
        <f t="shared" si="29"/>
        <v>0</v>
      </c>
      <c r="CF92" s="11">
        <f t="shared" si="30"/>
        <v>0</v>
      </c>
      <c r="CG92" s="11"/>
      <c r="CH92" s="41">
        <v>1</v>
      </c>
      <c r="CJ92" s="54">
        <f t="shared" si="31"/>
        <v>0</v>
      </c>
      <c r="CK92" s="54">
        <f t="shared" si="32"/>
        <v>0</v>
      </c>
      <c r="CL92" s="54">
        <f t="shared" si="33"/>
        <v>0</v>
      </c>
      <c r="CM92" s="54">
        <f t="shared" si="34"/>
        <v>0</v>
      </c>
      <c r="CN92" s="54">
        <f t="shared" si="35"/>
        <v>0</v>
      </c>
      <c r="CO92" s="54">
        <f t="shared" si="36"/>
        <v>0</v>
      </c>
      <c r="CP92" s="54">
        <f t="shared" si="37"/>
        <v>0</v>
      </c>
      <c r="CQ92" s="54">
        <f t="shared" si="38"/>
        <v>0</v>
      </c>
      <c r="CR92" s="54">
        <f t="shared" si="39"/>
        <v>0</v>
      </c>
      <c r="CS92" s="54">
        <f t="shared" si="40"/>
        <v>0</v>
      </c>
      <c r="CT92" s="54">
        <f t="shared" si="41"/>
        <v>0</v>
      </c>
      <c r="CU92" s="54">
        <f t="shared" si="42"/>
        <v>0</v>
      </c>
      <c r="CV92" s="52">
        <f t="shared" si="43"/>
        <v>0</v>
      </c>
    </row>
    <row r="93" spans="1:100" ht="15.75" x14ac:dyDescent="0.25">
      <c r="A93" s="17"/>
      <c r="B93" s="17"/>
      <c r="C93" s="17"/>
      <c r="D93" s="17"/>
      <c r="E93" s="17"/>
      <c r="F93" s="33" t="s">
        <v>18</v>
      </c>
      <c r="G93" s="77"/>
      <c r="H93" s="77"/>
      <c r="I93" s="77"/>
      <c r="J93" s="77"/>
      <c r="K93" s="77"/>
      <c r="L93" s="77"/>
      <c r="M93" s="77"/>
      <c r="N93" s="77"/>
      <c r="O93" s="77"/>
      <c r="P93" s="77"/>
      <c r="Q93" s="77"/>
      <c r="R93" s="77"/>
      <c r="S93" s="11">
        <f t="shared" si="71"/>
        <v>0</v>
      </c>
      <c r="T93" s="8">
        <f t="shared" si="84"/>
        <v>0</v>
      </c>
      <c r="U93" s="13" t="s">
        <v>23</v>
      </c>
      <c r="V93" s="46">
        <f t="shared" si="18"/>
        <v>0</v>
      </c>
      <c r="W93" s="36">
        <v>0</v>
      </c>
      <c r="X93" s="36"/>
      <c r="Y93" s="36"/>
      <c r="Z93" s="36"/>
      <c r="AA93" s="36"/>
      <c r="AB93" s="36"/>
      <c r="AC93" s="36"/>
      <c r="AD93" s="36"/>
      <c r="AE93" s="36"/>
      <c r="AF93" s="36"/>
      <c r="AG93" s="36"/>
      <c r="AH93" s="36"/>
      <c r="BH93" s="12">
        <f t="shared" si="74"/>
        <v>0</v>
      </c>
      <c r="BI93" s="12">
        <f t="shared" si="75"/>
        <v>0</v>
      </c>
      <c r="BJ93" s="12">
        <f t="shared" si="76"/>
        <v>0</v>
      </c>
      <c r="BK93" s="12">
        <f t="shared" si="77"/>
        <v>0</v>
      </c>
      <c r="BL93" s="12">
        <f t="shared" si="78"/>
        <v>0</v>
      </c>
      <c r="BM93" s="12">
        <f t="shared" si="79"/>
        <v>0</v>
      </c>
      <c r="BN93" s="12">
        <f t="shared" si="80"/>
        <v>0</v>
      </c>
      <c r="BO93" s="12">
        <f t="shared" si="81"/>
        <v>0</v>
      </c>
      <c r="BP93" s="12">
        <f t="shared" si="82"/>
        <v>0</v>
      </c>
      <c r="BQ93" s="12">
        <f t="shared" si="83"/>
        <v>0</v>
      </c>
      <c r="BR93" s="12">
        <f t="shared" si="72"/>
        <v>0</v>
      </c>
      <c r="BS93" s="12">
        <f t="shared" si="73"/>
        <v>0</v>
      </c>
      <c r="BU93" s="11">
        <f t="shared" si="19"/>
        <v>0</v>
      </c>
      <c r="BV93" s="11">
        <f t="shared" si="20"/>
        <v>0</v>
      </c>
      <c r="BW93" s="11">
        <f t="shared" si="21"/>
        <v>0</v>
      </c>
      <c r="BX93" s="11">
        <f t="shared" si="22"/>
        <v>0</v>
      </c>
      <c r="BY93" s="11">
        <f t="shared" si="23"/>
        <v>0</v>
      </c>
      <c r="BZ93" s="11">
        <f t="shared" si="24"/>
        <v>0</v>
      </c>
      <c r="CA93" s="11">
        <f t="shared" si="25"/>
        <v>0</v>
      </c>
      <c r="CB93" s="11">
        <f t="shared" si="26"/>
        <v>0</v>
      </c>
      <c r="CC93" s="11">
        <f t="shared" si="27"/>
        <v>0</v>
      </c>
      <c r="CD93" s="11">
        <f t="shared" si="28"/>
        <v>0</v>
      </c>
      <c r="CE93" s="11">
        <f t="shared" si="29"/>
        <v>0</v>
      </c>
      <c r="CF93" s="11">
        <f t="shared" si="30"/>
        <v>0</v>
      </c>
      <c r="CG93" s="11"/>
      <c r="CH93" s="41">
        <v>1</v>
      </c>
      <c r="CJ93" s="54">
        <f t="shared" si="31"/>
        <v>0</v>
      </c>
      <c r="CK93" s="54">
        <f t="shared" si="32"/>
        <v>0</v>
      </c>
      <c r="CL93" s="54">
        <f t="shared" si="33"/>
        <v>0</v>
      </c>
      <c r="CM93" s="54">
        <f t="shared" si="34"/>
        <v>0</v>
      </c>
      <c r="CN93" s="54">
        <f t="shared" si="35"/>
        <v>0</v>
      </c>
      <c r="CO93" s="54">
        <f t="shared" si="36"/>
        <v>0</v>
      </c>
      <c r="CP93" s="54">
        <f t="shared" si="37"/>
        <v>0</v>
      </c>
      <c r="CQ93" s="54">
        <f t="shared" si="38"/>
        <v>0</v>
      </c>
      <c r="CR93" s="54">
        <f t="shared" si="39"/>
        <v>0</v>
      </c>
      <c r="CS93" s="54">
        <f t="shared" si="40"/>
        <v>0</v>
      </c>
      <c r="CT93" s="54">
        <f t="shared" si="41"/>
        <v>0</v>
      </c>
      <c r="CU93" s="54">
        <f t="shared" si="42"/>
        <v>0</v>
      </c>
      <c r="CV93" s="52">
        <f t="shared" si="43"/>
        <v>0</v>
      </c>
    </row>
    <row r="94" spans="1:100" ht="15.75" x14ac:dyDescent="0.25">
      <c r="A94" s="17"/>
      <c r="B94" s="17"/>
      <c r="C94" s="17"/>
      <c r="D94" s="17"/>
      <c r="E94" s="17"/>
      <c r="F94" s="33" t="s">
        <v>18</v>
      </c>
      <c r="G94" s="77"/>
      <c r="H94" s="77"/>
      <c r="I94" s="77"/>
      <c r="J94" s="77"/>
      <c r="K94" s="77"/>
      <c r="L94" s="77"/>
      <c r="M94" s="77"/>
      <c r="N94" s="77"/>
      <c r="O94" s="77"/>
      <c r="P94" s="77"/>
      <c r="Q94" s="77"/>
      <c r="R94" s="77"/>
      <c r="S94" s="11">
        <f t="shared" si="71"/>
        <v>0</v>
      </c>
      <c r="T94" s="8">
        <f t="shared" si="84"/>
        <v>0</v>
      </c>
      <c r="U94" s="13" t="s">
        <v>23</v>
      </c>
      <c r="V94" s="46">
        <f t="shared" si="18"/>
        <v>0</v>
      </c>
      <c r="W94" s="36">
        <v>0</v>
      </c>
      <c r="X94" s="36"/>
      <c r="Y94" s="36"/>
      <c r="Z94" s="36"/>
      <c r="AA94" s="36"/>
      <c r="AB94" s="36"/>
      <c r="AC94" s="36"/>
      <c r="AD94" s="36"/>
      <c r="AE94" s="36"/>
      <c r="AF94" s="36"/>
      <c r="AG94" s="36"/>
      <c r="AH94" s="36"/>
      <c r="BH94" s="12">
        <f t="shared" si="74"/>
        <v>0</v>
      </c>
      <c r="BI94" s="12">
        <f t="shared" si="75"/>
        <v>0</v>
      </c>
      <c r="BJ94" s="12">
        <f t="shared" si="76"/>
        <v>0</v>
      </c>
      <c r="BK94" s="12">
        <f t="shared" si="77"/>
        <v>0</v>
      </c>
      <c r="BL94" s="12">
        <f t="shared" si="78"/>
        <v>0</v>
      </c>
      <c r="BM94" s="12">
        <f t="shared" si="79"/>
        <v>0</v>
      </c>
      <c r="BN94" s="12">
        <f t="shared" si="80"/>
        <v>0</v>
      </c>
      <c r="BO94" s="12">
        <f t="shared" si="81"/>
        <v>0</v>
      </c>
      <c r="BP94" s="12">
        <f t="shared" si="82"/>
        <v>0</v>
      </c>
      <c r="BQ94" s="12">
        <f t="shared" si="83"/>
        <v>0</v>
      </c>
      <c r="BR94" s="12">
        <f t="shared" si="72"/>
        <v>0</v>
      </c>
      <c r="BS94" s="12">
        <f t="shared" si="73"/>
        <v>0</v>
      </c>
      <c r="BU94" s="11">
        <f t="shared" si="19"/>
        <v>0</v>
      </c>
      <c r="BV94" s="11">
        <f t="shared" si="20"/>
        <v>0</v>
      </c>
      <c r="BW94" s="11">
        <f t="shared" si="21"/>
        <v>0</v>
      </c>
      <c r="BX94" s="11">
        <f t="shared" si="22"/>
        <v>0</v>
      </c>
      <c r="BY94" s="11">
        <f t="shared" si="23"/>
        <v>0</v>
      </c>
      <c r="BZ94" s="11">
        <f t="shared" si="24"/>
        <v>0</v>
      </c>
      <c r="CA94" s="11">
        <f t="shared" si="25"/>
        <v>0</v>
      </c>
      <c r="CB94" s="11">
        <f t="shared" si="26"/>
        <v>0</v>
      </c>
      <c r="CC94" s="11">
        <f t="shared" si="27"/>
        <v>0</v>
      </c>
      <c r="CD94" s="11">
        <f t="shared" si="28"/>
        <v>0</v>
      </c>
      <c r="CE94" s="11">
        <f t="shared" si="29"/>
        <v>0</v>
      </c>
      <c r="CF94" s="11">
        <f t="shared" si="30"/>
        <v>0</v>
      </c>
      <c r="CG94" s="11"/>
      <c r="CH94" s="41">
        <v>1</v>
      </c>
      <c r="CJ94" s="54">
        <f t="shared" si="31"/>
        <v>0</v>
      </c>
      <c r="CK94" s="54">
        <f t="shared" si="32"/>
        <v>0</v>
      </c>
      <c r="CL94" s="54">
        <f t="shared" si="33"/>
        <v>0</v>
      </c>
      <c r="CM94" s="54">
        <f t="shared" si="34"/>
        <v>0</v>
      </c>
      <c r="CN94" s="54">
        <f t="shared" si="35"/>
        <v>0</v>
      </c>
      <c r="CO94" s="54">
        <f t="shared" si="36"/>
        <v>0</v>
      </c>
      <c r="CP94" s="54">
        <f t="shared" si="37"/>
        <v>0</v>
      </c>
      <c r="CQ94" s="54">
        <f t="shared" si="38"/>
        <v>0</v>
      </c>
      <c r="CR94" s="54">
        <f t="shared" si="39"/>
        <v>0</v>
      </c>
      <c r="CS94" s="54">
        <f t="shared" si="40"/>
        <v>0</v>
      </c>
      <c r="CT94" s="54">
        <f t="shared" si="41"/>
        <v>0</v>
      </c>
      <c r="CU94" s="54">
        <f t="shared" si="42"/>
        <v>0</v>
      </c>
      <c r="CV94" s="52">
        <f t="shared" si="43"/>
        <v>0</v>
      </c>
    </row>
    <row r="95" spans="1:100" ht="15.75" x14ac:dyDescent="0.25">
      <c r="A95" s="17"/>
      <c r="B95" s="17"/>
      <c r="C95" s="17"/>
      <c r="D95" s="17"/>
      <c r="E95" s="17"/>
      <c r="F95" s="33" t="s">
        <v>18</v>
      </c>
      <c r="G95" s="77"/>
      <c r="H95" s="77"/>
      <c r="I95" s="77"/>
      <c r="J95" s="77"/>
      <c r="K95" s="77"/>
      <c r="L95" s="77"/>
      <c r="M95" s="77"/>
      <c r="N95" s="77"/>
      <c r="O95" s="77"/>
      <c r="P95" s="77"/>
      <c r="Q95" s="77"/>
      <c r="R95" s="77"/>
      <c r="S95" s="11">
        <f t="shared" si="71"/>
        <v>0</v>
      </c>
      <c r="T95" s="8">
        <f t="shared" si="84"/>
        <v>0</v>
      </c>
      <c r="U95" s="13" t="s">
        <v>23</v>
      </c>
      <c r="V95" s="46">
        <f t="shared" si="18"/>
        <v>0</v>
      </c>
      <c r="W95" s="36">
        <v>0.53878488253648948</v>
      </c>
      <c r="X95" s="36">
        <v>0.53831589581558781</v>
      </c>
      <c r="Y95" s="36">
        <v>0.53910879805789891</v>
      </c>
      <c r="Z95" s="36">
        <v>0.5329093832825853</v>
      </c>
      <c r="AA95" s="36">
        <v>0.53738036750141194</v>
      </c>
      <c r="AB95" s="36">
        <v>0.53480042895458846</v>
      </c>
      <c r="AC95" s="36">
        <v>0.5290266477387725</v>
      </c>
      <c r="AD95" s="36">
        <v>0.53147228878329</v>
      </c>
      <c r="AE95" s="36">
        <v>0.5343065120953383</v>
      </c>
      <c r="AF95" s="36">
        <v>0.55524868064991095</v>
      </c>
      <c r="AG95" s="36">
        <v>0.55524868064991106</v>
      </c>
      <c r="AH95" s="36">
        <v>0.55524868064991095</v>
      </c>
      <c r="BH95" s="12">
        <f t="shared" si="74"/>
        <v>0</v>
      </c>
      <c r="BI95" s="12">
        <f t="shared" si="75"/>
        <v>0</v>
      </c>
      <c r="BJ95" s="12">
        <f t="shared" si="76"/>
        <v>0</v>
      </c>
      <c r="BK95" s="12">
        <f t="shared" si="77"/>
        <v>0</v>
      </c>
      <c r="BL95" s="12">
        <f t="shared" si="78"/>
        <v>0</v>
      </c>
      <c r="BM95" s="12">
        <f t="shared" si="79"/>
        <v>0</v>
      </c>
      <c r="BN95" s="12">
        <f t="shared" si="80"/>
        <v>0</v>
      </c>
      <c r="BO95" s="12">
        <f t="shared" si="81"/>
        <v>0</v>
      </c>
      <c r="BP95" s="12">
        <f t="shared" si="82"/>
        <v>0</v>
      </c>
      <c r="BQ95" s="12">
        <f t="shared" si="83"/>
        <v>0</v>
      </c>
      <c r="BR95" s="12">
        <f t="shared" si="72"/>
        <v>0</v>
      </c>
      <c r="BS95" s="12">
        <f t="shared" si="73"/>
        <v>0</v>
      </c>
      <c r="BU95" s="11">
        <f t="shared" si="19"/>
        <v>0</v>
      </c>
      <c r="BV95" s="11">
        <f t="shared" si="20"/>
        <v>0</v>
      </c>
      <c r="BW95" s="11">
        <f t="shared" si="21"/>
        <v>0</v>
      </c>
      <c r="BX95" s="11">
        <f t="shared" si="22"/>
        <v>0</v>
      </c>
      <c r="BY95" s="11">
        <f t="shared" si="23"/>
        <v>0</v>
      </c>
      <c r="BZ95" s="11">
        <f t="shared" si="24"/>
        <v>0</v>
      </c>
      <c r="CA95" s="11">
        <f t="shared" si="25"/>
        <v>0</v>
      </c>
      <c r="CB95" s="11">
        <f t="shared" si="26"/>
        <v>0</v>
      </c>
      <c r="CC95" s="11">
        <f t="shared" si="27"/>
        <v>0</v>
      </c>
      <c r="CD95" s="11">
        <f t="shared" si="28"/>
        <v>0</v>
      </c>
      <c r="CE95" s="11">
        <f t="shared" si="29"/>
        <v>0</v>
      </c>
      <c r="CF95" s="11">
        <f t="shared" si="30"/>
        <v>0</v>
      </c>
      <c r="CG95" s="11"/>
      <c r="CH95" s="41">
        <v>1</v>
      </c>
      <c r="CJ95" s="54">
        <f t="shared" si="31"/>
        <v>0</v>
      </c>
      <c r="CK95" s="54">
        <f t="shared" si="32"/>
        <v>0</v>
      </c>
      <c r="CL95" s="54">
        <f t="shared" si="33"/>
        <v>0</v>
      </c>
      <c r="CM95" s="54">
        <f t="shared" si="34"/>
        <v>0</v>
      </c>
      <c r="CN95" s="54">
        <f t="shared" si="35"/>
        <v>0</v>
      </c>
      <c r="CO95" s="54">
        <f t="shared" si="36"/>
        <v>0</v>
      </c>
      <c r="CP95" s="54">
        <f t="shared" si="37"/>
        <v>0</v>
      </c>
      <c r="CQ95" s="54">
        <f t="shared" si="38"/>
        <v>0</v>
      </c>
      <c r="CR95" s="54">
        <f t="shared" si="39"/>
        <v>0</v>
      </c>
      <c r="CS95" s="54">
        <f t="shared" si="40"/>
        <v>0</v>
      </c>
      <c r="CT95" s="54">
        <f t="shared" si="41"/>
        <v>0</v>
      </c>
      <c r="CU95" s="54">
        <f t="shared" si="42"/>
        <v>0</v>
      </c>
      <c r="CV95" s="52">
        <f t="shared" si="43"/>
        <v>0</v>
      </c>
    </row>
    <row r="96" spans="1:100" ht="15.75" x14ac:dyDescent="0.25">
      <c r="A96" s="17"/>
      <c r="B96" s="17"/>
      <c r="C96" s="17"/>
      <c r="D96" s="17"/>
      <c r="E96" s="17"/>
      <c r="F96" s="33" t="s">
        <v>18</v>
      </c>
      <c r="G96" s="77"/>
      <c r="H96" s="77"/>
      <c r="I96" s="77"/>
      <c r="J96" s="77"/>
      <c r="K96" s="77"/>
      <c r="L96" s="77"/>
      <c r="M96" s="77"/>
      <c r="N96" s="77"/>
      <c r="O96" s="77"/>
      <c r="P96" s="77"/>
      <c r="Q96" s="77"/>
      <c r="R96" s="77"/>
      <c r="S96" s="11">
        <f t="shared" si="71"/>
        <v>0</v>
      </c>
      <c r="T96" s="8">
        <f t="shared" si="84"/>
        <v>0</v>
      </c>
      <c r="U96" s="13" t="s">
        <v>23</v>
      </c>
      <c r="V96" s="46">
        <f t="shared" si="18"/>
        <v>0</v>
      </c>
      <c r="W96" s="36">
        <v>0.44079708247078725</v>
      </c>
      <c r="X96" s="36">
        <v>0.44041338948868697</v>
      </c>
      <c r="Y96" s="36">
        <v>0.44106208808143493</v>
      </c>
      <c r="Z96" s="36">
        <v>0.43599014928998314</v>
      </c>
      <c r="AA96" s="36">
        <v>0</v>
      </c>
      <c r="AB96" s="36">
        <v>0</v>
      </c>
      <c r="AC96" s="36">
        <v>0</v>
      </c>
      <c r="AD96" s="36">
        <v>0</v>
      </c>
      <c r="AE96" s="36">
        <v>0</v>
      </c>
      <c r="AF96" s="36">
        <v>0</v>
      </c>
      <c r="AG96" s="36">
        <v>0</v>
      </c>
      <c r="AH96" s="36">
        <v>0</v>
      </c>
      <c r="BH96" s="12">
        <f t="shared" si="74"/>
        <v>0</v>
      </c>
      <c r="BI96" s="12">
        <f t="shared" si="75"/>
        <v>0</v>
      </c>
      <c r="BJ96" s="12">
        <f t="shared" si="76"/>
        <v>0</v>
      </c>
      <c r="BK96" s="12">
        <f t="shared" si="77"/>
        <v>0</v>
      </c>
      <c r="BL96" s="12">
        <f t="shared" si="78"/>
        <v>0</v>
      </c>
      <c r="BM96" s="12">
        <f t="shared" si="79"/>
        <v>0</v>
      </c>
      <c r="BN96" s="12">
        <f t="shared" si="80"/>
        <v>0</v>
      </c>
      <c r="BO96" s="12">
        <f t="shared" si="81"/>
        <v>0</v>
      </c>
      <c r="BP96" s="12">
        <f t="shared" si="82"/>
        <v>0</v>
      </c>
      <c r="BQ96" s="12">
        <f t="shared" si="83"/>
        <v>0</v>
      </c>
      <c r="BR96" s="12">
        <f t="shared" si="72"/>
        <v>0</v>
      </c>
      <c r="BS96" s="12">
        <f t="shared" si="73"/>
        <v>0</v>
      </c>
      <c r="BU96" s="11">
        <f t="shared" si="19"/>
        <v>0</v>
      </c>
      <c r="BV96" s="11">
        <f t="shared" si="20"/>
        <v>0</v>
      </c>
      <c r="BW96" s="11">
        <f t="shared" si="21"/>
        <v>0</v>
      </c>
      <c r="BX96" s="11">
        <f t="shared" si="22"/>
        <v>0</v>
      </c>
      <c r="BY96" s="11">
        <f t="shared" si="23"/>
        <v>0</v>
      </c>
      <c r="BZ96" s="11">
        <f t="shared" si="24"/>
        <v>0</v>
      </c>
      <c r="CA96" s="11">
        <f t="shared" si="25"/>
        <v>0</v>
      </c>
      <c r="CB96" s="11">
        <f t="shared" si="26"/>
        <v>0</v>
      </c>
      <c r="CC96" s="11">
        <f t="shared" si="27"/>
        <v>0</v>
      </c>
      <c r="CD96" s="11">
        <f t="shared" si="28"/>
        <v>0</v>
      </c>
      <c r="CE96" s="11">
        <f t="shared" si="29"/>
        <v>0</v>
      </c>
      <c r="CF96" s="11">
        <f t="shared" si="30"/>
        <v>0</v>
      </c>
      <c r="CG96" s="11"/>
      <c r="CH96" s="41">
        <v>1</v>
      </c>
      <c r="CJ96" s="54">
        <f t="shared" si="31"/>
        <v>0</v>
      </c>
      <c r="CK96" s="54">
        <f t="shared" si="32"/>
        <v>0</v>
      </c>
      <c r="CL96" s="54">
        <f t="shared" si="33"/>
        <v>0</v>
      </c>
      <c r="CM96" s="54">
        <f t="shared" si="34"/>
        <v>0</v>
      </c>
      <c r="CN96" s="54">
        <f t="shared" si="35"/>
        <v>0</v>
      </c>
      <c r="CO96" s="54">
        <f t="shared" si="36"/>
        <v>0</v>
      </c>
      <c r="CP96" s="54">
        <f t="shared" si="37"/>
        <v>0</v>
      </c>
      <c r="CQ96" s="54">
        <f t="shared" si="38"/>
        <v>0</v>
      </c>
      <c r="CR96" s="54">
        <f t="shared" si="39"/>
        <v>0</v>
      </c>
      <c r="CS96" s="54">
        <f t="shared" si="40"/>
        <v>0</v>
      </c>
      <c r="CT96" s="54">
        <f t="shared" si="41"/>
        <v>0</v>
      </c>
      <c r="CU96" s="54">
        <f t="shared" si="42"/>
        <v>0</v>
      </c>
      <c r="CV96" s="52">
        <f t="shared" si="43"/>
        <v>0</v>
      </c>
    </row>
    <row r="97" spans="1:100" ht="15.75" x14ac:dyDescent="0.25">
      <c r="A97" s="17"/>
      <c r="B97" s="17"/>
      <c r="C97" s="17"/>
      <c r="D97" s="17"/>
      <c r="E97" s="17"/>
      <c r="F97" s="33" t="s">
        <v>18</v>
      </c>
      <c r="G97" s="77"/>
      <c r="H97" s="77"/>
      <c r="I97" s="77"/>
      <c r="J97" s="77"/>
      <c r="K97" s="77"/>
      <c r="L97" s="77"/>
      <c r="M97" s="77"/>
      <c r="N97" s="77"/>
      <c r="O97" s="77"/>
      <c r="P97" s="77"/>
      <c r="Q97" s="77"/>
      <c r="R97" s="77"/>
      <c r="S97" s="11">
        <f t="shared" si="71"/>
        <v>0</v>
      </c>
      <c r="T97" s="8">
        <f t="shared" si="84"/>
        <v>0</v>
      </c>
      <c r="U97" s="13" t="s">
        <v>23</v>
      </c>
      <c r="V97" s="46">
        <f t="shared" si="18"/>
        <v>0</v>
      </c>
      <c r="W97" s="36">
        <v>0.58881490734344921</v>
      </c>
      <c r="X97" s="36">
        <v>0.58830237185560674</v>
      </c>
      <c r="Y97" s="36">
        <v>0.58916890073470374</v>
      </c>
      <c r="Z97" s="36">
        <v>0.58239382601596812</v>
      </c>
      <c r="AA97" s="36">
        <v>0.58727997305511448</v>
      </c>
      <c r="AB97" s="36">
        <v>0.58446046878608604</v>
      </c>
      <c r="AC97" s="36">
        <v>0.57815055074308697</v>
      </c>
      <c r="AD97" s="36">
        <v>0.58082328702745278</v>
      </c>
      <c r="AE97" s="36">
        <v>0.58392068821847676</v>
      </c>
      <c r="AF97" s="36">
        <v>0.60680748671025986</v>
      </c>
      <c r="AG97" s="36">
        <v>0.60680748671025986</v>
      </c>
      <c r="AH97" s="36">
        <v>0.60680748671025986</v>
      </c>
      <c r="BH97" s="12">
        <f t="shared" si="74"/>
        <v>0</v>
      </c>
      <c r="BI97" s="12">
        <f t="shared" si="75"/>
        <v>0</v>
      </c>
      <c r="BJ97" s="12">
        <f t="shared" si="76"/>
        <v>0</v>
      </c>
      <c r="BK97" s="12">
        <f t="shared" si="77"/>
        <v>0</v>
      </c>
      <c r="BL97" s="12">
        <f t="shared" si="78"/>
        <v>0</v>
      </c>
      <c r="BM97" s="12">
        <f t="shared" si="79"/>
        <v>0</v>
      </c>
      <c r="BN97" s="12">
        <f t="shared" si="80"/>
        <v>0</v>
      </c>
      <c r="BO97" s="12">
        <f t="shared" si="81"/>
        <v>0</v>
      </c>
      <c r="BP97" s="12">
        <f t="shared" si="82"/>
        <v>0</v>
      </c>
      <c r="BQ97" s="12">
        <f t="shared" si="83"/>
        <v>0</v>
      </c>
      <c r="BR97" s="12">
        <f t="shared" si="72"/>
        <v>0</v>
      </c>
      <c r="BS97" s="12">
        <f t="shared" si="73"/>
        <v>0</v>
      </c>
      <c r="BU97" s="11">
        <f t="shared" si="19"/>
        <v>0</v>
      </c>
      <c r="BV97" s="11">
        <f t="shared" si="20"/>
        <v>0</v>
      </c>
      <c r="BW97" s="11">
        <f t="shared" si="21"/>
        <v>0</v>
      </c>
      <c r="BX97" s="11">
        <f t="shared" si="22"/>
        <v>0</v>
      </c>
      <c r="BY97" s="11">
        <f t="shared" si="23"/>
        <v>0</v>
      </c>
      <c r="BZ97" s="11">
        <f t="shared" si="24"/>
        <v>0</v>
      </c>
      <c r="CA97" s="11">
        <f t="shared" si="25"/>
        <v>0</v>
      </c>
      <c r="CB97" s="11">
        <f t="shared" si="26"/>
        <v>0</v>
      </c>
      <c r="CC97" s="11">
        <f t="shared" si="27"/>
        <v>0</v>
      </c>
      <c r="CD97" s="11">
        <f t="shared" si="28"/>
        <v>0</v>
      </c>
      <c r="CE97" s="11">
        <f t="shared" si="29"/>
        <v>0</v>
      </c>
      <c r="CF97" s="11">
        <f t="shared" si="30"/>
        <v>0</v>
      </c>
      <c r="CG97" s="11"/>
      <c r="CH97" s="41">
        <v>1</v>
      </c>
      <c r="CJ97" s="54">
        <f t="shared" si="31"/>
        <v>0</v>
      </c>
      <c r="CK97" s="54">
        <f t="shared" si="32"/>
        <v>0</v>
      </c>
      <c r="CL97" s="54">
        <f t="shared" si="33"/>
        <v>0</v>
      </c>
      <c r="CM97" s="54">
        <f t="shared" si="34"/>
        <v>0</v>
      </c>
      <c r="CN97" s="54">
        <f t="shared" si="35"/>
        <v>0</v>
      </c>
      <c r="CO97" s="54">
        <f t="shared" si="36"/>
        <v>0</v>
      </c>
      <c r="CP97" s="54">
        <f t="shared" si="37"/>
        <v>0</v>
      </c>
      <c r="CQ97" s="54">
        <f t="shared" si="38"/>
        <v>0</v>
      </c>
      <c r="CR97" s="54">
        <f t="shared" si="39"/>
        <v>0</v>
      </c>
      <c r="CS97" s="54">
        <f t="shared" si="40"/>
        <v>0</v>
      </c>
      <c r="CT97" s="54">
        <f t="shared" si="41"/>
        <v>0</v>
      </c>
      <c r="CU97" s="54">
        <f t="shared" si="42"/>
        <v>0</v>
      </c>
      <c r="CV97" s="52">
        <f t="shared" si="43"/>
        <v>0</v>
      </c>
    </row>
    <row r="98" spans="1:100" ht="15.75" x14ac:dyDescent="0.25">
      <c r="A98" s="17"/>
      <c r="B98" s="17"/>
      <c r="C98" s="17"/>
      <c r="D98" s="17"/>
      <c r="E98" s="17"/>
      <c r="F98" s="33" t="s">
        <v>18</v>
      </c>
      <c r="G98" s="77"/>
      <c r="H98" s="77"/>
      <c r="I98" s="77"/>
      <c r="J98" s="77"/>
      <c r="K98" s="77"/>
      <c r="L98" s="77"/>
      <c r="M98" s="77"/>
      <c r="N98" s="77"/>
      <c r="O98" s="77"/>
      <c r="P98" s="77"/>
      <c r="Q98" s="77"/>
      <c r="R98" s="77"/>
      <c r="S98" s="11">
        <f t="shared" si="71"/>
        <v>0</v>
      </c>
      <c r="T98" s="8">
        <f t="shared" si="84"/>
        <v>0</v>
      </c>
      <c r="U98" s="13" t="s">
        <v>23</v>
      </c>
      <c r="V98" s="46">
        <f t="shared" si="18"/>
        <v>0</v>
      </c>
      <c r="W98" s="36">
        <v>1.8500010819999999</v>
      </c>
      <c r="X98" s="36">
        <v>1.8500010820000001</v>
      </c>
      <c r="Y98" s="36">
        <v>1.8500000000000003</v>
      </c>
      <c r="Z98" s="36">
        <v>1.8500010819999999</v>
      </c>
      <c r="AA98" s="36">
        <v>1.8500010819999999</v>
      </c>
      <c r="AB98" s="36">
        <v>1.85</v>
      </c>
      <c r="AC98" s="36">
        <v>1.8500010819999999</v>
      </c>
      <c r="AD98" s="36">
        <v>1.8500010819999999</v>
      </c>
      <c r="AE98" s="36">
        <v>1.85</v>
      </c>
      <c r="AF98" s="36">
        <v>1.8500010819999999</v>
      </c>
      <c r="AG98" s="36">
        <v>1.85</v>
      </c>
      <c r="AH98" s="36">
        <v>1.8500010819999999</v>
      </c>
      <c r="BH98" s="12">
        <f t="shared" si="74"/>
        <v>0</v>
      </c>
      <c r="BI98" s="12">
        <f t="shared" si="75"/>
        <v>0</v>
      </c>
      <c r="BJ98" s="12">
        <f t="shared" si="76"/>
        <v>0</v>
      </c>
      <c r="BK98" s="12">
        <f t="shared" si="77"/>
        <v>0</v>
      </c>
      <c r="BL98" s="12">
        <f t="shared" si="78"/>
        <v>0</v>
      </c>
      <c r="BM98" s="12">
        <f t="shared" si="79"/>
        <v>0</v>
      </c>
      <c r="BN98" s="12">
        <f t="shared" si="80"/>
        <v>0</v>
      </c>
      <c r="BO98" s="12">
        <f t="shared" si="81"/>
        <v>0</v>
      </c>
      <c r="BP98" s="12">
        <f t="shared" si="82"/>
        <v>0</v>
      </c>
      <c r="BQ98" s="12">
        <f t="shared" si="83"/>
        <v>0</v>
      </c>
      <c r="BR98" s="12">
        <f t="shared" si="72"/>
        <v>0</v>
      </c>
      <c r="BS98" s="12">
        <f t="shared" si="73"/>
        <v>0</v>
      </c>
      <c r="BU98" s="11">
        <f t="shared" si="19"/>
        <v>0</v>
      </c>
      <c r="BV98" s="11">
        <f t="shared" si="20"/>
        <v>0</v>
      </c>
      <c r="BW98" s="11">
        <f t="shared" si="21"/>
        <v>0</v>
      </c>
      <c r="BX98" s="11">
        <f t="shared" si="22"/>
        <v>0</v>
      </c>
      <c r="BY98" s="11">
        <f t="shared" si="23"/>
        <v>0</v>
      </c>
      <c r="BZ98" s="11">
        <f t="shared" si="24"/>
        <v>0</v>
      </c>
      <c r="CA98" s="11">
        <f t="shared" si="25"/>
        <v>0</v>
      </c>
      <c r="CB98" s="11">
        <f t="shared" si="26"/>
        <v>0</v>
      </c>
      <c r="CC98" s="11">
        <f t="shared" si="27"/>
        <v>0</v>
      </c>
      <c r="CD98" s="11">
        <f t="shared" si="28"/>
        <v>0</v>
      </c>
      <c r="CE98" s="11">
        <f t="shared" si="29"/>
        <v>0</v>
      </c>
      <c r="CF98" s="11">
        <f t="shared" si="30"/>
        <v>0</v>
      </c>
      <c r="CG98" s="11"/>
      <c r="CH98" s="41">
        <v>1</v>
      </c>
      <c r="CJ98" s="54">
        <f t="shared" si="31"/>
        <v>0</v>
      </c>
      <c r="CK98" s="54">
        <f t="shared" si="32"/>
        <v>0</v>
      </c>
      <c r="CL98" s="54">
        <f t="shared" si="33"/>
        <v>0</v>
      </c>
      <c r="CM98" s="54">
        <f t="shared" si="34"/>
        <v>0</v>
      </c>
      <c r="CN98" s="54">
        <f t="shared" si="35"/>
        <v>0</v>
      </c>
      <c r="CO98" s="54">
        <f t="shared" si="36"/>
        <v>0</v>
      </c>
      <c r="CP98" s="54">
        <f t="shared" si="37"/>
        <v>0</v>
      </c>
      <c r="CQ98" s="54">
        <f t="shared" si="38"/>
        <v>0</v>
      </c>
      <c r="CR98" s="54">
        <f t="shared" si="39"/>
        <v>0</v>
      </c>
      <c r="CS98" s="54">
        <f t="shared" si="40"/>
        <v>0</v>
      </c>
      <c r="CT98" s="54">
        <f t="shared" si="41"/>
        <v>0</v>
      </c>
      <c r="CU98" s="54">
        <f t="shared" si="42"/>
        <v>0</v>
      </c>
      <c r="CV98" s="52">
        <f t="shared" si="43"/>
        <v>0</v>
      </c>
    </row>
    <row r="99" spans="1:100" ht="15.75" x14ac:dyDescent="0.25">
      <c r="A99" s="17"/>
      <c r="B99" s="17"/>
      <c r="C99" s="17"/>
      <c r="D99" s="17"/>
      <c r="E99" s="17"/>
      <c r="F99" s="33" t="s">
        <v>18</v>
      </c>
      <c r="G99" s="77"/>
      <c r="H99" s="77"/>
      <c r="I99" s="77"/>
      <c r="J99" s="77"/>
      <c r="K99" s="77"/>
      <c r="L99" s="77"/>
      <c r="M99" s="77"/>
      <c r="N99" s="77"/>
      <c r="O99" s="77"/>
      <c r="P99" s="77"/>
      <c r="Q99" s="77"/>
      <c r="R99" s="77"/>
      <c r="S99" s="11">
        <f t="shared" si="71"/>
        <v>0</v>
      </c>
      <c r="T99" s="8">
        <f t="shared" si="84"/>
        <v>0</v>
      </c>
      <c r="U99" s="13" t="s">
        <v>23</v>
      </c>
      <c r="V99" s="46">
        <f t="shared" si="18"/>
        <v>0</v>
      </c>
      <c r="W99" s="36">
        <v>0</v>
      </c>
      <c r="X99" s="36"/>
      <c r="Y99" s="36"/>
      <c r="Z99" s="36"/>
      <c r="AA99" s="36"/>
      <c r="AB99" s="36"/>
      <c r="AC99" s="36"/>
      <c r="AD99" s="36"/>
      <c r="AE99" s="36"/>
      <c r="AF99" s="36"/>
      <c r="AG99" s="36"/>
      <c r="AH99" s="36"/>
      <c r="BH99" s="12">
        <f t="shared" si="74"/>
        <v>0</v>
      </c>
      <c r="BI99" s="12">
        <f t="shared" si="75"/>
        <v>0</v>
      </c>
      <c r="BJ99" s="12">
        <f t="shared" si="76"/>
        <v>0</v>
      </c>
      <c r="BK99" s="12">
        <f t="shared" si="77"/>
        <v>0</v>
      </c>
      <c r="BL99" s="12">
        <f t="shared" si="78"/>
        <v>0</v>
      </c>
      <c r="BM99" s="12">
        <f t="shared" si="79"/>
        <v>0</v>
      </c>
      <c r="BN99" s="12">
        <f t="shared" si="80"/>
        <v>0</v>
      </c>
      <c r="BO99" s="12">
        <f t="shared" si="81"/>
        <v>0</v>
      </c>
      <c r="BP99" s="12">
        <f t="shared" si="82"/>
        <v>0</v>
      </c>
      <c r="BQ99" s="12">
        <f t="shared" si="83"/>
        <v>0</v>
      </c>
      <c r="BR99" s="12">
        <f t="shared" si="72"/>
        <v>0</v>
      </c>
      <c r="BS99" s="12">
        <f t="shared" si="73"/>
        <v>0</v>
      </c>
      <c r="BU99" s="11">
        <f t="shared" si="19"/>
        <v>0</v>
      </c>
      <c r="BV99" s="11">
        <f t="shared" si="20"/>
        <v>0</v>
      </c>
      <c r="BW99" s="11">
        <f t="shared" si="21"/>
        <v>0</v>
      </c>
      <c r="BX99" s="11">
        <f t="shared" si="22"/>
        <v>0</v>
      </c>
      <c r="BY99" s="11">
        <f t="shared" si="23"/>
        <v>0</v>
      </c>
      <c r="BZ99" s="11">
        <f t="shared" si="24"/>
        <v>0</v>
      </c>
      <c r="CA99" s="11">
        <f t="shared" si="25"/>
        <v>0</v>
      </c>
      <c r="CB99" s="11">
        <f t="shared" si="26"/>
        <v>0</v>
      </c>
      <c r="CC99" s="11">
        <f t="shared" si="27"/>
        <v>0</v>
      </c>
      <c r="CD99" s="11">
        <f t="shared" si="28"/>
        <v>0</v>
      </c>
      <c r="CE99" s="11">
        <f t="shared" si="29"/>
        <v>0</v>
      </c>
      <c r="CF99" s="11">
        <f t="shared" si="30"/>
        <v>0</v>
      </c>
      <c r="CG99" s="11"/>
      <c r="CH99" s="41">
        <v>1</v>
      </c>
      <c r="CJ99" s="54">
        <f t="shared" si="31"/>
        <v>0</v>
      </c>
      <c r="CK99" s="54">
        <f t="shared" si="32"/>
        <v>0</v>
      </c>
      <c r="CL99" s="54">
        <f t="shared" si="33"/>
        <v>0</v>
      </c>
      <c r="CM99" s="54">
        <f t="shared" si="34"/>
        <v>0</v>
      </c>
      <c r="CN99" s="54">
        <f t="shared" si="35"/>
        <v>0</v>
      </c>
      <c r="CO99" s="54">
        <f t="shared" si="36"/>
        <v>0</v>
      </c>
      <c r="CP99" s="54">
        <f t="shared" si="37"/>
        <v>0</v>
      </c>
      <c r="CQ99" s="54">
        <f t="shared" si="38"/>
        <v>0</v>
      </c>
      <c r="CR99" s="54">
        <f t="shared" si="39"/>
        <v>0</v>
      </c>
      <c r="CS99" s="54">
        <f t="shared" si="40"/>
        <v>0</v>
      </c>
      <c r="CT99" s="54">
        <f t="shared" si="41"/>
        <v>0</v>
      </c>
      <c r="CU99" s="54">
        <f t="shared" si="42"/>
        <v>0</v>
      </c>
      <c r="CV99" s="52">
        <f t="shared" si="43"/>
        <v>0</v>
      </c>
    </row>
    <row r="100" spans="1:100" ht="15.75" x14ac:dyDescent="0.25">
      <c r="A100" s="17"/>
      <c r="B100" s="17"/>
      <c r="C100" s="17"/>
      <c r="D100" s="17"/>
      <c r="E100" s="17"/>
      <c r="F100" s="33" t="s">
        <v>18</v>
      </c>
      <c r="G100" s="77"/>
      <c r="H100" s="77"/>
      <c r="I100" s="77"/>
      <c r="J100" s="77"/>
      <c r="K100" s="77"/>
      <c r="L100" s="77"/>
      <c r="M100" s="77"/>
      <c r="N100" s="77"/>
      <c r="O100" s="77"/>
      <c r="P100" s="77"/>
      <c r="Q100" s="77"/>
      <c r="R100" s="77"/>
      <c r="S100" s="11">
        <f t="shared" si="71"/>
        <v>0</v>
      </c>
      <c r="T100" s="8">
        <f t="shared" si="84"/>
        <v>0</v>
      </c>
      <c r="U100" s="13" t="s">
        <v>23</v>
      </c>
      <c r="V100" s="46">
        <f t="shared" si="18"/>
        <v>0</v>
      </c>
      <c r="W100" s="36">
        <v>0.93221626104802469</v>
      </c>
      <c r="X100" s="36">
        <v>0.93140481094686045</v>
      </c>
      <c r="Y100" s="36">
        <v>0.93277670609028762</v>
      </c>
      <c r="Z100" s="36">
        <v>0.92205035602025298</v>
      </c>
      <c r="AA100" s="36">
        <v>0.92978614135271775</v>
      </c>
      <c r="AB100" s="36">
        <v>0.92532228064725208</v>
      </c>
      <c r="AC100" s="36">
        <v>0.91533237018098568</v>
      </c>
      <c r="AD100" s="36">
        <v>0.91956386669152768</v>
      </c>
      <c r="AE100" s="36">
        <v>0.92446769592759337</v>
      </c>
      <c r="AF100" s="36">
        <v>0.96070225020141187</v>
      </c>
      <c r="AG100" s="36">
        <v>0.96070225020141187</v>
      </c>
      <c r="AH100" s="36">
        <v>0.96070225020141187</v>
      </c>
      <c r="BH100" s="12">
        <f t="shared" si="74"/>
        <v>0</v>
      </c>
      <c r="BI100" s="12">
        <f t="shared" si="75"/>
        <v>0</v>
      </c>
      <c r="BJ100" s="12">
        <f t="shared" si="76"/>
        <v>0</v>
      </c>
      <c r="BK100" s="12">
        <f t="shared" si="77"/>
        <v>0</v>
      </c>
      <c r="BL100" s="12">
        <f t="shared" si="78"/>
        <v>0</v>
      </c>
      <c r="BM100" s="12">
        <f t="shared" si="79"/>
        <v>0</v>
      </c>
      <c r="BN100" s="12">
        <f t="shared" si="80"/>
        <v>0</v>
      </c>
      <c r="BO100" s="12">
        <f t="shared" si="81"/>
        <v>0</v>
      </c>
      <c r="BP100" s="12">
        <f t="shared" si="82"/>
        <v>0</v>
      </c>
      <c r="BQ100" s="12">
        <f t="shared" si="83"/>
        <v>0</v>
      </c>
      <c r="BR100" s="12">
        <f t="shared" si="72"/>
        <v>0</v>
      </c>
      <c r="BS100" s="12">
        <f t="shared" si="73"/>
        <v>0</v>
      </c>
      <c r="BU100" s="11">
        <f t="shared" si="19"/>
        <v>0</v>
      </c>
      <c r="BV100" s="11">
        <f t="shared" si="20"/>
        <v>0</v>
      </c>
      <c r="BW100" s="11">
        <f t="shared" si="21"/>
        <v>0</v>
      </c>
      <c r="BX100" s="11">
        <f t="shared" si="22"/>
        <v>0</v>
      </c>
      <c r="BY100" s="11">
        <f t="shared" si="23"/>
        <v>0</v>
      </c>
      <c r="BZ100" s="11">
        <f t="shared" si="24"/>
        <v>0</v>
      </c>
      <c r="CA100" s="11">
        <f t="shared" si="25"/>
        <v>0</v>
      </c>
      <c r="CB100" s="11">
        <f t="shared" si="26"/>
        <v>0</v>
      </c>
      <c r="CC100" s="11">
        <f t="shared" si="27"/>
        <v>0</v>
      </c>
      <c r="CD100" s="11">
        <f t="shared" si="28"/>
        <v>0</v>
      </c>
      <c r="CE100" s="11">
        <f t="shared" si="29"/>
        <v>0</v>
      </c>
      <c r="CF100" s="11">
        <f t="shared" si="30"/>
        <v>0</v>
      </c>
      <c r="CG100" s="11"/>
      <c r="CH100" s="41">
        <v>1</v>
      </c>
      <c r="CJ100" s="54">
        <f t="shared" si="31"/>
        <v>0</v>
      </c>
      <c r="CK100" s="54">
        <f t="shared" si="32"/>
        <v>0</v>
      </c>
      <c r="CL100" s="54">
        <f t="shared" si="33"/>
        <v>0</v>
      </c>
      <c r="CM100" s="54">
        <f t="shared" si="34"/>
        <v>0</v>
      </c>
      <c r="CN100" s="54">
        <f t="shared" si="35"/>
        <v>0</v>
      </c>
      <c r="CO100" s="54">
        <f t="shared" si="36"/>
        <v>0</v>
      </c>
      <c r="CP100" s="54">
        <f t="shared" si="37"/>
        <v>0</v>
      </c>
      <c r="CQ100" s="54">
        <f t="shared" si="38"/>
        <v>0</v>
      </c>
      <c r="CR100" s="54">
        <f t="shared" si="39"/>
        <v>0</v>
      </c>
      <c r="CS100" s="54">
        <f t="shared" si="40"/>
        <v>0</v>
      </c>
      <c r="CT100" s="54">
        <f t="shared" si="41"/>
        <v>0</v>
      </c>
      <c r="CU100" s="54">
        <f t="shared" si="42"/>
        <v>0</v>
      </c>
      <c r="CV100" s="52">
        <f t="shared" si="43"/>
        <v>0</v>
      </c>
    </row>
    <row r="101" spans="1:100" ht="15.75" x14ac:dyDescent="0.25">
      <c r="A101" s="17"/>
      <c r="B101" s="17"/>
      <c r="C101" s="17"/>
      <c r="D101" s="17"/>
      <c r="E101" s="17"/>
      <c r="F101" s="33" t="s">
        <v>18</v>
      </c>
      <c r="G101" s="77"/>
      <c r="H101" s="77"/>
      <c r="I101" s="77"/>
      <c r="J101" s="77"/>
      <c r="K101" s="77"/>
      <c r="L101" s="77"/>
      <c r="M101" s="77"/>
      <c r="N101" s="77"/>
      <c r="O101" s="77"/>
      <c r="P101" s="77"/>
      <c r="Q101" s="77"/>
      <c r="R101" s="77"/>
      <c r="S101" s="11">
        <f t="shared" si="71"/>
        <v>0</v>
      </c>
      <c r="T101" s="8">
        <f t="shared" si="84"/>
        <v>0</v>
      </c>
      <c r="U101" s="13" t="s">
        <v>23</v>
      </c>
      <c r="V101" s="46">
        <f t="shared" si="18"/>
        <v>0</v>
      </c>
      <c r="W101" s="36">
        <v>0</v>
      </c>
      <c r="X101" s="36"/>
      <c r="Y101" s="36"/>
      <c r="Z101" s="36"/>
      <c r="AA101" s="36"/>
      <c r="AB101" s="36"/>
      <c r="AC101" s="36"/>
      <c r="AD101" s="36"/>
      <c r="AE101" s="36"/>
      <c r="AF101" s="36"/>
      <c r="AG101" s="36"/>
      <c r="AH101" s="36"/>
      <c r="BH101" s="12">
        <f t="shared" si="74"/>
        <v>0</v>
      </c>
      <c r="BI101" s="12">
        <f t="shared" si="75"/>
        <v>0</v>
      </c>
      <c r="BJ101" s="12">
        <f t="shared" si="76"/>
        <v>0</v>
      </c>
      <c r="BK101" s="12">
        <f t="shared" si="77"/>
        <v>0</v>
      </c>
      <c r="BL101" s="12">
        <f t="shared" si="78"/>
        <v>0</v>
      </c>
      <c r="BM101" s="12">
        <f t="shared" si="79"/>
        <v>0</v>
      </c>
      <c r="BN101" s="12">
        <f t="shared" si="80"/>
        <v>0</v>
      </c>
      <c r="BO101" s="12">
        <f t="shared" si="81"/>
        <v>0</v>
      </c>
      <c r="BP101" s="12">
        <f t="shared" si="82"/>
        <v>0</v>
      </c>
      <c r="BQ101" s="12">
        <f t="shared" si="83"/>
        <v>0</v>
      </c>
      <c r="BR101" s="12">
        <f t="shared" si="72"/>
        <v>0</v>
      </c>
      <c r="BS101" s="12">
        <f t="shared" si="73"/>
        <v>0</v>
      </c>
      <c r="BU101" s="11">
        <f t="shared" si="19"/>
        <v>0</v>
      </c>
      <c r="BV101" s="11">
        <f t="shared" si="20"/>
        <v>0</v>
      </c>
      <c r="BW101" s="11">
        <f t="shared" si="21"/>
        <v>0</v>
      </c>
      <c r="BX101" s="11">
        <f t="shared" si="22"/>
        <v>0</v>
      </c>
      <c r="BY101" s="11">
        <f t="shared" si="23"/>
        <v>0</v>
      </c>
      <c r="BZ101" s="11">
        <f t="shared" si="24"/>
        <v>0</v>
      </c>
      <c r="CA101" s="11">
        <f t="shared" si="25"/>
        <v>0</v>
      </c>
      <c r="CB101" s="11">
        <f t="shared" si="26"/>
        <v>0</v>
      </c>
      <c r="CC101" s="11">
        <f t="shared" si="27"/>
        <v>0</v>
      </c>
      <c r="CD101" s="11">
        <f t="shared" si="28"/>
        <v>0</v>
      </c>
      <c r="CE101" s="11">
        <f t="shared" si="29"/>
        <v>0</v>
      </c>
      <c r="CF101" s="11">
        <f t="shared" si="30"/>
        <v>0</v>
      </c>
      <c r="CG101" s="11"/>
      <c r="CH101" s="41">
        <v>1</v>
      </c>
      <c r="CJ101" s="54">
        <f t="shared" si="31"/>
        <v>0</v>
      </c>
      <c r="CK101" s="54">
        <f t="shared" si="32"/>
        <v>0</v>
      </c>
      <c r="CL101" s="54">
        <f t="shared" si="33"/>
        <v>0</v>
      </c>
      <c r="CM101" s="54">
        <f t="shared" si="34"/>
        <v>0</v>
      </c>
      <c r="CN101" s="54">
        <f t="shared" si="35"/>
        <v>0</v>
      </c>
      <c r="CO101" s="54">
        <f t="shared" si="36"/>
        <v>0</v>
      </c>
      <c r="CP101" s="54">
        <f t="shared" si="37"/>
        <v>0</v>
      </c>
      <c r="CQ101" s="54">
        <f t="shared" si="38"/>
        <v>0</v>
      </c>
      <c r="CR101" s="54">
        <f t="shared" si="39"/>
        <v>0</v>
      </c>
      <c r="CS101" s="54">
        <f t="shared" si="40"/>
        <v>0</v>
      </c>
      <c r="CT101" s="54">
        <f t="shared" si="41"/>
        <v>0</v>
      </c>
      <c r="CU101" s="54">
        <f t="shared" si="42"/>
        <v>0</v>
      </c>
      <c r="CV101" s="52">
        <f t="shared" si="43"/>
        <v>0</v>
      </c>
    </row>
    <row r="102" spans="1:100" ht="15.75" x14ac:dyDescent="0.25">
      <c r="A102" s="17"/>
      <c r="B102" s="17"/>
      <c r="C102" s="17"/>
      <c r="D102" s="17"/>
      <c r="E102" s="17"/>
      <c r="F102" s="33" t="s">
        <v>18</v>
      </c>
      <c r="G102" s="77"/>
      <c r="H102" s="77"/>
      <c r="I102" s="77"/>
      <c r="J102" s="77"/>
      <c r="K102" s="77"/>
      <c r="L102" s="77"/>
      <c r="M102" s="77"/>
      <c r="N102" s="77"/>
      <c r="O102" s="77"/>
      <c r="P102" s="77"/>
      <c r="Q102" s="77"/>
      <c r="R102" s="77"/>
      <c r="S102" s="11">
        <f t="shared" si="71"/>
        <v>0</v>
      </c>
      <c r="T102" s="8">
        <f t="shared" si="84"/>
        <v>0</v>
      </c>
      <c r="U102" s="13" t="s">
        <v>23</v>
      </c>
      <c r="V102" s="46">
        <f t="shared" si="18"/>
        <v>0</v>
      </c>
      <c r="W102" s="36">
        <v>0.37241284737961744</v>
      </c>
      <c r="X102" s="36">
        <v>0.37208867963517006</v>
      </c>
      <c r="Y102" s="36">
        <v>0.37263674063562463</v>
      </c>
      <c r="Z102" s="36">
        <v>0.36835165064257819</v>
      </c>
      <c r="AA102" s="36">
        <v>0.37144203423998695</v>
      </c>
      <c r="AB102" s="36">
        <v>0.36965875803564413</v>
      </c>
      <c r="AC102" s="36">
        <v>0.36566786970075593</v>
      </c>
      <c r="AD102" s="36">
        <v>0.36735831829086757</v>
      </c>
      <c r="AE102" s="36">
        <v>0.36931735836040419</v>
      </c>
      <c r="AF102" s="36">
        <v>0.38379276937230106</v>
      </c>
      <c r="AG102" s="36">
        <v>0.38379276937230106</v>
      </c>
      <c r="AH102" s="36">
        <v>0.38379276937230106</v>
      </c>
      <c r="BH102" s="12">
        <f t="shared" si="74"/>
        <v>0</v>
      </c>
      <c r="BI102" s="12">
        <f t="shared" si="75"/>
        <v>0</v>
      </c>
      <c r="BJ102" s="12">
        <f t="shared" si="76"/>
        <v>0</v>
      </c>
      <c r="BK102" s="12">
        <f t="shared" si="77"/>
        <v>0</v>
      </c>
      <c r="BL102" s="12">
        <f t="shared" si="78"/>
        <v>0</v>
      </c>
      <c r="BM102" s="12">
        <f t="shared" si="79"/>
        <v>0</v>
      </c>
      <c r="BN102" s="12">
        <f t="shared" si="80"/>
        <v>0</v>
      </c>
      <c r="BO102" s="12">
        <f t="shared" si="81"/>
        <v>0</v>
      </c>
      <c r="BP102" s="12">
        <f t="shared" si="82"/>
        <v>0</v>
      </c>
      <c r="BQ102" s="12">
        <f t="shared" si="83"/>
        <v>0</v>
      </c>
      <c r="BR102" s="12">
        <f t="shared" si="72"/>
        <v>0</v>
      </c>
      <c r="BS102" s="12">
        <f t="shared" si="73"/>
        <v>0</v>
      </c>
      <c r="BU102" s="11">
        <f t="shared" si="19"/>
        <v>0</v>
      </c>
      <c r="BV102" s="11">
        <f t="shared" si="20"/>
        <v>0</v>
      </c>
      <c r="BW102" s="11">
        <f t="shared" si="21"/>
        <v>0</v>
      </c>
      <c r="BX102" s="11">
        <f t="shared" si="22"/>
        <v>0</v>
      </c>
      <c r="BY102" s="11">
        <f t="shared" si="23"/>
        <v>0</v>
      </c>
      <c r="BZ102" s="11">
        <f t="shared" si="24"/>
        <v>0</v>
      </c>
      <c r="CA102" s="11">
        <f t="shared" si="25"/>
        <v>0</v>
      </c>
      <c r="CB102" s="11">
        <f t="shared" si="26"/>
        <v>0</v>
      </c>
      <c r="CC102" s="11">
        <f t="shared" si="27"/>
        <v>0</v>
      </c>
      <c r="CD102" s="11">
        <f t="shared" si="28"/>
        <v>0</v>
      </c>
      <c r="CE102" s="11">
        <f t="shared" si="29"/>
        <v>0</v>
      </c>
      <c r="CF102" s="11">
        <f t="shared" si="30"/>
        <v>0</v>
      </c>
      <c r="CG102" s="11"/>
      <c r="CH102" s="41">
        <v>1</v>
      </c>
      <c r="CJ102" s="54">
        <f t="shared" si="31"/>
        <v>0</v>
      </c>
      <c r="CK102" s="54">
        <f t="shared" si="32"/>
        <v>0</v>
      </c>
      <c r="CL102" s="54">
        <f t="shared" si="33"/>
        <v>0</v>
      </c>
      <c r="CM102" s="54">
        <f t="shared" si="34"/>
        <v>0</v>
      </c>
      <c r="CN102" s="54">
        <f t="shared" si="35"/>
        <v>0</v>
      </c>
      <c r="CO102" s="54">
        <f t="shared" si="36"/>
        <v>0</v>
      </c>
      <c r="CP102" s="54">
        <f t="shared" si="37"/>
        <v>0</v>
      </c>
      <c r="CQ102" s="54">
        <f t="shared" si="38"/>
        <v>0</v>
      </c>
      <c r="CR102" s="54">
        <f t="shared" si="39"/>
        <v>0</v>
      </c>
      <c r="CS102" s="54">
        <f t="shared" si="40"/>
        <v>0</v>
      </c>
      <c r="CT102" s="54">
        <f t="shared" si="41"/>
        <v>0</v>
      </c>
      <c r="CU102" s="54">
        <f t="shared" si="42"/>
        <v>0</v>
      </c>
      <c r="CV102" s="52">
        <f t="shared" si="43"/>
        <v>0</v>
      </c>
    </row>
    <row r="103" spans="1:100" ht="15.75" x14ac:dyDescent="0.25">
      <c r="A103" s="17"/>
      <c r="B103" s="17"/>
      <c r="C103" s="17"/>
      <c r="D103" s="17"/>
      <c r="E103" s="17"/>
      <c r="F103" s="33" t="s">
        <v>18</v>
      </c>
      <c r="G103" s="77"/>
      <c r="H103" s="77"/>
      <c r="I103" s="77"/>
      <c r="J103" s="77"/>
      <c r="K103" s="77"/>
      <c r="L103" s="77"/>
      <c r="M103" s="77"/>
      <c r="N103" s="77"/>
      <c r="O103" s="77"/>
      <c r="P103" s="77"/>
      <c r="Q103" s="77"/>
      <c r="R103" s="77"/>
      <c r="S103" s="11">
        <f t="shared" si="71"/>
        <v>0</v>
      </c>
      <c r="T103" s="8">
        <f t="shared" si="84"/>
        <v>0</v>
      </c>
      <c r="U103" s="13" t="s">
        <v>23</v>
      </c>
      <c r="V103" s="46">
        <f t="shared" si="18"/>
        <v>0</v>
      </c>
      <c r="W103" s="36">
        <v>0.58585455084599602</v>
      </c>
      <c r="X103" s="36">
        <v>0.58534459220826829</v>
      </c>
      <c r="Y103" s="36">
        <v>0.58620676448163844</v>
      </c>
      <c r="Z103" s="36">
        <v>0.57946575248144838</v>
      </c>
      <c r="AA103" s="36">
        <v>0.58432733367323864</v>
      </c>
      <c r="AB103" s="36">
        <v>0.58152200489073114</v>
      </c>
      <c r="AC103" s="36">
        <v>0.57524381092034649</v>
      </c>
      <c r="AD103" s="36">
        <v>0.57790310961655555</v>
      </c>
      <c r="AE103" s="36">
        <v>0.5809849381520189</v>
      </c>
      <c r="AF103" s="36">
        <v>0.60375666978361209</v>
      </c>
      <c r="AG103" s="36">
        <v>0.60375666978361209</v>
      </c>
      <c r="AH103" s="36">
        <v>0.60375666978361198</v>
      </c>
      <c r="BH103" s="12">
        <f t="shared" si="74"/>
        <v>0</v>
      </c>
      <c r="BI103" s="12">
        <f t="shared" si="75"/>
        <v>0</v>
      </c>
      <c r="BJ103" s="12">
        <f t="shared" si="76"/>
        <v>0</v>
      </c>
      <c r="BK103" s="12">
        <f t="shared" si="77"/>
        <v>0</v>
      </c>
      <c r="BL103" s="12">
        <f t="shared" si="78"/>
        <v>0</v>
      </c>
      <c r="BM103" s="12">
        <f t="shared" si="79"/>
        <v>0</v>
      </c>
      <c r="BN103" s="12">
        <f t="shared" si="80"/>
        <v>0</v>
      </c>
      <c r="BO103" s="12">
        <f t="shared" si="81"/>
        <v>0</v>
      </c>
      <c r="BP103" s="12">
        <f t="shared" si="82"/>
        <v>0</v>
      </c>
      <c r="BQ103" s="12">
        <f t="shared" si="83"/>
        <v>0</v>
      </c>
      <c r="BR103" s="12">
        <f t="shared" si="72"/>
        <v>0</v>
      </c>
      <c r="BS103" s="12">
        <f t="shared" si="73"/>
        <v>0</v>
      </c>
      <c r="BU103" s="11">
        <f t="shared" si="19"/>
        <v>0</v>
      </c>
      <c r="BV103" s="11">
        <f t="shared" si="20"/>
        <v>0</v>
      </c>
      <c r="BW103" s="11">
        <f t="shared" si="21"/>
        <v>0</v>
      </c>
      <c r="BX103" s="11">
        <f t="shared" si="22"/>
        <v>0</v>
      </c>
      <c r="BY103" s="11">
        <f t="shared" si="23"/>
        <v>0</v>
      </c>
      <c r="BZ103" s="11">
        <f t="shared" si="24"/>
        <v>0</v>
      </c>
      <c r="CA103" s="11">
        <f t="shared" si="25"/>
        <v>0</v>
      </c>
      <c r="CB103" s="11">
        <f t="shared" si="26"/>
        <v>0</v>
      </c>
      <c r="CC103" s="11">
        <f t="shared" si="27"/>
        <v>0</v>
      </c>
      <c r="CD103" s="11">
        <f t="shared" si="28"/>
        <v>0</v>
      </c>
      <c r="CE103" s="11">
        <f t="shared" si="29"/>
        <v>0</v>
      </c>
      <c r="CF103" s="11">
        <f t="shared" si="30"/>
        <v>0</v>
      </c>
      <c r="CG103" s="11"/>
      <c r="CH103" s="41">
        <v>1</v>
      </c>
      <c r="CJ103" s="54">
        <f t="shared" si="31"/>
        <v>0</v>
      </c>
      <c r="CK103" s="54">
        <f t="shared" si="32"/>
        <v>0</v>
      </c>
      <c r="CL103" s="54">
        <f t="shared" si="33"/>
        <v>0</v>
      </c>
      <c r="CM103" s="54">
        <f t="shared" si="34"/>
        <v>0</v>
      </c>
      <c r="CN103" s="54">
        <f t="shared" si="35"/>
        <v>0</v>
      </c>
      <c r="CO103" s="54">
        <f t="shared" si="36"/>
        <v>0</v>
      </c>
      <c r="CP103" s="54">
        <f t="shared" si="37"/>
        <v>0</v>
      </c>
      <c r="CQ103" s="54">
        <f t="shared" si="38"/>
        <v>0</v>
      </c>
      <c r="CR103" s="54">
        <f t="shared" si="39"/>
        <v>0</v>
      </c>
      <c r="CS103" s="54">
        <f t="shared" si="40"/>
        <v>0</v>
      </c>
      <c r="CT103" s="54">
        <f t="shared" si="41"/>
        <v>0</v>
      </c>
      <c r="CU103" s="54">
        <f t="shared" si="42"/>
        <v>0</v>
      </c>
      <c r="CV103" s="52">
        <f t="shared" si="43"/>
        <v>0</v>
      </c>
    </row>
    <row r="104" spans="1:100" ht="15.75" x14ac:dyDescent="0.25">
      <c r="A104" s="17"/>
      <c r="B104" s="17"/>
      <c r="C104" s="17"/>
      <c r="D104" s="17"/>
      <c r="E104" s="17"/>
      <c r="F104" s="33" t="s">
        <v>18</v>
      </c>
      <c r="G104" s="77"/>
      <c r="H104" s="77"/>
      <c r="I104" s="77"/>
      <c r="J104" s="77"/>
      <c r="K104" s="77"/>
      <c r="L104" s="77"/>
      <c r="M104" s="77"/>
      <c r="N104" s="77"/>
      <c r="O104" s="77"/>
      <c r="P104" s="77"/>
      <c r="Q104" s="77"/>
      <c r="R104" s="77"/>
      <c r="S104" s="11">
        <f t="shared" si="71"/>
        <v>0</v>
      </c>
      <c r="T104" s="8">
        <f t="shared" si="84"/>
        <v>0</v>
      </c>
      <c r="U104" s="13" t="s">
        <v>23</v>
      </c>
      <c r="V104" s="46">
        <f t="shared" si="18"/>
        <v>0</v>
      </c>
      <c r="W104" s="36">
        <v>0.5387848825364896</v>
      </c>
      <c r="X104" s="36">
        <v>0.53831589581558792</v>
      </c>
      <c r="Y104" s="36">
        <v>0.53910879805789891</v>
      </c>
      <c r="Z104" s="36">
        <v>0.53290938328258519</v>
      </c>
      <c r="AA104" s="36">
        <v>0.53738036750141194</v>
      </c>
      <c r="AB104" s="36">
        <v>0.53480042895458846</v>
      </c>
      <c r="AC104" s="36">
        <v>0.5290266477387725</v>
      </c>
      <c r="AD104" s="36">
        <v>0.53147228878329011</v>
      </c>
      <c r="AE104" s="36">
        <v>0.53430651209533819</v>
      </c>
      <c r="AF104" s="36">
        <v>0.55524868064991106</v>
      </c>
      <c r="AG104" s="36">
        <v>0.55524868064991095</v>
      </c>
      <c r="AH104" s="36">
        <v>0.55524868064991095</v>
      </c>
      <c r="BH104" s="12">
        <f t="shared" si="74"/>
        <v>0</v>
      </c>
      <c r="BI104" s="12">
        <f t="shared" si="75"/>
        <v>0</v>
      </c>
      <c r="BJ104" s="12">
        <f t="shared" si="76"/>
        <v>0</v>
      </c>
      <c r="BK104" s="12">
        <f t="shared" si="77"/>
        <v>0</v>
      </c>
      <c r="BL104" s="12">
        <f t="shared" si="78"/>
        <v>0</v>
      </c>
      <c r="BM104" s="12">
        <f t="shared" si="79"/>
        <v>0</v>
      </c>
      <c r="BN104" s="12">
        <f t="shared" si="80"/>
        <v>0</v>
      </c>
      <c r="BO104" s="12">
        <f t="shared" si="81"/>
        <v>0</v>
      </c>
      <c r="BP104" s="12">
        <f t="shared" si="82"/>
        <v>0</v>
      </c>
      <c r="BQ104" s="12">
        <f t="shared" si="83"/>
        <v>0</v>
      </c>
      <c r="BR104" s="12">
        <f t="shared" si="72"/>
        <v>0</v>
      </c>
      <c r="BS104" s="12">
        <f t="shared" si="73"/>
        <v>0</v>
      </c>
      <c r="BU104" s="11">
        <f t="shared" si="19"/>
        <v>0</v>
      </c>
      <c r="BV104" s="11">
        <f t="shared" si="20"/>
        <v>0</v>
      </c>
      <c r="BW104" s="11">
        <f t="shared" si="21"/>
        <v>0</v>
      </c>
      <c r="BX104" s="11">
        <f t="shared" si="22"/>
        <v>0</v>
      </c>
      <c r="BY104" s="11">
        <f t="shared" si="23"/>
        <v>0</v>
      </c>
      <c r="BZ104" s="11">
        <f t="shared" si="24"/>
        <v>0</v>
      </c>
      <c r="CA104" s="11">
        <f t="shared" si="25"/>
        <v>0</v>
      </c>
      <c r="CB104" s="11">
        <f t="shared" si="26"/>
        <v>0</v>
      </c>
      <c r="CC104" s="11">
        <f t="shared" si="27"/>
        <v>0</v>
      </c>
      <c r="CD104" s="11">
        <f t="shared" si="28"/>
        <v>0</v>
      </c>
      <c r="CE104" s="11">
        <f t="shared" si="29"/>
        <v>0</v>
      </c>
      <c r="CF104" s="11">
        <f t="shared" si="30"/>
        <v>0</v>
      </c>
      <c r="CG104" s="11"/>
      <c r="CH104" s="41">
        <v>1</v>
      </c>
      <c r="CJ104" s="54">
        <f t="shared" si="31"/>
        <v>0</v>
      </c>
      <c r="CK104" s="54">
        <f t="shared" si="32"/>
        <v>0</v>
      </c>
      <c r="CL104" s="54">
        <f t="shared" si="33"/>
        <v>0</v>
      </c>
      <c r="CM104" s="54">
        <f t="shared" si="34"/>
        <v>0</v>
      </c>
      <c r="CN104" s="54">
        <f t="shared" si="35"/>
        <v>0</v>
      </c>
      <c r="CO104" s="54">
        <f t="shared" si="36"/>
        <v>0</v>
      </c>
      <c r="CP104" s="54">
        <f t="shared" si="37"/>
        <v>0</v>
      </c>
      <c r="CQ104" s="54">
        <f t="shared" si="38"/>
        <v>0</v>
      </c>
      <c r="CR104" s="54">
        <f t="shared" si="39"/>
        <v>0</v>
      </c>
      <c r="CS104" s="54">
        <f t="shared" si="40"/>
        <v>0</v>
      </c>
      <c r="CT104" s="54">
        <f t="shared" si="41"/>
        <v>0</v>
      </c>
      <c r="CU104" s="54">
        <f t="shared" si="42"/>
        <v>0</v>
      </c>
      <c r="CV104" s="52">
        <f t="shared" si="43"/>
        <v>0</v>
      </c>
    </row>
    <row r="105" spans="1:100" ht="15.75" x14ac:dyDescent="0.25">
      <c r="A105" s="17"/>
      <c r="B105" s="17"/>
      <c r="C105" s="17"/>
      <c r="D105" s="17"/>
      <c r="E105" s="17"/>
      <c r="F105" s="33" t="s">
        <v>18</v>
      </c>
      <c r="G105" s="77"/>
      <c r="H105" s="77"/>
      <c r="I105" s="77"/>
      <c r="J105" s="77"/>
      <c r="K105" s="77"/>
      <c r="L105" s="77"/>
      <c r="M105" s="77"/>
      <c r="N105" s="77"/>
      <c r="O105" s="77"/>
      <c r="P105" s="77"/>
      <c r="Q105" s="77"/>
      <c r="R105" s="77"/>
      <c r="S105" s="11">
        <f t="shared" si="71"/>
        <v>0</v>
      </c>
      <c r="T105" s="8">
        <f t="shared" si="84"/>
        <v>0</v>
      </c>
      <c r="U105" s="13" t="s">
        <v>23</v>
      </c>
      <c r="V105" s="46">
        <f t="shared" si="18"/>
        <v>0</v>
      </c>
      <c r="W105" s="36">
        <v>0.697459990799983</v>
      </c>
      <c r="X105" s="36">
        <v>0.69685288491292585</v>
      </c>
      <c r="Y105" s="36">
        <v>0.69787930122220321</v>
      </c>
      <c r="Z105" s="36">
        <v>0.68985412473284102</v>
      </c>
      <c r="AA105" s="36">
        <v>0.69564183836995974</v>
      </c>
      <c r="AB105" s="36">
        <v>0.69230209374561014</v>
      </c>
      <c r="AC105" s="36">
        <v>0.68482790223766365</v>
      </c>
      <c r="AD105" s="36">
        <v>0.68799379800737981</v>
      </c>
      <c r="AE105" s="36">
        <v>0.69166271565748194</v>
      </c>
      <c r="AF105" s="36">
        <v>0.71877246791823635</v>
      </c>
      <c r="AG105" s="36">
        <v>0.71877246791823635</v>
      </c>
      <c r="AH105" s="36">
        <v>0.71877246791823635</v>
      </c>
      <c r="BH105" s="12">
        <f t="shared" si="74"/>
        <v>0</v>
      </c>
      <c r="BI105" s="12">
        <f t="shared" si="75"/>
        <v>0</v>
      </c>
      <c r="BJ105" s="12">
        <f t="shared" si="76"/>
        <v>0</v>
      </c>
      <c r="BK105" s="12">
        <f t="shared" si="77"/>
        <v>0</v>
      </c>
      <c r="BL105" s="12">
        <f t="shared" si="78"/>
        <v>0</v>
      </c>
      <c r="BM105" s="12">
        <f t="shared" si="79"/>
        <v>0</v>
      </c>
      <c r="BN105" s="12">
        <f t="shared" si="80"/>
        <v>0</v>
      </c>
      <c r="BO105" s="12">
        <f t="shared" si="81"/>
        <v>0</v>
      </c>
      <c r="BP105" s="12">
        <f t="shared" si="82"/>
        <v>0</v>
      </c>
      <c r="BQ105" s="12">
        <f t="shared" si="83"/>
        <v>0</v>
      </c>
      <c r="BR105" s="12">
        <f t="shared" si="72"/>
        <v>0</v>
      </c>
      <c r="BS105" s="12">
        <f t="shared" si="73"/>
        <v>0</v>
      </c>
      <c r="BU105" s="11">
        <f t="shared" si="19"/>
        <v>0</v>
      </c>
      <c r="BV105" s="11">
        <f t="shared" si="20"/>
        <v>0</v>
      </c>
      <c r="BW105" s="11">
        <f t="shared" si="21"/>
        <v>0</v>
      </c>
      <c r="BX105" s="11">
        <f t="shared" si="22"/>
        <v>0</v>
      </c>
      <c r="BY105" s="11">
        <f t="shared" si="23"/>
        <v>0</v>
      </c>
      <c r="BZ105" s="11">
        <f t="shared" si="24"/>
        <v>0</v>
      </c>
      <c r="CA105" s="11">
        <f t="shared" si="25"/>
        <v>0</v>
      </c>
      <c r="CB105" s="11">
        <f t="shared" si="26"/>
        <v>0</v>
      </c>
      <c r="CC105" s="11">
        <f t="shared" si="27"/>
        <v>0</v>
      </c>
      <c r="CD105" s="11">
        <f t="shared" si="28"/>
        <v>0</v>
      </c>
      <c r="CE105" s="11">
        <f t="shared" si="29"/>
        <v>0</v>
      </c>
      <c r="CF105" s="11">
        <f t="shared" si="30"/>
        <v>0</v>
      </c>
      <c r="CG105" s="11"/>
      <c r="CH105" s="41">
        <v>1</v>
      </c>
      <c r="CJ105" s="54">
        <f t="shared" si="31"/>
        <v>0</v>
      </c>
      <c r="CK105" s="54">
        <f t="shared" si="32"/>
        <v>0</v>
      </c>
      <c r="CL105" s="54">
        <f t="shared" si="33"/>
        <v>0</v>
      </c>
      <c r="CM105" s="54">
        <f t="shared" si="34"/>
        <v>0</v>
      </c>
      <c r="CN105" s="54">
        <f t="shared" si="35"/>
        <v>0</v>
      </c>
      <c r="CO105" s="54">
        <f t="shared" si="36"/>
        <v>0</v>
      </c>
      <c r="CP105" s="54">
        <f t="shared" si="37"/>
        <v>0</v>
      </c>
      <c r="CQ105" s="54">
        <f t="shared" si="38"/>
        <v>0</v>
      </c>
      <c r="CR105" s="54">
        <f t="shared" si="39"/>
        <v>0</v>
      </c>
      <c r="CS105" s="54">
        <f t="shared" si="40"/>
        <v>0</v>
      </c>
      <c r="CT105" s="54">
        <f t="shared" si="41"/>
        <v>0</v>
      </c>
      <c r="CU105" s="54">
        <f t="shared" si="42"/>
        <v>0</v>
      </c>
      <c r="CV105" s="52">
        <f t="shared" si="43"/>
        <v>0</v>
      </c>
    </row>
    <row r="106" spans="1:100" ht="15.75" x14ac:dyDescent="0.25">
      <c r="A106" s="17"/>
      <c r="B106" s="17"/>
      <c r="C106" s="17"/>
      <c r="D106" s="17"/>
      <c r="E106" s="17"/>
      <c r="F106" s="33" t="s">
        <v>18</v>
      </c>
      <c r="G106" s="77"/>
      <c r="H106" s="77"/>
      <c r="I106" s="77"/>
      <c r="J106" s="77"/>
      <c r="K106" s="77"/>
      <c r="L106" s="77"/>
      <c r="M106" s="77"/>
      <c r="N106" s="77"/>
      <c r="O106" s="77"/>
      <c r="P106" s="77"/>
      <c r="Q106" s="77"/>
      <c r="R106" s="77"/>
      <c r="S106" s="11">
        <f t="shared" ref="S106:S137" si="85">SUM(G106:R106)</f>
        <v>0</v>
      </c>
      <c r="T106" s="8">
        <f t="shared" si="84"/>
        <v>0</v>
      </c>
      <c r="U106" s="13" t="s">
        <v>23</v>
      </c>
      <c r="V106" s="46">
        <f t="shared" si="18"/>
        <v>0</v>
      </c>
      <c r="W106" s="36">
        <v>0.58141401609981602</v>
      </c>
      <c r="X106" s="36">
        <v>0.58090792273726077</v>
      </c>
      <c r="Y106" s="36">
        <v>0.58176356010204033</v>
      </c>
      <c r="Z106" s="36">
        <v>0.57507364217966894</v>
      </c>
      <c r="AA106" s="36">
        <v>0.57989837460042482</v>
      </c>
      <c r="AB106" s="36">
        <v>0.57711430904769867</v>
      </c>
      <c r="AC106" s="36">
        <v>0.57088370118623566</v>
      </c>
      <c r="AD106" s="36">
        <v>0.57352284350020977</v>
      </c>
      <c r="AE106" s="36">
        <v>0.57658131305233218</v>
      </c>
      <c r="AF106" s="36">
        <v>0.59918044439364015</v>
      </c>
      <c r="AG106" s="36">
        <v>0.59918044439364015</v>
      </c>
      <c r="AH106" s="36">
        <v>0.59918044439364015</v>
      </c>
      <c r="BH106" s="12">
        <f t="shared" si="74"/>
        <v>0</v>
      </c>
      <c r="BI106" s="12">
        <f t="shared" si="75"/>
        <v>0</v>
      </c>
      <c r="BJ106" s="12">
        <f t="shared" si="76"/>
        <v>0</v>
      </c>
      <c r="BK106" s="12">
        <f t="shared" si="77"/>
        <v>0</v>
      </c>
      <c r="BL106" s="12">
        <f t="shared" si="78"/>
        <v>0</v>
      </c>
      <c r="BM106" s="12">
        <f t="shared" si="79"/>
        <v>0</v>
      </c>
      <c r="BN106" s="12">
        <f t="shared" si="80"/>
        <v>0</v>
      </c>
      <c r="BO106" s="12">
        <f t="shared" si="81"/>
        <v>0</v>
      </c>
      <c r="BP106" s="12">
        <f t="shared" si="82"/>
        <v>0</v>
      </c>
      <c r="BQ106" s="12">
        <f t="shared" si="83"/>
        <v>0</v>
      </c>
      <c r="BR106" s="12">
        <f t="shared" ref="BR106:BR137" si="86">(AG106*Q106)</f>
        <v>0</v>
      </c>
      <c r="BS106" s="12">
        <f t="shared" ref="BS106:BS137" si="87">(AH106*R106)</f>
        <v>0</v>
      </c>
      <c r="BU106" s="11">
        <f t="shared" si="19"/>
        <v>0</v>
      </c>
      <c r="BV106" s="11">
        <f t="shared" si="20"/>
        <v>0</v>
      </c>
      <c r="BW106" s="11">
        <f t="shared" si="21"/>
        <v>0</v>
      </c>
      <c r="BX106" s="11">
        <f t="shared" si="22"/>
        <v>0</v>
      </c>
      <c r="BY106" s="11">
        <f t="shared" si="23"/>
        <v>0</v>
      </c>
      <c r="BZ106" s="11">
        <f t="shared" si="24"/>
        <v>0</v>
      </c>
      <c r="CA106" s="11">
        <f t="shared" si="25"/>
        <v>0</v>
      </c>
      <c r="CB106" s="11">
        <f t="shared" si="26"/>
        <v>0</v>
      </c>
      <c r="CC106" s="11">
        <f t="shared" si="27"/>
        <v>0</v>
      </c>
      <c r="CD106" s="11">
        <f t="shared" si="28"/>
        <v>0</v>
      </c>
      <c r="CE106" s="11">
        <f t="shared" si="29"/>
        <v>0</v>
      </c>
      <c r="CF106" s="11">
        <f t="shared" si="30"/>
        <v>0</v>
      </c>
      <c r="CG106" s="11"/>
      <c r="CH106" s="41">
        <v>1</v>
      </c>
      <c r="CJ106" s="54">
        <f t="shared" si="31"/>
        <v>0</v>
      </c>
      <c r="CK106" s="54">
        <f t="shared" si="32"/>
        <v>0</v>
      </c>
      <c r="CL106" s="54">
        <f t="shared" si="33"/>
        <v>0</v>
      </c>
      <c r="CM106" s="54">
        <f t="shared" si="34"/>
        <v>0</v>
      </c>
      <c r="CN106" s="54">
        <f t="shared" si="35"/>
        <v>0</v>
      </c>
      <c r="CO106" s="54">
        <f t="shared" si="36"/>
        <v>0</v>
      </c>
      <c r="CP106" s="54">
        <f t="shared" si="37"/>
        <v>0</v>
      </c>
      <c r="CQ106" s="54">
        <f t="shared" si="38"/>
        <v>0</v>
      </c>
      <c r="CR106" s="54">
        <f t="shared" si="39"/>
        <v>0</v>
      </c>
      <c r="CS106" s="54">
        <f t="shared" si="40"/>
        <v>0</v>
      </c>
      <c r="CT106" s="54">
        <f t="shared" si="41"/>
        <v>0</v>
      </c>
      <c r="CU106" s="54">
        <f t="shared" si="42"/>
        <v>0</v>
      </c>
      <c r="CV106" s="52">
        <f t="shared" si="43"/>
        <v>0</v>
      </c>
    </row>
    <row r="107" spans="1:100" ht="15.75" x14ac:dyDescent="0.25">
      <c r="A107" s="17"/>
      <c r="B107" s="17"/>
      <c r="C107" s="17"/>
      <c r="D107" s="17"/>
      <c r="E107" s="17"/>
      <c r="F107" s="33" t="s">
        <v>18</v>
      </c>
      <c r="G107" s="77"/>
      <c r="H107" s="77"/>
      <c r="I107" s="77"/>
      <c r="J107" s="77"/>
      <c r="K107" s="77"/>
      <c r="L107" s="77"/>
      <c r="M107" s="77"/>
      <c r="N107" s="77"/>
      <c r="O107" s="77"/>
      <c r="P107" s="77"/>
      <c r="Q107" s="77"/>
      <c r="R107" s="77"/>
      <c r="S107" s="11">
        <f t="shared" si="85"/>
        <v>0</v>
      </c>
      <c r="T107" s="8">
        <f t="shared" si="84"/>
        <v>0</v>
      </c>
      <c r="U107" s="13" t="s">
        <v>23</v>
      </c>
      <c r="V107" s="46">
        <f t="shared" ref="V107:V170" si="88">CV107</f>
        <v>0</v>
      </c>
      <c r="W107" s="36">
        <v>1.5118540632493687</v>
      </c>
      <c r="X107" s="36">
        <v>1.5105380658957184</v>
      </c>
      <c r="Y107" s="36">
        <v>1.5127629844404893</v>
      </c>
      <c r="Z107" s="36">
        <v>1.4953671540792104</v>
      </c>
      <c r="AA107" s="36">
        <v>1.507912932324017</v>
      </c>
      <c r="AB107" s="36">
        <v>1.5006735113577381</v>
      </c>
      <c r="AC107" s="36">
        <v>1.4844720274735776</v>
      </c>
      <c r="AD107" s="36">
        <v>1.4913346037451995</v>
      </c>
      <c r="AE107" s="36">
        <v>1.4992875589400512</v>
      </c>
      <c r="AF107" s="36">
        <v>1.5580522044390637</v>
      </c>
      <c r="AG107" s="36">
        <v>1.5580522044390637</v>
      </c>
      <c r="AH107" s="36">
        <v>1.5580522044390632</v>
      </c>
      <c r="BH107" s="12">
        <f t="shared" si="74"/>
        <v>0</v>
      </c>
      <c r="BI107" s="12">
        <f t="shared" si="75"/>
        <v>0</v>
      </c>
      <c r="BJ107" s="12">
        <f t="shared" si="76"/>
        <v>0</v>
      </c>
      <c r="BK107" s="12">
        <f t="shared" si="77"/>
        <v>0</v>
      </c>
      <c r="BL107" s="12">
        <f t="shared" si="78"/>
        <v>0</v>
      </c>
      <c r="BM107" s="12">
        <f t="shared" si="79"/>
        <v>0</v>
      </c>
      <c r="BN107" s="12">
        <f t="shared" si="80"/>
        <v>0</v>
      </c>
      <c r="BO107" s="12">
        <f t="shared" si="81"/>
        <v>0</v>
      </c>
      <c r="BP107" s="12">
        <f t="shared" si="82"/>
        <v>0</v>
      </c>
      <c r="BQ107" s="12">
        <f t="shared" si="83"/>
        <v>0</v>
      </c>
      <c r="BR107" s="12">
        <f t="shared" si="86"/>
        <v>0</v>
      </c>
      <c r="BS107" s="12">
        <f t="shared" si="87"/>
        <v>0</v>
      </c>
      <c r="BU107" s="11">
        <f t="shared" ref="BU107:BU170" si="89">BH107*(1-(AI107+AU107))</f>
        <v>0</v>
      </c>
      <c r="BV107" s="11">
        <f t="shared" ref="BV107:BV170" si="90">BI107*(1-(AJ107+AV107))</f>
        <v>0</v>
      </c>
      <c r="BW107" s="11">
        <f t="shared" ref="BW107:BW170" si="91">BJ107*(1-(AK107+AW107))</f>
        <v>0</v>
      </c>
      <c r="BX107" s="11">
        <f t="shared" ref="BX107:BX170" si="92">BK107*(1-(AL107+AX107))</f>
        <v>0</v>
      </c>
      <c r="BY107" s="11">
        <f t="shared" ref="BY107:BY170" si="93">BL107*(1-(AM107+AY107))</f>
        <v>0</v>
      </c>
      <c r="BZ107" s="11">
        <f t="shared" ref="BZ107:BZ170" si="94">BM107*(1-(AN107+AZ107))</f>
        <v>0</v>
      </c>
      <c r="CA107" s="11">
        <f t="shared" ref="CA107:CA170" si="95">BN107*(1-(AO107+BA107))</f>
        <v>0</v>
      </c>
      <c r="CB107" s="11">
        <f t="shared" ref="CB107:CB170" si="96">BO107*(1-(AP107+BB107))</f>
        <v>0</v>
      </c>
      <c r="CC107" s="11">
        <f t="shared" ref="CC107:CC170" si="97">BP107*(1-(AQ107+BC107))</f>
        <v>0</v>
      </c>
      <c r="CD107" s="11">
        <f t="shared" ref="CD107:CD170" si="98">BQ107*(1-(AR107+BD107))</f>
        <v>0</v>
      </c>
      <c r="CE107" s="11">
        <f t="shared" ref="CE107:CE170" si="99">BR107*(1-(AS107+BE107))</f>
        <v>0</v>
      </c>
      <c r="CF107" s="11">
        <f t="shared" ref="CF107:CF170" si="100">BS107*(1-(AT107+BF107))</f>
        <v>0</v>
      </c>
      <c r="CG107" s="11"/>
      <c r="CH107" s="41">
        <v>1</v>
      </c>
      <c r="CJ107" s="54">
        <f t="shared" ref="CJ107:CJ170" si="101">((BU107/$CH107)/1000)</f>
        <v>0</v>
      </c>
      <c r="CK107" s="54">
        <f t="shared" ref="CK107:CK170" si="102">((BV107/$CH107)/1000)</f>
        <v>0</v>
      </c>
      <c r="CL107" s="54">
        <f t="shared" ref="CL107:CL170" si="103">((BW107/$CH107)/1000)</f>
        <v>0</v>
      </c>
      <c r="CM107" s="54">
        <f t="shared" ref="CM107:CM170" si="104">((BX107/$CH107)/1000)</f>
        <v>0</v>
      </c>
      <c r="CN107" s="54">
        <f t="shared" ref="CN107:CN170" si="105">((BY107/$CH107)/1000)</f>
        <v>0</v>
      </c>
      <c r="CO107" s="54">
        <f t="shared" ref="CO107:CO170" si="106">((BZ107/$CH107)/1000)</f>
        <v>0</v>
      </c>
      <c r="CP107" s="54">
        <f t="shared" ref="CP107:CP170" si="107">((CA107/$CH107)/1000)</f>
        <v>0</v>
      </c>
      <c r="CQ107" s="54">
        <f t="shared" ref="CQ107:CQ170" si="108">((CB107/$CH107)/1000)</f>
        <v>0</v>
      </c>
      <c r="CR107" s="54">
        <f t="shared" ref="CR107:CR170" si="109">((CC107/$CH107)/1000)</f>
        <v>0</v>
      </c>
      <c r="CS107" s="54">
        <f t="shared" ref="CS107:CS170" si="110">((CD107/$CH107)/1000)</f>
        <v>0</v>
      </c>
      <c r="CT107" s="54">
        <f t="shared" ref="CT107:CT170" si="111">((CE107/$CH107)/1000)</f>
        <v>0</v>
      </c>
      <c r="CU107" s="54">
        <f t="shared" ref="CU107:CU170" si="112">((CF107/$CH107)/1000)</f>
        <v>0</v>
      </c>
      <c r="CV107" s="52">
        <f t="shared" ref="CV107:CV170" si="113">ROUNDUP(SUM(CJ107:CU107),0)</f>
        <v>0</v>
      </c>
    </row>
    <row r="108" spans="1:100" ht="15.75" x14ac:dyDescent="0.25">
      <c r="A108" s="17"/>
      <c r="B108" s="17"/>
      <c r="C108" s="17"/>
      <c r="D108" s="17"/>
      <c r="E108" s="17"/>
      <c r="F108" s="33" t="s">
        <v>18</v>
      </c>
      <c r="G108" s="77"/>
      <c r="H108" s="77"/>
      <c r="I108" s="77"/>
      <c r="J108" s="77"/>
      <c r="K108" s="77"/>
      <c r="L108" s="77"/>
      <c r="M108" s="77"/>
      <c r="N108" s="77"/>
      <c r="O108" s="77"/>
      <c r="P108" s="77"/>
      <c r="Q108" s="77"/>
      <c r="R108" s="77"/>
      <c r="S108" s="11">
        <f t="shared" si="85"/>
        <v>0</v>
      </c>
      <c r="T108" s="8">
        <f t="shared" si="84"/>
        <v>0</v>
      </c>
      <c r="U108" s="13" t="s">
        <v>23</v>
      </c>
      <c r="V108" s="46">
        <f t="shared" si="88"/>
        <v>0</v>
      </c>
      <c r="W108" s="36">
        <v>0.96389207557077461</v>
      </c>
      <c r="X108" s="36">
        <v>0.9630530531733813</v>
      </c>
      <c r="Y108" s="36">
        <v>0.9644715639980872</v>
      </c>
      <c r="Z108" s="36">
        <v>0.95338074283961394</v>
      </c>
      <c r="AA108" s="36">
        <v>0.96137938273878976</v>
      </c>
      <c r="AB108" s="36">
        <v>0.95676384432754946</v>
      </c>
      <c r="AC108" s="36">
        <v>0.94643448628430937</v>
      </c>
      <c r="AD108" s="36">
        <v>0.95080976498812786</v>
      </c>
      <c r="AE108" s="36">
        <v>0.95588022163869313</v>
      </c>
      <c r="AF108" s="36">
        <v>0.993345991316544</v>
      </c>
      <c r="AG108" s="36">
        <v>0.993345991316544</v>
      </c>
      <c r="AH108" s="36">
        <v>0.993345991316544</v>
      </c>
      <c r="BH108" s="12">
        <f t="shared" si="74"/>
        <v>0</v>
      </c>
      <c r="BI108" s="12">
        <f t="shared" si="75"/>
        <v>0</v>
      </c>
      <c r="BJ108" s="12">
        <f t="shared" si="76"/>
        <v>0</v>
      </c>
      <c r="BK108" s="12">
        <f t="shared" si="77"/>
        <v>0</v>
      </c>
      <c r="BL108" s="12">
        <f t="shared" si="78"/>
        <v>0</v>
      </c>
      <c r="BM108" s="12">
        <f t="shared" si="79"/>
        <v>0</v>
      </c>
      <c r="BN108" s="12">
        <f t="shared" si="80"/>
        <v>0</v>
      </c>
      <c r="BO108" s="12">
        <f t="shared" si="81"/>
        <v>0</v>
      </c>
      <c r="BP108" s="12">
        <f t="shared" si="82"/>
        <v>0</v>
      </c>
      <c r="BQ108" s="12">
        <f t="shared" si="83"/>
        <v>0</v>
      </c>
      <c r="BR108" s="12">
        <f t="shared" si="86"/>
        <v>0</v>
      </c>
      <c r="BS108" s="12">
        <f t="shared" si="87"/>
        <v>0</v>
      </c>
      <c r="BU108" s="11">
        <f t="shared" si="89"/>
        <v>0</v>
      </c>
      <c r="BV108" s="11">
        <f t="shared" si="90"/>
        <v>0</v>
      </c>
      <c r="BW108" s="11">
        <f t="shared" si="91"/>
        <v>0</v>
      </c>
      <c r="BX108" s="11">
        <f t="shared" si="92"/>
        <v>0</v>
      </c>
      <c r="BY108" s="11">
        <f t="shared" si="93"/>
        <v>0</v>
      </c>
      <c r="BZ108" s="11">
        <f t="shared" si="94"/>
        <v>0</v>
      </c>
      <c r="CA108" s="11">
        <f t="shared" si="95"/>
        <v>0</v>
      </c>
      <c r="CB108" s="11">
        <f t="shared" si="96"/>
        <v>0</v>
      </c>
      <c r="CC108" s="11">
        <f t="shared" si="97"/>
        <v>0</v>
      </c>
      <c r="CD108" s="11">
        <f t="shared" si="98"/>
        <v>0</v>
      </c>
      <c r="CE108" s="11">
        <f t="shared" si="99"/>
        <v>0</v>
      </c>
      <c r="CF108" s="11">
        <f t="shared" si="100"/>
        <v>0</v>
      </c>
      <c r="CG108" s="11"/>
      <c r="CH108" s="41">
        <v>1</v>
      </c>
      <c r="CJ108" s="54">
        <f t="shared" si="101"/>
        <v>0</v>
      </c>
      <c r="CK108" s="54">
        <f t="shared" si="102"/>
        <v>0</v>
      </c>
      <c r="CL108" s="54">
        <f t="shared" si="103"/>
        <v>0</v>
      </c>
      <c r="CM108" s="54">
        <f t="shared" si="104"/>
        <v>0</v>
      </c>
      <c r="CN108" s="54">
        <f t="shared" si="105"/>
        <v>0</v>
      </c>
      <c r="CO108" s="54">
        <f t="shared" si="106"/>
        <v>0</v>
      </c>
      <c r="CP108" s="54">
        <f t="shared" si="107"/>
        <v>0</v>
      </c>
      <c r="CQ108" s="54">
        <f t="shared" si="108"/>
        <v>0</v>
      </c>
      <c r="CR108" s="54">
        <f t="shared" si="109"/>
        <v>0</v>
      </c>
      <c r="CS108" s="54">
        <f t="shared" si="110"/>
        <v>0</v>
      </c>
      <c r="CT108" s="54">
        <f t="shared" si="111"/>
        <v>0</v>
      </c>
      <c r="CU108" s="54">
        <f t="shared" si="112"/>
        <v>0</v>
      </c>
      <c r="CV108" s="52">
        <f t="shared" si="113"/>
        <v>0</v>
      </c>
    </row>
    <row r="109" spans="1:100" ht="15.75" x14ac:dyDescent="0.25">
      <c r="A109" s="17"/>
      <c r="B109" s="17"/>
      <c r="C109" s="17"/>
      <c r="D109" s="17"/>
      <c r="E109" s="17"/>
      <c r="F109" s="33" t="s">
        <v>18</v>
      </c>
      <c r="G109" s="77"/>
      <c r="H109" s="77"/>
      <c r="I109" s="77"/>
      <c r="J109" s="77"/>
      <c r="K109" s="77"/>
      <c r="L109" s="77"/>
      <c r="M109" s="77"/>
      <c r="N109" s="77"/>
      <c r="O109" s="77"/>
      <c r="P109" s="77"/>
      <c r="Q109" s="77"/>
      <c r="R109" s="77"/>
      <c r="S109" s="11">
        <f t="shared" si="85"/>
        <v>0</v>
      </c>
      <c r="T109" s="8">
        <f t="shared" si="84"/>
        <v>0</v>
      </c>
      <c r="U109" s="13" t="s">
        <v>23</v>
      </c>
      <c r="V109" s="46">
        <f t="shared" si="88"/>
        <v>0</v>
      </c>
      <c r="W109" s="36">
        <v>0.42481115738453973</v>
      </c>
      <c r="X109" s="36">
        <v>0.42444137939305965</v>
      </c>
      <c r="Y109" s="36">
        <v>0.42506655231488177</v>
      </c>
      <c r="Z109" s="36">
        <v>0.42017855220357686</v>
      </c>
      <c r="AA109" s="36">
        <v>0.42370375129919025</v>
      </c>
      <c r="AB109" s="36">
        <v>0.4216695689834255</v>
      </c>
      <c r="AC109" s="36">
        <v>0.41711716456326292</v>
      </c>
      <c r="AD109" s="36">
        <v>0.41904545846374797</v>
      </c>
      <c r="AE109" s="36">
        <v>0.42128013453670909</v>
      </c>
      <c r="AF109" s="36">
        <v>0.43779222897396824</v>
      </c>
      <c r="AG109" s="36">
        <v>0.43779222897396824</v>
      </c>
      <c r="AH109" s="36">
        <v>0.43779222897396819</v>
      </c>
      <c r="BH109" s="12">
        <f t="shared" si="74"/>
        <v>0</v>
      </c>
      <c r="BI109" s="12">
        <f t="shared" si="75"/>
        <v>0</v>
      </c>
      <c r="BJ109" s="12">
        <f t="shared" si="76"/>
        <v>0</v>
      </c>
      <c r="BK109" s="12">
        <f t="shared" si="77"/>
        <v>0</v>
      </c>
      <c r="BL109" s="12">
        <f t="shared" si="78"/>
        <v>0</v>
      </c>
      <c r="BM109" s="12">
        <f t="shared" si="79"/>
        <v>0</v>
      </c>
      <c r="BN109" s="12">
        <f t="shared" si="80"/>
        <v>0</v>
      </c>
      <c r="BO109" s="12">
        <f t="shared" si="81"/>
        <v>0</v>
      </c>
      <c r="BP109" s="12">
        <f t="shared" si="82"/>
        <v>0</v>
      </c>
      <c r="BQ109" s="12">
        <f t="shared" si="83"/>
        <v>0</v>
      </c>
      <c r="BR109" s="12">
        <f t="shared" si="86"/>
        <v>0</v>
      </c>
      <c r="BS109" s="12">
        <f t="shared" si="87"/>
        <v>0</v>
      </c>
      <c r="BU109" s="11">
        <f t="shared" si="89"/>
        <v>0</v>
      </c>
      <c r="BV109" s="11">
        <f t="shared" si="90"/>
        <v>0</v>
      </c>
      <c r="BW109" s="11">
        <f t="shared" si="91"/>
        <v>0</v>
      </c>
      <c r="BX109" s="11">
        <f t="shared" si="92"/>
        <v>0</v>
      </c>
      <c r="BY109" s="11">
        <f t="shared" si="93"/>
        <v>0</v>
      </c>
      <c r="BZ109" s="11">
        <f t="shared" si="94"/>
        <v>0</v>
      </c>
      <c r="CA109" s="11">
        <f t="shared" si="95"/>
        <v>0</v>
      </c>
      <c r="CB109" s="11">
        <f t="shared" si="96"/>
        <v>0</v>
      </c>
      <c r="CC109" s="11">
        <f t="shared" si="97"/>
        <v>0</v>
      </c>
      <c r="CD109" s="11">
        <f t="shared" si="98"/>
        <v>0</v>
      </c>
      <c r="CE109" s="11">
        <f t="shared" si="99"/>
        <v>0</v>
      </c>
      <c r="CF109" s="11">
        <f t="shared" si="100"/>
        <v>0</v>
      </c>
      <c r="CG109" s="11"/>
      <c r="CH109" s="41">
        <v>1</v>
      </c>
      <c r="CJ109" s="54">
        <f t="shared" si="101"/>
        <v>0</v>
      </c>
      <c r="CK109" s="54">
        <f t="shared" si="102"/>
        <v>0</v>
      </c>
      <c r="CL109" s="54">
        <f t="shared" si="103"/>
        <v>0</v>
      </c>
      <c r="CM109" s="54">
        <f t="shared" si="104"/>
        <v>0</v>
      </c>
      <c r="CN109" s="54">
        <f t="shared" si="105"/>
        <v>0</v>
      </c>
      <c r="CO109" s="54">
        <f t="shared" si="106"/>
        <v>0</v>
      </c>
      <c r="CP109" s="54">
        <f t="shared" si="107"/>
        <v>0</v>
      </c>
      <c r="CQ109" s="54">
        <f t="shared" si="108"/>
        <v>0</v>
      </c>
      <c r="CR109" s="54">
        <f t="shared" si="109"/>
        <v>0</v>
      </c>
      <c r="CS109" s="54">
        <f t="shared" si="110"/>
        <v>0</v>
      </c>
      <c r="CT109" s="54">
        <f t="shared" si="111"/>
        <v>0</v>
      </c>
      <c r="CU109" s="54">
        <f t="shared" si="112"/>
        <v>0</v>
      </c>
      <c r="CV109" s="52">
        <f t="shared" si="113"/>
        <v>0</v>
      </c>
    </row>
    <row r="110" spans="1:100" ht="15.75" x14ac:dyDescent="0.25">
      <c r="A110" s="17"/>
      <c r="B110" s="17"/>
      <c r="C110" s="17"/>
      <c r="D110" s="17"/>
      <c r="E110" s="17"/>
      <c r="F110" s="33" t="s">
        <v>18</v>
      </c>
      <c r="G110" s="77"/>
      <c r="H110" s="77"/>
      <c r="I110" s="77"/>
      <c r="J110" s="77"/>
      <c r="K110" s="77"/>
      <c r="L110" s="77"/>
      <c r="M110" s="77"/>
      <c r="N110" s="77"/>
      <c r="O110" s="77"/>
      <c r="P110" s="77"/>
      <c r="Q110" s="77"/>
      <c r="R110" s="77"/>
      <c r="S110" s="11">
        <f t="shared" si="85"/>
        <v>0</v>
      </c>
      <c r="T110" s="8">
        <f t="shared" si="84"/>
        <v>0</v>
      </c>
      <c r="U110" s="13" t="s">
        <v>23</v>
      </c>
      <c r="V110" s="46">
        <f t="shared" si="88"/>
        <v>0</v>
      </c>
      <c r="W110" s="36">
        <v>0.87508138064717733</v>
      </c>
      <c r="X110" s="36">
        <v>0.87431966375322934</v>
      </c>
      <c r="Y110" s="36">
        <v>0.87560747640612591</v>
      </c>
      <c r="Z110" s="36">
        <v>0.86553853680402304</v>
      </c>
      <c r="AA110" s="36">
        <v>0.87280020128251312</v>
      </c>
      <c r="AB110" s="36">
        <v>0.86860992746690302</v>
      </c>
      <c r="AC110" s="36">
        <v>0.85923229160209413</v>
      </c>
      <c r="AD110" s="36">
        <v>0.86320444266121177</v>
      </c>
      <c r="AE110" s="36">
        <v>0.86780771964495607</v>
      </c>
      <c r="AF110" s="36">
        <v>0.901821483517108</v>
      </c>
      <c r="AG110" s="36">
        <v>0.901821483517108</v>
      </c>
      <c r="AH110" s="36">
        <v>0.90182148351710811</v>
      </c>
      <c r="BH110" s="12">
        <f t="shared" si="74"/>
        <v>0</v>
      </c>
      <c r="BI110" s="12">
        <f t="shared" si="75"/>
        <v>0</v>
      </c>
      <c r="BJ110" s="12">
        <f t="shared" si="76"/>
        <v>0</v>
      </c>
      <c r="BK110" s="12">
        <f t="shared" si="77"/>
        <v>0</v>
      </c>
      <c r="BL110" s="12">
        <f t="shared" si="78"/>
        <v>0</v>
      </c>
      <c r="BM110" s="12">
        <f t="shared" si="79"/>
        <v>0</v>
      </c>
      <c r="BN110" s="12">
        <f t="shared" si="80"/>
        <v>0</v>
      </c>
      <c r="BO110" s="12">
        <f t="shared" si="81"/>
        <v>0</v>
      </c>
      <c r="BP110" s="12">
        <f t="shared" si="82"/>
        <v>0</v>
      </c>
      <c r="BQ110" s="12">
        <f t="shared" si="83"/>
        <v>0</v>
      </c>
      <c r="BR110" s="12">
        <f t="shared" si="86"/>
        <v>0</v>
      </c>
      <c r="BS110" s="12">
        <f t="shared" si="87"/>
        <v>0</v>
      </c>
      <c r="BU110" s="11">
        <f t="shared" si="89"/>
        <v>0</v>
      </c>
      <c r="BV110" s="11">
        <f t="shared" si="90"/>
        <v>0</v>
      </c>
      <c r="BW110" s="11">
        <f t="shared" si="91"/>
        <v>0</v>
      </c>
      <c r="BX110" s="11">
        <f t="shared" si="92"/>
        <v>0</v>
      </c>
      <c r="BY110" s="11">
        <f t="shared" si="93"/>
        <v>0</v>
      </c>
      <c r="BZ110" s="11">
        <f t="shared" si="94"/>
        <v>0</v>
      </c>
      <c r="CA110" s="11">
        <f t="shared" si="95"/>
        <v>0</v>
      </c>
      <c r="CB110" s="11">
        <f t="shared" si="96"/>
        <v>0</v>
      </c>
      <c r="CC110" s="11">
        <f t="shared" si="97"/>
        <v>0</v>
      </c>
      <c r="CD110" s="11">
        <f t="shared" si="98"/>
        <v>0</v>
      </c>
      <c r="CE110" s="11">
        <f t="shared" si="99"/>
        <v>0</v>
      </c>
      <c r="CF110" s="11">
        <f t="shared" si="100"/>
        <v>0</v>
      </c>
      <c r="CG110" s="11"/>
      <c r="CH110" s="41">
        <v>1</v>
      </c>
      <c r="CJ110" s="54">
        <f t="shared" si="101"/>
        <v>0</v>
      </c>
      <c r="CK110" s="54">
        <f t="shared" si="102"/>
        <v>0</v>
      </c>
      <c r="CL110" s="54">
        <f t="shared" si="103"/>
        <v>0</v>
      </c>
      <c r="CM110" s="54">
        <f t="shared" si="104"/>
        <v>0</v>
      </c>
      <c r="CN110" s="54">
        <f t="shared" si="105"/>
        <v>0</v>
      </c>
      <c r="CO110" s="54">
        <f t="shared" si="106"/>
        <v>0</v>
      </c>
      <c r="CP110" s="54">
        <f t="shared" si="107"/>
        <v>0</v>
      </c>
      <c r="CQ110" s="54">
        <f t="shared" si="108"/>
        <v>0</v>
      </c>
      <c r="CR110" s="54">
        <f t="shared" si="109"/>
        <v>0</v>
      </c>
      <c r="CS110" s="54">
        <f t="shared" si="110"/>
        <v>0</v>
      </c>
      <c r="CT110" s="54">
        <f t="shared" si="111"/>
        <v>0</v>
      </c>
      <c r="CU110" s="54">
        <f t="shared" si="112"/>
        <v>0</v>
      </c>
      <c r="CV110" s="52">
        <f t="shared" si="113"/>
        <v>0</v>
      </c>
    </row>
    <row r="111" spans="1:100" ht="15.75" x14ac:dyDescent="0.25">
      <c r="A111" s="17"/>
      <c r="B111" s="17"/>
      <c r="C111" s="17"/>
      <c r="D111" s="17"/>
      <c r="E111" s="17"/>
      <c r="F111" s="33" t="s">
        <v>18</v>
      </c>
      <c r="G111" s="77"/>
      <c r="H111" s="77"/>
      <c r="I111" s="77"/>
      <c r="J111" s="77"/>
      <c r="K111" s="77"/>
      <c r="L111" s="77"/>
      <c r="M111" s="77"/>
      <c r="N111" s="77"/>
      <c r="O111" s="77"/>
      <c r="P111" s="77"/>
      <c r="Q111" s="77"/>
      <c r="R111" s="77"/>
      <c r="S111" s="11">
        <f t="shared" si="85"/>
        <v>0</v>
      </c>
      <c r="T111" s="8">
        <f t="shared" si="84"/>
        <v>0</v>
      </c>
      <c r="U111" s="13" t="s">
        <v>23</v>
      </c>
      <c r="V111" s="46">
        <f t="shared" si="88"/>
        <v>0</v>
      </c>
      <c r="W111" s="36">
        <v>1.0290199185147457</v>
      </c>
      <c r="X111" s="36">
        <v>1.0281242054148259</v>
      </c>
      <c r="Y111" s="36">
        <v>1.0296385615655257</v>
      </c>
      <c r="Z111" s="36">
        <v>1.0177983605990475</v>
      </c>
      <c r="AA111" s="36">
        <v>1.0263374491400594</v>
      </c>
      <c r="AB111" s="36">
        <v>1.0214100500253569</v>
      </c>
      <c r="AC111" s="36">
        <v>1.0103827623846005</v>
      </c>
      <c r="AD111" s="36">
        <v>1.0150536680278661</v>
      </c>
      <c r="AE111" s="36">
        <v>1.0204667231007669</v>
      </c>
      <c r="AF111" s="36">
        <v>1.0604639637027968</v>
      </c>
      <c r="AG111" s="36">
        <v>1.0604639637027968</v>
      </c>
      <c r="AH111" s="36">
        <v>1.0604639637027968</v>
      </c>
      <c r="BH111" s="12">
        <f t="shared" si="74"/>
        <v>0</v>
      </c>
      <c r="BI111" s="12">
        <f t="shared" si="75"/>
        <v>0</v>
      </c>
      <c r="BJ111" s="12">
        <f t="shared" si="76"/>
        <v>0</v>
      </c>
      <c r="BK111" s="12">
        <f t="shared" si="77"/>
        <v>0</v>
      </c>
      <c r="BL111" s="12">
        <f t="shared" si="78"/>
        <v>0</v>
      </c>
      <c r="BM111" s="12">
        <f t="shared" si="79"/>
        <v>0</v>
      </c>
      <c r="BN111" s="12">
        <f t="shared" si="80"/>
        <v>0</v>
      </c>
      <c r="BO111" s="12">
        <f t="shared" si="81"/>
        <v>0</v>
      </c>
      <c r="BP111" s="12">
        <f t="shared" si="82"/>
        <v>0</v>
      </c>
      <c r="BQ111" s="12">
        <f t="shared" si="83"/>
        <v>0</v>
      </c>
      <c r="BR111" s="12">
        <f t="shared" si="86"/>
        <v>0</v>
      </c>
      <c r="BS111" s="12">
        <f t="shared" si="87"/>
        <v>0</v>
      </c>
      <c r="BU111" s="11">
        <f t="shared" si="89"/>
        <v>0</v>
      </c>
      <c r="BV111" s="11">
        <f t="shared" si="90"/>
        <v>0</v>
      </c>
      <c r="BW111" s="11">
        <f t="shared" si="91"/>
        <v>0</v>
      </c>
      <c r="BX111" s="11">
        <f t="shared" si="92"/>
        <v>0</v>
      </c>
      <c r="BY111" s="11">
        <f t="shared" si="93"/>
        <v>0</v>
      </c>
      <c r="BZ111" s="11">
        <f t="shared" si="94"/>
        <v>0</v>
      </c>
      <c r="CA111" s="11">
        <f t="shared" si="95"/>
        <v>0</v>
      </c>
      <c r="CB111" s="11">
        <f t="shared" si="96"/>
        <v>0</v>
      </c>
      <c r="CC111" s="11">
        <f t="shared" si="97"/>
        <v>0</v>
      </c>
      <c r="CD111" s="11">
        <f t="shared" si="98"/>
        <v>0</v>
      </c>
      <c r="CE111" s="11">
        <f t="shared" si="99"/>
        <v>0</v>
      </c>
      <c r="CF111" s="11">
        <f t="shared" si="100"/>
        <v>0</v>
      </c>
      <c r="CG111" s="11"/>
      <c r="CH111" s="41">
        <v>1</v>
      </c>
      <c r="CJ111" s="54">
        <f t="shared" si="101"/>
        <v>0</v>
      </c>
      <c r="CK111" s="54">
        <f t="shared" si="102"/>
        <v>0</v>
      </c>
      <c r="CL111" s="54">
        <f t="shared" si="103"/>
        <v>0</v>
      </c>
      <c r="CM111" s="54">
        <f t="shared" si="104"/>
        <v>0</v>
      </c>
      <c r="CN111" s="54">
        <f t="shared" si="105"/>
        <v>0</v>
      </c>
      <c r="CO111" s="54">
        <f t="shared" si="106"/>
        <v>0</v>
      </c>
      <c r="CP111" s="54">
        <f t="shared" si="107"/>
        <v>0</v>
      </c>
      <c r="CQ111" s="54">
        <f t="shared" si="108"/>
        <v>0</v>
      </c>
      <c r="CR111" s="54">
        <f t="shared" si="109"/>
        <v>0</v>
      </c>
      <c r="CS111" s="54">
        <f t="shared" si="110"/>
        <v>0</v>
      </c>
      <c r="CT111" s="54">
        <f t="shared" si="111"/>
        <v>0</v>
      </c>
      <c r="CU111" s="54">
        <f t="shared" si="112"/>
        <v>0</v>
      </c>
      <c r="CV111" s="52">
        <f t="shared" si="113"/>
        <v>0</v>
      </c>
    </row>
    <row r="112" spans="1:100" ht="15.75" x14ac:dyDescent="0.25">
      <c r="A112" s="17"/>
      <c r="B112" s="17"/>
      <c r="C112" s="17"/>
      <c r="D112" s="17"/>
      <c r="E112" s="17"/>
      <c r="F112" s="33" t="s">
        <v>18</v>
      </c>
      <c r="G112" s="77"/>
      <c r="H112" s="77"/>
      <c r="I112" s="77"/>
      <c r="J112" s="77"/>
      <c r="K112" s="77"/>
      <c r="L112" s="77"/>
      <c r="M112" s="77"/>
      <c r="N112" s="77"/>
      <c r="O112" s="77"/>
      <c r="P112" s="77"/>
      <c r="Q112" s="77"/>
      <c r="R112" s="77"/>
      <c r="S112" s="11">
        <f t="shared" si="85"/>
        <v>0</v>
      </c>
      <c r="T112" s="8">
        <f t="shared" si="84"/>
        <v>0</v>
      </c>
      <c r="U112" s="13" t="s">
        <v>23</v>
      </c>
      <c r="V112" s="46">
        <f t="shared" si="88"/>
        <v>0</v>
      </c>
      <c r="W112" s="36">
        <v>1.1589795687529427</v>
      </c>
      <c r="X112" s="36">
        <v>1.1579707319329817</v>
      </c>
      <c r="Y112" s="36">
        <v>1.1596763430750958</v>
      </c>
      <c r="Z112" s="36">
        <v>1.1463407887644621</v>
      </c>
      <c r="AA112" s="36">
        <v>1.1559583180044111</v>
      </c>
      <c r="AB112" s="36">
        <v>1.1504086150314361</v>
      </c>
      <c r="AC112" s="36">
        <v>1.1379886406029089</v>
      </c>
      <c r="AD112" s="36">
        <v>1.143249456366253</v>
      </c>
      <c r="AE112" s="36">
        <v>1.149346151018269</v>
      </c>
      <c r="AF112" s="36">
        <v>1.1943948267826381</v>
      </c>
      <c r="AG112" s="36">
        <v>1.1943948267826381</v>
      </c>
      <c r="AH112" s="36">
        <v>1.1943948267826381</v>
      </c>
      <c r="BH112" s="12">
        <f t="shared" si="74"/>
        <v>0</v>
      </c>
      <c r="BI112" s="12">
        <f t="shared" si="75"/>
        <v>0</v>
      </c>
      <c r="BJ112" s="12">
        <f t="shared" si="76"/>
        <v>0</v>
      </c>
      <c r="BK112" s="12">
        <f t="shared" si="77"/>
        <v>0</v>
      </c>
      <c r="BL112" s="12">
        <f t="shared" si="78"/>
        <v>0</v>
      </c>
      <c r="BM112" s="12">
        <f t="shared" si="79"/>
        <v>0</v>
      </c>
      <c r="BN112" s="12">
        <f t="shared" si="80"/>
        <v>0</v>
      </c>
      <c r="BO112" s="12">
        <f t="shared" si="81"/>
        <v>0</v>
      </c>
      <c r="BP112" s="12">
        <f t="shared" si="82"/>
        <v>0</v>
      </c>
      <c r="BQ112" s="12">
        <f t="shared" si="83"/>
        <v>0</v>
      </c>
      <c r="BR112" s="12">
        <f t="shared" si="86"/>
        <v>0</v>
      </c>
      <c r="BS112" s="12">
        <f t="shared" si="87"/>
        <v>0</v>
      </c>
      <c r="BU112" s="11">
        <f t="shared" si="89"/>
        <v>0</v>
      </c>
      <c r="BV112" s="11">
        <f t="shared" si="90"/>
        <v>0</v>
      </c>
      <c r="BW112" s="11">
        <f t="shared" si="91"/>
        <v>0</v>
      </c>
      <c r="BX112" s="11">
        <f t="shared" si="92"/>
        <v>0</v>
      </c>
      <c r="BY112" s="11">
        <f t="shared" si="93"/>
        <v>0</v>
      </c>
      <c r="BZ112" s="11">
        <f t="shared" si="94"/>
        <v>0</v>
      </c>
      <c r="CA112" s="11">
        <f t="shared" si="95"/>
        <v>0</v>
      </c>
      <c r="CB112" s="11">
        <f t="shared" si="96"/>
        <v>0</v>
      </c>
      <c r="CC112" s="11">
        <f t="shared" si="97"/>
        <v>0</v>
      </c>
      <c r="CD112" s="11">
        <f t="shared" si="98"/>
        <v>0</v>
      </c>
      <c r="CE112" s="11">
        <f t="shared" si="99"/>
        <v>0</v>
      </c>
      <c r="CF112" s="11">
        <f t="shared" si="100"/>
        <v>0</v>
      </c>
      <c r="CG112" s="11"/>
      <c r="CH112" s="41">
        <v>1</v>
      </c>
      <c r="CJ112" s="54">
        <f t="shared" si="101"/>
        <v>0</v>
      </c>
      <c r="CK112" s="54">
        <f t="shared" si="102"/>
        <v>0</v>
      </c>
      <c r="CL112" s="54">
        <f t="shared" si="103"/>
        <v>0</v>
      </c>
      <c r="CM112" s="54">
        <f t="shared" si="104"/>
        <v>0</v>
      </c>
      <c r="CN112" s="54">
        <f t="shared" si="105"/>
        <v>0</v>
      </c>
      <c r="CO112" s="54">
        <f t="shared" si="106"/>
        <v>0</v>
      </c>
      <c r="CP112" s="54">
        <f t="shared" si="107"/>
        <v>0</v>
      </c>
      <c r="CQ112" s="54">
        <f t="shared" si="108"/>
        <v>0</v>
      </c>
      <c r="CR112" s="54">
        <f t="shared" si="109"/>
        <v>0</v>
      </c>
      <c r="CS112" s="54">
        <f t="shared" si="110"/>
        <v>0</v>
      </c>
      <c r="CT112" s="54">
        <f t="shared" si="111"/>
        <v>0</v>
      </c>
      <c r="CU112" s="54">
        <f t="shared" si="112"/>
        <v>0</v>
      </c>
      <c r="CV112" s="52">
        <f t="shared" si="113"/>
        <v>0</v>
      </c>
    </row>
    <row r="113" spans="1:100" ht="15.75" x14ac:dyDescent="0.25">
      <c r="A113" s="17"/>
      <c r="B113" s="17"/>
      <c r="C113" s="17"/>
      <c r="D113" s="17"/>
      <c r="E113" s="17"/>
      <c r="F113" s="33" t="s">
        <v>18</v>
      </c>
      <c r="G113" s="77"/>
      <c r="H113" s="77"/>
      <c r="I113" s="77"/>
      <c r="J113" s="77"/>
      <c r="K113" s="77"/>
      <c r="L113" s="77"/>
      <c r="M113" s="77"/>
      <c r="N113" s="77"/>
      <c r="O113" s="77"/>
      <c r="P113" s="77"/>
      <c r="Q113" s="77"/>
      <c r="R113" s="77"/>
      <c r="S113" s="11">
        <f t="shared" si="85"/>
        <v>0</v>
      </c>
      <c r="T113" s="8">
        <f t="shared" si="84"/>
        <v>0</v>
      </c>
      <c r="U113" s="13" t="s">
        <v>23</v>
      </c>
      <c r="V113" s="46">
        <f t="shared" si="88"/>
        <v>0</v>
      </c>
      <c r="W113" s="36">
        <v>9.0599999999999987</v>
      </c>
      <c r="X113" s="36">
        <v>0</v>
      </c>
      <c r="Y113" s="36">
        <v>0</v>
      </c>
      <c r="Z113" s="36">
        <v>0</v>
      </c>
      <c r="AA113" s="36">
        <v>9.0599999999999987</v>
      </c>
      <c r="AB113" s="36">
        <v>0</v>
      </c>
      <c r="AC113" s="36">
        <v>0</v>
      </c>
      <c r="AD113" s="36">
        <v>9.0599999999999987</v>
      </c>
      <c r="AE113" s="36">
        <v>0</v>
      </c>
      <c r="AF113" s="36">
        <v>0</v>
      </c>
      <c r="AG113" s="36">
        <v>0</v>
      </c>
      <c r="AH113" s="36">
        <v>9.0599999999999987</v>
      </c>
      <c r="BH113" s="12">
        <f t="shared" si="74"/>
        <v>0</v>
      </c>
      <c r="BI113" s="12">
        <f t="shared" si="75"/>
        <v>0</v>
      </c>
      <c r="BJ113" s="12">
        <f t="shared" si="76"/>
        <v>0</v>
      </c>
      <c r="BK113" s="12">
        <f t="shared" si="77"/>
        <v>0</v>
      </c>
      <c r="BL113" s="12">
        <f t="shared" si="78"/>
        <v>0</v>
      </c>
      <c r="BM113" s="12">
        <f t="shared" si="79"/>
        <v>0</v>
      </c>
      <c r="BN113" s="12">
        <f t="shared" si="80"/>
        <v>0</v>
      </c>
      <c r="BO113" s="12">
        <f t="shared" si="81"/>
        <v>0</v>
      </c>
      <c r="BP113" s="12">
        <f t="shared" si="82"/>
        <v>0</v>
      </c>
      <c r="BQ113" s="12">
        <f t="shared" si="83"/>
        <v>0</v>
      </c>
      <c r="BR113" s="12">
        <f t="shared" si="86"/>
        <v>0</v>
      </c>
      <c r="BS113" s="12">
        <f t="shared" si="87"/>
        <v>0</v>
      </c>
      <c r="BU113" s="11">
        <f t="shared" si="89"/>
        <v>0</v>
      </c>
      <c r="BV113" s="11">
        <f t="shared" si="90"/>
        <v>0</v>
      </c>
      <c r="BW113" s="11">
        <f t="shared" si="91"/>
        <v>0</v>
      </c>
      <c r="BX113" s="11">
        <f t="shared" si="92"/>
        <v>0</v>
      </c>
      <c r="BY113" s="11">
        <f t="shared" si="93"/>
        <v>0</v>
      </c>
      <c r="BZ113" s="11">
        <f t="shared" si="94"/>
        <v>0</v>
      </c>
      <c r="CA113" s="11">
        <f t="shared" si="95"/>
        <v>0</v>
      </c>
      <c r="CB113" s="11">
        <f t="shared" si="96"/>
        <v>0</v>
      </c>
      <c r="CC113" s="11">
        <f t="shared" si="97"/>
        <v>0</v>
      </c>
      <c r="CD113" s="11">
        <f t="shared" si="98"/>
        <v>0</v>
      </c>
      <c r="CE113" s="11">
        <f t="shared" si="99"/>
        <v>0</v>
      </c>
      <c r="CF113" s="11">
        <f t="shared" si="100"/>
        <v>0</v>
      </c>
      <c r="CG113" s="11"/>
      <c r="CH113" s="41">
        <v>1</v>
      </c>
      <c r="CJ113" s="54">
        <f t="shared" si="101"/>
        <v>0</v>
      </c>
      <c r="CK113" s="54">
        <f t="shared" si="102"/>
        <v>0</v>
      </c>
      <c r="CL113" s="54">
        <f t="shared" si="103"/>
        <v>0</v>
      </c>
      <c r="CM113" s="54">
        <f t="shared" si="104"/>
        <v>0</v>
      </c>
      <c r="CN113" s="54">
        <f t="shared" si="105"/>
        <v>0</v>
      </c>
      <c r="CO113" s="54">
        <f t="shared" si="106"/>
        <v>0</v>
      </c>
      <c r="CP113" s="54">
        <f t="shared" si="107"/>
        <v>0</v>
      </c>
      <c r="CQ113" s="54">
        <f t="shared" si="108"/>
        <v>0</v>
      </c>
      <c r="CR113" s="54">
        <f t="shared" si="109"/>
        <v>0</v>
      </c>
      <c r="CS113" s="54">
        <f t="shared" si="110"/>
        <v>0</v>
      </c>
      <c r="CT113" s="54">
        <f t="shared" si="111"/>
        <v>0</v>
      </c>
      <c r="CU113" s="54">
        <f t="shared" si="112"/>
        <v>0</v>
      </c>
      <c r="CV113" s="52">
        <f t="shared" si="113"/>
        <v>0</v>
      </c>
    </row>
    <row r="114" spans="1:100" ht="15.75" x14ac:dyDescent="0.25">
      <c r="A114" s="17"/>
      <c r="B114" s="17"/>
      <c r="C114" s="17"/>
      <c r="D114" s="17"/>
      <c r="E114" s="17"/>
      <c r="F114" s="33" t="s">
        <v>18</v>
      </c>
      <c r="G114" s="77"/>
      <c r="H114" s="77"/>
      <c r="I114" s="77"/>
      <c r="J114" s="77"/>
      <c r="K114" s="77"/>
      <c r="L114" s="77"/>
      <c r="M114" s="77"/>
      <c r="N114" s="77"/>
      <c r="O114" s="77"/>
      <c r="P114" s="77"/>
      <c r="Q114" s="77"/>
      <c r="R114" s="77"/>
      <c r="S114" s="11">
        <f t="shared" si="85"/>
        <v>0</v>
      </c>
      <c r="T114" s="8">
        <f t="shared" si="84"/>
        <v>0</v>
      </c>
      <c r="U114" s="13" t="s">
        <v>23</v>
      </c>
      <c r="V114" s="46">
        <f t="shared" si="88"/>
        <v>0</v>
      </c>
      <c r="W114" s="36">
        <v>0</v>
      </c>
      <c r="X114" s="36">
        <v>1.69</v>
      </c>
      <c r="Y114" s="36">
        <v>0</v>
      </c>
      <c r="Z114" s="36">
        <v>1.69</v>
      </c>
      <c r="AA114" s="36">
        <v>0</v>
      </c>
      <c r="AB114" s="36">
        <v>1.69</v>
      </c>
      <c r="AC114" s="36">
        <v>0</v>
      </c>
      <c r="AD114" s="36">
        <v>0</v>
      </c>
      <c r="AE114" s="36">
        <v>0</v>
      </c>
      <c r="AF114" s="36">
        <v>0</v>
      </c>
      <c r="AG114" s="36">
        <v>0</v>
      </c>
      <c r="AH114" s="36">
        <v>1.69</v>
      </c>
      <c r="BH114" s="12">
        <f t="shared" si="74"/>
        <v>0</v>
      </c>
      <c r="BI114" s="12">
        <f t="shared" si="75"/>
        <v>0</v>
      </c>
      <c r="BJ114" s="12">
        <f t="shared" si="76"/>
        <v>0</v>
      </c>
      <c r="BK114" s="12">
        <f t="shared" si="77"/>
        <v>0</v>
      </c>
      <c r="BL114" s="12">
        <f t="shared" si="78"/>
        <v>0</v>
      </c>
      <c r="BM114" s="12">
        <f t="shared" si="79"/>
        <v>0</v>
      </c>
      <c r="BN114" s="12">
        <f t="shared" si="80"/>
        <v>0</v>
      </c>
      <c r="BO114" s="12">
        <f t="shared" si="81"/>
        <v>0</v>
      </c>
      <c r="BP114" s="12">
        <f t="shared" si="82"/>
        <v>0</v>
      </c>
      <c r="BQ114" s="12">
        <f t="shared" si="83"/>
        <v>0</v>
      </c>
      <c r="BR114" s="12">
        <f t="shared" si="86"/>
        <v>0</v>
      </c>
      <c r="BS114" s="12">
        <f t="shared" si="87"/>
        <v>0</v>
      </c>
      <c r="BU114" s="11">
        <f t="shared" si="89"/>
        <v>0</v>
      </c>
      <c r="BV114" s="11">
        <f t="shared" si="90"/>
        <v>0</v>
      </c>
      <c r="BW114" s="11">
        <f t="shared" si="91"/>
        <v>0</v>
      </c>
      <c r="BX114" s="11">
        <f t="shared" si="92"/>
        <v>0</v>
      </c>
      <c r="BY114" s="11">
        <f t="shared" si="93"/>
        <v>0</v>
      </c>
      <c r="BZ114" s="11">
        <f t="shared" si="94"/>
        <v>0</v>
      </c>
      <c r="CA114" s="11">
        <f t="shared" si="95"/>
        <v>0</v>
      </c>
      <c r="CB114" s="11">
        <f t="shared" si="96"/>
        <v>0</v>
      </c>
      <c r="CC114" s="11">
        <f t="shared" si="97"/>
        <v>0</v>
      </c>
      <c r="CD114" s="11">
        <f t="shared" si="98"/>
        <v>0</v>
      </c>
      <c r="CE114" s="11">
        <f t="shared" si="99"/>
        <v>0</v>
      </c>
      <c r="CF114" s="11">
        <f t="shared" si="100"/>
        <v>0</v>
      </c>
      <c r="CG114" s="11"/>
      <c r="CH114" s="41">
        <v>1</v>
      </c>
      <c r="CJ114" s="54">
        <f t="shared" si="101"/>
        <v>0</v>
      </c>
      <c r="CK114" s="54">
        <f t="shared" si="102"/>
        <v>0</v>
      </c>
      <c r="CL114" s="54">
        <f t="shared" si="103"/>
        <v>0</v>
      </c>
      <c r="CM114" s="54">
        <f t="shared" si="104"/>
        <v>0</v>
      </c>
      <c r="CN114" s="54">
        <f t="shared" si="105"/>
        <v>0</v>
      </c>
      <c r="CO114" s="54">
        <f t="shared" si="106"/>
        <v>0</v>
      </c>
      <c r="CP114" s="54">
        <f t="shared" si="107"/>
        <v>0</v>
      </c>
      <c r="CQ114" s="54">
        <f t="shared" si="108"/>
        <v>0</v>
      </c>
      <c r="CR114" s="54">
        <f t="shared" si="109"/>
        <v>0</v>
      </c>
      <c r="CS114" s="54">
        <f t="shared" si="110"/>
        <v>0</v>
      </c>
      <c r="CT114" s="54">
        <f t="shared" si="111"/>
        <v>0</v>
      </c>
      <c r="CU114" s="54">
        <f t="shared" si="112"/>
        <v>0</v>
      </c>
      <c r="CV114" s="52">
        <f t="shared" si="113"/>
        <v>0</v>
      </c>
    </row>
    <row r="115" spans="1:100" ht="15.75" x14ac:dyDescent="0.25">
      <c r="A115" s="17"/>
      <c r="B115" s="17"/>
      <c r="C115" s="17"/>
      <c r="D115" s="17"/>
      <c r="E115" s="17"/>
      <c r="F115" s="33" t="s">
        <v>18</v>
      </c>
      <c r="G115" s="77"/>
      <c r="H115" s="77"/>
      <c r="I115" s="77"/>
      <c r="J115" s="77"/>
      <c r="K115" s="77"/>
      <c r="L115" s="77"/>
      <c r="M115" s="77"/>
      <c r="N115" s="77"/>
      <c r="O115" s="77"/>
      <c r="P115" s="77"/>
      <c r="Q115" s="77"/>
      <c r="R115" s="77"/>
      <c r="S115" s="11">
        <f t="shared" si="85"/>
        <v>0</v>
      </c>
      <c r="T115" s="8">
        <f t="shared" si="84"/>
        <v>0</v>
      </c>
      <c r="U115" s="13" t="s">
        <v>23</v>
      </c>
      <c r="V115" s="46">
        <f t="shared" si="88"/>
        <v>0</v>
      </c>
      <c r="W115" s="36">
        <v>0</v>
      </c>
      <c r="X115" s="36">
        <v>1.8400042089999999</v>
      </c>
      <c r="Y115" s="36">
        <v>0</v>
      </c>
      <c r="Z115" s="36">
        <v>1.8400042089999999</v>
      </c>
      <c r="AA115" s="36">
        <v>0</v>
      </c>
      <c r="AB115" s="36">
        <v>1.8400042089999999</v>
      </c>
      <c r="AC115" s="36">
        <v>0</v>
      </c>
      <c r="AD115" s="36">
        <v>0</v>
      </c>
      <c r="AE115" s="36">
        <v>0</v>
      </c>
      <c r="AF115" s="36">
        <v>0</v>
      </c>
      <c r="AG115" s="36">
        <v>0</v>
      </c>
      <c r="AH115" s="36">
        <v>1.8400042089999999</v>
      </c>
      <c r="BH115" s="12">
        <f t="shared" si="74"/>
        <v>0</v>
      </c>
      <c r="BI115" s="12">
        <f t="shared" si="75"/>
        <v>0</v>
      </c>
      <c r="BJ115" s="12">
        <f t="shared" si="76"/>
        <v>0</v>
      </c>
      <c r="BK115" s="12">
        <f t="shared" si="77"/>
        <v>0</v>
      </c>
      <c r="BL115" s="12">
        <f t="shared" si="78"/>
        <v>0</v>
      </c>
      <c r="BM115" s="12">
        <f t="shared" si="79"/>
        <v>0</v>
      </c>
      <c r="BN115" s="12">
        <f t="shared" si="80"/>
        <v>0</v>
      </c>
      <c r="BO115" s="12">
        <f t="shared" si="81"/>
        <v>0</v>
      </c>
      <c r="BP115" s="12">
        <f t="shared" si="82"/>
        <v>0</v>
      </c>
      <c r="BQ115" s="12">
        <f t="shared" si="83"/>
        <v>0</v>
      </c>
      <c r="BR115" s="12">
        <f t="shared" si="86"/>
        <v>0</v>
      </c>
      <c r="BS115" s="12">
        <f t="shared" si="87"/>
        <v>0</v>
      </c>
      <c r="BU115" s="11">
        <f t="shared" si="89"/>
        <v>0</v>
      </c>
      <c r="BV115" s="11">
        <f t="shared" si="90"/>
        <v>0</v>
      </c>
      <c r="BW115" s="11">
        <f t="shared" si="91"/>
        <v>0</v>
      </c>
      <c r="BX115" s="11">
        <f t="shared" si="92"/>
        <v>0</v>
      </c>
      <c r="BY115" s="11">
        <f t="shared" si="93"/>
        <v>0</v>
      </c>
      <c r="BZ115" s="11">
        <f t="shared" si="94"/>
        <v>0</v>
      </c>
      <c r="CA115" s="11">
        <f t="shared" si="95"/>
        <v>0</v>
      </c>
      <c r="CB115" s="11">
        <f t="shared" si="96"/>
        <v>0</v>
      </c>
      <c r="CC115" s="11">
        <f t="shared" si="97"/>
        <v>0</v>
      </c>
      <c r="CD115" s="11">
        <f t="shared" si="98"/>
        <v>0</v>
      </c>
      <c r="CE115" s="11">
        <f t="shared" si="99"/>
        <v>0</v>
      </c>
      <c r="CF115" s="11">
        <f t="shared" si="100"/>
        <v>0</v>
      </c>
      <c r="CG115" s="11"/>
      <c r="CH115" s="41">
        <v>1</v>
      </c>
      <c r="CJ115" s="54">
        <f t="shared" si="101"/>
        <v>0</v>
      </c>
      <c r="CK115" s="54">
        <f t="shared" si="102"/>
        <v>0</v>
      </c>
      <c r="CL115" s="54">
        <f t="shared" si="103"/>
        <v>0</v>
      </c>
      <c r="CM115" s="54">
        <f t="shared" si="104"/>
        <v>0</v>
      </c>
      <c r="CN115" s="54">
        <f t="shared" si="105"/>
        <v>0</v>
      </c>
      <c r="CO115" s="54">
        <f t="shared" si="106"/>
        <v>0</v>
      </c>
      <c r="CP115" s="54">
        <f t="shared" si="107"/>
        <v>0</v>
      </c>
      <c r="CQ115" s="54">
        <f t="shared" si="108"/>
        <v>0</v>
      </c>
      <c r="CR115" s="54">
        <f t="shared" si="109"/>
        <v>0</v>
      </c>
      <c r="CS115" s="54">
        <f t="shared" si="110"/>
        <v>0</v>
      </c>
      <c r="CT115" s="54">
        <f t="shared" si="111"/>
        <v>0</v>
      </c>
      <c r="CU115" s="54">
        <f t="shared" si="112"/>
        <v>0</v>
      </c>
      <c r="CV115" s="52">
        <f t="shared" si="113"/>
        <v>0</v>
      </c>
    </row>
    <row r="116" spans="1:100" ht="15.75" x14ac:dyDescent="0.25">
      <c r="A116" s="17"/>
      <c r="B116" s="17"/>
      <c r="C116" s="17"/>
      <c r="D116" s="17"/>
      <c r="E116" s="17"/>
      <c r="F116" s="33" t="s">
        <v>18</v>
      </c>
      <c r="G116" s="77"/>
      <c r="H116" s="77"/>
      <c r="I116" s="77"/>
      <c r="J116" s="77"/>
      <c r="K116" s="77"/>
      <c r="L116" s="77"/>
      <c r="M116" s="77"/>
      <c r="N116" s="77"/>
      <c r="O116" s="77"/>
      <c r="P116" s="77"/>
      <c r="Q116" s="77"/>
      <c r="R116" s="77"/>
      <c r="S116" s="11">
        <f t="shared" si="85"/>
        <v>0</v>
      </c>
      <c r="T116" s="8">
        <f t="shared" si="84"/>
        <v>0</v>
      </c>
      <c r="U116" s="13" t="s">
        <v>23</v>
      </c>
      <c r="V116" s="46">
        <f t="shared" si="88"/>
        <v>0</v>
      </c>
      <c r="W116" s="36">
        <v>0</v>
      </c>
      <c r="X116" s="36"/>
      <c r="Y116" s="36"/>
      <c r="Z116" s="36"/>
      <c r="AA116" s="36"/>
      <c r="AB116" s="36"/>
      <c r="AC116" s="36"/>
      <c r="AD116" s="36"/>
      <c r="AE116" s="36"/>
      <c r="AF116" s="36"/>
      <c r="AG116" s="36"/>
      <c r="AH116" s="36"/>
      <c r="BH116" s="12">
        <f t="shared" si="74"/>
        <v>0</v>
      </c>
      <c r="BI116" s="12">
        <f t="shared" si="75"/>
        <v>0</v>
      </c>
      <c r="BJ116" s="12">
        <f t="shared" si="76"/>
        <v>0</v>
      </c>
      <c r="BK116" s="12">
        <f t="shared" si="77"/>
        <v>0</v>
      </c>
      <c r="BL116" s="12">
        <f t="shared" si="78"/>
        <v>0</v>
      </c>
      <c r="BM116" s="12">
        <f t="shared" si="79"/>
        <v>0</v>
      </c>
      <c r="BN116" s="12">
        <f t="shared" si="80"/>
        <v>0</v>
      </c>
      <c r="BO116" s="12">
        <f t="shared" si="81"/>
        <v>0</v>
      </c>
      <c r="BP116" s="12">
        <f t="shared" si="82"/>
        <v>0</v>
      </c>
      <c r="BQ116" s="12">
        <f t="shared" si="83"/>
        <v>0</v>
      </c>
      <c r="BR116" s="12">
        <f t="shared" si="86"/>
        <v>0</v>
      </c>
      <c r="BS116" s="12">
        <f t="shared" si="87"/>
        <v>0</v>
      </c>
      <c r="BU116" s="11">
        <f t="shared" si="89"/>
        <v>0</v>
      </c>
      <c r="BV116" s="11">
        <f t="shared" si="90"/>
        <v>0</v>
      </c>
      <c r="BW116" s="11">
        <f t="shared" si="91"/>
        <v>0</v>
      </c>
      <c r="BX116" s="11">
        <f t="shared" si="92"/>
        <v>0</v>
      </c>
      <c r="BY116" s="11">
        <f t="shared" si="93"/>
        <v>0</v>
      </c>
      <c r="BZ116" s="11">
        <f t="shared" si="94"/>
        <v>0</v>
      </c>
      <c r="CA116" s="11">
        <f t="shared" si="95"/>
        <v>0</v>
      </c>
      <c r="CB116" s="11">
        <f t="shared" si="96"/>
        <v>0</v>
      </c>
      <c r="CC116" s="11">
        <f t="shared" si="97"/>
        <v>0</v>
      </c>
      <c r="CD116" s="11">
        <f t="shared" si="98"/>
        <v>0</v>
      </c>
      <c r="CE116" s="11">
        <f t="shared" si="99"/>
        <v>0</v>
      </c>
      <c r="CF116" s="11">
        <f t="shared" si="100"/>
        <v>0</v>
      </c>
      <c r="CG116" s="11"/>
      <c r="CH116" s="41">
        <v>1</v>
      </c>
      <c r="CJ116" s="54">
        <f t="shared" si="101"/>
        <v>0</v>
      </c>
      <c r="CK116" s="54">
        <f t="shared" si="102"/>
        <v>0</v>
      </c>
      <c r="CL116" s="54">
        <f t="shared" si="103"/>
        <v>0</v>
      </c>
      <c r="CM116" s="54">
        <f t="shared" si="104"/>
        <v>0</v>
      </c>
      <c r="CN116" s="54">
        <f t="shared" si="105"/>
        <v>0</v>
      </c>
      <c r="CO116" s="54">
        <f t="shared" si="106"/>
        <v>0</v>
      </c>
      <c r="CP116" s="54">
        <f t="shared" si="107"/>
        <v>0</v>
      </c>
      <c r="CQ116" s="54">
        <f t="shared" si="108"/>
        <v>0</v>
      </c>
      <c r="CR116" s="54">
        <f t="shared" si="109"/>
        <v>0</v>
      </c>
      <c r="CS116" s="54">
        <f t="shared" si="110"/>
        <v>0</v>
      </c>
      <c r="CT116" s="54">
        <f t="shared" si="111"/>
        <v>0</v>
      </c>
      <c r="CU116" s="54">
        <f t="shared" si="112"/>
        <v>0</v>
      </c>
      <c r="CV116" s="52">
        <f t="shared" si="113"/>
        <v>0</v>
      </c>
    </row>
    <row r="117" spans="1:100" ht="15.75" x14ac:dyDescent="0.25">
      <c r="A117" s="17"/>
      <c r="B117" s="17"/>
      <c r="C117" s="17"/>
      <c r="D117" s="17"/>
      <c r="E117" s="17"/>
      <c r="F117" s="32" t="s">
        <v>2954</v>
      </c>
      <c r="G117" s="78"/>
      <c r="H117" s="78"/>
      <c r="I117" s="78"/>
      <c r="J117" s="78"/>
      <c r="K117" s="78"/>
      <c r="L117" s="78"/>
      <c r="M117" s="78"/>
      <c r="N117" s="78"/>
      <c r="O117" s="78"/>
      <c r="P117" s="78"/>
      <c r="Q117" s="78"/>
      <c r="R117" s="78"/>
      <c r="S117" s="11">
        <f t="shared" si="85"/>
        <v>0</v>
      </c>
      <c r="T117" s="8">
        <f t="shared" ref="T117:T141" si="114">IFERROR(((S17-S117)/S117),0)</f>
        <v>0</v>
      </c>
      <c r="U117" s="13" t="s">
        <v>2953</v>
      </c>
      <c r="V117" s="46">
        <f t="shared" si="88"/>
        <v>0</v>
      </c>
      <c r="W117" s="36">
        <v>3.766</v>
      </c>
      <c r="X117" s="36">
        <v>3.766</v>
      </c>
      <c r="Y117" s="36">
        <v>3.766</v>
      </c>
      <c r="Z117" s="36">
        <v>3.766</v>
      </c>
      <c r="AA117" s="36">
        <v>3.766</v>
      </c>
      <c r="AB117" s="36">
        <v>3.766</v>
      </c>
      <c r="AC117" s="36">
        <v>3.766</v>
      </c>
      <c r="AD117" s="36">
        <v>3.766</v>
      </c>
      <c r="AE117" s="36">
        <v>3.766</v>
      </c>
      <c r="AF117" s="36">
        <v>3.766</v>
      </c>
      <c r="AG117" s="36">
        <v>3.766</v>
      </c>
      <c r="AH117" s="36">
        <v>3.766</v>
      </c>
      <c r="AI117" s="39">
        <v>1.33634708931066E-2</v>
      </c>
      <c r="AJ117" s="39">
        <v>1.33634708931066E-2</v>
      </c>
      <c r="AK117" s="39">
        <v>1.33634708931066E-2</v>
      </c>
      <c r="AL117" s="39">
        <v>1.33634708931066E-2</v>
      </c>
      <c r="AM117" s="39">
        <v>1.33634708931066E-2</v>
      </c>
      <c r="AN117" s="39">
        <v>1.33634708931066E-2</v>
      </c>
      <c r="AO117" s="39">
        <v>1.33634708931066E-2</v>
      </c>
      <c r="AP117" s="39">
        <v>1.33634708931066E-2</v>
      </c>
      <c r="AQ117" s="39">
        <v>1.33634708931066E-2</v>
      </c>
      <c r="AR117" s="39">
        <v>1.33634708931066E-2</v>
      </c>
      <c r="AS117" s="39">
        <v>1.33634708931066E-2</v>
      </c>
      <c r="AT117" s="39">
        <v>1.33634708931066E-2</v>
      </c>
      <c r="AU117" s="39">
        <v>1.2392217523121999E-3</v>
      </c>
      <c r="AV117" s="39">
        <v>1.2392217523121999E-3</v>
      </c>
      <c r="AW117" s="39">
        <v>1.2392217523121999E-3</v>
      </c>
      <c r="AX117" s="39">
        <v>1.2392217523121999E-3</v>
      </c>
      <c r="AY117" s="39">
        <v>1.2392217523121999E-3</v>
      </c>
      <c r="AZ117" s="39">
        <v>1.2392217523121999E-3</v>
      </c>
      <c r="BA117" s="39">
        <v>1.2392217523121999E-3</v>
      </c>
      <c r="BB117" s="39">
        <v>1.2392217523121999E-3</v>
      </c>
      <c r="BC117" s="39">
        <v>1.2392217523121999E-3</v>
      </c>
      <c r="BD117" s="39">
        <v>1.2392217523121999E-3</v>
      </c>
      <c r="BE117" s="39">
        <v>1.2392217523121999E-3</v>
      </c>
      <c r="BF117" s="39">
        <v>1.2392217523121999E-3</v>
      </c>
      <c r="BH117" s="12">
        <f t="shared" si="74"/>
        <v>0</v>
      </c>
      <c r="BI117" s="12">
        <f t="shared" si="75"/>
        <v>0</v>
      </c>
      <c r="BJ117" s="12">
        <f t="shared" si="76"/>
        <v>0</v>
      </c>
      <c r="BK117" s="12">
        <f t="shared" si="77"/>
        <v>0</v>
      </c>
      <c r="BL117" s="12">
        <f t="shared" si="78"/>
        <v>0</v>
      </c>
      <c r="BM117" s="12">
        <f t="shared" si="79"/>
        <v>0</v>
      </c>
      <c r="BN117" s="12">
        <f t="shared" si="80"/>
        <v>0</v>
      </c>
      <c r="BO117" s="12">
        <f t="shared" si="81"/>
        <v>0</v>
      </c>
      <c r="BP117" s="12">
        <f t="shared" si="82"/>
        <v>0</v>
      </c>
      <c r="BQ117" s="12">
        <f t="shared" si="83"/>
        <v>0</v>
      </c>
      <c r="BR117" s="12">
        <f t="shared" si="86"/>
        <v>0</v>
      </c>
      <c r="BS117" s="12">
        <f t="shared" si="87"/>
        <v>0</v>
      </c>
      <c r="BU117" s="11">
        <f t="shared" si="89"/>
        <v>0</v>
      </c>
      <c r="BV117" s="11">
        <f t="shared" si="90"/>
        <v>0</v>
      </c>
      <c r="BW117" s="11">
        <f t="shared" si="91"/>
        <v>0</v>
      </c>
      <c r="BX117" s="11">
        <f t="shared" si="92"/>
        <v>0</v>
      </c>
      <c r="BY117" s="11">
        <f t="shared" si="93"/>
        <v>0</v>
      </c>
      <c r="BZ117" s="11">
        <f t="shared" si="94"/>
        <v>0</v>
      </c>
      <c r="CA117" s="11">
        <f t="shared" si="95"/>
        <v>0</v>
      </c>
      <c r="CB117" s="11">
        <f t="shared" si="96"/>
        <v>0</v>
      </c>
      <c r="CC117" s="11">
        <f t="shared" si="97"/>
        <v>0</v>
      </c>
      <c r="CD117" s="11">
        <f t="shared" si="98"/>
        <v>0</v>
      </c>
      <c r="CE117" s="11">
        <f t="shared" si="99"/>
        <v>0</v>
      </c>
      <c r="CF117" s="11">
        <f t="shared" si="100"/>
        <v>0</v>
      </c>
      <c r="CG117" s="11"/>
      <c r="CH117" s="41">
        <v>3.23</v>
      </c>
      <c r="CJ117" s="54">
        <f t="shared" si="101"/>
        <v>0</v>
      </c>
      <c r="CK117" s="54">
        <f t="shared" si="102"/>
        <v>0</v>
      </c>
      <c r="CL117" s="54">
        <f t="shared" si="103"/>
        <v>0</v>
      </c>
      <c r="CM117" s="54">
        <f t="shared" si="104"/>
        <v>0</v>
      </c>
      <c r="CN117" s="54">
        <f t="shared" si="105"/>
        <v>0</v>
      </c>
      <c r="CO117" s="54">
        <f t="shared" si="106"/>
        <v>0</v>
      </c>
      <c r="CP117" s="54">
        <f t="shared" si="107"/>
        <v>0</v>
      </c>
      <c r="CQ117" s="54">
        <f t="shared" si="108"/>
        <v>0</v>
      </c>
      <c r="CR117" s="54">
        <f t="shared" si="109"/>
        <v>0</v>
      </c>
      <c r="CS117" s="54">
        <f t="shared" si="110"/>
        <v>0</v>
      </c>
      <c r="CT117" s="54">
        <f t="shared" si="111"/>
        <v>0</v>
      </c>
      <c r="CU117" s="54">
        <f t="shared" si="112"/>
        <v>0</v>
      </c>
      <c r="CV117" s="52">
        <f t="shared" si="113"/>
        <v>0</v>
      </c>
    </row>
    <row r="118" spans="1:100" ht="15.75" x14ac:dyDescent="0.25">
      <c r="A118" s="17"/>
      <c r="B118" s="17"/>
      <c r="C118" s="17"/>
      <c r="D118" s="17"/>
      <c r="E118" s="17"/>
      <c r="F118" s="32" t="s">
        <v>2954</v>
      </c>
      <c r="G118" s="78"/>
      <c r="H118" s="78"/>
      <c r="I118" s="78"/>
      <c r="J118" s="78"/>
      <c r="K118" s="78"/>
      <c r="L118" s="78"/>
      <c r="M118" s="78"/>
      <c r="N118" s="78"/>
      <c r="O118" s="78"/>
      <c r="P118" s="78"/>
      <c r="Q118" s="78"/>
      <c r="R118" s="78"/>
      <c r="S118" s="11">
        <f t="shared" si="85"/>
        <v>0</v>
      </c>
      <c r="T118" s="8">
        <f t="shared" si="114"/>
        <v>0</v>
      </c>
      <c r="U118" s="13" t="s">
        <v>2953</v>
      </c>
      <c r="V118" s="46">
        <f t="shared" si="88"/>
        <v>0</v>
      </c>
      <c r="W118" s="36">
        <v>0.94</v>
      </c>
      <c r="X118" s="36">
        <v>0.94</v>
      </c>
      <c r="Y118" s="36">
        <v>0.94</v>
      </c>
      <c r="Z118" s="36">
        <v>0.94</v>
      </c>
      <c r="AA118" s="36">
        <v>0.94</v>
      </c>
      <c r="AB118" s="36">
        <v>0.94</v>
      </c>
      <c r="AC118" s="36">
        <v>0.94</v>
      </c>
      <c r="AD118" s="36">
        <v>0.94</v>
      </c>
      <c r="AE118" s="36">
        <v>0.94</v>
      </c>
      <c r="AF118" s="36">
        <v>0.94</v>
      </c>
      <c r="AG118" s="36">
        <v>0.94</v>
      </c>
      <c r="AH118" s="36">
        <v>0.94</v>
      </c>
      <c r="AI118" s="39">
        <v>1.33634708931066E-2</v>
      </c>
      <c r="AJ118" s="39">
        <v>1.33634708931066E-2</v>
      </c>
      <c r="AK118" s="39">
        <v>1.33634708931066E-2</v>
      </c>
      <c r="AL118" s="39">
        <v>1.33634708931066E-2</v>
      </c>
      <c r="AM118" s="39">
        <v>1.33634708931066E-2</v>
      </c>
      <c r="AN118" s="39">
        <v>1.33634708931066E-2</v>
      </c>
      <c r="AO118" s="39">
        <v>1.33634708931066E-2</v>
      </c>
      <c r="AP118" s="39">
        <v>1.33634708931066E-2</v>
      </c>
      <c r="AQ118" s="39">
        <v>1.33634708931066E-2</v>
      </c>
      <c r="AR118" s="39">
        <v>1.33634708931066E-2</v>
      </c>
      <c r="AS118" s="39">
        <v>1.33634708931066E-2</v>
      </c>
      <c r="AT118" s="39">
        <v>1.33634708931066E-2</v>
      </c>
      <c r="AU118" s="39">
        <v>1.2392217523121999E-3</v>
      </c>
      <c r="AV118" s="39">
        <v>1.2392217523121999E-3</v>
      </c>
      <c r="AW118" s="39">
        <v>1.2392217523121999E-3</v>
      </c>
      <c r="AX118" s="39">
        <v>1.2392217523121999E-3</v>
      </c>
      <c r="AY118" s="39">
        <v>1.2392217523121999E-3</v>
      </c>
      <c r="AZ118" s="39">
        <v>1.2392217523121999E-3</v>
      </c>
      <c r="BA118" s="39">
        <v>1.2392217523121999E-3</v>
      </c>
      <c r="BB118" s="39">
        <v>1.2392217523121999E-3</v>
      </c>
      <c r="BC118" s="39">
        <v>1.2392217523121999E-3</v>
      </c>
      <c r="BD118" s="39">
        <v>1.2392217523121999E-3</v>
      </c>
      <c r="BE118" s="39">
        <v>1.2392217523121999E-3</v>
      </c>
      <c r="BF118" s="39">
        <v>1.2392217523121999E-3</v>
      </c>
      <c r="BH118" s="12">
        <f t="shared" si="74"/>
        <v>0</v>
      </c>
      <c r="BI118" s="12">
        <f t="shared" si="75"/>
        <v>0</v>
      </c>
      <c r="BJ118" s="12">
        <f t="shared" si="76"/>
        <v>0</v>
      </c>
      <c r="BK118" s="12">
        <f t="shared" si="77"/>
        <v>0</v>
      </c>
      <c r="BL118" s="12">
        <f t="shared" si="78"/>
        <v>0</v>
      </c>
      <c r="BM118" s="12">
        <f t="shared" si="79"/>
        <v>0</v>
      </c>
      <c r="BN118" s="12">
        <f t="shared" si="80"/>
        <v>0</v>
      </c>
      <c r="BO118" s="12">
        <f t="shared" si="81"/>
        <v>0</v>
      </c>
      <c r="BP118" s="12">
        <f t="shared" si="82"/>
        <v>0</v>
      </c>
      <c r="BQ118" s="12">
        <f t="shared" si="83"/>
        <v>0</v>
      </c>
      <c r="BR118" s="12">
        <f t="shared" si="86"/>
        <v>0</v>
      </c>
      <c r="BS118" s="12">
        <f t="shared" si="87"/>
        <v>0</v>
      </c>
      <c r="BU118" s="11">
        <f t="shared" si="89"/>
        <v>0</v>
      </c>
      <c r="BV118" s="11">
        <f t="shared" si="90"/>
        <v>0</v>
      </c>
      <c r="BW118" s="11">
        <f t="shared" si="91"/>
        <v>0</v>
      </c>
      <c r="BX118" s="11">
        <f t="shared" si="92"/>
        <v>0</v>
      </c>
      <c r="BY118" s="11">
        <f t="shared" si="93"/>
        <v>0</v>
      </c>
      <c r="BZ118" s="11">
        <f t="shared" si="94"/>
        <v>0</v>
      </c>
      <c r="CA118" s="11">
        <f t="shared" si="95"/>
        <v>0</v>
      </c>
      <c r="CB118" s="11">
        <f t="shared" si="96"/>
        <v>0</v>
      </c>
      <c r="CC118" s="11">
        <f t="shared" si="97"/>
        <v>0</v>
      </c>
      <c r="CD118" s="11">
        <f t="shared" si="98"/>
        <v>0</v>
      </c>
      <c r="CE118" s="11">
        <f t="shared" si="99"/>
        <v>0</v>
      </c>
      <c r="CF118" s="11">
        <f t="shared" si="100"/>
        <v>0</v>
      </c>
      <c r="CG118" s="11"/>
      <c r="CH118" s="41">
        <v>3.23</v>
      </c>
      <c r="CJ118" s="54">
        <f t="shared" si="101"/>
        <v>0</v>
      </c>
      <c r="CK118" s="54">
        <f t="shared" si="102"/>
        <v>0</v>
      </c>
      <c r="CL118" s="54">
        <f t="shared" si="103"/>
        <v>0</v>
      </c>
      <c r="CM118" s="54">
        <f t="shared" si="104"/>
        <v>0</v>
      </c>
      <c r="CN118" s="54">
        <f t="shared" si="105"/>
        <v>0</v>
      </c>
      <c r="CO118" s="54">
        <f t="shared" si="106"/>
        <v>0</v>
      </c>
      <c r="CP118" s="54">
        <f t="shared" si="107"/>
        <v>0</v>
      </c>
      <c r="CQ118" s="54">
        <f t="shared" si="108"/>
        <v>0</v>
      </c>
      <c r="CR118" s="54">
        <f t="shared" si="109"/>
        <v>0</v>
      </c>
      <c r="CS118" s="54">
        <f t="shared" si="110"/>
        <v>0</v>
      </c>
      <c r="CT118" s="54">
        <f t="shared" si="111"/>
        <v>0</v>
      </c>
      <c r="CU118" s="54">
        <f t="shared" si="112"/>
        <v>0</v>
      </c>
      <c r="CV118" s="52">
        <f t="shared" si="113"/>
        <v>0</v>
      </c>
    </row>
    <row r="119" spans="1:100" ht="15.75" x14ac:dyDescent="0.25">
      <c r="A119" s="17"/>
      <c r="B119" s="17"/>
      <c r="C119" s="17"/>
      <c r="D119" s="17"/>
      <c r="E119" s="17"/>
      <c r="F119" s="32" t="s">
        <v>2954</v>
      </c>
      <c r="G119" s="78"/>
      <c r="H119" s="78"/>
      <c r="I119" s="78"/>
      <c r="J119" s="78"/>
      <c r="K119" s="78"/>
      <c r="L119" s="78"/>
      <c r="M119" s="78"/>
      <c r="N119" s="78"/>
      <c r="O119" s="78"/>
      <c r="P119" s="78"/>
      <c r="Q119" s="78"/>
      <c r="R119" s="78"/>
      <c r="S119" s="11">
        <f t="shared" si="85"/>
        <v>0</v>
      </c>
      <c r="T119" s="8">
        <f t="shared" si="114"/>
        <v>0</v>
      </c>
      <c r="U119" s="13" t="s">
        <v>2953</v>
      </c>
      <c r="V119" s="46">
        <f t="shared" si="88"/>
        <v>0</v>
      </c>
      <c r="W119" s="36">
        <v>1.75</v>
      </c>
      <c r="X119" s="36">
        <v>1.75</v>
      </c>
      <c r="Y119" s="36">
        <v>1.75</v>
      </c>
      <c r="Z119" s="36">
        <v>1.75</v>
      </c>
      <c r="AA119" s="36">
        <v>1.75</v>
      </c>
      <c r="AB119" s="36">
        <v>1.75</v>
      </c>
      <c r="AC119" s="36">
        <v>1.75</v>
      </c>
      <c r="AD119" s="36">
        <v>1.75</v>
      </c>
      <c r="AE119" s="36">
        <v>1.75</v>
      </c>
      <c r="AF119" s="36">
        <v>1.75</v>
      </c>
      <c r="AG119" s="36">
        <v>1.75</v>
      </c>
      <c r="AH119" s="36">
        <v>1.75</v>
      </c>
      <c r="AI119" s="39">
        <v>1.33634708931066E-2</v>
      </c>
      <c r="AJ119" s="39">
        <v>1.33634708931066E-2</v>
      </c>
      <c r="AK119" s="39">
        <v>1.33634708931066E-2</v>
      </c>
      <c r="AL119" s="39">
        <v>1.33634708931066E-2</v>
      </c>
      <c r="AM119" s="39">
        <v>1.33634708931066E-2</v>
      </c>
      <c r="AN119" s="39">
        <v>1.33634708931066E-2</v>
      </c>
      <c r="AO119" s="39">
        <v>1.33634708931066E-2</v>
      </c>
      <c r="AP119" s="39">
        <v>1.33634708931066E-2</v>
      </c>
      <c r="AQ119" s="39">
        <v>1.33634708931066E-2</v>
      </c>
      <c r="AR119" s="39">
        <v>1.33634708931066E-2</v>
      </c>
      <c r="AS119" s="39">
        <v>1.33634708931066E-2</v>
      </c>
      <c r="AT119" s="39">
        <v>1.33634708931066E-2</v>
      </c>
      <c r="AU119" s="39">
        <v>1.2392217523121999E-3</v>
      </c>
      <c r="AV119" s="39">
        <v>1.2392217523121999E-3</v>
      </c>
      <c r="AW119" s="39">
        <v>1.2392217523121999E-3</v>
      </c>
      <c r="AX119" s="39">
        <v>1.2392217523121999E-3</v>
      </c>
      <c r="AY119" s="39">
        <v>1.2392217523121999E-3</v>
      </c>
      <c r="AZ119" s="39">
        <v>1.2392217523121999E-3</v>
      </c>
      <c r="BA119" s="39">
        <v>1.2392217523121999E-3</v>
      </c>
      <c r="BB119" s="39">
        <v>1.2392217523121999E-3</v>
      </c>
      <c r="BC119" s="39">
        <v>1.2392217523121999E-3</v>
      </c>
      <c r="BD119" s="39">
        <v>1.2392217523121999E-3</v>
      </c>
      <c r="BE119" s="39">
        <v>1.2392217523121999E-3</v>
      </c>
      <c r="BF119" s="39">
        <v>1.2392217523121999E-3</v>
      </c>
      <c r="BH119" s="12">
        <f t="shared" si="74"/>
        <v>0</v>
      </c>
      <c r="BI119" s="12">
        <f t="shared" si="75"/>
        <v>0</v>
      </c>
      <c r="BJ119" s="12">
        <f t="shared" si="76"/>
        <v>0</v>
      </c>
      <c r="BK119" s="12">
        <f t="shared" si="77"/>
        <v>0</v>
      </c>
      <c r="BL119" s="12">
        <f t="shared" si="78"/>
        <v>0</v>
      </c>
      <c r="BM119" s="12">
        <f t="shared" si="79"/>
        <v>0</v>
      </c>
      <c r="BN119" s="12">
        <f t="shared" si="80"/>
        <v>0</v>
      </c>
      <c r="BO119" s="12">
        <f t="shared" si="81"/>
        <v>0</v>
      </c>
      <c r="BP119" s="12">
        <f t="shared" si="82"/>
        <v>0</v>
      </c>
      <c r="BQ119" s="12">
        <f t="shared" si="83"/>
        <v>0</v>
      </c>
      <c r="BR119" s="12">
        <f t="shared" si="86"/>
        <v>0</v>
      </c>
      <c r="BS119" s="12">
        <f t="shared" si="87"/>
        <v>0</v>
      </c>
      <c r="BU119" s="11">
        <f t="shared" si="89"/>
        <v>0</v>
      </c>
      <c r="BV119" s="11">
        <f t="shared" si="90"/>
        <v>0</v>
      </c>
      <c r="BW119" s="11">
        <f t="shared" si="91"/>
        <v>0</v>
      </c>
      <c r="BX119" s="11">
        <f t="shared" si="92"/>
        <v>0</v>
      </c>
      <c r="BY119" s="11">
        <f t="shared" si="93"/>
        <v>0</v>
      </c>
      <c r="BZ119" s="11">
        <f t="shared" si="94"/>
        <v>0</v>
      </c>
      <c r="CA119" s="11">
        <f t="shared" si="95"/>
        <v>0</v>
      </c>
      <c r="CB119" s="11">
        <f t="shared" si="96"/>
        <v>0</v>
      </c>
      <c r="CC119" s="11">
        <f t="shared" si="97"/>
        <v>0</v>
      </c>
      <c r="CD119" s="11">
        <f t="shared" si="98"/>
        <v>0</v>
      </c>
      <c r="CE119" s="11">
        <f t="shared" si="99"/>
        <v>0</v>
      </c>
      <c r="CF119" s="11">
        <f t="shared" si="100"/>
        <v>0</v>
      </c>
      <c r="CG119" s="11"/>
      <c r="CH119" s="41">
        <v>3.23</v>
      </c>
      <c r="CJ119" s="54">
        <f t="shared" si="101"/>
        <v>0</v>
      </c>
      <c r="CK119" s="54">
        <f t="shared" si="102"/>
        <v>0</v>
      </c>
      <c r="CL119" s="54">
        <f t="shared" si="103"/>
        <v>0</v>
      </c>
      <c r="CM119" s="54">
        <f t="shared" si="104"/>
        <v>0</v>
      </c>
      <c r="CN119" s="54">
        <f t="shared" si="105"/>
        <v>0</v>
      </c>
      <c r="CO119" s="54">
        <f t="shared" si="106"/>
        <v>0</v>
      </c>
      <c r="CP119" s="54">
        <f t="shared" si="107"/>
        <v>0</v>
      </c>
      <c r="CQ119" s="54">
        <f t="shared" si="108"/>
        <v>0</v>
      </c>
      <c r="CR119" s="54">
        <f t="shared" si="109"/>
        <v>0</v>
      </c>
      <c r="CS119" s="54">
        <f t="shared" si="110"/>
        <v>0</v>
      </c>
      <c r="CT119" s="54">
        <f t="shared" si="111"/>
        <v>0</v>
      </c>
      <c r="CU119" s="54">
        <f t="shared" si="112"/>
        <v>0</v>
      </c>
      <c r="CV119" s="52">
        <f t="shared" si="113"/>
        <v>0</v>
      </c>
    </row>
    <row r="120" spans="1:100" ht="15.75" x14ac:dyDescent="0.25">
      <c r="A120" s="17"/>
      <c r="B120" s="17"/>
      <c r="C120" s="17"/>
      <c r="D120" s="17"/>
      <c r="E120" s="17"/>
      <c r="F120" s="32" t="s">
        <v>2954</v>
      </c>
      <c r="G120" s="78"/>
      <c r="H120" s="78"/>
      <c r="I120" s="78"/>
      <c r="J120" s="78"/>
      <c r="K120" s="78"/>
      <c r="L120" s="78"/>
      <c r="M120" s="78"/>
      <c r="N120" s="78"/>
      <c r="O120" s="78"/>
      <c r="P120" s="78"/>
      <c r="Q120" s="78"/>
      <c r="R120" s="78"/>
      <c r="S120" s="11">
        <f t="shared" si="85"/>
        <v>0</v>
      </c>
      <c r="T120" s="8">
        <f t="shared" si="114"/>
        <v>0</v>
      </c>
      <c r="U120" s="13" t="s">
        <v>2953</v>
      </c>
      <c r="V120" s="46">
        <f t="shared" si="88"/>
        <v>0</v>
      </c>
      <c r="W120" s="36">
        <v>1.82</v>
      </c>
      <c r="X120" s="36">
        <v>1.82</v>
      </c>
      <c r="Y120" s="36">
        <v>2.367</v>
      </c>
      <c r="Z120" s="36">
        <v>2.367</v>
      </c>
      <c r="AA120" s="36">
        <v>2.367</v>
      </c>
      <c r="AB120" s="36">
        <v>2.367</v>
      </c>
      <c r="AC120" s="36">
        <v>2.367</v>
      </c>
      <c r="AD120" s="36">
        <v>2.367</v>
      </c>
      <c r="AE120" s="36">
        <v>2.367</v>
      </c>
      <c r="AF120" s="36">
        <v>2.367</v>
      </c>
      <c r="AG120" s="36">
        <v>2.367</v>
      </c>
      <c r="AH120" s="36">
        <v>2.367</v>
      </c>
      <c r="AI120" s="39">
        <v>1.33634708931066E-2</v>
      </c>
      <c r="AJ120" s="39">
        <v>1.33634708931066E-2</v>
      </c>
      <c r="AK120" s="39">
        <v>1.33634708931066E-2</v>
      </c>
      <c r="AL120" s="39">
        <v>1.33634708931066E-2</v>
      </c>
      <c r="AM120" s="39">
        <v>1.33634708931066E-2</v>
      </c>
      <c r="AN120" s="39">
        <v>1.33634708931066E-2</v>
      </c>
      <c r="AO120" s="39">
        <v>1.33634708931066E-2</v>
      </c>
      <c r="AP120" s="39">
        <v>1.33634708931066E-2</v>
      </c>
      <c r="AQ120" s="39">
        <v>1.33634708931066E-2</v>
      </c>
      <c r="AR120" s="39">
        <v>1.33634708931066E-2</v>
      </c>
      <c r="AS120" s="39">
        <v>1.33634708931066E-2</v>
      </c>
      <c r="AT120" s="39">
        <v>1.33634708931066E-2</v>
      </c>
      <c r="AU120" s="39">
        <v>1.2392217523121999E-3</v>
      </c>
      <c r="AV120" s="39">
        <v>1.2392217523121999E-3</v>
      </c>
      <c r="AW120" s="39">
        <v>1.2392217523121999E-3</v>
      </c>
      <c r="AX120" s="39">
        <v>1.2392217523121999E-3</v>
      </c>
      <c r="AY120" s="39">
        <v>1.2392217523121999E-3</v>
      </c>
      <c r="AZ120" s="39">
        <v>1.2392217523121999E-3</v>
      </c>
      <c r="BA120" s="39">
        <v>1.2392217523121999E-3</v>
      </c>
      <c r="BB120" s="39">
        <v>1.2392217523121999E-3</v>
      </c>
      <c r="BC120" s="39">
        <v>1.2392217523121999E-3</v>
      </c>
      <c r="BD120" s="39">
        <v>1.2392217523121999E-3</v>
      </c>
      <c r="BE120" s="39">
        <v>1.2392217523121999E-3</v>
      </c>
      <c r="BF120" s="39">
        <v>1.2392217523121999E-3</v>
      </c>
      <c r="BH120" s="12">
        <f t="shared" si="74"/>
        <v>0</v>
      </c>
      <c r="BI120" s="12">
        <f t="shared" si="75"/>
        <v>0</v>
      </c>
      <c r="BJ120" s="12">
        <f t="shared" si="76"/>
        <v>0</v>
      </c>
      <c r="BK120" s="12">
        <f t="shared" si="77"/>
        <v>0</v>
      </c>
      <c r="BL120" s="12">
        <f t="shared" si="78"/>
        <v>0</v>
      </c>
      <c r="BM120" s="12">
        <f t="shared" si="79"/>
        <v>0</v>
      </c>
      <c r="BN120" s="12">
        <f t="shared" si="80"/>
        <v>0</v>
      </c>
      <c r="BO120" s="12">
        <f t="shared" si="81"/>
        <v>0</v>
      </c>
      <c r="BP120" s="12">
        <f t="shared" si="82"/>
        <v>0</v>
      </c>
      <c r="BQ120" s="12">
        <f t="shared" si="83"/>
        <v>0</v>
      </c>
      <c r="BR120" s="12">
        <f t="shared" si="86"/>
        <v>0</v>
      </c>
      <c r="BS120" s="12">
        <f t="shared" si="87"/>
        <v>0</v>
      </c>
      <c r="BU120" s="11">
        <f t="shared" si="89"/>
        <v>0</v>
      </c>
      <c r="BV120" s="11">
        <f t="shared" si="90"/>
        <v>0</v>
      </c>
      <c r="BW120" s="11">
        <f t="shared" si="91"/>
        <v>0</v>
      </c>
      <c r="BX120" s="11">
        <f t="shared" si="92"/>
        <v>0</v>
      </c>
      <c r="BY120" s="11">
        <f t="shared" si="93"/>
        <v>0</v>
      </c>
      <c r="BZ120" s="11">
        <f t="shared" si="94"/>
        <v>0</v>
      </c>
      <c r="CA120" s="11">
        <f t="shared" si="95"/>
        <v>0</v>
      </c>
      <c r="CB120" s="11">
        <f t="shared" si="96"/>
        <v>0</v>
      </c>
      <c r="CC120" s="11">
        <f t="shared" si="97"/>
        <v>0</v>
      </c>
      <c r="CD120" s="11">
        <f t="shared" si="98"/>
        <v>0</v>
      </c>
      <c r="CE120" s="11">
        <f t="shared" si="99"/>
        <v>0</v>
      </c>
      <c r="CF120" s="11">
        <f t="shared" si="100"/>
        <v>0</v>
      </c>
      <c r="CG120" s="11"/>
      <c r="CH120" s="41">
        <v>3.23</v>
      </c>
      <c r="CJ120" s="54">
        <f t="shared" si="101"/>
        <v>0</v>
      </c>
      <c r="CK120" s="54">
        <f t="shared" si="102"/>
        <v>0</v>
      </c>
      <c r="CL120" s="54">
        <f t="shared" si="103"/>
        <v>0</v>
      </c>
      <c r="CM120" s="54">
        <f t="shared" si="104"/>
        <v>0</v>
      </c>
      <c r="CN120" s="54">
        <f t="shared" si="105"/>
        <v>0</v>
      </c>
      <c r="CO120" s="54">
        <f t="shared" si="106"/>
        <v>0</v>
      </c>
      <c r="CP120" s="54">
        <f t="shared" si="107"/>
        <v>0</v>
      </c>
      <c r="CQ120" s="54">
        <f t="shared" si="108"/>
        <v>0</v>
      </c>
      <c r="CR120" s="54">
        <f t="shared" si="109"/>
        <v>0</v>
      </c>
      <c r="CS120" s="54">
        <f t="shared" si="110"/>
        <v>0</v>
      </c>
      <c r="CT120" s="54">
        <f t="shared" si="111"/>
        <v>0</v>
      </c>
      <c r="CU120" s="54">
        <f t="shared" si="112"/>
        <v>0</v>
      </c>
      <c r="CV120" s="52">
        <f t="shared" si="113"/>
        <v>0</v>
      </c>
    </row>
    <row r="121" spans="1:100" ht="15.75" x14ac:dyDescent="0.25">
      <c r="A121" s="17"/>
      <c r="B121" s="17"/>
      <c r="C121" s="17"/>
      <c r="D121" s="17"/>
      <c r="E121" s="17"/>
      <c r="F121" s="32" t="s">
        <v>2954</v>
      </c>
      <c r="G121" s="78"/>
      <c r="H121" s="78"/>
      <c r="I121" s="78"/>
      <c r="J121" s="78"/>
      <c r="K121" s="78"/>
      <c r="L121" s="78"/>
      <c r="M121" s="78"/>
      <c r="N121" s="78"/>
      <c r="O121" s="78"/>
      <c r="P121" s="78"/>
      <c r="Q121" s="78"/>
      <c r="R121" s="78"/>
      <c r="S121" s="11">
        <f t="shared" si="85"/>
        <v>0</v>
      </c>
      <c r="T121" s="8">
        <f t="shared" si="114"/>
        <v>0</v>
      </c>
      <c r="U121" s="13" t="s">
        <v>2953</v>
      </c>
      <c r="V121" s="46">
        <f t="shared" si="88"/>
        <v>0</v>
      </c>
      <c r="W121" s="36">
        <v>1.4890000000000001</v>
      </c>
      <c r="X121" s="36">
        <v>1.4890000000000001</v>
      </c>
      <c r="Y121" s="36">
        <v>1.9370000000000001</v>
      </c>
      <c r="Z121" s="36">
        <v>1.9370000000000001</v>
      </c>
      <c r="AA121" s="36">
        <v>1.9370000000000001</v>
      </c>
      <c r="AB121" s="36">
        <v>1.9370000000000001</v>
      </c>
      <c r="AC121" s="36">
        <v>1.9370000000000001</v>
      </c>
      <c r="AD121" s="36">
        <v>1.9370000000000001</v>
      </c>
      <c r="AE121" s="36">
        <v>1.9370000000000001</v>
      </c>
      <c r="AF121" s="36">
        <v>1.9370000000000001</v>
      </c>
      <c r="AG121" s="36">
        <v>1.9370000000000001</v>
      </c>
      <c r="AH121" s="36">
        <v>1.9370000000000001</v>
      </c>
      <c r="AI121" s="39">
        <v>1.33634708931066E-2</v>
      </c>
      <c r="AJ121" s="39">
        <v>1.33634708931066E-2</v>
      </c>
      <c r="AK121" s="39">
        <v>1.33634708931066E-2</v>
      </c>
      <c r="AL121" s="39">
        <v>1.33634708931066E-2</v>
      </c>
      <c r="AM121" s="39">
        <v>1.33634708931066E-2</v>
      </c>
      <c r="AN121" s="39">
        <v>1.33634708931066E-2</v>
      </c>
      <c r="AO121" s="39">
        <v>1.33634708931066E-2</v>
      </c>
      <c r="AP121" s="39">
        <v>1.33634708931066E-2</v>
      </c>
      <c r="AQ121" s="39">
        <v>1.33634708931066E-2</v>
      </c>
      <c r="AR121" s="39">
        <v>1.33634708931066E-2</v>
      </c>
      <c r="AS121" s="39">
        <v>1.33634708931066E-2</v>
      </c>
      <c r="AT121" s="39">
        <v>1.33634708931066E-2</v>
      </c>
      <c r="AU121" s="39">
        <v>1.2392217523121999E-3</v>
      </c>
      <c r="AV121" s="39">
        <v>1.2392217523121999E-3</v>
      </c>
      <c r="AW121" s="39">
        <v>1.2392217523121999E-3</v>
      </c>
      <c r="AX121" s="39">
        <v>1.2392217523121999E-3</v>
      </c>
      <c r="AY121" s="39">
        <v>1.2392217523121999E-3</v>
      </c>
      <c r="AZ121" s="39">
        <v>1.2392217523121999E-3</v>
      </c>
      <c r="BA121" s="39">
        <v>1.2392217523121999E-3</v>
      </c>
      <c r="BB121" s="39">
        <v>1.2392217523121999E-3</v>
      </c>
      <c r="BC121" s="39">
        <v>1.2392217523121999E-3</v>
      </c>
      <c r="BD121" s="39">
        <v>1.2392217523121999E-3</v>
      </c>
      <c r="BE121" s="39">
        <v>1.2392217523121999E-3</v>
      </c>
      <c r="BF121" s="39">
        <v>1.2392217523121999E-3</v>
      </c>
      <c r="BH121" s="12">
        <f t="shared" si="74"/>
        <v>0</v>
      </c>
      <c r="BI121" s="12">
        <f t="shared" si="75"/>
        <v>0</v>
      </c>
      <c r="BJ121" s="12">
        <f t="shared" si="76"/>
        <v>0</v>
      </c>
      <c r="BK121" s="12">
        <f t="shared" si="77"/>
        <v>0</v>
      </c>
      <c r="BL121" s="12">
        <f t="shared" si="78"/>
        <v>0</v>
      </c>
      <c r="BM121" s="12">
        <f t="shared" si="79"/>
        <v>0</v>
      </c>
      <c r="BN121" s="12">
        <f t="shared" si="80"/>
        <v>0</v>
      </c>
      <c r="BO121" s="12">
        <f t="shared" si="81"/>
        <v>0</v>
      </c>
      <c r="BP121" s="12">
        <f t="shared" si="82"/>
        <v>0</v>
      </c>
      <c r="BQ121" s="12">
        <f t="shared" si="83"/>
        <v>0</v>
      </c>
      <c r="BR121" s="12">
        <f t="shared" si="86"/>
        <v>0</v>
      </c>
      <c r="BS121" s="12">
        <f t="shared" si="87"/>
        <v>0</v>
      </c>
      <c r="BU121" s="11">
        <f t="shared" si="89"/>
        <v>0</v>
      </c>
      <c r="BV121" s="11">
        <f t="shared" si="90"/>
        <v>0</v>
      </c>
      <c r="BW121" s="11">
        <f t="shared" si="91"/>
        <v>0</v>
      </c>
      <c r="BX121" s="11">
        <f t="shared" si="92"/>
        <v>0</v>
      </c>
      <c r="BY121" s="11">
        <f t="shared" si="93"/>
        <v>0</v>
      </c>
      <c r="BZ121" s="11">
        <f t="shared" si="94"/>
        <v>0</v>
      </c>
      <c r="CA121" s="11">
        <f t="shared" si="95"/>
        <v>0</v>
      </c>
      <c r="CB121" s="11">
        <f t="shared" si="96"/>
        <v>0</v>
      </c>
      <c r="CC121" s="11">
        <f t="shared" si="97"/>
        <v>0</v>
      </c>
      <c r="CD121" s="11">
        <f t="shared" si="98"/>
        <v>0</v>
      </c>
      <c r="CE121" s="11">
        <f t="shared" si="99"/>
        <v>0</v>
      </c>
      <c r="CF121" s="11">
        <f t="shared" si="100"/>
        <v>0</v>
      </c>
      <c r="CG121" s="11"/>
      <c r="CH121" s="41">
        <v>3.23</v>
      </c>
      <c r="CJ121" s="54">
        <f t="shared" si="101"/>
        <v>0</v>
      </c>
      <c r="CK121" s="54">
        <f t="shared" si="102"/>
        <v>0</v>
      </c>
      <c r="CL121" s="54">
        <f t="shared" si="103"/>
        <v>0</v>
      </c>
      <c r="CM121" s="54">
        <f t="shared" si="104"/>
        <v>0</v>
      </c>
      <c r="CN121" s="54">
        <f t="shared" si="105"/>
        <v>0</v>
      </c>
      <c r="CO121" s="54">
        <f t="shared" si="106"/>
        <v>0</v>
      </c>
      <c r="CP121" s="54">
        <f t="shared" si="107"/>
        <v>0</v>
      </c>
      <c r="CQ121" s="54">
        <f t="shared" si="108"/>
        <v>0</v>
      </c>
      <c r="CR121" s="54">
        <f t="shared" si="109"/>
        <v>0</v>
      </c>
      <c r="CS121" s="54">
        <f t="shared" si="110"/>
        <v>0</v>
      </c>
      <c r="CT121" s="54">
        <f t="shared" si="111"/>
        <v>0</v>
      </c>
      <c r="CU121" s="54">
        <f t="shared" si="112"/>
        <v>0</v>
      </c>
      <c r="CV121" s="52">
        <f t="shared" si="113"/>
        <v>0</v>
      </c>
    </row>
    <row r="122" spans="1:100" ht="15.75" x14ac:dyDescent="0.25">
      <c r="A122" s="17"/>
      <c r="B122" s="17"/>
      <c r="C122" s="17"/>
      <c r="D122" s="17"/>
      <c r="E122" s="17"/>
      <c r="F122" s="32" t="s">
        <v>2954</v>
      </c>
      <c r="G122" s="78"/>
      <c r="H122" s="78"/>
      <c r="I122" s="78"/>
      <c r="J122" s="78"/>
      <c r="K122" s="78"/>
      <c r="L122" s="78"/>
      <c r="M122" s="78"/>
      <c r="N122" s="78"/>
      <c r="O122" s="78"/>
      <c r="P122" s="78"/>
      <c r="Q122" s="78"/>
      <c r="R122" s="78"/>
      <c r="S122" s="11">
        <f t="shared" si="85"/>
        <v>0</v>
      </c>
      <c r="T122" s="8">
        <f t="shared" si="114"/>
        <v>0</v>
      </c>
      <c r="U122" s="13" t="s">
        <v>2953</v>
      </c>
      <c r="V122" s="46">
        <f t="shared" si="88"/>
        <v>0</v>
      </c>
      <c r="W122" s="36">
        <v>1.9890000000000001</v>
      </c>
      <c r="X122" s="36">
        <v>1.9890000000000001</v>
      </c>
      <c r="Y122" s="36">
        <v>2.6589999999999998</v>
      </c>
      <c r="Z122" s="36">
        <v>2.6589999999999998</v>
      </c>
      <c r="AA122" s="36">
        <v>2.6589999999999998</v>
      </c>
      <c r="AB122" s="36">
        <v>2.6589999999999998</v>
      </c>
      <c r="AC122" s="36">
        <v>2.6589999999999998</v>
      </c>
      <c r="AD122" s="36">
        <v>2.6589999999999998</v>
      </c>
      <c r="AE122" s="36">
        <v>2.6589999999999998</v>
      </c>
      <c r="AF122" s="36">
        <v>2.6589999999999998</v>
      </c>
      <c r="AG122" s="36">
        <v>2.6589999999999998</v>
      </c>
      <c r="AH122" s="36">
        <v>2.6589999999999998</v>
      </c>
      <c r="AI122" s="39">
        <v>1.33634708931066E-2</v>
      </c>
      <c r="AJ122" s="39">
        <v>1.33634708931066E-2</v>
      </c>
      <c r="AK122" s="39">
        <v>1.33634708931066E-2</v>
      </c>
      <c r="AL122" s="39">
        <v>1.33634708931066E-2</v>
      </c>
      <c r="AM122" s="39">
        <v>1.33634708931066E-2</v>
      </c>
      <c r="AN122" s="39">
        <v>1.33634708931066E-2</v>
      </c>
      <c r="AO122" s="39">
        <v>1.33634708931066E-2</v>
      </c>
      <c r="AP122" s="39">
        <v>1.33634708931066E-2</v>
      </c>
      <c r="AQ122" s="39">
        <v>1.33634708931066E-2</v>
      </c>
      <c r="AR122" s="39">
        <v>1.33634708931066E-2</v>
      </c>
      <c r="AS122" s="39">
        <v>1.33634708931066E-2</v>
      </c>
      <c r="AT122" s="39">
        <v>1.33634708931066E-2</v>
      </c>
      <c r="AU122" s="39">
        <v>1.2392217523121999E-3</v>
      </c>
      <c r="AV122" s="39">
        <v>1.2392217523121999E-3</v>
      </c>
      <c r="AW122" s="39">
        <v>1.2392217523121999E-3</v>
      </c>
      <c r="AX122" s="39">
        <v>1.2392217523121999E-3</v>
      </c>
      <c r="AY122" s="39">
        <v>1.2392217523121999E-3</v>
      </c>
      <c r="AZ122" s="39">
        <v>1.2392217523121999E-3</v>
      </c>
      <c r="BA122" s="39">
        <v>1.2392217523121999E-3</v>
      </c>
      <c r="BB122" s="39">
        <v>1.2392217523121999E-3</v>
      </c>
      <c r="BC122" s="39">
        <v>1.2392217523121999E-3</v>
      </c>
      <c r="BD122" s="39">
        <v>1.2392217523121999E-3</v>
      </c>
      <c r="BE122" s="39">
        <v>1.2392217523121999E-3</v>
      </c>
      <c r="BF122" s="39">
        <v>1.2392217523121999E-3</v>
      </c>
      <c r="BH122" s="12">
        <f t="shared" si="74"/>
        <v>0</v>
      </c>
      <c r="BI122" s="12">
        <f t="shared" si="75"/>
        <v>0</v>
      </c>
      <c r="BJ122" s="12">
        <f t="shared" si="76"/>
        <v>0</v>
      </c>
      <c r="BK122" s="12">
        <f t="shared" si="77"/>
        <v>0</v>
      </c>
      <c r="BL122" s="12">
        <f t="shared" si="78"/>
        <v>0</v>
      </c>
      <c r="BM122" s="12">
        <f t="shared" si="79"/>
        <v>0</v>
      </c>
      <c r="BN122" s="12">
        <f t="shared" si="80"/>
        <v>0</v>
      </c>
      <c r="BO122" s="12">
        <f t="shared" si="81"/>
        <v>0</v>
      </c>
      <c r="BP122" s="12">
        <f t="shared" si="82"/>
        <v>0</v>
      </c>
      <c r="BQ122" s="12">
        <f t="shared" si="83"/>
        <v>0</v>
      </c>
      <c r="BR122" s="12">
        <f t="shared" si="86"/>
        <v>0</v>
      </c>
      <c r="BS122" s="12">
        <f t="shared" si="87"/>
        <v>0</v>
      </c>
      <c r="BU122" s="11">
        <f t="shared" si="89"/>
        <v>0</v>
      </c>
      <c r="BV122" s="11">
        <f t="shared" si="90"/>
        <v>0</v>
      </c>
      <c r="BW122" s="11">
        <f t="shared" si="91"/>
        <v>0</v>
      </c>
      <c r="BX122" s="11">
        <f t="shared" si="92"/>
        <v>0</v>
      </c>
      <c r="BY122" s="11">
        <f t="shared" si="93"/>
        <v>0</v>
      </c>
      <c r="BZ122" s="11">
        <f t="shared" si="94"/>
        <v>0</v>
      </c>
      <c r="CA122" s="11">
        <f t="shared" si="95"/>
        <v>0</v>
      </c>
      <c r="CB122" s="11">
        <f t="shared" si="96"/>
        <v>0</v>
      </c>
      <c r="CC122" s="11">
        <f t="shared" si="97"/>
        <v>0</v>
      </c>
      <c r="CD122" s="11">
        <f t="shared" si="98"/>
        <v>0</v>
      </c>
      <c r="CE122" s="11">
        <f t="shared" si="99"/>
        <v>0</v>
      </c>
      <c r="CF122" s="11">
        <f t="shared" si="100"/>
        <v>0</v>
      </c>
      <c r="CG122" s="11"/>
      <c r="CH122" s="41">
        <v>3.23</v>
      </c>
      <c r="CJ122" s="54">
        <f t="shared" si="101"/>
        <v>0</v>
      </c>
      <c r="CK122" s="54">
        <f t="shared" si="102"/>
        <v>0</v>
      </c>
      <c r="CL122" s="54">
        <f t="shared" si="103"/>
        <v>0</v>
      </c>
      <c r="CM122" s="54">
        <f t="shared" si="104"/>
        <v>0</v>
      </c>
      <c r="CN122" s="54">
        <f t="shared" si="105"/>
        <v>0</v>
      </c>
      <c r="CO122" s="54">
        <f t="shared" si="106"/>
        <v>0</v>
      </c>
      <c r="CP122" s="54">
        <f t="shared" si="107"/>
        <v>0</v>
      </c>
      <c r="CQ122" s="54">
        <f t="shared" si="108"/>
        <v>0</v>
      </c>
      <c r="CR122" s="54">
        <f t="shared" si="109"/>
        <v>0</v>
      </c>
      <c r="CS122" s="54">
        <f t="shared" si="110"/>
        <v>0</v>
      </c>
      <c r="CT122" s="54">
        <f t="shared" si="111"/>
        <v>0</v>
      </c>
      <c r="CU122" s="54">
        <f t="shared" si="112"/>
        <v>0</v>
      </c>
      <c r="CV122" s="52">
        <f t="shared" si="113"/>
        <v>0</v>
      </c>
    </row>
    <row r="123" spans="1:100" ht="15.75" x14ac:dyDescent="0.25">
      <c r="A123" s="17"/>
      <c r="B123" s="17"/>
      <c r="C123" s="17"/>
      <c r="D123" s="17"/>
      <c r="E123" s="17"/>
      <c r="F123" s="32" t="s">
        <v>2954</v>
      </c>
      <c r="G123" s="78"/>
      <c r="H123" s="78"/>
      <c r="I123" s="78"/>
      <c r="J123" s="78"/>
      <c r="K123" s="78"/>
      <c r="L123" s="78"/>
      <c r="M123" s="78"/>
      <c r="N123" s="78"/>
      <c r="O123" s="78"/>
      <c r="P123" s="78"/>
      <c r="Q123" s="78"/>
      <c r="R123" s="78"/>
      <c r="S123" s="11">
        <f t="shared" si="85"/>
        <v>0</v>
      </c>
      <c r="T123" s="8">
        <f t="shared" si="114"/>
        <v>0</v>
      </c>
      <c r="U123" s="13" t="s">
        <v>2953</v>
      </c>
      <c r="V123" s="46">
        <f t="shared" si="88"/>
        <v>0</v>
      </c>
      <c r="W123" s="36">
        <v>1.8500010816189674</v>
      </c>
      <c r="X123" s="36">
        <v>1.8500010816189674</v>
      </c>
      <c r="Y123" s="36">
        <v>1.8500010816189674</v>
      </c>
      <c r="Z123" s="36">
        <v>1.8500010816189674</v>
      </c>
      <c r="AA123" s="36">
        <v>1.8500010816189674</v>
      </c>
      <c r="AB123" s="36">
        <v>1.8500010816189674</v>
      </c>
      <c r="AC123" s="36">
        <v>1.8500010816189674</v>
      </c>
      <c r="AD123" s="36">
        <v>1.8500010816189674</v>
      </c>
      <c r="AE123" s="36">
        <v>1.8500010816189674</v>
      </c>
      <c r="AF123" s="36">
        <v>1.8500010816189674</v>
      </c>
      <c r="AG123" s="36">
        <v>1.8500010816189674</v>
      </c>
      <c r="AH123" s="36">
        <v>1.8500010816189674</v>
      </c>
      <c r="AI123" s="39">
        <v>0</v>
      </c>
      <c r="AJ123" s="39">
        <v>0</v>
      </c>
      <c r="AK123" s="39">
        <v>0</v>
      </c>
      <c r="AL123" s="39">
        <v>0</v>
      </c>
      <c r="AM123" s="39">
        <v>0</v>
      </c>
      <c r="AN123" s="39">
        <v>0</v>
      </c>
      <c r="AO123" s="39">
        <v>0</v>
      </c>
      <c r="AP123" s="39">
        <v>0</v>
      </c>
      <c r="AQ123" s="39">
        <v>0</v>
      </c>
      <c r="AR123" s="39">
        <v>0</v>
      </c>
      <c r="AS123" s="39">
        <v>0</v>
      </c>
      <c r="AT123" s="39">
        <v>0</v>
      </c>
      <c r="AU123" s="39">
        <v>0</v>
      </c>
      <c r="AV123" s="39">
        <v>0</v>
      </c>
      <c r="AW123" s="39">
        <v>0</v>
      </c>
      <c r="AX123" s="39">
        <v>0</v>
      </c>
      <c r="AY123" s="39">
        <v>0</v>
      </c>
      <c r="AZ123" s="39">
        <v>0</v>
      </c>
      <c r="BA123" s="39">
        <v>0</v>
      </c>
      <c r="BB123" s="39">
        <v>0</v>
      </c>
      <c r="BC123" s="39">
        <v>0</v>
      </c>
      <c r="BD123" s="39">
        <v>0</v>
      </c>
      <c r="BE123" s="39">
        <v>0</v>
      </c>
      <c r="BF123" s="39">
        <v>0</v>
      </c>
      <c r="BH123" s="12">
        <f t="shared" si="74"/>
        <v>0</v>
      </c>
      <c r="BI123" s="12">
        <f t="shared" si="75"/>
        <v>0</v>
      </c>
      <c r="BJ123" s="12">
        <f t="shared" si="76"/>
        <v>0</v>
      </c>
      <c r="BK123" s="12">
        <f t="shared" si="77"/>
        <v>0</v>
      </c>
      <c r="BL123" s="12">
        <f t="shared" si="78"/>
        <v>0</v>
      </c>
      <c r="BM123" s="12">
        <f t="shared" si="79"/>
        <v>0</v>
      </c>
      <c r="BN123" s="12">
        <f t="shared" si="80"/>
        <v>0</v>
      </c>
      <c r="BO123" s="12">
        <f t="shared" si="81"/>
        <v>0</v>
      </c>
      <c r="BP123" s="12">
        <f t="shared" si="82"/>
        <v>0</v>
      </c>
      <c r="BQ123" s="12">
        <f t="shared" si="83"/>
        <v>0</v>
      </c>
      <c r="BR123" s="12">
        <f t="shared" si="86"/>
        <v>0</v>
      </c>
      <c r="BS123" s="12">
        <f t="shared" si="87"/>
        <v>0</v>
      </c>
      <c r="BU123" s="11">
        <f t="shared" si="89"/>
        <v>0</v>
      </c>
      <c r="BV123" s="11">
        <f t="shared" si="90"/>
        <v>0</v>
      </c>
      <c r="BW123" s="11">
        <f t="shared" si="91"/>
        <v>0</v>
      </c>
      <c r="BX123" s="11">
        <f t="shared" si="92"/>
        <v>0</v>
      </c>
      <c r="BY123" s="11">
        <f t="shared" si="93"/>
        <v>0</v>
      </c>
      <c r="BZ123" s="11">
        <f t="shared" si="94"/>
        <v>0</v>
      </c>
      <c r="CA123" s="11">
        <f t="shared" si="95"/>
        <v>0</v>
      </c>
      <c r="CB123" s="11">
        <f t="shared" si="96"/>
        <v>0</v>
      </c>
      <c r="CC123" s="11">
        <f t="shared" si="97"/>
        <v>0</v>
      </c>
      <c r="CD123" s="11">
        <f t="shared" si="98"/>
        <v>0</v>
      </c>
      <c r="CE123" s="11">
        <f t="shared" si="99"/>
        <v>0</v>
      </c>
      <c r="CF123" s="11">
        <f t="shared" si="100"/>
        <v>0</v>
      </c>
      <c r="CG123" s="11"/>
      <c r="CH123" s="41">
        <v>1</v>
      </c>
      <c r="CJ123" s="54">
        <f t="shared" si="101"/>
        <v>0</v>
      </c>
      <c r="CK123" s="54">
        <f t="shared" si="102"/>
        <v>0</v>
      </c>
      <c r="CL123" s="54">
        <f t="shared" si="103"/>
        <v>0</v>
      </c>
      <c r="CM123" s="54">
        <f t="shared" si="104"/>
        <v>0</v>
      </c>
      <c r="CN123" s="54">
        <f t="shared" si="105"/>
        <v>0</v>
      </c>
      <c r="CO123" s="54">
        <f t="shared" si="106"/>
        <v>0</v>
      </c>
      <c r="CP123" s="54">
        <f t="shared" si="107"/>
        <v>0</v>
      </c>
      <c r="CQ123" s="54">
        <f t="shared" si="108"/>
        <v>0</v>
      </c>
      <c r="CR123" s="54">
        <f t="shared" si="109"/>
        <v>0</v>
      </c>
      <c r="CS123" s="54">
        <f t="shared" si="110"/>
        <v>0</v>
      </c>
      <c r="CT123" s="54">
        <f t="shared" si="111"/>
        <v>0</v>
      </c>
      <c r="CU123" s="54">
        <f t="shared" si="112"/>
        <v>0</v>
      </c>
      <c r="CV123" s="52">
        <f t="shared" si="113"/>
        <v>0</v>
      </c>
    </row>
    <row r="124" spans="1:100" ht="15.75" x14ac:dyDescent="0.25">
      <c r="A124" s="17"/>
      <c r="B124" s="17"/>
      <c r="C124" s="17"/>
      <c r="D124" s="17"/>
      <c r="E124" s="17"/>
      <c r="F124" s="32" t="s">
        <v>2954</v>
      </c>
      <c r="G124" s="78"/>
      <c r="H124" s="78"/>
      <c r="I124" s="78"/>
      <c r="J124" s="78"/>
      <c r="K124" s="78"/>
      <c r="L124" s="78"/>
      <c r="M124" s="78"/>
      <c r="N124" s="78"/>
      <c r="O124" s="78"/>
      <c r="P124" s="78"/>
      <c r="Q124" s="78"/>
      <c r="R124" s="78"/>
      <c r="S124" s="11">
        <f t="shared" si="85"/>
        <v>0</v>
      </c>
      <c r="T124" s="8">
        <f t="shared" si="114"/>
        <v>0</v>
      </c>
      <c r="U124" s="13" t="s">
        <v>2953</v>
      </c>
      <c r="V124" s="46">
        <f t="shared" si="88"/>
        <v>0</v>
      </c>
      <c r="W124" s="36">
        <v>3.17</v>
      </c>
      <c r="X124" s="36">
        <v>3.17</v>
      </c>
      <c r="Y124" s="36">
        <v>3.17</v>
      </c>
      <c r="Z124" s="36">
        <v>3.17</v>
      </c>
      <c r="AA124" s="36">
        <v>3.17</v>
      </c>
      <c r="AB124" s="36">
        <v>3.17</v>
      </c>
      <c r="AC124" s="36">
        <v>3.17</v>
      </c>
      <c r="AD124" s="36">
        <v>3.17</v>
      </c>
      <c r="AE124" s="36">
        <v>3.17</v>
      </c>
      <c r="AF124" s="36">
        <v>3.17</v>
      </c>
      <c r="AG124" s="36">
        <v>3.17</v>
      </c>
      <c r="AH124" s="36">
        <v>3.17</v>
      </c>
      <c r="AI124" s="39">
        <v>0</v>
      </c>
      <c r="AJ124" s="39">
        <v>0</v>
      </c>
      <c r="AK124" s="39">
        <v>0</v>
      </c>
      <c r="AL124" s="39">
        <v>0</v>
      </c>
      <c r="AM124" s="39">
        <v>0</v>
      </c>
      <c r="AN124" s="39">
        <v>0</v>
      </c>
      <c r="AO124" s="39">
        <v>0</v>
      </c>
      <c r="AP124" s="39">
        <v>0</v>
      </c>
      <c r="AQ124" s="39">
        <v>0</v>
      </c>
      <c r="AR124" s="39">
        <v>0</v>
      </c>
      <c r="AS124" s="39">
        <v>0</v>
      </c>
      <c r="AT124" s="39">
        <v>0</v>
      </c>
      <c r="AU124" s="39">
        <v>0</v>
      </c>
      <c r="AV124" s="39">
        <v>0</v>
      </c>
      <c r="AW124" s="39">
        <v>0</v>
      </c>
      <c r="AX124" s="39">
        <v>0</v>
      </c>
      <c r="AY124" s="39">
        <v>0</v>
      </c>
      <c r="AZ124" s="39">
        <v>0</v>
      </c>
      <c r="BA124" s="39">
        <v>0</v>
      </c>
      <c r="BB124" s="39">
        <v>0</v>
      </c>
      <c r="BC124" s="39">
        <v>0</v>
      </c>
      <c r="BD124" s="39">
        <v>0</v>
      </c>
      <c r="BE124" s="39">
        <v>0</v>
      </c>
      <c r="BF124" s="39">
        <v>0</v>
      </c>
      <c r="BH124" s="12">
        <f t="shared" si="74"/>
        <v>0</v>
      </c>
      <c r="BI124" s="12">
        <f t="shared" si="75"/>
        <v>0</v>
      </c>
      <c r="BJ124" s="12">
        <f t="shared" si="76"/>
        <v>0</v>
      </c>
      <c r="BK124" s="12">
        <f t="shared" si="77"/>
        <v>0</v>
      </c>
      <c r="BL124" s="12">
        <f t="shared" si="78"/>
        <v>0</v>
      </c>
      <c r="BM124" s="12">
        <f t="shared" si="79"/>
        <v>0</v>
      </c>
      <c r="BN124" s="12">
        <f t="shared" si="80"/>
        <v>0</v>
      </c>
      <c r="BO124" s="12">
        <f t="shared" si="81"/>
        <v>0</v>
      </c>
      <c r="BP124" s="12">
        <f t="shared" si="82"/>
        <v>0</v>
      </c>
      <c r="BQ124" s="12">
        <f t="shared" si="83"/>
        <v>0</v>
      </c>
      <c r="BR124" s="12">
        <f t="shared" si="86"/>
        <v>0</v>
      </c>
      <c r="BS124" s="12">
        <f t="shared" si="87"/>
        <v>0</v>
      </c>
      <c r="BU124" s="11">
        <f t="shared" si="89"/>
        <v>0</v>
      </c>
      <c r="BV124" s="11">
        <f t="shared" si="90"/>
        <v>0</v>
      </c>
      <c r="BW124" s="11">
        <f t="shared" si="91"/>
        <v>0</v>
      </c>
      <c r="BX124" s="11">
        <f t="shared" si="92"/>
        <v>0</v>
      </c>
      <c r="BY124" s="11">
        <f t="shared" si="93"/>
        <v>0</v>
      </c>
      <c r="BZ124" s="11">
        <f t="shared" si="94"/>
        <v>0</v>
      </c>
      <c r="CA124" s="11">
        <f t="shared" si="95"/>
        <v>0</v>
      </c>
      <c r="CB124" s="11">
        <f t="shared" si="96"/>
        <v>0</v>
      </c>
      <c r="CC124" s="11">
        <f t="shared" si="97"/>
        <v>0</v>
      </c>
      <c r="CD124" s="11">
        <f t="shared" si="98"/>
        <v>0</v>
      </c>
      <c r="CE124" s="11">
        <f t="shared" si="99"/>
        <v>0</v>
      </c>
      <c r="CF124" s="11">
        <f t="shared" si="100"/>
        <v>0</v>
      </c>
      <c r="CG124" s="11"/>
      <c r="CH124" s="41">
        <v>1</v>
      </c>
      <c r="CJ124" s="54">
        <f t="shared" si="101"/>
        <v>0</v>
      </c>
      <c r="CK124" s="54">
        <f t="shared" si="102"/>
        <v>0</v>
      </c>
      <c r="CL124" s="54">
        <f t="shared" si="103"/>
        <v>0</v>
      </c>
      <c r="CM124" s="54">
        <f t="shared" si="104"/>
        <v>0</v>
      </c>
      <c r="CN124" s="54">
        <f t="shared" si="105"/>
        <v>0</v>
      </c>
      <c r="CO124" s="54">
        <f t="shared" si="106"/>
        <v>0</v>
      </c>
      <c r="CP124" s="54">
        <f t="shared" si="107"/>
        <v>0</v>
      </c>
      <c r="CQ124" s="54">
        <f t="shared" si="108"/>
        <v>0</v>
      </c>
      <c r="CR124" s="54">
        <f t="shared" si="109"/>
        <v>0</v>
      </c>
      <c r="CS124" s="54">
        <f t="shared" si="110"/>
        <v>0</v>
      </c>
      <c r="CT124" s="54">
        <f t="shared" si="111"/>
        <v>0</v>
      </c>
      <c r="CU124" s="54">
        <f t="shared" si="112"/>
        <v>0</v>
      </c>
      <c r="CV124" s="52">
        <f t="shared" si="113"/>
        <v>0</v>
      </c>
    </row>
    <row r="125" spans="1:100" ht="15.75" x14ac:dyDescent="0.25">
      <c r="A125" s="17"/>
      <c r="B125" s="17"/>
      <c r="C125" s="17"/>
      <c r="D125" s="17"/>
      <c r="E125" s="17"/>
      <c r="F125" s="32" t="s">
        <v>2954</v>
      </c>
      <c r="G125" s="78"/>
      <c r="H125" s="78"/>
      <c r="I125" s="78"/>
      <c r="J125" s="78"/>
      <c r="K125" s="78"/>
      <c r="L125" s="78"/>
      <c r="M125" s="78"/>
      <c r="N125" s="78"/>
      <c r="O125" s="78"/>
      <c r="P125" s="78"/>
      <c r="Q125" s="78"/>
      <c r="R125" s="78"/>
      <c r="S125" s="11">
        <f t="shared" si="85"/>
        <v>0</v>
      </c>
      <c r="T125" s="8">
        <f t="shared" si="114"/>
        <v>0</v>
      </c>
      <c r="U125" s="13" t="s">
        <v>2953</v>
      </c>
      <c r="V125" s="46">
        <f t="shared" si="88"/>
        <v>0</v>
      </c>
      <c r="W125" s="36">
        <v>3.149</v>
      </c>
      <c r="X125" s="36">
        <v>3.149</v>
      </c>
      <c r="Y125" s="36">
        <v>3.149</v>
      </c>
      <c r="Z125" s="36">
        <v>3.149</v>
      </c>
      <c r="AA125" s="36">
        <v>3.149</v>
      </c>
      <c r="AB125" s="36">
        <v>3.149</v>
      </c>
      <c r="AC125" s="36">
        <v>3.149</v>
      </c>
      <c r="AD125" s="36">
        <v>3.149</v>
      </c>
      <c r="AE125" s="36">
        <v>3.149</v>
      </c>
      <c r="AF125" s="36">
        <v>3.149</v>
      </c>
      <c r="AG125" s="36">
        <v>3.149</v>
      </c>
      <c r="AH125" s="36">
        <v>3.149</v>
      </c>
      <c r="AI125" s="39">
        <v>1.33634708931066E-2</v>
      </c>
      <c r="AJ125" s="39">
        <v>1.33634708931066E-2</v>
      </c>
      <c r="AK125" s="39">
        <v>1.33634708931066E-2</v>
      </c>
      <c r="AL125" s="39">
        <v>1.33634708931066E-2</v>
      </c>
      <c r="AM125" s="39">
        <v>1.33634708931066E-2</v>
      </c>
      <c r="AN125" s="39">
        <v>1.33634708931066E-2</v>
      </c>
      <c r="AO125" s="39">
        <v>1.33634708931066E-2</v>
      </c>
      <c r="AP125" s="39">
        <v>1.33634708931066E-2</v>
      </c>
      <c r="AQ125" s="39">
        <v>1.33634708931066E-2</v>
      </c>
      <c r="AR125" s="39">
        <v>1.33634708931066E-2</v>
      </c>
      <c r="AS125" s="39">
        <v>1.33634708931066E-2</v>
      </c>
      <c r="AT125" s="39">
        <v>1.33634708931066E-2</v>
      </c>
      <c r="AU125" s="39">
        <v>1.2392217523121999E-3</v>
      </c>
      <c r="AV125" s="39">
        <v>1.2392217523121999E-3</v>
      </c>
      <c r="AW125" s="39">
        <v>1.2392217523121999E-3</v>
      </c>
      <c r="AX125" s="39">
        <v>1.2392217523121999E-3</v>
      </c>
      <c r="AY125" s="39">
        <v>1.2392217523121999E-3</v>
      </c>
      <c r="AZ125" s="39">
        <v>1.2392217523121999E-3</v>
      </c>
      <c r="BA125" s="39">
        <v>1.2392217523121999E-3</v>
      </c>
      <c r="BB125" s="39">
        <v>1.2392217523121999E-3</v>
      </c>
      <c r="BC125" s="39">
        <v>1.2392217523121999E-3</v>
      </c>
      <c r="BD125" s="39">
        <v>1.2392217523121999E-3</v>
      </c>
      <c r="BE125" s="39">
        <v>1.2392217523121999E-3</v>
      </c>
      <c r="BF125" s="39">
        <v>1.2392217523121999E-3</v>
      </c>
      <c r="BH125" s="12">
        <f t="shared" si="74"/>
        <v>0</v>
      </c>
      <c r="BI125" s="12">
        <f t="shared" si="75"/>
        <v>0</v>
      </c>
      <c r="BJ125" s="12">
        <f t="shared" si="76"/>
        <v>0</v>
      </c>
      <c r="BK125" s="12">
        <f t="shared" si="77"/>
        <v>0</v>
      </c>
      <c r="BL125" s="12">
        <f t="shared" si="78"/>
        <v>0</v>
      </c>
      <c r="BM125" s="12">
        <f t="shared" si="79"/>
        <v>0</v>
      </c>
      <c r="BN125" s="12">
        <f t="shared" si="80"/>
        <v>0</v>
      </c>
      <c r="BO125" s="12">
        <f t="shared" si="81"/>
        <v>0</v>
      </c>
      <c r="BP125" s="12">
        <f t="shared" si="82"/>
        <v>0</v>
      </c>
      <c r="BQ125" s="12">
        <f t="shared" si="83"/>
        <v>0</v>
      </c>
      <c r="BR125" s="12">
        <f t="shared" si="86"/>
        <v>0</v>
      </c>
      <c r="BS125" s="12">
        <f t="shared" si="87"/>
        <v>0</v>
      </c>
      <c r="BU125" s="11">
        <f t="shared" si="89"/>
        <v>0</v>
      </c>
      <c r="BV125" s="11">
        <f t="shared" si="90"/>
        <v>0</v>
      </c>
      <c r="BW125" s="11">
        <f t="shared" si="91"/>
        <v>0</v>
      </c>
      <c r="BX125" s="11">
        <f t="shared" si="92"/>
        <v>0</v>
      </c>
      <c r="BY125" s="11">
        <f t="shared" si="93"/>
        <v>0</v>
      </c>
      <c r="BZ125" s="11">
        <f t="shared" si="94"/>
        <v>0</v>
      </c>
      <c r="CA125" s="11">
        <f t="shared" si="95"/>
        <v>0</v>
      </c>
      <c r="CB125" s="11">
        <f t="shared" si="96"/>
        <v>0</v>
      </c>
      <c r="CC125" s="11">
        <f t="shared" si="97"/>
        <v>0</v>
      </c>
      <c r="CD125" s="11">
        <f t="shared" si="98"/>
        <v>0</v>
      </c>
      <c r="CE125" s="11">
        <f t="shared" si="99"/>
        <v>0</v>
      </c>
      <c r="CF125" s="11">
        <f t="shared" si="100"/>
        <v>0</v>
      </c>
      <c r="CG125" s="11"/>
      <c r="CH125" s="41">
        <v>3.23</v>
      </c>
      <c r="CJ125" s="54">
        <f t="shared" si="101"/>
        <v>0</v>
      </c>
      <c r="CK125" s="54">
        <f t="shared" si="102"/>
        <v>0</v>
      </c>
      <c r="CL125" s="54">
        <f t="shared" si="103"/>
        <v>0</v>
      </c>
      <c r="CM125" s="54">
        <f t="shared" si="104"/>
        <v>0</v>
      </c>
      <c r="CN125" s="54">
        <f t="shared" si="105"/>
        <v>0</v>
      </c>
      <c r="CO125" s="54">
        <f t="shared" si="106"/>
        <v>0</v>
      </c>
      <c r="CP125" s="54">
        <f t="shared" si="107"/>
        <v>0</v>
      </c>
      <c r="CQ125" s="54">
        <f t="shared" si="108"/>
        <v>0</v>
      </c>
      <c r="CR125" s="54">
        <f t="shared" si="109"/>
        <v>0</v>
      </c>
      <c r="CS125" s="54">
        <f t="shared" si="110"/>
        <v>0</v>
      </c>
      <c r="CT125" s="54">
        <f t="shared" si="111"/>
        <v>0</v>
      </c>
      <c r="CU125" s="54">
        <f t="shared" si="112"/>
        <v>0</v>
      </c>
      <c r="CV125" s="52">
        <f t="shared" si="113"/>
        <v>0</v>
      </c>
    </row>
    <row r="126" spans="1:100" ht="15.75" x14ac:dyDescent="0.25">
      <c r="A126" s="17"/>
      <c r="B126" s="17"/>
      <c r="C126" s="17"/>
      <c r="D126" s="17"/>
      <c r="E126" s="17"/>
      <c r="F126" s="32" t="s">
        <v>2954</v>
      </c>
      <c r="G126" s="78"/>
      <c r="H126" s="78"/>
      <c r="I126" s="78"/>
      <c r="J126" s="78"/>
      <c r="K126" s="78"/>
      <c r="L126" s="78"/>
      <c r="M126" s="78"/>
      <c r="N126" s="78"/>
      <c r="O126" s="78"/>
      <c r="P126" s="78"/>
      <c r="Q126" s="78"/>
      <c r="R126" s="78"/>
      <c r="S126" s="11">
        <f t="shared" si="85"/>
        <v>0</v>
      </c>
      <c r="T126" s="8">
        <f t="shared" si="114"/>
        <v>0</v>
      </c>
      <c r="U126" s="13" t="s">
        <v>2953</v>
      </c>
      <c r="V126" s="46">
        <f t="shared" si="88"/>
        <v>0</v>
      </c>
      <c r="W126" s="36">
        <v>1.107</v>
      </c>
      <c r="X126" s="36">
        <v>1.107</v>
      </c>
      <c r="Y126" s="36">
        <v>1.4379999999999999</v>
      </c>
      <c r="Z126" s="36">
        <v>1.4379999999999999</v>
      </c>
      <c r="AA126" s="36">
        <v>1.4379999999999999</v>
      </c>
      <c r="AB126" s="36">
        <v>1.4379999999999999</v>
      </c>
      <c r="AC126" s="36">
        <v>1.4379999999999999</v>
      </c>
      <c r="AD126" s="36">
        <v>1.4379999999999999</v>
      </c>
      <c r="AE126" s="36">
        <v>1.4379999999999999</v>
      </c>
      <c r="AF126" s="36">
        <v>1.4379999999999999</v>
      </c>
      <c r="AG126" s="36">
        <v>1.4379999999999999</v>
      </c>
      <c r="AH126" s="36">
        <v>1.4379999999999999</v>
      </c>
      <c r="AI126" s="39">
        <v>1.33634708931066E-2</v>
      </c>
      <c r="AJ126" s="39">
        <v>1.33634708931066E-2</v>
      </c>
      <c r="AK126" s="39">
        <v>1.33634708931066E-2</v>
      </c>
      <c r="AL126" s="39">
        <v>1.33634708931066E-2</v>
      </c>
      <c r="AM126" s="39">
        <v>1.33634708931066E-2</v>
      </c>
      <c r="AN126" s="39">
        <v>1.33634708931066E-2</v>
      </c>
      <c r="AO126" s="39">
        <v>1.33634708931066E-2</v>
      </c>
      <c r="AP126" s="39">
        <v>1.33634708931066E-2</v>
      </c>
      <c r="AQ126" s="39">
        <v>1.33634708931066E-2</v>
      </c>
      <c r="AR126" s="39">
        <v>1.33634708931066E-2</v>
      </c>
      <c r="AS126" s="39">
        <v>1.33634708931066E-2</v>
      </c>
      <c r="AT126" s="39">
        <v>1.33634708931066E-2</v>
      </c>
      <c r="AU126" s="39">
        <v>1.2392217523121999E-3</v>
      </c>
      <c r="AV126" s="39">
        <v>1.2392217523121999E-3</v>
      </c>
      <c r="AW126" s="39">
        <v>1.2392217523121999E-3</v>
      </c>
      <c r="AX126" s="39">
        <v>1.2392217523121999E-3</v>
      </c>
      <c r="AY126" s="39">
        <v>1.2392217523121999E-3</v>
      </c>
      <c r="AZ126" s="39">
        <v>1.2392217523121999E-3</v>
      </c>
      <c r="BA126" s="39">
        <v>1.2392217523121999E-3</v>
      </c>
      <c r="BB126" s="39">
        <v>1.2392217523121999E-3</v>
      </c>
      <c r="BC126" s="39">
        <v>1.2392217523121999E-3</v>
      </c>
      <c r="BD126" s="39">
        <v>1.2392217523121999E-3</v>
      </c>
      <c r="BE126" s="39">
        <v>1.2392217523121999E-3</v>
      </c>
      <c r="BF126" s="39">
        <v>1.2392217523121999E-3</v>
      </c>
      <c r="BH126" s="12">
        <f t="shared" si="74"/>
        <v>0</v>
      </c>
      <c r="BI126" s="12">
        <f t="shared" si="75"/>
        <v>0</v>
      </c>
      <c r="BJ126" s="12">
        <f t="shared" si="76"/>
        <v>0</v>
      </c>
      <c r="BK126" s="12">
        <f t="shared" si="77"/>
        <v>0</v>
      </c>
      <c r="BL126" s="12">
        <f t="shared" si="78"/>
        <v>0</v>
      </c>
      <c r="BM126" s="12">
        <f t="shared" si="79"/>
        <v>0</v>
      </c>
      <c r="BN126" s="12">
        <f t="shared" si="80"/>
        <v>0</v>
      </c>
      <c r="BO126" s="12">
        <f t="shared" si="81"/>
        <v>0</v>
      </c>
      <c r="BP126" s="12">
        <f t="shared" si="82"/>
        <v>0</v>
      </c>
      <c r="BQ126" s="12">
        <f t="shared" si="83"/>
        <v>0</v>
      </c>
      <c r="BR126" s="12">
        <f t="shared" si="86"/>
        <v>0</v>
      </c>
      <c r="BS126" s="12">
        <f t="shared" si="87"/>
        <v>0</v>
      </c>
      <c r="BU126" s="11">
        <f t="shared" si="89"/>
        <v>0</v>
      </c>
      <c r="BV126" s="11">
        <f t="shared" si="90"/>
        <v>0</v>
      </c>
      <c r="BW126" s="11">
        <f t="shared" si="91"/>
        <v>0</v>
      </c>
      <c r="BX126" s="11">
        <f t="shared" si="92"/>
        <v>0</v>
      </c>
      <c r="BY126" s="11">
        <f t="shared" si="93"/>
        <v>0</v>
      </c>
      <c r="BZ126" s="11">
        <f t="shared" si="94"/>
        <v>0</v>
      </c>
      <c r="CA126" s="11">
        <f t="shared" si="95"/>
        <v>0</v>
      </c>
      <c r="CB126" s="11">
        <f t="shared" si="96"/>
        <v>0</v>
      </c>
      <c r="CC126" s="11">
        <f t="shared" si="97"/>
        <v>0</v>
      </c>
      <c r="CD126" s="11">
        <f t="shared" si="98"/>
        <v>0</v>
      </c>
      <c r="CE126" s="11">
        <f t="shared" si="99"/>
        <v>0</v>
      </c>
      <c r="CF126" s="11">
        <f t="shared" si="100"/>
        <v>0</v>
      </c>
      <c r="CG126" s="11"/>
      <c r="CH126" s="41">
        <v>3.23</v>
      </c>
      <c r="CJ126" s="54">
        <f t="shared" si="101"/>
        <v>0</v>
      </c>
      <c r="CK126" s="54">
        <f t="shared" si="102"/>
        <v>0</v>
      </c>
      <c r="CL126" s="54">
        <f t="shared" si="103"/>
        <v>0</v>
      </c>
      <c r="CM126" s="54">
        <f t="shared" si="104"/>
        <v>0</v>
      </c>
      <c r="CN126" s="54">
        <f t="shared" si="105"/>
        <v>0</v>
      </c>
      <c r="CO126" s="54">
        <f t="shared" si="106"/>
        <v>0</v>
      </c>
      <c r="CP126" s="54">
        <f t="shared" si="107"/>
        <v>0</v>
      </c>
      <c r="CQ126" s="54">
        <f t="shared" si="108"/>
        <v>0</v>
      </c>
      <c r="CR126" s="54">
        <f t="shared" si="109"/>
        <v>0</v>
      </c>
      <c r="CS126" s="54">
        <f t="shared" si="110"/>
        <v>0</v>
      </c>
      <c r="CT126" s="54">
        <f t="shared" si="111"/>
        <v>0</v>
      </c>
      <c r="CU126" s="54">
        <f t="shared" si="112"/>
        <v>0</v>
      </c>
      <c r="CV126" s="52">
        <f t="shared" si="113"/>
        <v>0</v>
      </c>
    </row>
    <row r="127" spans="1:100" ht="15.75" x14ac:dyDescent="0.25">
      <c r="A127" s="17"/>
      <c r="B127" s="17"/>
      <c r="C127" s="17"/>
      <c r="D127" s="17"/>
      <c r="E127" s="17"/>
      <c r="F127" s="32" t="s">
        <v>2954</v>
      </c>
      <c r="G127" s="78"/>
      <c r="H127" s="78"/>
      <c r="I127" s="78"/>
      <c r="J127" s="78"/>
      <c r="K127" s="78"/>
      <c r="L127" s="78"/>
      <c r="M127" s="78"/>
      <c r="N127" s="78"/>
      <c r="O127" s="78"/>
      <c r="P127" s="78"/>
      <c r="Q127" s="78"/>
      <c r="R127" s="78"/>
      <c r="S127" s="11">
        <f t="shared" si="85"/>
        <v>0</v>
      </c>
      <c r="T127" s="8">
        <f t="shared" si="114"/>
        <v>0</v>
      </c>
      <c r="U127" s="13" t="s">
        <v>2953</v>
      </c>
      <c r="V127" s="46">
        <f t="shared" si="88"/>
        <v>0</v>
      </c>
      <c r="W127" s="36">
        <v>1.258</v>
      </c>
      <c r="X127" s="36">
        <v>1.258</v>
      </c>
      <c r="Y127" s="36">
        <v>1.6339999999999999</v>
      </c>
      <c r="Z127" s="36">
        <v>1.6339999999999999</v>
      </c>
      <c r="AA127" s="36">
        <v>1.6339999999999999</v>
      </c>
      <c r="AB127" s="36">
        <v>1.6339999999999999</v>
      </c>
      <c r="AC127" s="36">
        <v>1.6339999999999999</v>
      </c>
      <c r="AD127" s="36">
        <v>1.6339999999999999</v>
      </c>
      <c r="AE127" s="36">
        <v>1.6339999999999999</v>
      </c>
      <c r="AF127" s="36">
        <v>1.6339999999999999</v>
      </c>
      <c r="AG127" s="36">
        <v>1.6339999999999999</v>
      </c>
      <c r="AH127" s="36">
        <v>1.6339999999999999</v>
      </c>
      <c r="AI127" s="39">
        <v>1.33634708931066E-2</v>
      </c>
      <c r="AJ127" s="39">
        <v>1.33634708931066E-2</v>
      </c>
      <c r="AK127" s="39">
        <v>1.33634708931066E-2</v>
      </c>
      <c r="AL127" s="39">
        <v>1.33634708931066E-2</v>
      </c>
      <c r="AM127" s="39">
        <v>1.33634708931066E-2</v>
      </c>
      <c r="AN127" s="39">
        <v>1.33634708931066E-2</v>
      </c>
      <c r="AO127" s="39">
        <v>1.33634708931066E-2</v>
      </c>
      <c r="AP127" s="39">
        <v>1.33634708931066E-2</v>
      </c>
      <c r="AQ127" s="39">
        <v>1.33634708931066E-2</v>
      </c>
      <c r="AR127" s="39">
        <v>1.33634708931066E-2</v>
      </c>
      <c r="AS127" s="39">
        <v>1.33634708931066E-2</v>
      </c>
      <c r="AT127" s="39">
        <v>1.33634708931066E-2</v>
      </c>
      <c r="AU127" s="39">
        <v>1.2392217523121999E-3</v>
      </c>
      <c r="AV127" s="39">
        <v>1.2392217523121999E-3</v>
      </c>
      <c r="AW127" s="39">
        <v>1.2392217523121999E-3</v>
      </c>
      <c r="AX127" s="39">
        <v>1.2392217523121999E-3</v>
      </c>
      <c r="AY127" s="39">
        <v>1.2392217523121999E-3</v>
      </c>
      <c r="AZ127" s="39">
        <v>1.2392217523121999E-3</v>
      </c>
      <c r="BA127" s="39">
        <v>1.2392217523121999E-3</v>
      </c>
      <c r="BB127" s="39">
        <v>1.2392217523121999E-3</v>
      </c>
      <c r="BC127" s="39">
        <v>1.2392217523121999E-3</v>
      </c>
      <c r="BD127" s="39">
        <v>1.2392217523121999E-3</v>
      </c>
      <c r="BE127" s="39">
        <v>1.2392217523121999E-3</v>
      </c>
      <c r="BF127" s="39">
        <v>1.2392217523121999E-3</v>
      </c>
      <c r="BH127" s="12">
        <f t="shared" si="74"/>
        <v>0</v>
      </c>
      <c r="BI127" s="12">
        <f t="shared" si="75"/>
        <v>0</v>
      </c>
      <c r="BJ127" s="12">
        <f t="shared" si="76"/>
        <v>0</v>
      </c>
      <c r="BK127" s="12">
        <f t="shared" si="77"/>
        <v>0</v>
      </c>
      <c r="BL127" s="12">
        <f t="shared" si="78"/>
        <v>0</v>
      </c>
      <c r="BM127" s="12">
        <f t="shared" si="79"/>
        <v>0</v>
      </c>
      <c r="BN127" s="12">
        <f t="shared" si="80"/>
        <v>0</v>
      </c>
      <c r="BO127" s="12">
        <f t="shared" si="81"/>
        <v>0</v>
      </c>
      <c r="BP127" s="12">
        <f t="shared" si="82"/>
        <v>0</v>
      </c>
      <c r="BQ127" s="12">
        <f t="shared" si="83"/>
        <v>0</v>
      </c>
      <c r="BR127" s="12">
        <f t="shared" si="86"/>
        <v>0</v>
      </c>
      <c r="BS127" s="12">
        <f t="shared" si="87"/>
        <v>0</v>
      </c>
      <c r="BU127" s="11">
        <f t="shared" si="89"/>
        <v>0</v>
      </c>
      <c r="BV127" s="11">
        <f t="shared" si="90"/>
        <v>0</v>
      </c>
      <c r="BW127" s="11">
        <f t="shared" si="91"/>
        <v>0</v>
      </c>
      <c r="BX127" s="11">
        <f t="shared" si="92"/>
        <v>0</v>
      </c>
      <c r="BY127" s="11">
        <f t="shared" si="93"/>
        <v>0</v>
      </c>
      <c r="BZ127" s="11">
        <f t="shared" si="94"/>
        <v>0</v>
      </c>
      <c r="CA127" s="11">
        <f t="shared" si="95"/>
        <v>0</v>
      </c>
      <c r="CB127" s="11">
        <f t="shared" si="96"/>
        <v>0</v>
      </c>
      <c r="CC127" s="11">
        <f t="shared" si="97"/>
        <v>0</v>
      </c>
      <c r="CD127" s="11">
        <f t="shared" si="98"/>
        <v>0</v>
      </c>
      <c r="CE127" s="11">
        <f t="shared" si="99"/>
        <v>0</v>
      </c>
      <c r="CF127" s="11">
        <f t="shared" si="100"/>
        <v>0</v>
      </c>
      <c r="CG127" s="11"/>
      <c r="CH127" s="41">
        <v>3.23</v>
      </c>
      <c r="CJ127" s="54">
        <f t="shared" si="101"/>
        <v>0</v>
      </c>
      <c r="CK127" s="54">
        <f t="shared" si="102"/>
        <v>0</v>
      </c>
      <c r="CL127" s="54">
        <f t="shared" si="103"/>
        <v>0</v>
      </c>
      <c r="CM127" s="54">
        <f t="shared" si="104"/>
        <v>0</v>
      </c>
      <c r="CN127" s="54">
        <f t="shared" si="105"/>
        <v>0</v>
      </c>
      <c r="CO127" s="54">
        <f t="shared" si="106"/>
        <v>0</v>
      </c>
      <c r="CP127" s="54">
        <f t="shared" si="107"/>
        <v>0</v>
      </c>
      <c r="CQ127" s="54">
        <f t="shared" si="108"/>
        <v>0</v>
      </c>
      <c r="CR127" s="54">
        <f t="shared" si="109"/>
        <v>0</v>
      </c>
      <c r="CS127" s="54">
        <f t="shared" si="110"/>
        <v>0</v>
      </c>
      <c r="CT127" s="54">
        <f t="shared" si="111"/>
        <v>0</v>
      </c>
      <c r="CU127" s="54">
        <f t="shared" si="112"/>
        <v>0</v>
      </c>
      <c r="CV127" s="52">
        <f t="shared" si="113"/>
        <v>0</v>
      </c>
    </row>
    <row r="128" spans="1:100" ht="15.75" x14ac:dyDescent="0.25">
      <c r="A128" s="17"/>
      <c r="B128" s="17"/>
      <c r="C128" s="17"/>
      <c r="D128" s="17"/>
      <c r="E128" s="17"/>
      <c r="F128" s="32" t="s">
        <v>2954</v>
      </c>
      <c r="G128" s="78"/>
      <c r="H128" s="78"/>
      <c r="I128" s="78"/>
      <c r="J128" s="78"/>
      <c r="K128" s="78"/>
      <c r="L128" s="78"/>
      <c r="M128" s="78"/>
      <c r="N128" s="78"/>
      <c r="O128" s="78"/>
      <c r="P128" s="78"/>
      <c r="Q128" s="78"/>
      <c r="R128" s="78"/>
      <c r="S128" s="11">
        <f t="shared" si="85"/>
        <v>0</v>
      </c>
      <c r="T128" s="8">
        <f t="shared" si="114"/>
        <v>0</v>
      </c>
      <c r="U128" s="13" t="s">
        <v>2953</v>
      </c>
      <c r="V128" s="46">
        <f t="shared" si="88"/>
        <v>0</v>
      </c>
      <c r="W128" s="36">
        <v>1.9790000000000001</v>
      </c>
      <c r="X128" s="36">
        <v>1.9790000000000001</v>
      </c>
      <c r="Y128" s="36">
        <v>2.6459999999999999</v>
      </c>
      <c r="Z128" s="36">
        <v>2.6459999999999999</v>
      </c>
      <c r="AA128" s="36">
        <v>2.6459999999999999</v>
      </c>
      <c r="AB128" s="36">
        <v>2.6459999999999999</v>
      </c>
      <c r="AC128" s="36">
        <v>2.6459999999999999</v>
      </c>
      <c r="AD128" s="36">
        <v>2.6459999999999999</v>
      </c>
      <c r="AE128" s="36">
        <v>2.6459999999999999</v>
      </c>
      <c r="AF128" s="36">
        <v>2.6459999999999999</v>
      </c>
      <c r="AG128" s="36">
        <v>2.6459999999999999</v>
      </c>
      <c r="AH128" s="36">
        <v>2.6459999999999999</v>
      </c>
      <c r="AI128" s="39">
        <v>1.33634708931066E-2</v>
      </c>
      <c r="AJ128" s="39">
        <v>1.33634708931066E-2</v>
      </c>
      <c r="AK128" s="39">
        <v>1.33634708931066E-2</v>
      </c>
      <c r="AL128" s="39">
        <v>1.33634708931066E-2</v>
      </c>
      <c r="AM128" s="39">
        <v>1.33634708931066E-2</v>
      </c>
      <c r="AN128" s="39">
        <v>1.33634708931066E-2</v>
      </c>
      <c r="AO128" s="39">
        <v>1.33634708931066E-2</v>
      </c>
      <c r="AP128" s="39">
        <v>1.33634708931066E-2</v>
      </c>
      <c r="AQ128" s="39">
        <v>1.33634708931066E-2</v>
      </c>
      <c r="AR128" s="39">
        <v>1.33634708931066E-2</v>
      </c>
      <c r="AS128" s="39">
        <v>1.33634708931066E-2</v>
      </c>
      <c r="AT128" s="39">
        <v>1.33634708931066E-2</v>
      </c>
      <c r="AU128" s="39">
        <v>1.2392217523121999E-3</v>
      </c>
      <c r="AV128" s="39">
        <v>1.2392217523121999E-3</v>
      </c>
      <c r="AW128" s="39">
        <v>1.2392217523121999E-3</v>
      </c>
      <c r="AX128" s="39">
        <v>1.2392217523121999E-3</v>
      </c>
      <c r="AY128" s="39">
        <v>1.2392217523121999E-3</v>
      </c>
      <c r="AZ128" s="39">
        <v>1.2392217523121999E-3</v>
      </c>
      <c r="BA128" s="39">
        <v>1.2392217523121999E-3</v>
      </c>
      <c r="BB128" s="39">
        <v>1.2392217523121999E-3</v>
      </c>
      <c r="BC128" s="39">
        <v>1.2392217523121999E-3</v>
      </c>
      <c r="BD128" s="39">
        <v>1.2392217523121999E-3</v>
      </c>
      <c r="BE128" s="39">
        <v>1.2392217523121999E-3</v>
      </c>
      <c r="BF128" s="39">
        <v>1.2392217523121999E-3</v>
      </c>
      <c r="BH128" s="12">
        <f t="shared" si="74"/>
        <v>0</v>
      </c>
      <c r="BI128" s="12">
        <f t="shared" si="75"/>
        <v>0</v>
      </c>
      <c r="BJ128" s="12">
        <f t="shared" si="76"/>
        <v>0</v>
      </c>
      <c r="BK128" s="12">
        <f t="shared" si="77"/>
        <v>0</v>
      </c>
      <c r="BL128" s="12">
        <f t="shared" si="78"/>
        <v>0</v>
      </c>
      <c r="BM128" s="12">
        <f t="shared" si="79"/>
        <v>0</v>
      </c>
      <c r="BN128" s="12">
        <f t="shared" si="80"/>
        <v>0</v>
      </c>
      <c r="BO128" s="12">
        <f t="shared" si="81"/>
        <v>0</v>
      </c>
      <c r="BP128" s="12">
        <f t="shared" si="82"/>
        <v>0</v>
      </c>
      <c r="BQ128" s="12">
        <f t="shared" si="83"/>
        <v>0</v>
      </c>
      <c r="BR128" s="12">
        <f t="shared" si="86"/>
        <v>0</v>
      </c>
      <c r="BS128" s="12">
        <f t="shared" si="87"/>
        <v>0</v>
      </c>
      <c r="BU128" s="11">
        <f t="shared" si="89"/>
        <v>0</v>
      </c>
      <c r="BV128" s="11">
        <f t="shared" si="90"/>
        <v>0</v>
      </c>
      <c r="BW128" s="11">
        <f t="shared" si="91"/>
        <v>0</v>
      </c>
      <c r="BX128" s="11">
        <f t="shared" si="92"/>
        <v>0</v>
      </c>
      <c r="BY128" s="11">
        <f t="shared" si="93"/>
        <v>0</v>
      </c>
      <c r="BZ128" s="11">
        <f t="shared" si="94"/>
        <v>0</v>
      </c>
      <c r="CA128" s="11">
        <f t="shared" si="95"/>
        <v>0</v>
      </c>
      <c r="CB128" s="11">
        <f t="shared" si="96"/>
        <v>0</v>
      </c>
      <c r="CC128" s="11">
        <f t="shared" si="97"/>
        <v>0</v>
      </c>
      <c r="CD128" s="11">
        <f t="shared" si="98"/>
        <v>0</v>
      </c>
      <c r="CE128" s="11">
        <f t="shared" si="99"/>
        <v>0</v>
      </c>
      <c r="CF128" s="11">
        <f t="shared" si="100"/>
        <v>0</v>
      </c>
      <c r="CG128" s="11"/>
      <c r="CH128" s="41">
        <v>3.23</v>
      </c>
      <c r="CJ128" s="54">
        <f t="shared" si="101"/>
        <v>0</v>
      </c>
      <c r="CK128" s="54">
        <f t="shared" si="102"/>
        <v>0</v>
      </c>
      <c r="CL128" s="54">
        <f t="shared" si="103"/>
        <v>0</v>
      </c>
      <c r="CM128" s="54">
        <f t="shared" si="104"/>
        <v>0</v>
      </c>
      <c r="CN128" s="54">
        <f t="shared" si="105"/>
        <v>0</v>
      </c>
      <c r="CO128" s="54">
        <f t="shared" si="106"/>
        <v>0</v>
      </c>
      <c r="CP128" s="54">
        <f t="shared" si="107"/>
        <v>0</v>
      </c>
      <c r="CQ128" s="54">
        <f t="shared" si="108"/>
        <v>0</v>
      </c>
      <c r="CR128" s="54">
        <f t="shared" si="109"/>
        <v>0</v>
      </c>
      <c r="CS128" s="54">
        <f t="shared" si="110"/>
        <v>0</v>
      </c>
      <c r="CT128" s="54">
        <f t="shared" si="111"/>
        <v>0</v>
      </c>
      <c r="CU128" s="54">
        <f t="shared" si="112"/>
        <v>0</v>
      </c>
      <c r="CV128" s="52">
        <f t="shared" si="113"/>
        <v>0</v>
      </c>
    </row>
    <row r="129" spans="1:100" ht="15.75" x14ac:dyDescent="0.25">
      <c r="A129" s="17"/>
      <c r="B129" s="17"/>
      <c r="C129" s="17"/>
      <c r="D129" s="17"/>
      <c r="E129" s="17"/>
      <c r="F129" s="32" t="s">
        <v>2954</v>
      </c>
      <c r="G129" s="78"/>
      <c r="H129" s="78"/>
      <c r="I129" s="78"/>
      <c r="J129" s="78"/>
      <c r="K129" s="78"/>
      <c r="L129" s="78"/>
      <c r="M129" s="78"/>
      <c r="N129" s="78"/>
      <c r="O129" s="78"/>
      <c r="P129" s="78"/>
      <c r="Q129" s="78"/>
      <c r="R129" s="78"/>
      <c r="S129" s="11">
        <f t="shared" si="85"/>
        <v>0</v>
      </c>
      <c r="T129" s="8">
        <f t="shared" si="114"/>
        <v>0</v>
      </c>
      <c r="U129" s="13" t="s">
        <v>2953</v>
      </c>
      <c r="V129" s="46">
        <f t="shared" si="88"/>
        <v>0</v>
      </c>
      <c r="W129" s="36">
        <v>1.82</v>
      </c>
      <c r="X129" s="36">
        <v>1.82</v>
      </c>
      <c r="Y129" s="36">
        <v>2.367</v>
      </c>
      <c r="Z129" s="36">
        <v>2.367</v>
      </c>
      <c r="AA129" s="36">
        <v>2.367</v>
      </c>
      <c r="AB129" s="36">
        <v>2.367</v>
      </c>
      <c r="AC129" s="36">
        <v>2.367</v>
      </c>
      <c r="AD129" s="36">
        <v>2.367</v>
      </c>
      <c r="AE129" s="36">
        <v>2.367</v>
      </c>
      <c r="AF129" s="36">
        <v>2.367</v>
      </c>
      <c r="AG129" s="36">
        <v>2.367</v>
      </c>
      <c r="AH129" s="36">
        <v>2.367</v>
      </c>
      <c r="AI129" s="39">
        <v>1.33634708931066E-2</v>
      </c>
      <c r="AJ129" s="39">
        <v>1.33634708931066E-2</v>
      </c>
      <c r="AK129" s="39">
        <v>1.33634708931066E-2</v>
      </c>
      <c r="AL129" s="39">
        <v>1.33634708931066E-2</v>
      </c>
      <c r="AM129" s="39">
        <v>1.33634708931066E-2</v>
      </c>
      <c r="AN129" s="39">
        <v>1.33634708931066E-2</v>
      </c>
      <c r="AO129" s="39">
        <v>1.33634708931066E-2</v>
      </c>
      <c r="AP129" s="39">
        <v>1.33634708931066E-2</v>
      </c>
      <c r="AQ129" s="39">
        <v>1.33634708931066E-2</v>
      </c>
      <c r="AR129" s="39">
        <v>1.33634708931066E-2</v>
      </c>
      <c r="AS129" s="39">
        <v>1.33634708931066E-2</v>
      </c>
      <c r="AT129" s="39">
        <v>1.33634708931066E-2</v>
      </c>
      <c r="AU129" s="39">
        <v>1.2392217523121999E-3</v>
      </c>
      <c r="AV129" s="39">
        <v>1.2392217523121999E-3</v>
      </c>
      <c r="AW129" s="39">
        <v>1.2392217523121999E-3</v>
      </c>
      <c r="AX129" s="39">
        <v>1.2392217523121999E-3</v>
      </c>
      <c r="AY129" s="39">
        <v>1.2392217523121999E-3</v>
      </c>
      <c r="AZ129" s="39">
        <v>1.2392217523121999E-3</v>
      </c>
      <c r="BA129" s="39">
        <v>1.2392217523121999E-3</v>
      </c>
      <c r="BB129" s="39">
        <v>1.2392217523121999E-3</v>
      </c>
      <c r="BC129" s="39">
        <v>1.2392217523121999E-3</v>
      </c>
      <c r="BD129" s="39">
        <v>1.2392217523121999E-3</v>
      </c>
      <c r="BE129" s="39">
        <v>1.2392217523121999E-3</v>
      </c>
      <c r="BF129" s="39">
        <v>1.2392217523121999E-3</v>
      </c>
      <c r="BH129" s="12">
        <f t="shared" si="74"/>
        <v>0</v>
      </c>
      <c r="BI129" s="12">
        <f t="shared" si="75"/>
        <v>0</v>
      </c>
      <c r="BJ129" s="12">
        <f t="shared" si="76"/>
        <v>0</v>
      </c>
      <c r="BK129" s="12">
        <f t="shared" si="77"/>
        <v>0</v>
      </c>
      <c r="BL129" s="12">
        <f t="shared" si="78"/>
        <v>0</v>
      </c>
      <c r="BM129" s="12">
        <f t="shared" si="79"/>
        <v>0</v>
      </c>
      <c r="BN129" s="12">
        <f t="shared" si="80"/>
        <v>0</v>
      </c>
      <c r="BO129" s="12">
        <f t="shared" si="81"/>
        <v>0</v>
      </c>
      <c r="BP129" s="12">
        <f t="shared" si="82"/>
        <v>0</v>
      </c>
      <c r="BQ129" s="12">
        <f t="shared" si="83"/>
        <v>0</v>
      </c>
      <c r="BR129" s="12">
        <f t="shared" si="86"/>
        <v>0</v>
      </c>
      <c r="BS129" s="12">
        <f t="shared" si="87"/>
        <v>0</v>
      </c>
      <c r="BU129" s="11">
        <f t="shared" si="89"/>
        <v>0</v>
      </c>
      <c r="BV129" s="11">
        <f t="shared" si="90"/>
        <v>0</v>
      </c>
      <c r="BW129" s="11">
        <f t="shared" si="91"/>
        <v>0</v>
      </c>
      <c r="BX129" s="11">
        <f t="shared" si="92"/>
        <v>0</v>
      </c>
      <c r="BY129" s="11">
        <f t="shared" si="93"/>
        <v>0</v>
      </c>
      <c r="BZ129" s="11">
        <f t="shared" si="94"/>
        <v>0</v>
      </c>
      <c r="CA129" s="11">
        <f t="shared" si="95"/>
        <v>0</v>
      </c>
      <c r="CB129" s="11">
        <f t="shared" si="96"/>
        <v>0</v>
      </c>
      <c r="CC129" s="11">
        <f t="shared" si="97"/>
        <v>0</v>
      </c>
      <c r="CD129" s="11">
        <f t="shared" si="98"/>
        <v>0</v>
      </c>
      <c r="CE129" s="11">
        <f t="shared" si="99"/>
        <v>0</v>
      </c>
      <c r="CF129" s="11">
        <f t="shared" si="100"/>
        <v>0</v>
      </c>
      <c r="CG129" s="11"/>
      <c r="CH129" s="41">
        <v>3.23</v>
      </c>
      <c r="CJ129" s="54">
        <f t="shared" si="101"/>
        <v>0</v>
      </c>
      <c r="CK129" s="54">
        <f t="shared" si="102"/>
        <v>0</v>
      </c>
      <c r="CL129" s="54">
        <f t="shared" si="103"/>
        <v>0</v>
      </c>
      <c r="CM129" s="54">
        <f t="shared" si="104"/>
        <v>0</v>
      </c>
      <c r="CN129" s="54">
        <f t="shared" si="105"/>
        <v>0</v>
      </c>
      <c r="CO129" s="54">
        <f t="shared" si="106"/>
        <v>0</v>
      </c>
      <c r="CP129" s="54">
        <f t="shared" si="107"/>
        <v>0</v>
      </c>
      <c r="CQ129" s="54">
        <f t="shared" si="108"/>
        <v>0</v>
      </c>
      <c r="CR129" s="54">
        <f t="shared" si="109"/>
        <v>0</v>
      </c>
      <c r="CS129" s="54">
        <f t="shared" si="110"/>
        <v>0</v>
      </c>
      <c r="CT129" s="54">
        <f t="shared" si="111"/>
        <v>0</v>
      </c>
      <c r="CU129" s="54">
        <f t="shared" si="112"/>
        <v>0</v>
      </c>
      <c r="CV129" s="52">
        <f t="shared" si="113"/>
        <v>0</v>
      </c>
    </row>
    <row r="130" spans="1:100" ht="15.75" x14ac:dyDescent="0.25">
      <c r="A130" s="17"/>
      <c r="B130" s="17"/>
      <c r="C130" s="17"/>
      <c r="D130" s="17"/>
      <c r="E130" s="17"/>
      <c r="F130" s="32" t="s">
        <v>2954</v>
      </c>
      <c r="G130" s="78"/>
      <c r="H130" s="78"/>
      <c r="I130" s="78"/>
      <c r="J130" s="78"/>
      <c r="K130" s="78"/>
      <c r="L130" s="78"/>
      <c r="M130" s="78"/>
      <c r="N130" s="78"/>
      <c r="O130" s="78"/>
      <c r="P130" s="78"/>
      <c r="Q130" s="78"/>
      <c r="R130" s="78"/>
      <c r="S130" s="11">
        <f t="shared" si="85"/>
        <v>0</v>
      </c>
      <c r="T130" s="8">
        <f t="shared" si="114"/>
        <v>0</v>
      </c>
      <c r="U130" s="13" t="s">
        <v>2953</v>
      </c>
      <c r="V130" s="46">
        <f t="shared" si="88"/>
        <v>0</v>
      </c>
      <c r="W130" s="36">
        <v>2.3559999999999999</v>
      </c>
      <c r="X130" s="36">
        <v>2.3559999999999999</v>
      </c>
      <c r="Y130" s="36">
        <v>3.0640000000000001</v>
      </c>
      <c r="Z130" s="36">
        <v>3.0640000000000001</v>
      </c>
      <c r="AA130" s="36">
        <v>3.0640000000000001</v>
      </c>
      <c r="AB130" s="36">
        <v>3.0640000000000001</v>
      </c>
      <c r="AC130" s="36">
        <v>3.0640000000000001</v>
      </c>
      <c r="AD130" s="36">
        <v>3.0640000000000001</v>
      </c>
      <c r="AE130" s="36">
        <v>3.0640000000000001</v>
      </c>
      <c r="AF130" s="36">
        <v>3.0640000000000001</v>
      </c>
      <c r="AG130" s="36">
        <v>3.0640000000000001</v>
      </c>
      <c r="AH130" s="36">
        <v>3.0640000000000001</v>
      </c>
      <c r="AI130" s="39">
        <v>1.33634708931066E-2</v>
      </c>
      <c r="AJ130" s="39">
        <v>1.33634708931066E-2</v>
      </c>
      <c r="AK130" s="39">
        <v>1.33634708931066E-2</v>
      </c>
      <c r="AL130" s="39">
        <v>1.33634708931066E-2</v>
      </c>
      <c r="AM130" s="39">
        <v>1.33634708931066E-2</v>
      </c>
      <c r="AN130" s="39">
        <v>1.33634708931066E-2</v>
      </c>
      <c r="AO130" s="39">
        <v>1.33634708931066E-2</v>
      </c>
      <c r="AP130" s="39">
        <v>1.33634708931066E-2</v>
      </c>
      <c r="AQ130" s="39">
        <v>1.33634708931066E-2</v>
      </c>
      <c r="AR130" s="39">
        <v>1.33634708931066E-2</v>
      </c>
      <c r="AS130" s="39">
        <v>1.33634708931066E-2</v>
      </c>
      <c r="AT130" s="39">
        <v>1.33634708931066E-2</v>
      </c>
      <c r="AU130" s="39">
        <v>1.2392217523121999E-3</v>
      </c>
      <c r="AV130" s="39">
        <v>1.2392217523121999E-3</v>
      </c>
      <c r="AW130" s="39">
        <v>1.2392217523121999E-3</v>
      </c>
      <c r="AX130" s="39">
        <v>1.2392217523121999E-3</v>
      </c>
      <c r="AY130" s="39">
        <v>1.2392217523121999E-3</v>
      </c>
      <c r="AZ130" s="39">
        <v>1.2392217523121999E-3</v>
      </c>
      <c r="BA130" s="39">
        <v>1.2392217523121999E-3</v>
      </c>
      <c r="BB130" s="39">
        <v>1.2392217523121999E-3</v>
      </c>
      <c r="BC130" s="39">
        <v>1.2392217523121999E-3</v>
      </c>
      <c r="BD130" s="39">
        <v>1.2392217523121999E-3</v>
      </c>
      <c r="BE130" s="39">
        <v>1.2392217523121999E-3</v>
      </c>
      <c r="BF130" s="39">
        <v>1.2392217523121999E-3</v>
      </c>
      <c r="BH130" s="12">
        <f t="shared" si="74"/>
        <v>0</v>
      </c>
      <c r="BI130" s="12">
        <f t="shared" si="75"/>
        <v>0</v>
      </c>
      <c r="BJ130" s="12">
        <f t="shared" si="76"/>
        <v>0</v>
      </c>
      <c r="BK130" s="12">
        <f t="shared" si="77"/>
        <v>0</v>
      </c>
      <c r="BL130" s="12">
        <f t="shared" si="78"/>
        <v>0</v>
      </c>
      <c r="BM130" s="12">
        <f t="shared" si="79"/>
        <v>0</v>
      </c>
      <c r="BN130" s="12">
        <f t="shared" si="80"/>
        <v>0</v>
      </c>
      <c r="BO130" s="12">
        <f t="shared" si="81"/>
        <v>0</v>
      </c>
      <c r="BP130" s="12">
        <f t="shared" si="82"/>
        <v>0</v>
      </c>
      <c r="BQ130" s="12">
        <f t="shared" si="83"/>
        <v>0</v>
      </c>
      <c r="BR130" s="12">
        <f t="shared" si="86"/>
        <v>0</v>
      </c>
      <c r="BS130" s="12">
        <f t="shared" si="87"/>
        <v>0</v>
      </c>
      <c r="BU130" s="11">
        <f t="shared" si="89"/>
        <v>0</v>
      </c>
      <c r="BV130" s="11">
        <f t="shared" si="90"/>
        <v>0</v>
      </c>
      <c r="BW130" s="11">
        <f t="shared" si="91"/>
        <v>0</v>
      </c>
      <c r="BX130" s="11">
        <f t="shared" si="92"/>
        <v>0</v>
      </c>
      <c r="BY130" s="11">
        <f t="shared" si="93"/>
        <v>0</v>
      </c>
      <c r="BZ130" s="11">
        <f t="shared" si="94"/>
        <v>0</v>
      </c>
      <c r="CA130" s="11">
        <f t="shared" si="95"/>
        <v>0</v>
      </c>
      <c r="CB130" s="11">
        <f t="shared" si="96"/>
        <v>0</v>
      </c>
      <c r="CC130" s="11">
        <f t="shared" si="97"/>
        <v>0</v>
      </c>
      <c r="CD130" s="11">
        <f t="shared" si="98"/>
        <v>0</v>
      </c>
      <c r="CE130" s="11">
        <f t="shared" si="99"/>
        <v>0</v>
      </c>
      <c r="CF130" s="11">
        <f t="shared" si="100"/>
        <v>0</v>
      </c>
      <c r="CG130" s="11"/>
      <c r="CH130" s="41">
        <v>3.23</v>
      </c>
      <c r="CJ130" s="54">
        <f t="shared" si="101"/>
        <v>0</v>
      </c>
      <c r="CK130" s="54">
        <f t="shared" si="102"/>
        <v>0</v>
      </c>
      <c r="CL130" s="54">
        <f t="shared" si="103"/>
        <v>0</v>
      </c>
      <c r="CM130" s="54">
        <f t="shared" si="104"/>
        <v>0</v>
      </c>
      <c r="CN130" s="54">
        <f t="shared" si="105"/>
        <v>0</v>
      </c>
      <c r="CO130" s="54">
        <f t="shared" si="106"/>
        <v>0</v>
      </c>
      <c r="CP130" s="54">
        <f t="shared" si="107"/>
        <v>0</v>
      </c>
      <c r="CQ130" s="54">
        <f t="shared" si="108"/>
        <v>0</v>
      </c>
      <c r="CR130" s="54">
        <f t="shared" si="109"/>
        <v>0</v>
      </c>
      <c r="CS130" s="54">
        <f t="shared" si="110"/>
        <v>0</v>
      </c>
      <c r="CT130" s="54">
        <f t="shared" si="111"/>
        <v>0</v>
      </c>
      <c r="CU130" s="54">
        <f t="shared" si="112"/>
        <v>0</v>
      </c>
      <c r="CV130" s="52">
        <f t="shared" si="113"/>
        <v>0</v>
      </c>
    </row>
    <row r="131" spans="1:100" ht="15.75" x14ac:dyDescent="0.25">
      <c r="A131" s="17"/>
      <c r="B131" s="17"/>
      <c r="C131" s="17"/>
      <c r="D131" s="17"/>
      <c r="E131" s="17"/>
      <c r="F131" s="32" t="s">
        <v>2954</v>
      </c>
      <c r="G131" s="78"/>
      <c r="H131" s="78"/>
      <c r="I131" s="78"/>
      <c r="J131" s="78"/>
      <c r="K131" s="78"/>
      <c r="L131" s="78"/>
      <c r="M131" s="78"/>
      <c r="N131" s="78"/>
      <c r="O131" s="78"/>
      <c r="P131" s="78"/>
      <c r="Q131" s="78"/>
      <c r="R131" s="78"/>
      <c r="S131" s="11">
        <f t="shared" si="85"/>
        <v>0</v>
      </c>
      <c r="T131" s="8">
        <f t="shared" si="114"/>
        <v>0</v>
      </c>
      <c r="U131" s="13" t="s">
        <v>2953</v>
      </c>
      <c r="V131" s="46">
        <f t="shared" si="88"/>
        <v>0</v>
      </c>
      <c r="W131" s="36">
        <v>1.964</v>
      </c>
      <c r="X131" s="36">
        <v>1.964</v>
      </c>
      <c r="Y131" s="36">
        <v>2.6280000000000001</v>
      </c>
      <c r="Z131" s="36">
        <v>2.6280000000000001</v>
      </c>
      <c r="AA131" s="36">
        <v>2.6280000000000001</v>
      </c>
      <c r="AB131" s="36">
        <v>2.6280000000000001</v>
      </c>
      <c r="AC131" s="36">
        <v>2.6280000000000001</v>
      </c>
      <c r="AD131" s="36">
        <v>2.6280000000000001</v>
      </c>
      <c r="AE131" s="36">
        <v>2.6280000000000001</v>
      </c>
      <c r="AF131" s="36">
        <v>2.6280000000000001</v>
      </c>
      <c r="AG131" s="36">
        <v>2.6280000000000001</v>
      </c>
      <c r="AH131" s="36">
        <v>2.6280000000000001</v>
      </c>
      <c r="AI131" s="39">
        <v>1.33634708931066E-2</v>
      </c>
      <c r="AJ131" s="39">
        <v>1.33634708931066E-2</v>
      </c>
      <c r="AK131" s="39">
        <v>1.33634708931066E-2</v>
      </c>
      <c r="AL131" s="39">
        <v>1.33634708931066E-2</v>
      </c>
      <c r="AM131" s="39">
        <v>1.33634708931066E-2</v>
      </c>
      <c r="AN131" s="39">
        <v>1.33634708931066E-2</v>
      </c>
      <c r="AO131" s="39">
        <v>1.33634708931066E-2</v>
      </c>
      <c r="AP131" s="39">
        <v>1.33634708931066E-2</v>
      </c>
      <c r="AQ131" s="39">
        <v>1.33634708931066E-2</v>
      </c>
      <c r="AR131" s="39">
        <v>1.33634708931066E-2</v>
      </c>
      <c r="AS131" s="39">
        <v>1.33634708931066E-2</v>
      </c>
      <c r="AT131" s="39">
        <v>1.33634708931066E-2</v>
      </c>
      <c r="AU131" s="39">
        <v>1.2392217523121999E-3</v>
      </c>
      <c r="AV131" s="39">
        <v>1.2392217523121999E-3</v>
      </c>
      <c r="AW131" s="39">
        <v>1.2392217523121999E-3</v>
      </c>
      <c r="AX131" s="39">
        <v>1.2392217523121999E-3</v>
      </c>
      <c r="AY131" s="39">
        <v>1.2392217523121999E-3</v>
      </c>
      <c r="AZ131" s="39">
        <v>1.2392217523121999E-3</v>
      </c>
      <c r="BA131" s="39">
        <v>1.2392217523121999E-3</v>
      </c>
      <c r="BB131" s="39">
        <v>1.2392217523121999E-3</v>
      </c>
      <c r="BC131" s="39">
        <v>1.2392217523121999E-3</v>
      </c>
      <c r="BD131" s="39">
        <v>1.2392217523121999E-3</v>
      </c>
      <c r="BE131" s="39">
        <v>1.2392217523121999E-3</v>
      </c>
      <c r="BF131" s="39">
        <v>1.2392217523121999E-3</v>
      </c>
      <c r="BH131" s="12">
        <f t="shared" si="74"/>
        <v>0</v>
      </c>
      <c r="BI131" s="12">
        <f t="shared" si="75"/>
        <v>0</v>
      </c>
      <c r="BJ131" s="12">
        <f t="shared" si="76"/>
        <v>0</v>
      </c>
      <c r="BK131" s="12">
        <f t="shared" si="77"/>
        <v>0</v>
      </c>
      <c r="BL131" s="12">
        <f t="shared" si="78"/>
        <v>0</v>
      </c>
      <c r="BM131" s="12">
        <f t="shared" si="79"/>
        <v>0</v>
      </c>
      <c r="BN131" s="12">
        <f t="shared" si="80"/>
        <v>0</v>
      </c>
      <c r="BO131" s="12">
        <f t="shared" si="81"/>
        <v>0</v>
      </c>
      <c r="BP131" s="12">
        <f t="shared" si="82"/>
        <v>0</v>
      </c>
      <c r="BQ131" s="12">
        <f t="shared" si="83"/>
        <v>0</v>
      </c>
      <c r="BR131" s="12">
        <f t="shared" si="86"/>
        <v>0</v>
      </c>
      <c r="BS131" s="12">
        <f t="shared" si="87"/>
        <v>0</v>
      </c>
      <c r="BU131" s="11">
        <f t="shared" si="89"/>
        <v>0</v>
      </c>
      <c r="BV131" s="11">
        <f t="shared" si="90"/>
        <v>0</v>
      </c>
      <c r="BW131" s="11">
        <f t="shared" si="91"/>
        <v>0</v>
      </c>
      <c r="BX131" s="11">
        <f t="shared" si="92"/>
        <v>0</v>
      </c>
      <c r="BY131" s="11">
        <f t="shared" si="93"/>
        <v>0</v>
      </c>
      <c r="BZ131" s="11">
        <f t="shared" si="94"/>
        <v>0</v>
      </c>
      <c r="CA131" s="11">
        <f t="shared" si="95"/>
        <v>0</v>
      </c>
      <c r="CB131" s="11">
        <f t="shared" si="96"/>
        <v>0</v>
      </c>
      <c r="CC131" s="11">
        <f t="shared" si="97"/>
        <v>0</v>
      </c>
      <c r="CD131" s="11">
        <f t="shared" si="98"/>
        <v>0</v>
      </c>
      <c r="CE131" s="11">
        <f t="shared" si="99"/>
        <v>0</v>
      </c>
      <c r="CF131" s="11">
        <f t="shared" si="100"/>
        <v>0</v>
      </c>
      <c r="CG131" s="11"/>
      <c r="CH131" s="41">
        <v>3.23</v>
      </c>
      <c r="CJ131" s="54">
        <f t="shared" si="101"/>
        <v>0</v>
      </c>
      <c r="CK131" s="54">
        <f t="shared" si="102"/>
        <v>0</v>
      </c>
      <c r="CL131" s="54">
        <f t="shared" si="103"/>
        <v>0</v>
      </c>
      <c r="CM131" s="54">
        <f t="shared" si="104"/>
        <v>0</v>
      </c>
      <c r="CN131" s="54">
        <f t="shared" si="105"/>
        <v>0</v>
      </c>
      <c r="CO131" s="54">
        <f t="shared" si="106"/>
        <v>0</v>
      </c>
      <c r="CP131" s="54">
        <f t="shared" si="107"/>
        <v>0</v>
      </c>
      <c r="CQ131" s="54">
        <f t="shared" si="108"/>
        <v>0</v>
      </c>
      <c r="CR131" s="54">
        <f t="shared" si="109"/>
        <v>0</v>
      </c>
      <c r="CS131" s="54">
        <f t="shared" si="110"/>
        <v>0</v>
      </c>
      <c r="CT131" s="54">
        <f t="shared" si="111"/>
        <v>0</v>
      </c>
      <c r="CU131" s="54">
        <f t="shared" si="112"/>
        <v>0</v>
      </c>
      <c r="CV131" s="52">
        <f t="shared" si="113"/>
        <v>0</v>
      </c>
    </row>
    <row r="132" spans="1:100" ht="15.75" x14ac:dyDescent="0.25">
      <c r="A132" s="17"/>
      <c r="B132" s="17"/>
      <c r="C132" s="17"/>
      <c r="D132" s="17"/>
      <c r="E132" s="17"/>
      <c r="F132" s="32" t="s">
        <v>2954</v>
      </c>
      <c r="G132" s="78"/>
      <c r="H132" s="78"/>
      <c r="I132" s="78"/>
      <c r="J132" s="78"/>
      <c r="K132" s="78"/>
      <c r="L132" s="78"/>
      <c r="M132" s="78"/>
      <c r="N132" s="78"/>
      <c r="O132" s="78"/>
      <c r="P132" s="78"/>
      <c r="Q132" s="78"/>
      <c r="R132" s="78"/>
      <c r="S132" s="11">
        <f t="shared" si="85"/>
        <v>0</v>
      </c>
      <c r="T132" s="8">
        <f t="shared" si="114"/>
        <v>0</v>
      </c>
      <c r="U132" s="13" t="s">
        <v>2953</v>
      </c>
      <c r="V132" s="46">
        <f t="shared" si="88"/>
        <v>0</v>
      </c>
      <c r="W132" s="36">
        <v>5.1070000000000002</v>
      </c>
      <c r="X132" s="36">
        <v>5.1070000000000002</v>
      </c>
      <c r="Y132" s="36">
        <v>5.1070000000000002</v>
      </c>
      <c r="Z132" s="36">
        <v>5.1070000000000002</v>
      </c>
      <c r="AA132" s="36">
        <v>5.1070000000000002</v>
      </c>
      <c r="AB132" s="36">
        <v>5.1070000000000002</v>
      </c>
      <c r="AC132" s="36">
        <v>5.1070000000000002</v>
      </c>
      <c r="AD132" s="36">
        <v>5.1070000000000002</v>
      </c>
      <c r="AE132" s="36">
        <v>5.1070000000000002</v>
      </c>
      <c r="AF132" s="36">
        <v>5.1070000000000002</v>
      </c>
      <c r="AG132" s="36">
        <v>5.1070000000000002</v>
      </c>
      <c r="AH132" s="36">
        <v>5.1070000000000002</v>
      </c>
      <c r="AI132" s="39">
        <v>1.33634708931066E-2</v>
      </c>
      <c r="AJ132" s="39">
        <v>1.33634708931066E-2</v>
      </c>
      <c r="AK132" s="39">
        <v>1.33634708931066E-2</v>
      </c>
      <c r="AL132" s="39">
        <v>1.33634708931066E-2</v>
      </c>
      <c r="AM132" s="39">
        <v>1.33634708931066E-2</v>
      </c>
      <c r="AN132" s="39">
        <v>1.33634708931066E-2</v>
      </c>
      <c r="AO132" s="39">
        <v>1.33634708931066E-2</v>
      </c>
      <c r="AP132" s="39">
        <v>1.33634708931066E-2</v>
      </c>
      <c r="AQ132" s="39">
        <v>1.33634708931066E-2</v>
      </c>
      <c r="AR132" s="39">
        <v>1.33634708931066E-2</v>
      </c>
      <c r="AS132" s="39">
        <v>1.33634708931066E-2</v>
      </c>
      <c r="AT132" s="39">
        <v>1.33634708931066E-2</v>
      </c>
      <c r="AU132" s="39">
        <v>1.2392217523121999E-3</v>
      </c>
      <c r="AV132" s="39">
        <v>1.2392217523121999E-3</v>
      </c>
      <c r="AW132" s="39">
        <v>1.2392217523121999E-3</v>
      </c>
      <c r="AX132" s="39">
        <v>1.2392217523121999E-3</v>
      </c>
      <c r="AY132" s="39">
        <v>1.2392217523121999E-3</v>
      </c>
      <c r="AZ132" s="39">
        <v>1.2392217523121999E-3</v>
      </c>
      <c r="BA132" s="39">
        <v>1.2392217523121999E-3</v>
      </c>
      <c r="BB132" s="39">
        <v>1.2392217523121999E-3</v>
      </c>
      <c r="BC132" s="39">
        <v>1.2392217523121999E-3</v>
      </c>
      <c r="BD132" s="39">
        <v>1.2392217523121999E-3</v>
      </c>
      <c r="BE132" s="39">
        <v>1.2392217523121999E-3</v>
      </c>
      <c r="BF132" s="39">
        <v>1.2392217523121999E-3</v>
      </c>
      <c r="BH132" s="12">
        <f t="shared" si="74"/>
        <v>0</v>
      </c>
      <c r="BI132" s="12">
        <f t="shared" si="75"/>
        <v>0</v>
      </c>
      <c r="BJ132" s="12">
        <f t="shared" si="76"/>
        <v>0</v>
      </c>
      <c r="BK132" s="12">
        <f t="shared" si="77"/>
        <v>0</v>
      </c>
      <c r="BL132" s="12">
        <f t="shared" si="78"/>
        <v>0</v>
      </c>
      <c r="BM132" s="12">
        <f t="shared" si="79"/>
        <v>0</v>
      </c>
      <c r="BN132" s="12">
        <f t="shared" si="80"/>
        <v>0</v>
      </c>
      <c r="BO132" s="12">
        <f t="shared" si="81"/>
        <v>0</v>
      </c>
      <c r="BP132" s="12">
        <f t="shared" si="82"/>
        <v>0</v>
      </c>
      <c r="BQ132" s="12">
        <f t="shared" si="83"/>
        <v>0</v>
      </c>
      <c r="BR132" s="12">
        <f t="shared" si="86"/>
        <v>0</v>
      </c>
      <c r="BS132" s="12">
        <f t="shared" si="87"/>
        <v>0</v>
      </c>
      <c r="BU132" s="11">
        <f t="shared" si="89"/>
        <v>0</v>
      </c>
      <c r="BV132" s="11">
        <f t="shared" si="90"/>
        <v>0</v>
      </c>
      <c r="BW132" s="11">
        <f t="shared" si="91"/>
        <v>0</v>
      </c>
      <c r="BX132" s="11">
        <f t="shared" si="92"/>
        <v>0</v>
      </c>
      <c r="BY132" s="11">
        <f t="shared" si="93"/>
        <v>0</v>
      </c>
      <c r="BZ132" s="11">
        <f t="shared" si="94"/>
        <v>0</v>
      </c>
      <c r="CA132" s="11">
        <f t="shared" si="95"/>
        <v>0</v>
      </c>
      <c r="CB132" s="11">
        <f t="shared" si="96"/>
        <v>0</v>
      </c>
      <c r="CC132" s="11">
        <f t="shared" si="97"/>
        <v>0</v>
      </c>
      <c r="CD132" s="11">
        <f t="shared" si="98"/>
        <v>0</v>
      </c>
      <c r="CE132" s="11">
        <f t="shared" si="99"/>
        <v>0</v>
      </c>
      <c r="CF132" s="11">
        <f t="shared" si="100"/>
        <v>0</v>
      </c>
      <c r="CG132" s="11"/>
      <c r="CH132" s="41">
        <v>3.23</v>
      </c>
      <c r="CJ132" s="54">
        <f t="shared" si="101"/>
        <v>0</v>
      </c>
      <c r="CK132" s="54">
        <f t="shared" si="102"/>
        <v>0</v>
      </c>
      <c r="CL132" s="54">
        <f t="shared" si="103"/>
        <v>0</v>
      </c>
      <c r="CM132" s="54">
        <f t="shared" si="104"/>
        <v>0</v>
      </c>
      <c r="CN132" s="54">
        <f t="shared" si="105"/>
        <v>0</v>
      </c>
      <c r="CO132" s="54">
        <f t="shared" si="106"/>
        <v>0</v>
      </c>
      <c r="CP132" s="54">
        <f t="shared" si="107"/>
        <v>0</v>
      </c>
      <c r="CQ132" s="54">
        <f t="shared" si="108"/>
        <v>0</v>
      </c>
      <c r="CR132" s="54">
        <f t="shared" si="109"/>
        <v>0</v>
      </c>
      <c r="CS132" s="54">
        <f t="shared" si="110"/>
        <v>0</v>
      </c>
      <c r="CT132" s="54">
        <f t="shared" si="111"/>
        <v>0</v>
      </c>
      <c r="CU132" s="54">
        <f t="shared" si="112"/>
        <v>0</v>
      </c>
      <c r="CV132" s="52">
        <f t="shared" si="113"/>
        <v>0</v>
      </c>
    </row>
    <row r="133" spans="1:100" ht="15.75" x14ac:dyDescent="0.25">
      <c r="A133" s="17"/>
      <c r="B133" s="17"/>
      <c r="C133" s="17"/>
      <c r="D133" s="17"/>
      <c r="E133" s="17"/>
      <c r="F133" s="32" t="s">
        <v>2954</v>
      </c>
      <c r="G133" s="78"/>
      <c r="H133" s="78"/>
      <c r="I133" s="78"/>
      <c r="J133" s="78"/>
      <c r="K133" s="78"/>
      <c r="L133" s="78"/>
      <c r="M133" s="78"/>
      <c r="N133" s="78"/>
      <c r="O133" s="78"/>
      <c r="P133" s="78"/>
      <c r="Q133" s="78"/>
      <c r="R133" s="78"/>
      <c r="S133" s="11">
        <f t="shared" si="85"/>
        <v>0</v>
      </c>
      <c r="T133" s="8">
        <f t="shared" si="114"/>
        <v>0</v>
      </c>
      <c r="U133" s="13" t="s">
        <v>2953</v>
      </c>
      <c r="V133" s="46">
        <f t="shared" si="88"/>
        <v>0</v>
      </c>
      <c r="W133" s="36">
        <v>3.2559999999999998</v>
      </c>
      <c r="X133" s="36">
        <v>3.2559999999999998</v>
      </c>
      <c r="Y133" s="36">
        <v>3.2559999999999998</v>
      </c>
      <c r="Z133" s="36">
        <v>3.2559999999999998</v>
      </c>
      <c r="AA133" s="36">
        <v>3.2559999999999998</v>
      </c>
      <c r="AB133" s="36">
        <v>3.2559999999999998</v>
      </c>
      <c r="AC133" s="36">
        <v>3.2559999999999998</v>
      </c>
      <c r="AD133" s="36">
        <v>3.2559999999999998</v>
      </c>
      <c r="AE133" s="36">
        <v>3.2559999999999998</v>
      </c>
      <c r="AF133" s="36">
        <v>3.2559999999999998</v>
      </c>
      <c r="AG133" s="36">
        <v>3.2559999999999998</v>
      </c>
      <c r="AH133" s="36">
        <v>3.2559999999999998</v>
      </c>
      <c r="AI133" s="39">
        <v>1.33634708931066E-2</v>
      </c>
      <c r="AJ133" s="39">
        <v>1.33634708931066E-2</v>
      </c>
      <c r="AK133" s="39">
        <v>1.33634708931066E-2</v>
      </c>
      <c r="AL133" s="39">
        <v>1.33634708931066E-2</v>
      </c>
      <c r="AM133" s="39">
        <v>1.33634708931066E-2</v>
      </c>
      <c r="AN133" s="39">
        <v>1.33634708931066E-2</v>
      </c>
      <c r="AO133" s="39">
        <v>1.33634708931066E-2</v>
      </c>
      <c r="AP133" s="39">
        <v>1.33634708931066E-2</v>
      </c>
      <c r="AQ133" s="39">
        <v>1.33634708931066E-2</v>
      </c>
      <c r="AR133" s="39">
        <v>1.33634708931066E-2</v>
      </c>
      <c r="AS133" s="39">
        <v>1.33634708931066E-2</v>
      </c>
      <c r="AT133" s="39">
        <v>1.33634708931066E-2</v>
      </c>
      <c r="AU133" s="39">
        <v>1.2392217523121999E-3</v>
      </c>
      <c r="AV133" s="39">
        <v>1.2392217523121999E-3</v>
      </c>
      <c r="AW133" s="39">
        <v>1.2392217523121999E-3</v>
      </c>
      <c r="AX133" s="39">
        <v>1.2392217523121999E-3</v>
      </c>
      <c r="AY133" s="39">
        <v>1.2392217523121999E-3</v>
      </c>
      <c r="AZ133" s="39">
        <v>1.2392217523121999E-3</v>
      </c>
      <c r="BA133" s="39">
        <v>1.2392217523121999E-3</v>
      </c>
      <c r="BB133" s="39">
        <v>1.2392217523121999E-3</v>
      </c>
      <c r="BC133" s="39">
        <v>1.2392217523121999E-3</v>
      </c>
      <c r="BD133" s="39">
        <v>1.2392217523121999E-3</v>
      </c>
      <c r="BE133" s="39">
        <v>1.2392217523121999E-3</v>
      </c>
      <c r="BF133" s="39">
        <v>1.2392217523121999E-3</v>
      </c>
      <c r="BH133" s="12">
        <f t="shared" si="74"/>
        <v>0</v>
      </c>
      <c r="BI133" s="12">
        <f t="shared" si="75"/>
        <v>0</v>
      </c>
      <c r="BJ133" s="12">
        <f t="shared" si="76"/>
        <v>0</v>
      </c>
      <c r="BK133" s="12">
        <f t="shared" si="77"/>
        <v>0</v>
      </c>
      <c r="BL133" s="12">
        <f t="shared" si="78"/>
        <v>0</v>
      </c>
      <c r="BM133" s="12">
        <f t="shared" si="79"/>
        <v>0</v>
      </c>
      <c r="BN133" s="12">
        <f t="shared" si="80"/>
        <v>0</v>
      </c>
      <c r="BO133" s="12">
        <f t="shared" si="81"/>
        <v>0</v>
      </c>
      <c r="BP133" s="12">
        <f t="shared" si="82"/>
        <v>0</v>
      </c>
      <c r="BQ133" s="12">
        <f t="shared" si="83"/>
        <v>0</v>
      </c>
      <c r="BR133" s="12">
        <f t="shared" si="86"/>
        <v>0</v>
      </c>
      <c r="BS133" s="12">
        <f t="shared" si="87"/>
        <v>0</v>
      </c>
      <c r="BU133" s="11">
        <f t="shared" si="89"/>
        <v>0</v>
      </c>
      <c r="BV133" s="11">
        <f t="shared" si="90"/>
        <v>0</v>
      </c>
      <c r="BW133" s="11">
        <f t="shared" si="91"/>
        <v>0</v>
      </c>
      <c r="BX133" s="11">
        <f t="shared" si="92"/>
        <v>0</v>
      </c>
      <c r="BY133" s="11">
        <f t="shared" si="93"/>
        <v>0</v>
      </c>
      <c r="BZ133" s="11">
        <f t="shared" si="94"/>
        <v>0</v>
      </c>
      <c r="CA133" s="11">
        <f t="shared" si="95"/>
        <v>0</v>
      </c>
      <c r="CB133" s="11">
        <f t="shared" si="96"/>
        <v>0</v>
      </c>
      <c r="CC133" s="11">
        <f t="shared" si="97"/>
        <v>0</v>
      </c>
      <c r="CD133" s="11">
        <f t="shared" si="98"/>
        <v>0</v>
      </c>
      <c r="CE133" s="11">
        <f t="shared" si="99"/>
        <v>0</v>
      </c>
      <c r="CF133" s="11">
        <f t="shared" si="100"/>
        <v>0</v>
      </c>
      <c r="CG133" s="11"/>
      <c r="CH133" s="41">
        <v>3.23</v>
      </c>
      <c r="CJ133" s="54">
        <f t="shared" si="101"/>
        <v>0</v>
      </c>
      <c r="CK133" s="54">
        <f t="shared" si="102"/>
        <v>0</v>
      </c>
      <c r="CL133" s="54">
        <f t="shared" si="103"/>
        <v>0</v>
      </c>
      <c r="CM133" s="54">
        <f t="shared" si="104"/>
        <v>0</v>
      </c>
      <c r="CN133" s="54">
        <f t="shared" si="105"/>
        <v>0</v>
      </c>
      <c r="CO133" s="54">
        <f t="shared" si="106"/>
        <v>0</v>
      </c>
      <c r="CP133" s="54">
        <f t="shared" si="107"/>
        <v>0</v>
      </c>
      <c r="CQ133" s="54">
        <f t="shared" si="108"/>
        <v>0</v>
      </c>
      <c r="CR133" s="54">
        <f t="shared" si="109"/>
        <v>0</v>
      </c>
      <c r="CS133" s="54">
        <f t="shared" si="110"/>
        <v>0</v>
      </c>
      <c r="CT133" s="54">
        <f t="shared" si="111"/>
        <v>0</v>
      </c>
      <c r="CU133" s="54">
        <f t="shared" si="112"/>
        <v>0</v>
      </c>
      <c r="CV133" s="52">
        <f t="shared" si="113"/>
        <v>0</v>
      </c>
    </row>
    <row r="134" spans="1:100" ht="15.75" x14ac:dyDescent="0.25">
      <c r="A134" s="17"/>
      <c r="B134" s="17"/>
      <c r="C134" s="17"/>
      <c r="D134" s="17"/>
      <c r="E134" s="17"/>
      <c r="F134" s="32" t="s">
        <v>2954</v>
      </c>
      <c r="G134" s="78"/>
      <c r="H134" s="78"/>
      <c r="I134" s="78"/>
      <c r="J134" s="78"/>
      <c r="K134" s="78"/>
      <c r="L134" s="78"/>
      <c r="M134" s="78"/>
      <c r="N134" s="78"/>
      <c r="O134" s="78"/>
      <c r="P134" s="78"/>
      <c r="Q134" s="78"/>
      <c r="R134" s="78"/>
      <c r="S134" s="11">
        <f t="shared" si="85"/>
        <v>0</v>
      </c>
      <c r="T134" s="8">
        <f t="shared" si="114"/>
        <v>0</v>
      </c>
      <c r="U134" s="13" t="s">
        <v>2953</v>
      </c>
      <c r="V134" s="46">
        <f t="shared" si="88"/>
        <v>0</v>
      </c>
      <c r="W134" s="36">
        <v>1.4350000000000001</v>
      </c>
      <c r="X134" s="36">
        <v>1.4350000000000001</v>
      </c>
      <c r="Y134" s="36">
        <v>1.4350000000000001</v>
      </c>
      <c r="Z134" s="36">
        <v>1.4350000000000001</v>
      </c>
      <c r="AA134" s="36">
        <v>1.4350000000000001</v>
      </c>
      <c r="AB134" s="36">
        <v>1.4350000000000001</v>
      </c>
      <c r="AC134" s="36">
        <v>1.4350000000000001</v>
      </c>
      <c r="AD134" s="36">
        <v>1.4350000000000001</v>
      </c>
      <c r="AE134" s="36">
        <v>1.4350000000000001</v>
      </c>
      <c r="AF134" s="36">
        <v>1.4350000000000001</v>
      </c>
      <c r="AG134" s="36">
        <v>1.4350000000000001</v>
      </c>
      <c r="AH134" s="36">
        <v>1.4350000000000001</v>
      </c>
      <c r="AI134" s="39">
        <v>1.33634708931066E-2</v>
      </c>
      <c r="AJ134" s="39">
        <v>1.33634708931066E-2</v>
      </c>
      <c r="AK134" s="39">
        <v>1.33634708931066E-2</v>
      </c>
      <c r="AL134" s="39">
        <v>1.33634708931066E-2</v>
      </c>
      <c r="AM134" s="39">
        <v>1.33634708931066E-2</v>
      </c>
      <c r="AN134" s="39">
        <v>1.33634708931066E-2</v>
      </c>
      <c r="AO134" s="39">
        <v>1.33634708931066E-2</v>
      </c>
      <c r="AP134" s="39">
        <v>1.33634708931066E-2</v>
      </c>
      <c r="AQ134" s="39">
        <v>1.33634708931066E-2</v>
      </c>
      <c r="AR134" s="39">
        <v>1.33634708931066E-2</v>
      </c>
      <c r="AS134" s="39">
        <v>1.33634708931066E-2</v>
      </c>
      <c r="AT134" s="39">
        <v>1.33634708931066E-2</v>
      </c>
      <c r="AU134" s="39">
        <v>1.2392217523121999E-3</v>
      </c>
      <c r="AV134" s="39">
        <v>1.2392217523121999E-3</v>
      </c>
      <c r="AW134" s="39">
        <v>1.2392217523121999E-3</v>
      </c>
      <c r="AX134" s="39">
        <v>1.2392217523121999E-3</v>
      </c>
      <c r="AY134" s="39">
        <v>1.2392217523121999E-3</v>
      </c>
      <c r="AZ134" s="39">
        <v>1.2392217523121999E-3</v>
      </c>
      <c r="BA134" s="39">
        <v>1.2392217523121999E-3</v>
      </c>
      <c r="BB134" s="39">
        <v>1.2392217523121999E-3</v>
      </c>
      <c r="BC134" s="39">
        <v>1.2392217523121999E-3</v>
      </c>
      <c r="BD134" s="39">
        <v>1.2392217523121999E-3</v>
      </c>
      <c r="BE134" s="39">
        <v>1.2392217523121999E-3</v>
      </c>
      <c r="BF134" s="39">
        <v>1.2392217523121999E-3</v>
      </c>
      <c r="BH134" s="12">
        <f t="shared" si="74"/>
        <v>0</v>
      </c>
      <c r="BI134" s="12">
        <f t="shared" si="75"/>
        <v>0</v>
      </c>
      <c r="BJ134" s="12">
        <f t="shared" si="76"/>
        <v>0</v>
      </c>
      <c r="BK134" s="12">
        <f t="shared" si="77"/>
        <v>0</v>
      </c>
      <c r="BL134" s="12">
        <f t="shared" si="78"/>
        <v>0</v>
      </c>
      <c r="BM134" s="12">
        <f t="shared" si="79"/>
        <v>0</v>
      </c>
      <c r="BN134" s="12">
        <f t="shared" si="80"/>
        <v>0</v>
      </c>
      <c r="BO134" s="12">
        <f t="shared" si="81"/>
        <v>0</v>
      </c>
      <c r="BP134" s="12">
        <f t="shared" si="82"/>
        <v>0</v>
      </c>
      <c r="BQ134" s="12">
        <f t="shared" si="83"/>
        <v>0</v>
      </c>
      <c r="BR134" s="12">
        <f t="shared" si="86"/>
        <v>0</v>
      </c>
      <c r="BS134" s="12">
        <f t="shared" si="87"/>
        <v>0</v>
      </c>
      <c r="BU134" s="11">
        <f t="shared" si="89"/>
        <v>0</v>
      </c>
      <c r="BV134" s="11">
        <f t="shared" si="90"/>
        <v>0</v>
      </c>
      <c r="BW134" s="11">
        <f t="shared" si="91"/>
        <v>0</v>
      </c>
      <c r="BX134" s="11">
        <f t="shared" si="92"/>
        <v>0</v>
      </c>
      <c r="BY134" s="11">
        <f t="shared" si="93"/>
        <v>0</v>
      </c>
      <c r="BZ134" s="11">
        <f t="shared" si="94"/>
        <v>0</v>
      </c>
      <c r="CA134" s="11">
        <f t="shared" si="95"/>
        <v>0</v>
      </c>
      <c r="CB134" s="11">
        <f t="shared" si="96"/>
        <v>0</v>
      </c>
      <c r="CC134" s="11">
        <f t="shared" si="97"/>
        <v>0</v>
      </c>
      <c r="CD134" s="11">
        <f t="shared" si="98"/>
        <v>0</v>
      </c>
      <c r="CE134" s="11">
        <f t="shared" si="99"/>
        <v>0</v>
      </c>
      <c r="CF134" s="11">
        <f t="shared" si="100"/>
        <v>0</v>
      </c>
      <c r="CG134" s="11"/>
      <c r="CH134" s="41">
        <v>3.23</v>
      </c>
      <c r="CJ134" s="54">
        <f t="shared" si="101"/>
        <v>0</v>
      </c>
      <c r="CK134" s="54">
        <f t="shared" si="102"/>
        <v>0</v>
      </c>
      <c r="CL134" s="54">
        <f t="shared" si="103"/>
        <v>0</v>
      </c>
      <c r="CM134" s="54">
        <f t="shared" si="104"/>
        <v>0</v>
      </c>
      <c r="CN134" s="54">
        <f t="shared" si="105"/>
        <v>0</v>
      </c>
      <c r="CO134" s="54">
        <f t="shared" si="106"/>
        <v>0</v>
      </c>
      <c r="CP134" s="54">
        <f t="shared" si="107"/>
        <v>0</v>
      </c>
      <c r="CQ134" s="54">
        <f t="shared" si="108"/>
        <v>0</v>
      </c>
      <c r="CR134" s="54">
        <f t="shared" si="109"/>
        <v>0</v>
      </c>
      <c r="CS134" s="54">
        <f t="shared" si="110"/>
        <v>0</v>
      </c>
      <c r="CT134" s="54">
        <f t="shared" si="111"/>
        <v>0</v>
      </c>
      <c r="CU134" s="54">
        <f t="shared" si="112"/>
        <v>0</v>
      </c>
      <c r="CV134" s="52">
        <f t="shared" si="113"/>
        <v>0</v>
      </c>
    </row>
    <row r="135" spans="1:100" ht="15.75" x14ac:dyDescent="0.25">
      <c r="A135" s="17"/>
      <c r="B135" s="17"/>
      <c r="C135" s="17"/>
      <c r="D135" s="17"/>
      <c r="E135" s="17"/>
      <c r="F135" s="32" t="s">
        <v>2954</v>
      </c>
      <c r="G135" s="78"/>
      <c r="H135" s="78"/>
      <c r="I135" s="78"/>
      <c r="J135" s="78"/>
      <c r="K135" s="78"/>
      <c r="L135" s="78"/>
      <c r="M135" s="78"/>
      <c r="N135" s="78"/>
      <c r="O135" s="78"/>
      <c r="P135" s="78"/>
      <c r="Q135" s="78"/>
      <c r="R135" s="78"/>
      <c r="S135" s="11">
        <f t="shared" si="85"/>
        <v>0</v>
      </c>
      <c r="T135" s="8">
        <f t="shared" si="114"/>
        <v>0</v>
      </c>
      <c r="U135" s="13" t="s">
        <v>2953</v>
      </c>
      <c r="V135" s="46">
        <f t="shared" si="88"/>
        <v>0</v>
      </c>
      <c r="W135" s="36">
        <v>2.956</v>
      </c>
      <c r="X135" s="36">
        <v>2.956</v>
      </c>
      <c r="Y135" s="36">
        <v>2.956</v>
      </c>
      <c r="Z135" s="36">
        <v>2.956</v>
      </c>
      <c r="AA135" s="36">
        <v>2.956</v>
      </c>
      <c r="AB135" s="36">
        <v>2.956</v>
      </c>
      <c r="AC135" s="36">
        <v>2.956</v>
      </c>
      <c r="AD135" s="36">
        <v>2.956</v>
      </c>
      <c r="AE135" s="36">
        <v>2.956</v>
      </c>
      <c r="AF135" s="36">
        <v>2.956</v>
      </c>
      <c r="AG135" s="36">
        <v>2.956</v>
      </c>
      <c r="AH135" s="36">
        <v>2.956</v>
      </c>
      <c r="AI135" s="39">
        <v>1.33634708931066E-2</v>
      </c>
      <c r="AJ135" s="39">
        <v>1.33634708931066E-2</v>
      </c>
      <c r="AK135" s="39">
        <v>1.33634708931066E-2</v>
      </c>
      <c r="AL135" s="39">
        <v>1.33634708931066E-2</v>
      </c>
      <c r="AM135" s="39">
        <v>1.33634708931066E-2</v>
      </c>
      <c r="AN135" s="39">
        <v>1.33634708931066E-2</v>
      </c>
      <c r="AO135" s="39">
        <v>1.33634708931066E-2</v>
      </c>
      <c r="AP135" s="39">
        <v>1.33634708931066E-2</v>
      </c>
      <c r="AQ135" s="39">
        <v>1.33634708931066E-2</v>
      </c>
      <c r="AR135" s="39">
        <v>1.33634708931066E-2</v>
      </c>
      <c r="AS135" s="39">
        <v>1.33634708931066E-2</v>
      </c>
      <c r="AT135" s="39">
        <v>1.33634708931066E-2</v>
      </c>
      <c r="AU135" s="39">
        <v>1.2392217523121999E-3</v>
      </c>
      <c r="AV135" s="39">
        <v>1.2392217523121999E-3</v>
      </c>
      <c r="AW135" s="39">
        <v>1.2392217523121999E-3</v>
      </c>
      <c r="AX135" s="39">
        <v>1.2392217523121999E-3</v>
      </c>
      <c r="AY135" s="39">
        <v>1.2392217523121999E-3</v>
      </c>
      <c r="AZ135" s="39">
        <v>1.2392217523121999E-3</v>
      </c>
      <c r="BA135" s="39">
        <v>1.2392217523121999E-3</v>
      </c>
      <c r="BB135" s="39">
        <v>1.2392217523121999E-3</v>
      </c>
      <c r="BC135" s="39">
        <v>1.2392217523121999E-3</v>
      </c>
      <c r="BD135" s="39">
        <v>1.2392217523121999E-3</v>
      </c>
      <c r="BE135" s="39">
        <v>1.2392217523121999E-3</v>
      </c>
      <c r="BF135" s="39">
        <v>1.2392217523121999E-3</v>
      </c>
      <c r="BH135" s="12">
        <f t="shared" si="74"/>
        <v>0</v>
      </c>
      <c r="BI135" s="12">
        <f t="shared" si="75"/>
        <v>0</v>
      </c>
      <c r="BJ135" s="12">
        <f t="shared" si="76"/>
        <v>0</v>
      </c>
      <c r="BK135" s="12">
        <f t="shared" si="77"/>
        <v>0</v>
      </c>
      <c r="BL135" s="12">
        <f t="shared" si="78"/>
        <v>0</v>
      </c>
      <c r="BM135" s="12">
        <f t="shared" si="79"/>
        <v>0</v>
      </c>
      <c r="BN135" s="12">
        <f t="shared" si="80"/>
        <v>0</v>
      </c>
      <c r="BO135" s="12">
        <f t="shared" si="81"/>
        <v>0</v>
      </c>
      <c r="BP135" s="12">
        <f t="shared" si="82"/>
        <v>0</v>
      </c>
      <c r="BQ135" s="12">
        <f t="shared" si="83"/>
        <v>0</v>
      </c>
      <c r="BR135" s="12">
        <f t="shared" si="86"/>
        <v>0</v>
      </c>
      <c r="BS135" s="12">
        <f t="shared" si="87"/>
        <v>0</v>
      </c>
      <c r="BU135" s="11">
        <f t="shared" si="89"/>
        <v>0</v>
      </c>
      <c r="BV135" s="11">
        <f t="shared" si="90"/>
        <v>0</v>
      </c>
      <c r="BW135" s="11">
        <f t="shared" si="91"/>
        <v>0</v>
      </c>
      <c r="BX135" s="11">
        <f t="shared" si="92"/>
        <v>0</v>
      </c>
      <c r="BY135" s="11">
        <f t="shared" si="93"/>
        <v>0</v>
      </c>
      <c r="BZ135" s="11">
        <f t="shared" si="94"/>
        <v>0</v>
      </c>
      <c r="CA135" s="11">
        <f t="shared" si="95"/>
        <v>0</v>
      </c>
      <c r="CB135" s="11">
        <f t="shared" si="96"/>
        <v>0</v>
      </c>
      <c r="CC135" s="11">
        <f t="shared" si="97"/>
        <v>0</v>
      </c>
      <c r="CD135" s="11">
        <f t="shared" si="98"/>
        <v>0</v>
      </c>
      <c r="CE135" s="11">
        <f t="shared" si="99"/>
        <v>0</v>
      </c>
      <c r="CF135" s="11">
        <f t="shared" si="100"/>
        <v>0</v>
      </c>
      <c r="CG135" s="11"/>
      <c r="CH135" s="41">
        <v>3.23</v>
      </c>
      <c r="CJ135" s="54">
        <f t="shared" si="101"/>
        <v>0</v>
      </c>
      <c r="CK135" s="54">
        <f t="shared" si="102"/>
        <v>0</v>
      </c>
      <c r="CL135" s="54">
        <f t="shared" si="103"/>
        <v>0</v>
      </c>
      <c r="CM135" s="54">
        <f t="shared" si="104"/>
        <v>0</v>
      </c>
      <c r="CN135" s="54">
        <f t="shared" si="105"/>
        <v>0</v>
      </c>
      <c r="CO135" s="54">
        <f t="shared" si="106"/>
        <v>0</v>
      </c>
      <c r="CP135" s="54">
        <f t="shared" si="107"/>
        <v>0</v>
      </c>
      <c r="CQ135" s="54">
        <f t="shared" si="108"/>
        <v>0</v>
      </c>
      <c r="CR135" s="54">
        <f t="shared" si="109"/>
        <v>0</v>
      </c>
      <c r="CS135" s="54">
        <f t="shared" si="110"/>
        <v>0</v>
      </c>
      <c r="CT135" s="54">
        <f t="shared" si="111"/>
        <v>0</v>
      </c>
      <c r="CU135" s="54">
        <f t="shared" si="112"/>
        <v>0</v>
      </c>
      <c r="CV135" s="52">
        <f t="shared" si="113"/>
        <v>0</v>
      </c>
    </row>
    <row r="136" spans="1:100" ht="15.75" x14ac:dyDescent="0.25">
      <c r="A136" s="17"/>
      <c r="B136" s="17"/>
      <c r="C136" s="17"/>
      <c r="D136" s="17"/>
      <c r="E136" s="17"/>
      <c r="F136" s="32" t="s">
        <v>2954</v>
      </c>
      <c r="G136" s="78"/>
      <c r="H136" s="78"/>
      <c r="I136" s="78"/>
      <c r="J136" s="78"/>
      <c r="K136" s="78"/>
      <c r="L136" s="78"/>
      <c r="M136" s="78"/>
      <c r="N136" s="78"/>
      <c r="O136" s="78"/>
      <c r="P136" s="78"/>
      <c r="Q136" s="78"/>
      <c r="R136" s="78"/>
      <c r="S136" s="11">
        <f t="shared" si="85"/>
        <v>0</v>
      </c>
      <c r="T136" s="8">
        <f t="shared" si="114"/>
        <v>0</v>
      </c>
      <c r="U136" s="13" t="s">
        <v>2953</v>
      </c>
      <c r="V136" s="46">
        <f t="shared" si="88"/>
        <v>0</v>
      </c>
      <c r="W136" s="36">
        <v>3.476</v>
      </c>
      <c r="X136" s="36">
        <v>3.476</v>
      </c>
      <c r="Y136" s="36">
        <v>3.476</v>
      </c>
      <c r="Z136" s="36">
        <v>3.476</v>
      </c>
      <c r="AA136" s="36">
        <v>3.476</v>
      </c>
      <c r="AB136" s="36">
        <v>3.476</v>
      </c>
      <c r="AC136" s="36">
        <v>3.476</v>
      </c>
      <c r="AD136" s="36">
        <v>3.476</v>
      </c>
      <c r="AE136" s="36">
        <v>3.476</v>
      </c>
      <c r="AF136" s="36">
        <v>3.476</v>
      </c>
      <c r="AG136" s="36">
        <v>3.476</v>
      </c>
      <c r="AH136" s="36">
        <v>3.476</v>
      </c>
      <c r="AI136" s="39">
        <v>1.33634708931066E-2</v>
      </c>
      <c r="AJ136" s="39">
        <v>1.33634708931066E-2</v>
      </c>
      <c r="AK136" s="39">
        <v>1.33634708931066E-2</v>
      </c>
      <c r="AL136" s="39">
        <v>1.33634708931066E-2</v>
      </c>
      <c r="AM136" s="39">
        <v>1.33634708931066E-2</v>
      </c>
      <c r="AN136" s="39">
        <v>1.33634708931066E-2</v>
      </c>
      <c r="AO136" s="39">
        <v>1.33634708931066E-2</v>
      </c>
      <c r="AP136" s="39">
        <v>1.33634708931066E-2</v>
      </c>
      <c r="AQ136" s="39">
        <v>1.33634708931066E-2</v>
      </c>
      <c r="AR136" s="39">
        <v>1.33634708931066E-2</v>
      </c>
      <c r="AS136" s="39">
        <v>1.33634708931066E-2</v>
      </c>
      <c r="AT136" s="39">
        <v>1.33634708931066E-2</v>
      </c>
      <c r="AU136" s="39">
        <v>1.2392217523121999E-3</v>
      </c>
      <c r="AV136" s="39">
        <v>1.2392217523121999E-3</v>
      </c>
      <c r="AW136" s="39">
        <v>1.2392217523121999E-3</v>
      </c>
      <c r="AX136" s="39">
        <v>1.2392217523121999E-3</v>
      </c>
      <c r="AY136" s="39">
        <v>1.2392217523121999E-3</v>
      </c>
      <c r="AZ136" s="39">
        <v>1.2392217523121999E-3</v>
      </c>
      <c r="BA136" s="39">
        <v>1.2392217523121999E-3</v>
      </c>
      <c r="BB136" s="39">
        <v>1.2392217523121999E-3</v>
      </c>
      <c r="BC136" s="39">
        <v>1.2392217523121999E-3</v>
      </c>
      <c r="BD136" s="39">
        <v>1.2392217523121999E-3</v>
      </c>
      <c r="BE136" s="39">
        <v>1.2392217523121999E-3</v>
      </c>
      <c r="BF136" s="39">
        <v>1.2392217523121999E-3</v>
      </c>
      <c r="BH136" s="12">
        <f t="shared" si="74"/>
        <v>0</v>
      </c>
      <c r="BI136" s="12">
        <f t="shared" si="75"/>
        <v>0</v>
      </c>
      <c r="BJ136" s="12">
        <f t="shared" si="76"/>
        <v>0</v>
      </c>
      <c r="BK136" s="12">
        <f t="shared" si="77"/>
        <v>0</v>
      </c>
      <c r="BL136" s="12">
        <f t="shared" si="78"/>
        <v>0</v>
      </c>
      <c r="BM136" s="12">
        <f t="shared" si="79"/>
        <v>0</v>
      </c>
      <c r="BN136" s="12">
        <f t="shared" si="80"/>
        <v>0</v>
      </c>
      <c r="BO136" s="12">
        <f t="shared" si="81"/>
        <v>0</v>
      </c>
      <c r="BP136" s="12">
        <f t="shared" si="82"/>
        <v>0</v>
      </c>
      <c r="BQ136" s="12">
        <f t="shared" si="83"/>
        <v>0</v>
      </c>
      <c r="BR136" s="12">
        <f t="shared" si="86"/>
        <v>0</v>
      </c>
      <c r="BS136" s="12">
        <f t="shared" si="87"/>
        <v>0</v>
      </c>
      <c r="BU136" s="11">
        <f t="shared" si="89"/>
        <v>0</v>
      </c>
      <c r="BV136" s="11">
        <f t="shared" si="90"/>
        <v>0</v>
      </c>
      <c r="BW136" s="11">
        <f t="shared" si="91"/>
        <v>0</v>
      </c>
      <c r="BX136" s="11">
        <f t="shared" si="92"/>
        <v>0</v>
      </c>
      <c r="BY136" s="11">
        <f t="shared" si="93"/>
        <v>0</v>
      </c>
      <c r="BZ136" s="11">
        <f t="shared" si="94"/>
        <v>0</v>
      </c>
      <c r="CA136" s="11">
        <f t="shared" si="95"/>
        <v>0</v>
      </c>
      <c r="CB136" s="11">
        <f t="shared" si="96"/>
        <v>0</v>
      </c>
      <c r="CC136" s="11">
        <f t="shared" si="97"/>
        <v>0</v>
      </c>
      <c r="CD136" s="11">
        <f t="shared" si="98"/>
        <v>0</v>
      </c>
      <c r="CE136" s="11">
        <f t="shared" si="99"/>
        <v>0</v>
      </c>
      <c r="CF136" s="11">
        <f t="shared" si="100"/>
        <v>0</v>
      </c>
      <c r="CG136" s="11"/>
      <c r="CH136" s="41">
        <v>3.23</v>
      </c>
      <c r="CJ136" s="54">
        <f t="shared" si="101"/>
        <v>0</v>
      </c>
      <c r="CK136" s="54">
        <f t="shared" si="102"/>
        <v>0</v>
      </c>
      <c r="CL136" s="54">
        <f t="shared" si="103"/>
        <v>0</v>
      </c>
      <c r="CM136" s="54">
        <f t="shared" si="104"/>
        <v>0</v>
      </c>
      <c r="CN136" s="54">
        <f t="shared" si="105"/>
        <v>0</v>
      </c>
      <c r="CO136" s="54">
        <f t="shared" si="106"/>
        <v>0</v>
      </c>
      <c r="CP136" s="54">
        <f t="shared" si="107"/>
        <v>0</v>
      </c>
      <c r="CQ136" s="54">
        <f t="shared" si="108"/>
        <v>0</v>
      </c>
      <c r="CR136" s="54">
        <f t="shared" si="109"/>
        <v>0</v>
      </c>
      <c r="CS136" s="54">
        <f t="shared" si="110"/>
        <v>0</v>
      </c>
      <c r="CT136" s="54">
        <f t="shared" si="111"/>
        <v>0</v>
      </c>
      <c r="CU136" s="54">
        <f t="shared" si="112"/>
        <v>0</v>
      </c>
      <c r="CV136" s="52">
        <f t="shared" si="113"/>
        <v>0</v>
      </c>
    </row>
    <row r="137" spans="1:100" ht="15.75" x14ac:dyDescent="0.25">
      <c r="A137" s="17"/>
      <c r="B137" s="17"/>
      <c r="C137" s="17"/>
      <c r="D137" s="17"/>
      <c r="E137" s="17"/>
      <c r="F137" s="32" t="s">
        <v>2954</v>
      </c>
      <c r="G137" s="78"/>
      <c r="H137" s="78"/>
      <c r="I137" s="78"/>
      <c r="J137" s="78"/>
      <c r="K137" s="78"/>
      <c r="L137" s="78"/>
      <c r="M137" s="78"/>
      <c r="N137" s="78"/>
      <c r="O137" s="78"/>
      <c r="P137" s="78"/>
      <c r="Q137" s="78"/>
      <c r="R137" s="78"/>
      <c r="S137" s="11">
        <f t="shared" si="85"/>
        <v>0</v>
      </c>
      <c r="T137" s="8">
        <f t="shared" si="114"/>
        <v>0</v>
      </c>
      <c r="U137" s="13" t="s">
        <v>2953</v>
      </c>
      <c r="V137" s="46">
        <f t="shared" si="88"/>
        <v>0</v>
      </c>
      <c r="W137" s="36">
        <v>3.915</v>
      </c>
      <c r="X137" s="36">
        <v>3.915</v>
      </c>
      <c r="Y137" s="36">
        <v>3.915</v>
      </c>
      <c r="Z137" s="36">
        <v>3.915</v>
      </c>
      <c r="AA137" s="36">
        <v>3.915</v>
      </c>
      <c r="AB137" s="36">
        <v>3.915</v>
      </c>
      <c r="AC137" s="36">
        <v>3.915</v>
      </c>
      <c r="AD137" s="36">
        <v>3.915</v>
      </c>
      <c r="AE137" s="36">
        <v>3.915</v>
      </c>
      <c r="AF137" s="36">
        <v>3.915</v>
      </c>
      <c r="AG137" s="36">
        <v>3.915</v>
      </c>
      <c r="AH137" s="36">
        <v>3.915</v>
      </c>
      <c r="AI137" s="39">
        <v>1.33634708931066E-2</v>
      </c>
      <c r="AJ137" s="39">
        <v>1.33634708931066E-2</v>
      </c>
      <c r="AK137" s="39">
        <v>1.33634708931066E-2</v>
      </c>
      <c r="AL137" s="39">
        <v>1.33634708931066E-2</v>
      </c>
      <c r="AM137" s="39">
        <v>1.33634708931066E-2</v>
      </c>
      <c r="AN137" s="39">
        <v>1.33634708931066E-2</v>
      </c>
      <c r="AO137" s="39">
        <v>1.33634708931066E-2</v>
      </c>
      <c r="AP137" s="39">
        <v>1.33634708931066E-2</v>
      </c>
      <c r="AQ137" s="39">
        <v>1.33634708931066E-2</v>
      </c>
      <c r="AR137" s="39">
        <v>1.33634708931066E-2</v>
      </c>
      <c r="AS137" s="39">
        <v>1.33634708931066E-2</v>
      </c>
      <c r="AT137" s="39">
        <v>1.33634708931066E-2</v>
      </c>
      <c r="AU137" s="39">
        <v>1.2392217523121999E-3</v>
      </c>
      <c r="AV137" s="39">
        <v>1.2392217523121999E-3</v>
      </c>
      <c r="AW137" s="39">
        <v>1.2392217523121999E-3</v>
      </c>
      <c r="AX137" s="39">
        <v>1.2392217523121999E-3</v>
      </c>
      <c r="AY137" s="39">
        <v>1.2392217523121999E-3</v>
      </c>
      <c r="AZ137" s="39">
        <v>1.2392217523121999E-3</v>
      </c>
      <c r="BA137" s="39">
        <v>1.2392217523121999E-3</v>
      </c>
      <c r="BB137" s="39">
        <v>1.2392217523121999E-3</v>
      </c>
      <c r="BC137" s="39">
        <v>1.2392217523121999E-3</v>
      </c>
      <c r="BD137" s="39">
        <v>1.2392217523121999E-3</v>
      </c>
      <c r="BE137" s="39">
        <v>1.2392217523121999E-3</v>
      </c>
      <c r="BF137" s="39">
        <v>1.2392217523121999E-3</v>
      </c>
      <c r="BH137" s="12">
        <f t="shared" si="74"/>
        <v>0</v>
      </c>
      <c r="BI137" s="12">
        <f t="shared" si="75"/>
        <v>0</v>
      </c>
      <c r="BJ137" s="12">
        <f t="shared" si="76"/>
        <v>0</v>
      </c>
      <c r="BK137" s="12">
        <f t="shared" si="77"/>
        <v>0</v>
      </c>
      <c r="BL137" s="12">
        <f t="shared" si="78"/>
        <v>0</v>
      </c>
      <c r="BM137" s="12">
        <f t="shared" si="79"/>
        <v>0</v>
      </c>
      <c r="BN137" s="12">
        <f t="shared" si="80"/>
        <v>0</v>
      </c>
      <c r="BO137" s="12">
        <f t="shared" si="81"/>
        <v>0</v>
      </c>
      <c r="BP137" s="12">
        <f t="shared" si="82"/>
        <v>0</v>
      </c>
      <c r="BQ137" s="12">
        <f t="shared" si="83"/>
        <v>0</v>
      </c>
      <c r="BR137" s="12">
        <f t="shared" si="86"/>
        <v>0</v>
      </c>
      <c r="BS137" s="12">
        <f t="shared" si="87"/>
        <v>0</v>
      </c>
      <c r="BU137" s="11">
        <f t="shared" si="89"/>
        <v>0</v>
      </c>
      <c r="BV137" s="11">
        <f t="shared" si="90"/>
        <v>0</v>
      </c>
      <c r="BW137" s="11">
        <f t="shared" si="91"/>
        <v>0</v>
      </c>
      <c r="BX137" s="11">
        <f t="shared" si="92"/>
        <v>0</v>
      </c>
      <c r="BY137" s="11">
        <f t="shared" si="93"/>
        <v>0</v>
      </c>
      <c r="BZ137" s="11">
        <f t="shared" si="94"/>
        <v>0</v>
      </c>
      <c r="CA137" s="11">
        <f t="shared" si="95"/>
        <v>0</v>
      </c>
      <c r="CB137" s="11">
        <f t="shared" si="96"/>
        <v>0</v>
      </c>
      <c r="CC137" s="11">
        <f t="shared" si="97"/>
        <v>0</v>
      </c>
      <c r="CD137" s="11">
        <f t="shared" si="98"/>
        <v>0</v>
      </c>
      <c r="CE137" s="11">
        <f t="shared" si="99"/>
        <v>0</v>
      </c>
      <c r="CF137" s="11">
        <f t="shared" si="100"/>
        <v>0</v>
      </c>
      <c r="CG137" s="11"/>
      <c r="CH137" s="41">
        <v>3.23</v>
      </c>
      <c r="CJ137" s="54">
        <f t="shared" si="101"/>
        <v>0</v>
      </c>
      <c r="CK137" s="54">
        <f t="shared" si="102"/>
        <v>0</v>
      </c>
      <c r="CL137" s="54">
        <f t="shared" si="103"/>
        <v>0</v>
      </c>
      <c r="CM137" s="54">
        <f t="shared" si="104"/>
        <v>0</v>
      </c>
      <c r="CN137" s="54">
        <f t="shared" si="105"/>
        <v>0</v>
      </c>
      <c r="CO137" s="54">
        <f t="shared" si="106"/>
        <v>0</v>
      </c>
      <c r="CP137" s="54">
        <f t="shared" si="107"/>
        <v>0</v>
      </c>
      <c r="CQ137" s="54">
        <f t="shared" si="108"/>
        <v>0</v>
      </c>
      <c r="CR137" s="54">
        <f t="shared" si="109"/>
        <v>0</v>
      </c>
      <c r="CS137" s="54">
        <f t="shared" si="110"/>
        <v>0</v>
      </c>
      <c r="CT137" s="54">
        <f t="shared" si="111"/>
        <v>0</v>
      </c>
      <c r="CU137" s="54">
        <f t="shared" si="112"/>
        <v>0</v>
      </c>
      <c r="CV137" s="52">
        <f t="shared" si="113"/>
        <v>0</v>
      </c>
    </row>
    <row r="138" spans="1:100" ht="15.75" x14ac:dyDescent="0.25">
      <c r="A138" s="17"/>
      <c r="B138" s="17"/>
      <c r="C138" s="17"/>
      <c r="D138" s="17"/>
      <c r="E138" s="17"/>
      <c r="F138" s="32" t="s">
        <v>2954</v>
      </c>
      <c r="G138" s="78"/>
      <c r="H138" s="78"/>
      <c r="I138" s="78"/>
      <c r="J138" s="78"/>
      <c r="K138" s="78"/>
      <c r="L138" s="78"/>
      <c r="M138" s="78"/>
      <c r="N138" s="78"/>
      <c r="O138" s="78"/>
      <c r="P138" s="78"/>
      <c r="Q138" s="78"/>
      <c r="R138" s="78"/>
      <c r="S138" s="11">
        <f t="shared" ref="S138:S169" si="115">SUM(G138:R138)</f>
        <v>0</v>
      </c>
      <c r="T138" s="8">
        <f t="shared" si="114"/>
        <v>0</v>
      </c>
      <c r="U138" s="13" t="s">
        <v>2953</v>
      </c>
      <c r="V138" s="46">
        <f t="shared" si="88"/>
        <v>0</v>
      </c>
      <c r="W138" s="36">
        <v>9.06</v>
      </c>
      <c r="X138" s="36">
        <v>9.06</v>
      </c>
      <c r="Y138" s="36">
        <v>9.06</v>
      </c>
      <c r="Z138" s="36">
        <v>9.06</v>
      </c>
      <c r="AA138" s="36">
        <v>9.06</v>
      </c>
      <c r="AB138" s="36">
        <v>9.06</v>
      </c>
      <c r="AC138" s="36">
        <v>9.06</v>
      </c>
      <c r="AD138" s="36">
        <v>9.06</v>
      </c>
      <c r="AE138" s="36">
        <v>9.06</v>
      </c>
      <c r="AF138" s="36">
        <v>9.06</v>
      </c>
      <c r="AG138" s="36">
        <v>9.06</v>
      </c>
      <c r="AH138" s="36">
        <v>9.06</v>
      </c>
      <c r="AI138" s="39">
        <v>0</v>
      </c>
      <c r="AJ138" s="39">
        <v>0</v>
      </c>
      <c r="AK138" s="39">
        <v>0</v>
      </c>
      <c r="AL138" s="39">
        <v>0</v>
      </c>
      <c r="AM138" s="39">
        <v>0</v>
      </c>
      <c r="AN138" s="39">
        <v>0</v>
      </c>
      <c r="AO138" s="39">
        <v>0</v>
      </c>
      <c r="AP138" s="39">
        <v>0</v>
      </c>
      <c r="AQ138" s="39">
        <v>0</v>
      </c>
      <c r="AR138" s="39">
        <v>0</v>
      </c>
      <c r="AS138" s="39">
        <v>0</v>
      </c>
      <c r="AT138" s="39">
        <v>0</v>
      </c>
      <c r="AU138" s="39">
        <v>0</v>
      </c>
      <c r="AV138" s="39">
        <v>0</v>
      </c>
      <c r="AW138" s="39">
        <v>0</v>
      </c>
      <c r="AX138" s="39">
        <v>0</v>
      </c>
      <c r="AY138" s="39">
        <v>0</v>
      </c>
      <c r="AZ138" s="39">
        <v>0</v>
      </c>
      <c r="BA138" s="39">
        <v>0</v>
      </c>
      <c r="BB138" s="39">
        <v>0</v>
      </c>
      <c r="BC138" s="39">
        <v>0</v>
      </c>
      <c r="BD138" s="39">
        <v>0</v>
      </c>
      <c r="BE138" s="39">
        <v>0</v>
      </c>
      <c r="BF138" s="39">
        <v>0</v>
      </c>
      <c r="BH138" s="12">
        <f t="shared" si="74"/>
        <v>0</v>
      </c>
      <c r="BI138" s="12">
        <f t="shared" si="75"/>
        <v>0</v>
      </c>
      <c r="BJ138" s="12">
        <f t="shared" si="76"/>
        <v>0</v>
      </c>
      <c r="BK138" s="12">
        <f t="shared" si="77"/>
        <v>0</v>
      </c>
      <c r="BL138" s="12">
        <f t="shared" si="78"/>
        <v>0</v>
      </c>
      <c r="BM138" s="12">
        <f t="shared" si="79"/>
        <v>0</v>
      </c>
      <c r="BN138" s="12">
        <f t="shared" si="80"/>
        <v>0</v>
      </c>
      <c r="BO138" s="12">
        <f t="shared" si="81"/>
        <v>0</v>
      </c>
      <c r="BP138" s="12">
        <f t="shared" si="82"/>
        <v>0</v>
      </c>
      <c r="BQ138" s="12">
        <f t="shared" si="83"/>
        <v>0</v>
      </c>
      <c r="BR138" s="12">
        <f t="shared" ref="BR138:BR170" si="116">(AG138*Q138)</f>
        <v>0</v>
      </c>
      <c r="BS138" s="12">
        <f t="shared" ref="BS138:BS170" si="117">(AH138*R138)</f>
        <v>0</v>
      </c>
      <c r="BU138" s="11">
        <f t="shared" si="89"/>
        <v>0</v>
      </c>
      <c r="BV138" s="11">
        <f t="shared" si="90"/>
        <v>0</v>
      </c>
      <c r="BW138" s="11">
        <f t="shared" si="91"/>
        <v>0</v>
      </c>
      <c r="BX138" s="11">
        <f t="shared" si="92"/>
        <v>0</v>
      </c>
      <c r="BY138" s="11">
        <f t="shared" si="93"/>
        <v>0</v>
      </c>
      <c r="BZ138" s="11">
        <f t="shared" si="94"/>
        <v>0</v>
      </c>
      <c r="CA138" s="11">
        <f t="shared" si="95"/>
        <v>0</v>
      </c>
      <c r="CB138" s="11">
        <f t="shared" si="96"/>
        <v>0</v>
      </c>
      <c r="CC138" s="11">
        <f t="shared" si="97"/>
        <v>0</v>
      </c>
      <c r="CD138" s="11">
        <f t="shared" si="98"/>
        <v>0</v>
      </c>
      <c r="CE138" s="11">
        <f t="shared" si="99"/>
        <v>0</v>
      </c>
      <c r="CF138" s="11">
        <f t="shared" si="100"/>
        <v>0</v>
      </c>
      <c r="CG138" s="11"/>
      <c r="CH138" s="41">
        <v>1</v>
      </c>
      <c r="CJ138" s="54">
        <f t="shared" si="101"/>
        <v>0</v>
      </c>
      <c r="CK138" s="54">
        <f t="shared" si="102"/>
        <v>0</v>
      </c>
      <c r="CL138" s="54">
        <f t="shared" si="103"/>
        <v>0</v>
      </c>
      <c r="CM138" s="54">
        <f t="shared" si="104"/>
        <v>0</v>
      </c>
      <c r="CN138" s="54">
        <f t="shared" si="105"/>
        <v>0</v>
      </c>
      <c r="CO138" s="54">
        <f t="shared" si="106"/>
        <v>0</v>
      </c>
      <c r="CP138" s="54">
        <f t="shared" si="107"/>
        <v>0</v>
      </c>
      <c r="CQ138" s="54">
        <f t="shared" si="108"/>
        <v>0</v>
      </c>
      <c r="CR138" s="54">
        <f t="shared" si="109"/>
        <v>0</v>
      </c>
      <c r="CS138" s="54">
        <f t="shared" si="110"/>
        <v>0</v>
      </c>
      <c r="CT138" s="54">
        <f t="shared" si="111"/>
        <v>0</v>
      </c>
      <c r="CU138" s="54">
        <f t="shared" si="112"/>
        <v>0</v>
      </c>
      <c r="CV138" s="52">
        <f t="shared" si="113"/>
        <v>0</v>
      </c>
    </row>
    <row r="139" spans="1:100" ht="15.75" x14ac:dyDescent="0.25">
      <c r="A139" s="17"/>
      <c r="B139" s="17"/>
      <c r="C139" s="17"/>
      <c r="D139" s="17"/>
      <c r="E139" s="17"/>
      <c r="F139" s="32" t="s">
        <v>2954</v>
      </c>
      <c r="G139" s="78"/>
      <c r="H139" s="78"/>
      <c r="I139" s="78"/>
      <c r="J139" s="78"/>
      <c r="K139" s="78"/>
      <c r="L139" s="78"/>
      <c r="M139" s="78"/>
      <c r="N139" s="78"/>
      <c r="O139" s="78"/>
      <c r="P139" s="78"/>
      <c r="Q139" s="78"/>
      <c r="R139" s="78"/>
      <c r="S139" s="11">
        <f t="shared" si="115"/>
        <v>0</v>
      </c>
      <c r="T139" s="8">
        <f t="shared" si="114"/>
        <v>0</v>
      </c>
      <c r="U139" s="13" t="s">
        <v>2953</v>
      </c>
      <c r="V139" s="46">
        <f t="shared" si="88"/>
        <v>0</v>
      </c>
      <c r="W139" s="36">
        <v>1.69</v>
      </c>
      <c r="X139" s="36">
        <v>1.69</v>
      </c>
      <c r="Y139" s="36">
        <v>1.69</v>
      </c>
      <c r="Z139" s="36">
        <v>1.69</v>
      </c>
      <c r="AA139" s="36">
        <v>1.69</v>
      </c>
      <c r="AB139" s="36">
        <v>1.69</v>
      </c>
      <c r="AC139" s="36">
        <v>1.69</v>
      </c>
      <c r="AD139" s="36">
        <v>1.69</v>
      </c>
      <c r="AE139" s="36">
        <v>1.69</v>
      </c>
      <c r="AF139" s="36">
        <v>1.69</v>
      </c>
      <c r="AG139" s="36">
        <v>1.69</v>
      </c>
      <c r="AH139" s="36">
        <v>1.69</v>
      </c>
      <c r="AI139" s="39">
        <v>0</v>
      </c>
      <c r="AJ139" s="39">
        <v>0</v>
      </c>
      <c r="AK139" s="39">
        <v>0</v>
      </c>
      <c r="AL139" s="39">
        <v>0</v>
      </c>
      <c r="AM139" s="39">
        <v>0</v>
      </c>
      <c r="AN139" s="39">
        <v>0</v>
      </c>
      <c r="AO139" s="39">
        <v>0</v>
      </c>
      <c r="AP139" s="39">
        <v>0</v>
      </c>
      <c r="AQ139" s="39">
        <v>0</v>
      </c>
      <c r="AR139" s="39">
        <v>0</v>
      </c>
      <c r="AS139" s="39">
        <v>0</v>
      </c>
      <c r="AT139" s="39">
        <v>0</v>
      </c>
      <c r="AU139" s="39">
        <v>0</v>
      </c>
      <c r="AV139" s="39">
        <v>0</v>
      </c>
      <c r="AW139" s="39">
        <v>0</v>
      </c>
      <c r="AX139" s="39">
        <v>0</v>
      </c>
      <c r="AY139" s="39">
        <v>0</v>
      </c>
      <c r="AZ139" s="39">
        <v>0</v>
      </c>
      <c r="BA139" s="39">
        <v>0</v>
      </c>
      <c r="BB139" s="39">
        <v>0</v>
      </c>
      <c r="BC139" s="39">
        <v>0</v>
      </c>
      <c r="BD139" s="39">
        <v>0</v>
      </c>
      <c r="BE139" s="39">
        <v>0</v>
      </c>
      <c r="BF139" s="39">
        <v>0</v>
      </c>
      <c r="BH139" s="12">
        <f t="shared" si="74"/>
        <v>0</v>
      </c>
      <c r="BI139" s="12">
        <f t="shared" si="75"/>
        <v>0</v>
      </c>
      <c r="BJ139" s="12">
        <f t="shared" si="76"/>
        <v>0</v>
      </c>
      <c r="BK139" s="12">
        <f t="shared" si="77"/>
        <v>0</v>
      </c>
      <c r="BL139" s="12">
        <f t="shared" si="78"/>
        <v>0</v>
      </c>
      <c r="BM139" s="12">
        <f t="shared" si="79"/>
        <v>0</v>
      </c>
      <c r="BN139" s="12">
        <f t="shared" si="80"/>
        <v>0</v>
      </c>
      <c r="BO139" s="12">
        <f t="shared" si="81"/>
        <v>0</v>
      </c>
      <c r="BP139" s="12">
        <f t="shared" si="82"/>
        <v>0</v>
      </c>
      <c r="BQ139" s="12">
        <f t="shared" si="83"/>
        <v>0</v>
      </c>
      <c r="BR139" s="12">
        <f t="shared" si="116"/>
        <v>0</v>
      </c>
      <c r="BS139" s="12">
        <f t="shared" si="117"/>
        <v>0</v>
      </c>
      <c r="BU139" s="11">
        <f t="shared" si="89"/>
        <v>0</v>
      </c>
      <c r="BV139" s="11">
        <f t="shared" si="90"/>
        <v>0</v>
      </c>
      <c r="BW139" s="11">
        <f t="shared" si="91"/>
        <v>0</v>
      </c>
      <c r="BX139" s="11">
        <f t="shared" si="92"/>
        <v>0</v>
      </c>
      <c r="BY139" s="11">
        <f t="shared" si="93"/>
        <v>0</v>
      </c>
      <c r="BZ139" s="11">
        <f t="shared" si="94"/>
        <v>0</v>
      </c>
      <c r="CA139" s="11">
        <f t="shared" si="95"/>
        <v>0</v>
      </c>
      <c r="CB139" s="11">
        <f t="shared" si="96"/>
        <v>0</v>
      </c>
      <c r="CC139" s="11">
        <f t="shared" si="97"/>
        <v>0</v>
      </c>
      <c r="CD139" s="11">
        <f t="shared" si="98"/>
        <v>0</v>
      </c>
      <c r="CE139" s="11">
        <f t="shared" si="99"/>
        <v>0</v>
      </c>
      <c r="CF139" s="11">
        <f t="shared" si="100"/>
        <v>0</v>
      </c>
      <c r="CG139" s="11"/>
      <c r="CH139" s="41">
        <v>1</v>
      </c>
      <c r="CJ139" s="54">
        <f t="shared" si="101"/>
        <v>0</v>
      </c>
      <c r="CK139" s="54">
        <f t="shared" si="102"/>
        <v>0</v>
      </c>
      <c r="CL139" s="54">
        <f t="shared" si="103"/>
        <v>0</v>
      </c>
      <c r="CM139" s="54">
        <f t="shared" si="104"/>
        <v>0</v>
      </c>
      <c r="CN139" s="54">
        <f t="shared" si="105"/>
        <v>0</v>
      </c>
      <c r="CO139" s="54">
        <f t="shared" si="106"/>
        <v>0</v>
      </c>
      <c r="CP139" s="54">
        <f t="shared" si="107"/>
        <v>0</v>
      </c>
      <c r="CQ139" s="54">
        <f t="shared" si="108"/>
        <v>0</v>
      </c>
      <c r="CR139" s="54">
        <f t="shared" si="109"/>
        <v>0</v>
      </c>
      <c r="CS139" s="54">
        <f t="shared" si="110"/>
        <v>0</v>
      </c>
      <c r="CT139" s="54">
        <f t="shared" si="111"/>
        <v>0</v>
      </c>
      <c r="CU139" s="54">
        <f t="shared" si="112"/>
        <v>0</v>
      </c>
      <c r="CV139" s="52">
        <f t="shared" si="113"/>
        <v>0</v>
      </c>
    </row>
    <row r="140" spans="1:100" ht="15.75" x14ac:dyDescent="0.25">
      <c r="A140" s="17"/>
      <c r="B140" s="17"/>
      <c r="C140" s="17"/>
      <c r="D140" s="17"/>
      <c r="E140" s="17"/>
      <c r="F140" s="32" t="s">
        <v>2954</v>
      </c>
      <c r="G140" s="78"/>
      <c r="H140" s="78"/>
      <c r="I140" s="78"/>
      <c r="J140" s="78"/>
      <c r="K140" s="78"/>
      <c r="L140" s="78"/>
      <c r="M140" s="78"/>
      <c r="N140" s="78"/>
      <c r="O140" s="78"/>
      <c r="P140" s="78"/>
      <c r="Q140" s="78"/>
      <c r="R140" s="78"/>
      <c r="S140" s="11">
        <f t="shared" si="115"/>
        <v>0</v>
      </c>
      <c r="T140" s="8">
        <f t="shared" si="114"/>
        <v>0</v>
      </c>
      <c r="U140" s="13" t="s">
        <v>2953</v>
      </c>
      <c r="V140" s="46">
        <f t="shared" si="88"/>
        <v>0</v>
      </c>
      <c r="W140" s="36">
        <v>1.8400042087542088</v>
      </c>
      <c r="X140" s="36">
        <v>1.8400042087542088</v>
      </c>
      <c r="Y140" s="36">
        <v>1.8400042087542088</v>
      </c>
      <c r="Z140" s="36">
        <v>1.8400042087542088</v>
      </c>
      <c r="AA140" s="36">
        <v>1.8400042087542088</v>
      </c>
      <c r="AB140" s="36">
        <v>1.8400042087542088</v>
      </c>
      <c r="AC140" s="36">
        <v>1.8400042087542088</v>
      </c>
      <c r="AD140" s="36">
        <v>1.8400042087542088</v>
      </c>
      <c r="AE140" s="36">
        <v>1.8400042087542088</v>
      </c>
      <c r="AF140" s="36">
        <v>1.8400042087542088</v>
      </c>
      <c r="AG140" s="36">
        <v>1.8400042087542088</v>
      </c>
      <c r="AH140" s="36">
        <v>1.8400042087542088</v>
      </c>
      <c r="AI140" s="39">
        <v>0</v>
      </c>
      <c r="AJ140" s="39">
        <v>0</v>
      </c>
      <c r="AK140" s="39">
        <v>0</v>
      </c>
      <c r="AL140" s="39">
        <v>0</v>
      </c>
      <c r="AM140" s="39">
        <v>0</v>
      </c>
      <c r="AN140" s="39">
        <v>0</v>
      </c>
      <c r="AO140" s="39">
        <v>0</v>
      </c>
      <c r="AP140" s="39">
        <v>0</v>
      </c>
      <c r="AQ140" s="39">
        <v>0</v>
      </c>
      <c r="AR140" s="39">
        <v>0</v>
      </c>
      <c r="AS140" s="39">
        <v>0</v>
      </c>
      <c r="AT140" s="39">
        <v>0</v>
      </c>
      <c r="AU140" s="39">
        <v>0</v>
      </c>
      <c r="AV140" s="39">
        <v>0</v>
      </c>
      <c r="AW140" s="39">
        <v>0</v>
      </c>
      <c r="AX140" s="39">
        <v>0</v>
      </c>
      <c r="AY140" s="39">
        <v>0</v>
      </c>
      <c r="AZ140" s="39">
        <v>0</v>
      </c>
      <c r="BA140" s="39">
        <v>0</v>
      </c>
      <c r="BB140" s="39">
        <v>0</v>
      </c>
      <c r="BC140" s="39">
        <v>0</v>
      </c>
      <c r="BD140" s="39">
        <v>0</v>
      </c>
      <c r="BE140" s="39">
        <v>0</v>
      </c>
      <c r="BF140" s="39">
        <v>0</v>
      </c>
      <c r="BH140" s="12">
        <f t="shared" si="74"/>
        <v>0</v>
      </c>
      <c r="BI140" s="12">
        <f t="shared" si="75"/>
        <v>0</v>
      </c>
      <c r="BJ140" s="12">
        <f t="shared" si="76"/>
        <v>0</v>
      </c>
      <c r="BK140" s="12">
        <f t="shared" si="77"/>
        <v>0</v>
      </c>
      <c r="BL140" s="12">
        <f t="shared" si="78"/>
        <v>0</v>
      </c>
      <c r="BM140" s="12">
        <f t="shared" si="79"/>
        <v>0</v>
      </c>
      <c r="BN140" s="12">
        <f t="shared" si="80"/>
        <v>0</v>
      </c>
      <c r="BO140" s="12">
        <f t="shared" si="81"/>
        <v>0</v>
      </c>
      <c r="BP140" s="12">
        <f t="shared" si="82"/>
        <v>0</v>
      </c>
      <c r="BQ140" s="12">
        <f t="shared" si="83"/>
        <v>0</v>
      </c>
      <c r="BR140" s="12">
        <f t="shared" si="116"/>
        <v>0</v>
      </c>
      <c r="BS140" s="12">
        <f t="shared" si="117"/>
        <v>0</v>
      </c>
      <c r="BU140" s="11">
        <f t="shared" si="89"/>
        <v>0</v>
      </c>
      <c r="BV140" s="11">
        <f t="shared" si="90"/>
        <v>0</v>
      </c>
      <c r="BW140" s="11">
        <f t="shared" si="91"/>
        <v>0</v>
      </c>
      <c r="BX140" s="11">
        <f t="shared" si="92"/>
        <v>0</v>
      </c>
      <c r="BY140" s="11">
        <f t="shared" si="93"/>
        <v>0</v>
      </c>
      <c r="BZ140" s="11">
        <f t="shared" si="94"/>
        <v>0</v>
      </c>
      <c r="CA140" s="11">
        <f t="shared" si="95"/>
        <v>0</v>
      </c>
      <c r="CB140" s="11">
        <f t="shared" si="96"/>
        <v>0</v>
      </c>
      <c r="CC140" s="11">
        <f t="shared" si="97"/>
        <v>0</v>
      </c>
      <c r="CD140" s="11">
        <f t="shared" si="98"/>
        <v>0</v>
      </c>
      <c r="CE140" s="11">
        <f t="shared" si="99"/>
        <v>0</v>
      </c>
      <c r="CF140" s="11">
        <f t="shared" si="100"/>
        <v>0</v>
      </c>
      <c r="CG140" s="11"/>
      <c r="CH140" s="41">
        <v>1</v>
      </c>
      <c r="CJ140" s="54">
        <f t="shared" si="101"/>
        <v>0</v>
      </c>
      <c r="CK140" s="54">
        <f t="shared" si="102"/>
        <v>0</v>
      </c>
      <c r="CL140" s="54">
        <f t="shared" si="103"/>
        <v>0</v>
      </c>
      <c r="CM140" s="54">
        <f t="shared" si="104"/>
        <v>0</v>
      </c>
      <c r="CN140" s="54">
        <f t="shared" si="105"/>
        <v>0</v>
      </c>
      <c r="CO140" s="54">
        <f t="shared" si="106"/>
        <v>0</v>
      </c>
      <c r="CP140" s="54">
        <f t="shared" si="107"/>
        <v>0</v>
      </c>
      <c r="CQ140" s="54">
        <f t="shared" si="108"/>
        <v>0</v>
      </c>
      <c r="CR140" s="54">
        <f t="shared" si="109"/>
        <v>0</v>
      </c>
      <c r="CS140" s="54">
        <f t="shared" si="110"/>
        <v>0</v>
      </c>
      <c r="CT140" s="54">
        <f t="shared" si="111"/>
        <v>0</v>
      </c>
      <c r="CU140" s="54">
        <f t="shared" si="112"/>
        <v>0</v>
      </c>
      <c r="CV140" s="52">
        <f t="shared" si="113"/>
        <v>0</v>
      </c>
    </row>
    <row r="141" spans="1:100" ht="15.75" x14ac:dyDescent="0.25">
      <c r="A141" s="17"/>
      <c r="B141" s="17"/>
      <c r="C141" s="17"/>
      <c r="D141" s="17"/>
      <c r="E141" s="17"/>
      <c r="F141" s="32" t="s">
        <v>2954</v>
      </c>
      <c r="G141" s="78"/>
      <c r="H141" s="78"/>
      <c r="I141" s="78"/>
      <c r="J141" s="78"/>
      <c r="K141" s="78"/>
      <c r="L141" s="78"/>
      <c r="M141" s="78"/>
      <c r="N141" s="78"/>
      <c r="O141" s="78"/>
      <c r="P141" s="78"/>
      <c r="Q141" s="78"/>
      <c r="R141" s="78"/>
      <c r="S141" s="11">
        <f t="shared" si="115"/>
        <v>0</v>
      </c>
      <c r="T141" s="8">
        <f t="shared" si="114"/>
        <v>0</v>
      </c>
      <c r="U141" s="13" t="s">
        <v>2953</v>
      </c>
      <c r="V141" s="46">
        <f t="shared" si="88"/>
        <v>0</v>
      </c>
      <c r="W141" s="36">
        <v>11.423999999999999</v>
      </c>
      <c r="X141" s="36">
        <v>11.423999999999999</v>
      </c>
      <c r="Y141" s="36">
        <v>11.423999999999999</v>
      </c>
      <c r="Z141" s="36">
        <v>11.423999999999999</v>
      </c>
      <c r="AA141" s="36">
        <v>11.423999999999999</v>
      </c>
      <c r="AB141" s="36">
        <v>11.423999999999999</v>
      </c>
      <c r="AC141" s="36">
        <v>11.423999999999999</v>
      </c>
      <c r="AD141" s="36">
        <v>11.423999999999999</v>
      </c>
      <c r="AE141" s="36">
        <v>11.423999999999999</v>
      </c>
      <c r="AF141" s="36">
        <v>11.423999999999999</v>
      </c>
      <c r="AG141" s="36">
        <v>11.423999999999999</v>
      </c>
      <c r="AH141" s="36">
        <v>11.423999999999999</v>
      </c>
      <c r="AI141" s="39">
        <v>0.22999999999999998</v>
      </c>
      <c r="AJ141" s="39">
        <v>0.22999999999999998</v>
      </c>
      <c r="AK141" s="39">
        <v>0.22999999999999998</v>
      </c>
      <c r="AL141" s="39">
        <v>0.22999999999999998</v>
      </c>
      <c r="AM141" s="39">
        <v>0.22999999999999998</v>
      </c>
      <c r="AN141" s="39">
        <v>0.22999999999999998</v>
      </c>
      <c r="AO141" s="39">
        <v>0.22999999999999998</v>
      </c>
      <c r="AP141" s="39">
        <v>0.22999999999999998</v>
      </c>
      <c r="AQ141" s="39">
        <v>0.22999999999999998</v>
      </c>
      <c r="AR141" s="39">
        <v>0.22999999999999998</v>
      </c>
      <c r="AS141" s="39">
        <v>0.22999999999999998</v>
      </c>
      <c r="AT141" s="39">
        <v>0.22999999999999998</v>
      </c>
      <c r="AU141" s="39">
        <v>0</v>
      </c>
      <c r="AV141" s="39">
        <v>0</v>
      </c>
      <c r="AW141" s="39">
        <v>0</v>
      </c>
      <c r="AX141" s="39">
        <v>0</v>
      </c>
      <c r="AY141" s="39">
        <v>0</v>
      </c>
      <c r="AZ141" s="39">
        <v>0</v>
      </c>
      <c r="BA141" s="39">
        <v>0</v>
      </c>
      <c r="BB141" s="39">
        <v>0</v>
      </c>
      <c r="BC141" s="39">
        <v>0</v>
      </c>
      <c r="BD141" s="39">
        <v>0</v>
      </c>
      <c r="BE141" s="39">
        <v>0</v>
      </c>
      <c r="BF141" s="39">
        <v>0</v>
      </c>
      <c r="BH141" s="12">
        <f t="shared" si="74"/>
        <v>0</v>
      </c>
      <c r="BI141" s="12">
        <f t="shared" si="75"/>
        <v>0</v>
      </c>
      <c r="BJ141" s="12">
        <f t="shared" si="76"/>
        <v>0</v>
      </c>
      <c r="BK141" s="12">
        <f t="shared" si="77"/>
        <v>0</v>
      </c>
      <c r="BL141" s="12">
        <f t="shared" si="78"/>
        <v>0</v>
      </c>
      <c r="BM141" s="12">
        <f t="shared" si="79"/>
        <v>0</v>
      </c>
      <c r="BN141" s="12">
        <f t="shared" si="80"/>
        <v>0</v>
      </c>
      <c r="BO141" s="12">
        <f t="shared" si="81"/>
        <v>0</v>
      </c>
      <c r="BP141" s="12">
        <f t="shared" si="82"/>
        <v>0</v>
      </c>
      <c r="BQ141" s="12">
        <f t="shared" si="83"/>
        <v>0</v>
      </c>
      <c r="BR141" s="12">
        <f t="shared" si="116"/>
        <v>0</v>
      </c>
      <c r="BS141" s="12">
        <f t="shared" si="117"/>
        <v>0</v>
      </c>
      <c r="BU141" s="11">
        <f t="shared" si="89"/>
        <v>0</v>
      </c>
      <c r="BV141" s="11">
        <f t="shared" si="90"/>
        <v>0</v>
      </c>
      <c r="BW141" s="11">
        <f t="shared" si="91"/>
        <v>0</v>
      </c>
      <c r="BX141" s="11">
        <f t="shared" si="92"/>
        <v>0</v>
      </c>
      <c r="BY141" s="11">
        <f t="shared" si="93"/>
        <v>0</v>
      </c>
      <c r="BZ141" s="11">
        <f t="shared" si="94"/>
        <v>0</v>
      </c>
      <c r="CA141" s="11">
        <f t="shared" si="95"/>
        <v>0</v>
      </c>
      <c r="CB141" s="11">
        <f t="shared" si="96"/>
        <v>0</v>
      </c>
      <c r="CC141" s="11">
        <f t="shared" si="97"/>
        <v>0</v>
      </c>
      <c r="CD141" s="11">
        <f t="shared" si="98"/>
        <v>0</v>
      </c>
      <c r="CE141" s="11">
        <f t="shared" si="99"/>
        <v>0</v>
      </c>
      <c r="CF141" s="11">
        <f t="shared" si="100"/>
        <v>0</v>
      </c>
      <c r="CG141" s="11"/>
      <c r="CH141" s="41">
        <v>1</v>
      </c>
      <c r="CJ141" s="54">
        <f t="shared" si="101"/>
        <v>0</v>
      </c>
      <c r="CK141" s="54">
        <f t="shared" si="102"/>
        <v>0</v>
      </c>
      <c r="CL141" s="54">
        <f t="shared" si="103"/>
        <v>0</v>
      </c>
      <c r="CM141" s="54">
        <f t="shared" si="104"/>
        <v>0</v>
      </c>
      <c r="CN141" s="54">
        <f t="shared" si="105"/>
        <v>0</v>
      </c>
      <c r="CO141" s="54">
        <f t="shared" si="106"/>
        <v>0</v>
      </c>
      <c r="CP141" s="54">
        <f t="shared" si="107"/>
        <v>0</v>
      </c>
      <c r="CQ141" s="54">
        <f t="shared" si="108"/>
        <v>0</v>
      </c>
      <c r="CR141" s="54">
        <f t="shared" si="109"/>
        <v>0</v>
      </c>
      <c r="CS141" s="54">
        <f t="shared" si="110"/>
        <v>0</v>
      </c>
      <c r="CT141" s="54">
        <f t="shared" si="111"/>
        <v>0</v>
      </c>
      <c r="CU141" s="54">
        <f t="shared" si="112"/>
        <v>0</v>
      </c>
      <c r="CV141" s="52">
        <f t="shared" si="113"/>
        <v>0</v>
      </c>
    </row>
    <row r="142" spans="1:100" ht="15.75" x14ac:dyDescent="0.25">
      <c r="A142" s="17"/>
      <c r="B142" s="17"/>
      <c r="C142" s="17"/>
      <c r="D142" s="17"/>
      <c r="E142" s="17"/>
      <c r="F142" s="18" t="s">
        <v>31</v>
      </c>
      <c r="G142" s="79"/>
      <c r="H142" s="79"/>
      <c r="I142" s="79"/>
      <c r="J142" s="79"/>
      <c r="K142" s="79"/>
      <c r="L142" s="79"/>
      <c r="M142" s="79"/>
      <c r="N142" s="79"/>
      <c r="O142" s="79"/>
      <c r="P142" s="79"/>
      <c r="Q142" s="79"/>
      <c r="R142" s="79"/>
      <c r="S142" s="11">
        <f t="shared" si="115"/>
        <v>0</v>
      </c>
      <c r="V142" s="46">
        <f t="shared" si="88"/>
        <v>0</v>
      </c>
      <c r="W142" s="36">
        <v>3.766</v>
      </c>
      <c r="X142" s="36">
        <v>3.766</v>
      </c>
      <c r="Y142" s="36">
        <v>3.766</v>
      </c>
      <c r="Z142" s="36">
        <v>3.766</v>
      </c>
      <c r="AA142" s="36">
        <v>3.766</v>
      </c>
      <c r="AB142" s="36">
        <v>3.766</v>
      </c>
      <c r="AC142" s="36">
        <v>3.766</v>
      </c>
      <c r="AD142" s="36">
        <v>3.766</v>
      </c>
      <c r="AE142" s="36">
        <v>3.766</v>
      </c>
      <c r="AF142" s="36">
        <v>3.766</v>
      </c>
      <c r="AG142" s="36">
        <v>3.766</v>
      </c>
      <c r="AH142" s="36">
        <v>3.766</v>
      </c>
      <c r="AI142" s="39">
        <v>1.33634708931066E-2</v>
      </c>
      <c r="AJ142" s="39">
        <v>1.33634708931066E-2</v>
      </c>
      <c r="AK142" s="39">
        <v>1.33634708931066E-2</v>
      </c>
      <c r="AL142" s="39">
        <v>1.33634708931066E-2</v>
      </c>
      <c r="AM142" s="39">
        <v>1.33634708931066E-2</v>
      </c>
      <c r="AN142" s="39">
        <v>1.33634708931066E-2</v>
      </c>
      <c r="AO142" s="39">
        <v>1.33634708931066E-2</v>
      </c>
      <c r="AP142" s="39">
        <v>1.33634708931066E-2</v>
      </c>
      <c r="AQ142" s="39">
        <v>1.33634708931066E-2</v>
      </c>
      <c r="AR142" s="39">
        <v>1.33634708931066E-2</v>
      </c>
      <c r="AS142" s="39">
        <v>1.33634708931066E-2</v>
      </c>
      <c r="AT142" s="39">
        <v>1.33634708931066E-2</v>
      </c>
      <c r="AU142" s="39">
        <v>1.2392217523121999E-3</v>
      </c>
      <c r="AV142" s="39">
        <v>1.2392217523121999E-3</v>
      </c>
      <c r="AW142" s="39">
        <v>1.2392217523121999E-3</v>
      </c>
      <c r="AX142" s="39">
        <v>1.2392217523121999E-3</v>
      </c>
      <c r="AY142" s="39">
        <v>1.2392217523121999E-3</v>
      </c>
      <c r="AZ142" s="39">
        <v>1.2392217523121999E-3</v>
      </c>
      <c r="BA142" s="39">
        <v>1.2392217523121999E-3</v>
      </c>
      <c r="BB142" s="39">
        <v>1.2392217523121999E-3</v>
      </c>
      <c r="BC142" s="39">
        <v>1.2392217523121999E-3</v>
      </c>
      <c r="BD142" s="39">
        <v>1.2392217523121999E-3</v>
      </c>
      <c r="BE142" s="39">
        <v>1.2392217523121999E-3</v>
      </c>
      <c r="BF142" s="39">
        <v>1.2392217523121999E-3</v>
      </c>
      <c r="BH142" s="12">
        <f t="shared" si="74"/>
        <v>0</v>
      </c>
      <c r="BI142" s="12">
        <f t="shared" si="75"/>
        <v>0</v>
      </c>
      <c r="BJ142" s="12">
        <f t="shared" si="76"/>
        <v>0</v>
      </c>
      <c r="BK142" s="12">
        <f t="shared" si="77"/>
        <v>0</v>
      </c>
      <c r="BL142" s="12">
        <f t="shared" si="78"/>
        <v>0</v>
      </c>
      <c r="BM142" s="12">
        <f t="shared" si="79"/>
        <v>0</v>
      </c>
      <c r="BN142" s="12">
        <f t="shared" si="80"/>
        <v>0</v>
      </c>
      <c r="BO142" s="12">
        <f t="shared" si="81"/>
        <v>0</v>
      </c>
      <c r="BP142" s="12">
        <f t="shared" si="82"/>
        <v>0</v>
      </c>
      <c r="BQ142" s="12">
        <f t="shared" si="83"/>
        <v>0</v>
      </c>
      <c r="BR142" s="12">
        <f t="shared" si="116"/>
        <v>0</v>
      </c>
      <c r="BS142" s="12">
        <f t="shared" si="117"/>
        <v>0</v>
      </c>
      <c r="BU142" s="11">
        <f t="shared" si="89"/>
        <v>0</v>
      </c>
      <c r="BV142" s="11">
        <f t="shared" si="90"/>
        <v>0</v>
      </c>
      <c r="BW142" s="11">
        <f t="shared" si="91"/>
        <v>0</v>
      </c>
      <c r="BX142" s="11">
        <f t="shared" si="92"/>
        <v>0</v>
      </c>
      <c r="BY142" s="11">
        <f t="shared" si="93"/>
        <v>0</v>
      </c>
      <c r="BZ142" s="11">
        <f t="shared" si="94"/>
        <v>0</v>
      </c>
      <c r="CA142" s="11">
        <f t="shared" si="95"/>
        <v>0</v>
      </c>
      <c r="CB142" s="11">
        <f t="shared" si="96"/>
        <v>0</v>
      </c>
      <c r="CC142" s="11">
        <f t="shared" si="97"/>
        <v>0</v>
      </c>
      <c r="CD142" s="11">
        <f t="shared" si="98"/>
        <v>0</v>
      </c>
      <c r="CE142" s="11">
        <f t="shared" si="99"/>
        <v>0</v>
      </c>
      <c r="CF142" s="11">
        <f t="shared" si="100"/>
        <v>0</v>
      </c>
      <c r="CG142" s="11"/>
      <c r="CH142" s="41">
        <v>3.23</v>
      </c>
      <c r="CJ142" s="54">
        <f t="shared" si="101"/>
        <v>0</v>
      </c>
      <c r="CK142" s="54">
        <f t="shared" si="102"/>
        <v>0</v>
      </c>
      <c r="CL142" s="54">
        <f t="shared" si="103"/>
        <v>0</v>
      </c>
      <c r="CM142" s="54">
        <f t="shared" si="104"/>
        <v>0</v>
      </c>
      <c r="CN142" s="54">
        <f t="shared" si="105"/>
        <v>0</v>
      </c>
      <c r="CO142" s="54">
        <f t="shared" si="106"/>
        <v>0</v>
      </c>
      <c r="CP142" s="54">
        <f t="shared" si="107"/>
        <v>0</v>
      </c>
      <c r="CQ142" s="54">
        <f t="shared" si="108"/>
        <v>0</v>
      </c>
      <c r="CR142" s="54">
        <f t="shared" si="109"/>
        <v>0</v>
      </c>
      <c r="CS142" s="54">
        <f t="shared" si="110"/>
        <v>0</v>
      </c>
      <c r="CT142" s="54">
        <f t="shared" si="111"/>
        <v>0</v>
      </c>
      <c r="CU142" s="54">
        <f t="shared" si="112"/>
        <v>0</v>
      </c>
      <c r="CV142" s="52">
        <f t="shared" si="113"/>
        <v>0</v>
      </c>
    </row>
    <row r="143" spans="1:100" ht="15.75" x14ac:dyDescent="0.25">
      <c r="A143" s="17"/>
      <c r="B143" s="17"/>
      <c r="C143" s="17"/>
      <c r="D143" s="17"/>
      <c r="E143" s="17"/>
      <c r="F143" s="18" t="s">
        <v>31</v>
      </c>
      <c r="G143" s="79"/>
      <c r="H143" s="79"/>
      <c r="I143" s="79"/>
      <c r="J143" s="79"/>
      <c r="K143" s="79"/>
      <c r="L143" s="79"/>
      <c r="M143" s="79"/>
      <c r="N143" s="79"/>
      <c r="O143" s="79"/>
      <c r="P143" s="79"/>
      <c r="Q143" s="79"/>
      <c r="R143" s="79"/>
      <c r="S143" s="11">
        <f t="shared" si="115"/>
        <v>0</v>
      </c>
      <c r="V143" s="46">
        <f t="shared" si="88"/>
        <v>0</v>
      </c>
      <c r="W143" s="36">
        <v>0.94</v>
      </c>
      <c r="X143" s="36">
        <v>0.94</v>
      </c>
      <c r="Y143" s="36">
        <v>0.94</v>
      </c>
      <c r="Z143" s="36">
        <v>0.94</v>
      </c>
      <c r="AA143" s="36">
        <v>0.94</v>
      </c>
      <c r="AB143" s="36">
        <v>0.94</v>
      </c>
      <c r="AC143" s="36">
        <v>0.94</v>
      </c>
      <c r="AD143" s="36">
        <v>0.94</v>
      </c>
      <c r="AE143" s="36">
        <v>0.94</v>
      </c>
      <c r="AF143" s="36">
        <v>0.94</v>
      </c>
      <c r="AG143" s="36">
        <v>0.94</v>
      </c>
      <c r="AH143" s="36">
        <v>0.94</v>
      </c>
      <c r="AI143" s="39">
        <v>1.33634708931066E-2</v>
      </c>
      <c r="AJ143" s="39">
        <v>1.33634708931066E-2</v>
      </c>
      <c r="AK143" s="39">
        <v>1.33634708931066E-2</v>
      </c>
      <c r="AL143" s="39">
        <v>1.33634708931066E-2</v>
      </c>
      <c r="AM143" s="39">
        <v>1.33634708931066E-2</v>
      </c>
      <c r="AN143" s="39">
        <v>1.33634708931066E-2</v>
      </c>
      <c r="AO143" s="39">
        <v>1.33634708931066E-2</v>
      </c>
      <c r="AP143" s="39">
        <v>1.33634708931066E-2</v>
      </c>
      <c r="AQ143" s="39">
        <v>1.33634708931066E-2</v>
      </c>
      <c r="AR143" s="39">
        <v>1.33634708931066E-2</v>
      </c>
      <c r="AS143" s="39">
        <v>1.33634708931066E-2</v>
      </c>
      <c r="AT143" s="39">
        <v>1.33634708931066E-2</v>
      </c>
      <c r="AU143" s="39">
        <v>1.2392217523121999E-3</v>
      </c>
      <c r="AV143" s="39">
        <v>1.2392217523121999E-3</v>
      </c>
      <c r="AW143" s="39">
        <v>1.2392217523121999E-3</v>
      </c>
      <c r="AX143" s="39">
        <v>1.2392217523121999E-3</v>
      </c>
      <c r="AY143" s="39">
        <v>1.2392217523121999E-3</v>
      </c>
      <c r="AZ143" s="39">
        <v>1.2392217523121999E-3</v>
      </c>
      <c r="BA143" s="39">
        <v>1.2392217523121999E-3</v>
      </c>
      <c r="BB143" s="39">
        <v>1.2392217523121999E-3</v>
      </c>
      <c r="BC143" s="39">
        <v>1.2392217523121999E-3</v>
      </c>
      <c r="BD143" s="39">
        <v>1.2392217523121999E-3</v>
      </c>
      <c r="BE143" s="39">
        <v>1.2392217523121999E-3</v>
      </c>
      <c r="BF143" s="39">
        <v>1.2392217523121999E-3</v>
      </c>
      <c r="BH143" s="12">
        <f t="shared" si="74"/>
        <v>0</v>
      </c>
      <c r="BI143" s="12">
        <f t="shared" si="75"/>
        <v>0</v>
      </c>
      <c r="BJ143" s="12">
        <f t="shared" si="76"/>
        <v>0</v>
      </c>
      <c r="BK143" s="12">
        <f t="shared" si="77"/>
        <v>0</v>
      </c>
      <c r="BL143" s="12">
        <f t="shared" si="78"/>
        <v>0</v>
      </c>
      <c r="BM143" s="12">
        <f t="shared" si="79"/>
        <v>0</v>
      </c>
      <c r="BN143" s="12">
        <f t="shared" si="80"/>
        <v>0</v>
      </c>
      <c r="BO143" s="12">
        <f t="shared" si="81"/>
        <v>0</v>
      </c>
      <c r="BP143" s="12">
        <f t="shared" si="82"/>
        <v>0</v>
      </c>
      <c r="BQ143" s="12">
        <f t="shared" si="83"/>
        <v>0</v>
      </c>
      <c r="BR143" s="12">
        <f t="shared" si="116"/>
        <v>0</v>
      </c>
      <c r="BS143" s="12">
        <f t="shared" si="117"/>
        <v>0</v>
      </c>
      <c r="BU143" s="11">
        <f t="shared" si="89"/>
        <v>0</v>
      </c>
      <c r="BV143" s="11">
        <f t="shared" si="90"/>
        <v>0</v>
      </c>
      <c r="BW143" s="11">
        <f t="shared" si="91"/>
        <v>0</v>
      </c>
      <c r="BX143" s="11">
        <f t="shared" si="92"/>
        <v>0</v>
      </c>
      <c r="BY143" s="11">
        <f t="shared" si="93"/>
        <v>0</v>
      </c>
      <c r="BZ143" s="11">
        <f t="shared" si="94"/>
        <v>0</v>
      </c>
      <c r="CA143" s="11">
        <f t="shared" si="95"/>
        <v>0</v>
      </c>
      <c r="CB143" s="11">
        <f t="shared" si="96"/>
        <v>0</v>
      </c>
      <c r="CC143" s="11">
        <f t="shared" si="97"/>
        <v>0</v>
      </c>
      <c r="CD143" s="11">
        <f t="shared" si="98"/>
        <v>0</v>
      </c>
      <c r="CE143" s="11">
        <f t="shared" si="99"/>
        <v>0</v>
      </c>
      <c r="CF143" s="11">
        <f t="shared" si="100"/>
        <v>0</v>
      </c>
      <c r="CG143" s="11"/>
      <c r="CH143" s="41">
        <v>3.23</v>
      </c>
      <c r="CJ143" s="54">
        <f t="shared" si="101"/>
        <v>0</v>
      </c>
      <c r="CK143" s="54">
        <f t="shared" si="102"/>
        <v>0</v>
      </c>
      <c r="CL143" s="54">
        <f t="shared" si="103"/>
        <v>0</v>
      </c>
      <c r="CM143" s="54">
        <f t="shared" si="104"/>
        <v>0</v>
      </c>
      <c r="CN143" s="54">
        <f t="shared" si="105"/>
        <v>0</v>
      </c>
      <c r="CO143" s="54">
        <f t="shared" si="106"/>
        <v>0</v>
      </c>
      <c r="CP143" s="54">
        <f t="shared" si="107"/>
        <v>0</v>
      </c>
      <c r="CQ143" s="54">
        <f t="shared" si="108"/>
        <v>0</v>
      </c>
      <c r="CR143" s="54">
        <f t="shared" si="109"/>
        <v>0</v>
      </c>
      <c r="CS143" s="54">
        <f t="shared" si="110"/>
        <v>0</v>
      </c>
      <c r="CT143" s="54">
        <f t="shared" si="111"/>
        <v>0</v>
      </c>
      <c r="CU143" s="54">
        <f t="shared" si="112"/>
        <v>0</v>
      </c>
      <c r="CV143" s="52">
        <f t="shared" si="113"/>
        <v>0</v>
      </c>
    </row>
    <row r="144" spans="1:100" ht="15.75" x14ac:dyDescent="0.25">
      <c r="A144" s="17"/>
      <c r="B144" s="17"/>
      <c r="C144" s="17"/>
      <c r="D144" s="17"/>
      <c r="E144" s="17"/>
      <c r="F144" s="18" t="s">
        <v>31</v>
      </c>
      <c r="G144" s="79"/>
      <c r="H144" s="79"/>
      <c r="I144" s="79"/>
      <c r="J144" s="79"/>
      <c r="K144" s="79"/>
      <c r="L144" s="79"/>
      <c r="M144" s="79"/>
      <c r="N144" s="79"/>
      <c r="O144" s="79"/>
      <c r="P144" s="79"/>
      <c r="Q144" s="79"/>
      <c r="R144" s="79"/>
      <c r="S144" s="11">
        <f t="shared" si="115"/>
        <v>0</v>
      </c>
      <c r="V144" s="46">
        <f t="shared" si="88"/>
        <v>0</v>
      </c>
      <c r="W144" s="36">
        <v>1.75</v>
      </c>
      <c r="X144" s="36">
        <v>1.75</v>
      </c>
      <c r="Y144" s="36">
        <v>1.75</v>
      </c>
      <c r="Z144" s="36">
        <v>1.75</v>
      </c>
      <c r="AA144" s="36">
        <v>1.75</v>
      </c>
      <c r="AB144" s="36">
        <v>1.75</v>
      </c>
      <c r="AC144" s="36">
        <v>1.75</v>
      </c>
      <c r="AD144" s="36">
        <v>1.75</v>
      </c>
      <c r="AE144" s="36">
        <v>1.75</v>
      </c>
      <c r="AF144" s="36">
        <v>1.75</v>
      </c>
      <c r="AG144" s="36">
        <v>1.75</v>
      </c>
      <c r="AH144" s="36">
        <v>1.75</v>
      </c>
      <c r="AI144" s="39">
        <v>1.33634708931066E-2</v>
      </c>
      <c r="AJ144" s="39">
        <v>1.33634708931066E-2</v>
      </c>
      <c r="AK144" s="39">
        <v>1.33634708931066E-2</v>
      </c>
      <c r="AL144" s="39">
        <v>1.33634708931066E-2</v>
      </c>
      <c r="AM144" s="39">
        <v>1.33634708931066E-2</v>
      </c>
      <c r="AN144" s="39">
        <v>1.33634708931066E-2</v>
      </c>
      <c r="AO144" s="39">
        <v>1.33634708931066E-2</v>
      </c>
      <c r="AP144" s="39">
        <v>1.33634708931066E-2</v>
      </c>
      <c r="AQ144" s="39">
        <v>1.33634708931066E-2</v>
      </c>
      <c r="AR144" s="39">
        <v>1.33634708931066E-2</v>
      </c>
      <c r="AS144" s="39">
        <v>1.33634708931066E-2</v>
      </c>
      <c r="AT144" s="39">
        <v>1.33634708931066E-2</v>
      </c>
      <c r="AU144" s="39">
        <v>1.2392217523121999E-3</v>
      </c>
      <c r="AV144" s="39">
        <v>1.2392217523121999E-3</v>
      </c>
      <c r="AW144" s="39">
        <v>1.2392217523121999E-3</v>
      </c>
      <c r="AX144" s="39">
        <v>1.2392217523121999E-3</v>
      </c>
      <c r="AY144" s="39">
        <v>1.2392217523121999E-3</v>
      </c>
      <c r="AZ144" s="39">
        <v>1.2392217523121999E-3</v>
      </c>
      <c r="BA144" s="39">
        <v>1.2392217523121999E-3</v>
      </c>
      <c r="BB144" s="39">
        <v>1.2392217523121999E-3</v>
      </c>
      <c r="BC144" s="39">
        <v>1.2392217523121999E-3</v>
      </c>
      <c r="BD144" s="39">
        <v>1.2392217523121999E-3</v>
      </c>
      <c r="BE144" s="39">
        <v>1.2392217523121999E-3</v>
      </c>
      <c r="BF144" s="39">
        <v>1.2392217523121999E-3</v>
      </c>
      <c r="BH144" s="12">
        <f t="shared" si="74"/>
        <v>0</v>
      </c>
      <c r="BI144" s="12">
        <f t="shared" si="75"/>
        <v>0</v>
      </c>
      <c r="BJ144" s="12">
        <f t="shared" si="76"/>
        <v>0</v>
      </c>
      <c r="BK144" s="12">
        <f t="shared" si="77"/>
        <v>0</v>
      </c>
      <c r="BL144" s="12">
        <f t="shared" si="78"/>
        <v>0</v>
      </c>
      <c r="BM144" s="12">
        <f t="shared" si="79"/>
        <v>0</v>
      </c>
      <c r="BN144" s="12">
        <f t="shared" si="80"/>
        <v>0</v>
      </c>
      <c r="BO144" s="12">
        <f t="shared" si="81"/>
        <v>0</v>
      </c>
      <c r="BP144" s="12">
        <f t="shared" si="82"/>
        <v>0</v>
      </c>
      <c r="BQ144" s="12">
        <f t="shared" si="83"/>
        <v>0</v>
      </c>
      <c r="BR144" s="12">
        <f t="shared" si="116"/>
        <v>0</v>
      </c>
      <c r="BS144" s="12">
        <f t="shared" si="117"/>
        <v>0</v>
      </c>
      <c r="BU144" s="11">
        <f t="shared" si="89"/>
        <v>0</v>
      </c>
      <c r="BV144" s="11">
        <f t="shared" si="90"/>
        <v>0</v>
      </c>
      <c r="BW144" s="11">
        <f t="shared" si="91"/>
        <v>0</v>
      </c>
      <c r="BX144" s="11">
        <f t="shared" si="92"/>
        <v>0</v>
      </c>
      <c r="BY144" s="11">
        <f t="shared" si="93"/>
        <v>0</v>
      </c>
      <c r="BZ144" s="11">
        <f t="shared" si="94"/>
        <v>0</v>
      </c>
      <c r="CA144" s="11">
        <f t="shared" si="95"/>
        <v>0</v>
      </c>
      <c r="CB144" s="11">
        <f t="shared" si="96"/>
        <v>0</v>
      </c>
      <c r="CC144" s="11">
        <f t="shared" si="97"/>
        <v>0</v>
      </c>
      <c r="CD144" s="11">
        <f t="shared" si="98"/>
        <v>0</v>
      </c>
      <c r="CE144" s="11">
        <f t="shared" si="99"/>
        <v>0</v>
      </c>
      <c r="CF144" s="11">
        <f t="shared" si="100"/>
        <v>0</v>
      </c>
      <c r="CG144" s="11"/>
      <c r="CH144" s="41">
        <v>3.23</v>
      </c>
      <c r="CJ144" s="54">
        <f t="shared" si="101"/>
        <v>0</v>
      </c>
      <c r="CK144" s="54">
        <f t="shared" si="102"/>
        <v>0</v>
      </c>
      <c r="CL144" s="54">
        <f t="shared" si="103"/>
        <v>0</v>
      </c>
      <c r="CM144" s="54">
        <f t="shared" si="104"/>
        <v>0</v>
      </c>
      <c r="CN144" s="54">
        <f t="shared" si="105"/>
        <v>0</v>
      </c>
      <c r="CO144" s="54">
        <f t="shared" si="106"/>
        <v>0</v>
      </c>
      <c r="CP144" s="54">
        <f t="shared" si="107"/>
        <v>0</v>
      </c>
      <c r="CQ144" s="54">
        <f t="shared" si="108"/>
        <v>0</v>
      </c>
      <c r="CR144" s="54">
        <f t="shared" si="109"/>
        <v>0</v>
      </c>
      <c r="CS144" s="54">
        <f t="shared" si="110"/>
        <v>0</v>
      </c>
      <c r="CT144" s="54">
        <f t="shared" si="111"/>
        <v>0</v>
      </c>
      <c r="CU144" s="54">
        <f t="shared" si="112"/>
        <v>0</v>
      </c>
      <c r="CV144" s="52">
        <f t="shared" si="113"/>
        <v>0</v>
      </c>
    </row>
    <row r="145" spans="1:100" ht="15.75" x14ac:dyDescent="0.25">
      <c r="A145" s="17"/>
      <c r="B145" s="17"/>
      <c r="C145" s="17"/>
      <c r="D145" s="17"/>
      <c r="E145" s="17"/>
      <c r="F145" s="18" t="s">
        <v>31</v>
      </c>
      <c r="G145" s="79"/>
      <c r="H145" s="79"/>
      <c r="I145" s="79"/>
      <c r="J145" s="79"/>
      <c r="K145" s="79"/>
      <c r="L145" s="79"/>
      <c r="M145" s="79"/>
      <c r="N145" s="79"/>
      <c r="O145" s="79"/>
      <c r="P145" s="79"/>
      <c r="Q145" s="79"/>
      <c r="R145" s="79"/>
      <c r="S145" s="11">
        <f t="shared" si="115"/>
        <v>0</v>
      </c>
      <c r="V145" s="46">
        <f t="shared" si="88"/>
        <v>0</v>
      </c>
      <c r="W145" s="36">
        <v>1.82</v>
      </c>
      <c r="X145" s="36">
        <v>1.82</v>
      </c>
      <c r="Y145" s="36">
        <v>2.367</v>
      </c>
      <c r="Z145" s="36">
        <v>2.367</v>
      </c>
      <c r="AA145" s="36">
        <v>2.367</v>
      </c>
      <c r="AB145" s="36">
        <v>2.367</v>
      </c>
      <c r="AC145" s="36">
        <v>2.367</v>
      </c>
      <c r="AD145" s="36">
        <v>2.367</v>
      </c>
      <c r="AE145" s="36">
        <v>2.367</v>
      </c>
      <c r="AF145" s="36">
        <v>2.367</v>
      </c>
      <c r="AG145" s="36">
        <v>2.367</v>
      </c>
      <c r="AH145" s="36">
        <v>2.367</v>
      </c>
      <c r="AI145" s="39">
        <v>1.33634708931066E-2</v>
      </c>
      <c r="AJ145" s="39">
        <v>1.33634708931066E-2</v>
      </c>
      <c r="AK145" s="39">
        <v>1.33634708931066E-2</v>
      </c>
      <c r="AL145" s="39">
        <v>1.33634708931066E-2</v>
      </c>
      <c r="AM145" s="39">
        <v>1.33634708931066E-2</v>
      </c>
      <c r="AN145" s="39">
        <v>1.33634708931066E-2</v>
      </c>
      <c r="AO145" s="39">
        <v>1.33634708931066E-2</v>
      </c>
      <c r="AP145" s="39">
        <v>1.33634708931066E-2</v>
      </c>
      <c r="AQ145" s="39">
        <v>1.33634708931066E-2</v>
      </c>
      <c r="AR145" s="39">
        <v>1.33634708931066E-2</v>
      </c>
      <c r="AS145" s="39">
        <v>1.33634708931066E-2</v>
      </c>
      <c r="AT145" s="39">
        <v>1.33634708931066E-2</v>
      </c>
      <c r="AU145" s="39">
        <v>1.2392217523121999E-3</v>
      </c>
      <c r="AV145" s="39">
        <v>1.2392217523121999E-3</v>
      </c>
      <c r="AW145" s="39">
        <v>1.2392217523121999E-3</v>
      </c>
      <c r="AX145" s="39">
        <v>1.2392217523121999E-3</v>
      </c>
      <c r="AY145" s="39">
        <v>1.2392217523121999E-3</v>
      </c>
      <c r="AZ145" s="39">
        <v>1.2392217523121999E-3</v>
      </c>
      <c r="BA145" s="39">
        <v>1.2392217523121999E-3</v>
      </c>
      <c r="BB145" s="39">
        <v>1.2392217523121999E-3</v>
      </c>
      <c r="BC145" s="39">
        <v>1.2392217523121999E-3</v>
      </c>
      <c r="BD145" s="39">
        <v>1.2392217523121999E-3</v>
      </c>
      <c r="BE145" s="39">
        <v>1.2392217523121999E-3</v>
      </c>
      <c r="BF145" s="39">
        <v>1.2392217523121999E-3</v>
      </c>
      <c r="BH145" s="12">
        <f t="shared" ref="BH145:BH208" si="118">(W145*G145)</f>
        <v>0</v>
      </c>
      <c r="BI145" s="12">
        <f t="shared" ref="BI145:BI208" si="119">(X145*H145)</f>
        <v>0</v>
      </c>
      <c r="BJ145" s="12">
        <f t="shared" ref="BJ145:BJ208" si="120">(Y145*I145)</f>
        <v>0</v>
      </c>
      <c r="BK145" s="12">
        <f t="shared" ref="BK145:BK208" si="121">(Z145*J145)</f>
        <v>0</v>
      </c>
      <c r="BL145" s="12">
        <f t="shared" ref="BL145:BL208" si="122">(AA145*K145)</f>
        <v>0</v>
      </c>
      <c r="BM145" s="12">
        <f t="shared" ref="BM145:BM208" si="123">(AB145*L145)</f>
        <v>0</v>
      </c>
      <c r="BN145" s="12">
        <f t="shared" ref="BN145:BN208" si="124">(AC145*M145)</f>
        <v>0</v>
      </c>
      <c r="BO145" s="12">
        <f t="shared" ref="BO145:BO208" si="125">(AD145*N145)</f>
        <v>0</v>
      </c>
      <c r="BP145" s="12">
        <f t="shared" ref="BP145:BP208" si="126">(AE145*O145)</f>
        <v>0</v>
      </c>
      <c r="BQ145" s="12">
        <f t="shared" ref="BQ145:BQ208" si="127">(AF145*P145)</f>
        <v>0</v>
      </c>
      <c r="BR145" s="12">
        <f t="shared" si="116"/>
        <v>0</v>
      </c>
      <c r="BS145" s="12">
        <f t="shared" si="117"/>
        <v>0</v>
      </c>
      <c r="BU145" s="11">
        <f t="shared" si="89"/>
        <v>0</v>
      </c>
      <c r="BV145" s="11">
        <f t="shared" si="90"/>
        <v>0</v>
      </c>
      <c r="BW145" s="11">
        <f t="shared" si="91"/>
        <v>0</v>
      </c>
      <c r="BX145" s="11">
        <f t="shared" si="92"/>
        <v>0</v>
      </c>
      <c r="BY145" s="11">
        <f t="shared" si="93"/>
        <v>0</v>
      </c>
      <c r="BZ145" s="11">
        <f t="shared" si="94"/>
        <v>0</v>
      </c>
      <c r="CA145" s="11">
        <f t="shared" si="95"/>
        <v>0</v>
      </c>
      <c r="CB145" s="11">
        <f t="shared" si="96"/>
        <v>0</v>
      </c>
      <c r="CC145" s="11">
        <f t="shared" si="97"/>
        <v>0</v>
      </c>
      <c r="CD145" s="11">
        <f t="shared" si="98"/>
        <v>0</v>
      </c>
      <c r="CE145" s="11">
        <f t="shared" si="99"/>
        <v>0</v>
      </c>
      <c r="CF145" s="11">
        <f t="shared" si="100"/>
        <v>0</v>
      </c>
      <c r="CG145" s="11"/>
      <c r="CH145" s="41">
        <v>3.23</v>
      </c>
      <c r="CJ145" s="54">
        <f t="shared" si="101"/>
        <v>0</v>
      </c>
      <c r="CK145" s="54">
        <f t="shared" si="102"/>
        <v>0</v>
      </c>
      <c r="CL145" s="54">
        <f t="shared" si="103"/>
        <v>0</v>
      </c>
      <c r="CM145" s="54">
        <f t="shared" si="104"/>
        <v>0</v>
      </c>
      <c r="CN145" s="54">
        <f t="shared" si="105"/>
        <v>0</v>
      </c>
      <c r="CO145" s="54">
        <f t="shared" si="106"/>
        <v>0</v>
      </c>
      <c r="CP145" s="54">
        <f t="shared" si="107"/>
        <v>0</v>
      </c>
      <c r="CQ145" s="54">
        <f t="shared" si="108"/>
        <v>0</v>
      </c>
      <c r="CR145" s="54">
        <f t="shared" si="109"/>
        <v>0</v>
      </c>
      <c r="CS145" s="54">
        <f t="shared" si="110"/>
        <v>0</v>
      </c>
      <c r="CT145" s="54">
        <f t="shared" si="111"/>
        <v>0</v>
      </c>
      <c r="CU145" s="54">
        <f t="shared" si="112"/>
        <v>0</v>
      </c>
      <c r="CV145" s="52">
        <f t="shared" si="113"/>
        <v>0</v>
      </c>
    </row>
    <row r="146" spans="1:100" ht="15.75" x14ac:dyDescent="0.25">
      <c r="A146" s="17"/>
      <c r="B146" s="17"/>
      <c r="C146" s="17"/>
      <c r="D146" s="17"/>
      <c r="E146" s="17"/>
      <c r="F146" s="18" t="s">
        <v>31</v>
      </c>
      <c r="G146" s="79"/>
      <c r="H146" s="79"/>
      <c r="I146" s="79"/>
      <c r="J146" s="79"/>
      <c r="K146" s="79"/>
      <c r="L146" s="79"/>
      <c r="M146" s="79"/>
      <c r="N146" s="79"/>
      <c r="O146" s="79"/>
      <c r="P146" s="79"/>
      <c r="Q146" s="79"/>
      <c r="R146" s="79"/>
      <c r="S146" s="11">
        <f t="shared" si="115"/>
        <v>0</v>
      </c>
      <c r="V146" s="46">
        <f t="shared" si="88"/>
        <v>0</v>
      </c>
      <c r="W146" s="36">
        <v>1.4890000000000001</v>
      </c>
      <c r="X146" s="36">
        <v>1.4890000000000001</v>
      </c>
      <c r="Y146" s="36">
        <v>1.9370000000000001</v>
      </c>
      <c r="Z146" s="36">
        <v>1.9370000000000001</v>
      </c>
      <c r="AA146" s="36">
        <v>1.9370000000000001</v>
      </c>
      <c r="AB146" s="36">
        <v>1.9370000000000001</v>
      </c>
      <c r="AC146" s="36">
        <v>1.9370000000000001</v>
      </c>
      <c r="AD146" s="36">
        <v>1.9370000000000001</v>
      </c>
      <c r="AE146" s="36">
        <v>1.9370000000000001</v>
      </c>
      <c r="AF146" s="36">
        <v>1.9370000000000001</v>
      </c>
      <c r="AG146" s="36">
        <v>1.9370000000000001</v>
      </c>
      <c r="AH146" s="36">
        <v>1.9370000000000001</v>
      </c>
      <c r="AI146" s="39">
        <v>1.33634708931066E-2</v>
      </c>
      <c r="AJ146" s="39">
        <v>1.33634708931066E-2</v>
      </c>
      <c r="AK146" s="39">
        <v>1.33634708931066E-2</v>
      </c>
      <c r="AL146" s="39">
        <v>1.33634708931066E-2</v>
      </c>
      <c r="AM146" s="39">
        <v>1.33634708931066E-2</v>
      </c>
      <c r="AN146" s="39">
        <v>1.33634708931066E-2</v>
      </c>
      <c r="AO146" s="39">
        <v>1.33634708931066E-2</v>
      </c>
      <c r="AP146" s="39">
        <v>1.33634708931066E-2</v>
      </c>
      <c r="AQ146" s="39">
        <v>1.33634708931066E-2</v>
      </c>
      <c r="AR146" s="39">
        <v>1.33634708931066E-2</v>
      </c>
      <c r="AS146" s="39">
        <v>1.33634708931066E-2</v>
      </c>
      <c r="AT146" s="39">
        <v>1.33634708931066E-2</v>
      </c>
      <c r="AU146" s="39">
        <v>1.2392217523121999E-3</v>
      </c>
      <c r="AV146" s="39">
        <v>1.2392217523121999E-3</v>
      </c>
      <c r="AW146" s="39">
        <v>1.2392217523121999E-3</v>
      </c>
      <c r="AX146" s="39">
        <v>1.2392217523121999E-3</v>
      </c>
      <c r="AY146" s="39">
        <v>1.2392217523121999E-3</v>
      </c>
      <c r="AZ146" s="39">
        <v>1.2392217523121999E-3</v>
      </c>
      <c r="BA146" s="39">
        <v>1.2392217523121999E-3</v>
      </c>
      <c r="BB146" s="39">
        <v>1.2392217523121999E-3</v>
      </c>
      <c r="BC146" s="39">
        <v>1.2392217523121999E-3</v>
      </c>
      <c r="BD146" s="39">
        <v>1.2392217523121999E-3</v>
      </c>
      <c r="BE146" s="39">
        <v>1.2392217523121999E-3</v>
      </c>
      <c r="BF146" s="39">
        <v>1.2392217523121999E-3</v>
      </c>
      <c r="BH146" s="12">
        <f t="shared" si="118"/>
        <v>0</v>
      </c>
      <c r="BI146" s="12">
        <f t="shared" si="119"/>
        <v>0</v>
      </c>
      <c r="BJ146" s="12">
        <f t="shared" si="120"/>
        <v>0</v>
      </c>
      <c r="BK146" s="12">
        <f t="shared" si="121"/>
        <v>0</v>
      </c>
      <c r="BL146" s="12">
        <f t="shared" si="122"/>
        <v>0</v>
      </c>
      <c r="BM146" s="12">
        <f t="shared" si="123"/>
        <v>0</v>
      </c>
      <c r="BN146" s="12">
        <f t="shared" si="124"/>
        <v>0</v>
      </c>
      <c r="BO146" s="12">
        <f t="shared" si="125"/>
        <v>0</v>
      </c>
      <c r="BP146" s="12">
        <f t="shared" si="126"/>
        <v>0</v>
      </c>
      <c r="BQ146" s="12">
        <f t="shared" si="127"/>
        <v>0</v>
      </c>
      <c r="BR146" s="12">
        <f t="shared" si="116"/>
        <v>0</v>
      </c>
      <c r="BS146" s="12">
        <f t="shared" si="117"/>
        <v>0</v>
      </c>
      <c r="BU146" s="11">
        <f t="shared" si="89"/>
        <v>0</v>
      </c>
      <c r="BV146" s="11">
        <f t="shared" si="90"/>
        <v>0</v>
      </c>
      <c r="BW146" s="11">
        <f t="shared" si="91"/>
        <v>0</v>
      </c>
      <c r="BX146" s="11">
        <f t="shared" si="92"/>
        <v>0</v>
      </c>
      <c r="BY146" s="11">
        <f t="shared" si="93"/>
        <v>0</v>
      </c>
      <c r="BZ146" s="11">
        <f t="shared" si="94"/>
        <v>0</v>
      </c>
      <c r="CA146" s="11">
        <f t="shared" si="95"/>
        <v>0</v>
      </c>
      <c r="CB146" s="11">
        <f t="shared" si="96"/>
        <v>0</v>
      </c>
      <c r="CC146" s="11">
        <f t="shared" si="97"/>
        <v>0</v>
      </c>
      <c r="CD146" s="11">
        <f t="shared" si="98"/>
        <v>0</v>
      </c>
      <c r="CE146" s="11">
        <f t="shared" si="99"/>
        <v>0</v>
      </c>
      <c r="CF146" s="11">
        <f t="shared" si="100"/>
        <v>0</v>
      </c>
      <c r="CG146" s="11"/>
      <c r="CH146" s="41">
        <v>3.23</v>
      </c>
      <c r="CJ146" s="54">
        <f t="shared" si="101"/>
        <v>0</v>
      </c>
      <c r="CK146" s="54">
        <f t="shared" si="102"/>
        <v>0</v>
      </c>
      <c r="CL146" s="54">
        <f t="shared" si="103"/>
        <v>0</v>
      </c>
      <c r="CM146" s="54">
        <f t="shared" si="104"/>
        <v>0</v>
      </c>
      <c r="CN146" s="54">
        <f t="shared" si="105"/>
        <v>0</v>
      </c>
      <c r="CO146" s="54">
        <f t="shared" si="106"/>
        <v>0</v>
      </c>
      <c r="CP146" s="54">
        <f t="shared" si="107"/>
        <v>0</v>
      </c>
      <c r="CQ146" s="54">
        <f t="shared" si="108"/>
        <v>0</v>
      </c>
      <c r="CR146" s="54">
        <f t="shared" si="109"/>
        <v>0</v>
      </c>
      <c r="CS146" s="54">
        <f t="shared" si="110"/>
        <v>0</v>
      </c>
      <c r="CT146" s="54">
        <f t="shared" si="111"/>
        <v>0</v>
      </c>
      <c r="CU146" s="54">
        <f t="shared" si="112"/>
        <v>0</v>
      </c>
      <c r="CV146" s="52">
        <f t="shared" si="113"/>
        <v>0</v>
      </c>
    </row>
    <row r="147" spans="1:100" ht="15.75" x14ac:dyDescent="0.25">
      <c r="A147" s="17"/>
      <c r="B147" s="17"/>
      <c r="C147" s="17"/>
      <c r="D147" s="17"/>
      <c r="E147" s="17"/>
      <c r="F147" s="18" t="s">
        <v>31</v>
      </c>
      <c r="G147" s="79"/>
      <c r="H147" s="79"/>
      <c r="I147" s="79"/>
      <c r="J147" s="79"/>
      <c r="K147" s="79"/>
      <c r="L147" s="79"/>
      <c r="M147" s="79"/>
      <c r="N147" s="79"/>
      <c r="O147" s="79"/>
      <c r="P147" s="79"/>
      <c r="Q147" s="79"/>
      <c r="R147" s="79"/>
      <c r="S147" s="11">
        <f t="shared" si="115"/>
        <v>0</v>
      </c>
      <c r="V147" s="46">
        <f t="shared" si="88"/>
        <v>0</v>
      </c>
      <c r="W147" s="36">
        <v>1.9890000000000001</v>
      </c>
      <c r="X147" s="36">
        <v>1.9890000000000001</v>
      </c>
      <c r="Y147" s="36">
        <v>2.6589999999999998</v>
      </c>
      <c r="Z147" s="36">
        <v>2.6589999999999998</v>
      </c>
      <c r="AA147" s="36">
        <v>2.6589999999999998</v>
      </c>
      <c r="AB147" s="36">
        <v>2.6589999999999998</v>
      </c>
      <c r="AC147" s="36">
        <v>2.6589999999999998</v>
      </c>
      <c r="AD147" s="36">
        <v>2.6589999999999998</v>
      </c>
      <c r="AE147" s="36">
        <v>2.6589999999999998</v>
      </c>
      <c r="AF147" s="36">
        <v>2.6589999999999998</v>
      </c>
      <c r="AG147" s="36">
        <v>2.6589999999999998</v>
      </c>
      <c r="AH147" s="36">
        <v>2.6589999999999998</v>
      </c>
      <c r="AI147" s="39">
        <v>1.33634708931066E-2</v>
      </c>
      <c r="AJ147" s="39">
        <v>1.33634708931066E-2</v>
      </c>
      <c r="AK147" s="39">
        <v>1.33634708931066E-2</v>
      </c>
      <c r="AL147" s="39">
        <v>1.33634708931066E-2</v>
      </c>
      <c r="AM147" s="39">
        <v>1.33634708931066E-2</v>
      </c>
      <c r="AN147" s="39">
        <v>1.33634708931066E-2</v>
      </c>
      <c r="AO147" s="39">
        <v>1.33634708931066E-2</v>
      </c>
      <c r="AP147" s="39">
        <v>1.33634708931066E-2</v>
      </c>
      <c r="AQ147" s="39">
        <v>1.33634708931066E-2</v>
      </c>
      <c r="AR147" s="39">
        <v>1.33634708931066E-2</v>
      </c>
      <c r="AS147" s="39">
        <v>1.33634708931066E-2</v>
      </c>
      <c r="AT147" s="39">
        <v>1.33634708931066E-2</v>
      </c>
      <c r="AU147" s="39">
        <v>1.2392217523121999E-3</v>
      </c>
      <c r="AV147" s="39">
        <v>1.2392217523121999E-3</v>
      </c>
      <c r="AW147" s="39">
        <v>1.2392217523121999E-3</v>
      </c>
      <c r="AX147" s="39">
        <v>1.2392217523121999E-3</v>
      </c>
      <c r="AY147" s="39">
        <v>1.2392217523121999E-3</v>
      </c>
      <c r="AZ147" s="39">
        <v>1.2392217523121999E-3</v>
      </c>
      <c r="BA147" s="39">
        <v>1.2392217523121999E-3</v>
      </c>
      <c r="BB147" s="39">
        <v>1.2392217523121999E-3</v>
      </c>
      <c r="BC147" s="39">
        <v>1.2392217523121999E-3</v>
      </c>
      <c r="BD147" s="39">
        <v>1.2392217523121999E-3</v>
      </c>
      <c r="BE147" s="39">
        <v>1.2392217523121999E-3</v>
      </c>
      <c r="BF147" s="39">
        <v>1.2392217523121999E-3</v>
      </c>
      <c r="BH147" s="12">
        <f t="shared" si="118"/>
        <v>0</v>
      </c>
      <c r="BI147" s="12">
        <f t="shared" si="119"/>
        <v>0</v>
      </c>
      <c r="BJ147" s="12">
        <f t="shared" si="120"/>
        <v>0</v>
      </c>
      <c r="BK147" s="12">
        <f t="shared" si="121"/>
        <v>0</v>
      </c>
      <c r="BL147" s="12">
        <f t="shared" si="122"/>
        <v>0</v>
      </c>
      <c r="BM147" s="12">
        <f t="shared" si="123"/>
        <v>0</v>
      </c>
      <c r="BN147" s="12">
        <f t="shared" si="124"/>
        <v>0</v>
      </c>
      <c r="BO147" s="12">
        <f t="shared" si="125"/>
        <v>0</v>
      </c>
      <c r="BP147" s="12">
        <f t="shared" si="126"/>
        <v>0</v>
      </c>
      <c r="BQ147" s="12">
        <f t="shared" si="127"/>
        <v>0</v>
      </c>
      <c r="BR147" s="12">
        <f t="shared" si="116"/>
        <v>0</v>
      </c>
      <c r="BS147" s="12">
        <f t="shared" si="117"/>
        <v>0</v>
      </c>
      <c r="BU147" s="11">
        <f t="shared" si="89"/>
        <v>0</v>
      </c>
      <c r="BV147" s="11">
        <f t="shared" si="90"/>
        <v>0</v>
      </c>
      <c r="BW147" s="11">
        <f t="shared" si="91"/>
        <v>0</v>
      </c>
      <c r="BX147" s="11">
        <f t="shared" si="92"/>
        <v>0</v>
      </c>
      <c r="BY147" s="11">
        <f t="shared" si="93"/>
        <v>0</v>
      </c>
      <c r="BZ147" s="11">
        <f t="shared" si="94"/>
        <v>0</v>
      </c>
      <c r="CA147" s="11">
        <f t="shared" si="95"/>
        <v>0</v>
      </c>
      <c r="CB147" s="11">
        <f t="shared" si="96"/>
        <v>0</v>
      </c>
      <c r="CC147" s="11">
        <f t="shared" si="97"/>
        <v>0</v>
      </c>
      <c r="CD147" s="11">
        <f t="shared" si="98"/>
        <v>0</v>
      </c>
      <c r="CE147" s="11">
        <f t="shared" si="99"/>
        <v>0</v>
      </c>
      <c r="CF147" s="11">
        <f t="shared" si="100"/>
        <v>0</v>
      </c>
      <c r="CG147" s="11"/>
      <c r="CH147" s="41">
        <v>3.23</v>
      </c>
      <c r="CJ147" s="54">
        <f t="shared" si="101"/>
        <v>0</v>
      </c>
      <c r="CK147" s="54">
        <f t="shared" si="102"/>
        <v>0</v>
      </c>
      <c r="CL147" s="54">
        <f t="shared" si="103"/>
        <v>0</v>
      </c>
      <c r="CM147" s="54">
        <f t="shared" si="104"/>
        <v>0</v>
      </c>
      <c r="CN147" s="54">
        <f t="shared" si="105"/>
        <v>0</v>
      </c>
      <c r="CO147" s="54">
        <f t="shared" si="106"/>
        <v>0</v>
      </c>
      <c r="CP147" s="54">
        <f t="shared" si="107"/>
        <v>0</v>
      </c>
      <c r="CQ147" s="54">
        <f t="shared" si="108"/>
        <v>0</v>
      </c>
      <c r="CR147" s="54">
        <f t="shared" si="109"/>
        <v>0</v>
      </c>
      <c r="CS147" s="54">
        <f t="shared" si="110"/>
        <v>0</v>
      </c>
      <c r="CT147" s="54">
        <f t="shared" si="111"/>
        <v>0</v>
      </c>
      <c r="CU147" s="54">
        <f t="shared" si="112"/>
        <v>0</v>
      </c>
      <c r="CV147" s="52">
        <f t="shared" si="113"/>
        <v>0</v>
      </c>
    </row>
    <row r="148" spans="1:100" ht="15.75" x14ac:dyDescent="0.25">
      <c r="A148" s="17"/>
      <c r="B148" s="17"/>
      <c r="C148" s="17"/>
      <c r="D148" s="17"/>
      <c r="E148" s="17"/>
      <c r="F148" s="18" t="s">
        <v>31</v>
      </c>
      <c r="G148" s="79"/>
      <c r="H148" s="79"/>
      <c r="I148" s="79"/>
      <c r="J148" s="79"/>
      <c r="K148" s="79"/>
      <c r="L148" s="79"/>
      <c r="M148" s="79"/>
      <c r="N148" s="79"/>
      <c r="O148" s="79"/>
      <c r="P148" s="79"/>
      <c r="Q148" s="79"/>
      <c r="R148" s="79"/>
      <c r="S148" s="11">
        <f t="shared" si="115"/>
        <v>0</v>
      </c>
      <c r="V148" s="46">
        <f t="shared" si="88"/>
        <v>0</v>
      </c>
      <c r="W148" s="36">
        <v>1.8500010816189674</v>
      </c>
      <c r="X148" s="36">
        <v>1.8500010816189674</v>
      </c>
      <c r="Y148" s="36">
        <v>1.8500010816189674</v>
      </c>
      <c r="Z148" s="36">
        <v>1.8500010816189674</v>
      </c>
      <c r="AA148" s="36">
        <v>1.8500010816189674</v>
      </c>
      <c r="AB148" s="36">
        <v>1.8500010816189674</v>
      </c>
      <c r="AC148" s="36">
        <v>1.8500010816189674</v>
      </c>
      <c r="AD148" s="36">
        <v>1.8500010816189674</v>
      </c>
      <c r="AE148" s="36">
        <v>1.8500010816189674</v>
      </c>
      <c r="AF148" s="36">
        <v>1.8500010816189674</v>
      </c>
      <c r="AG148" s="36">
        <v>1.8500010816189674</v>
      </c>
      <c r="AH148" s="36">
        <v>1.8500010816189674</v>
      </c>
      <c r="AI148" s="39">
        <v>0</v>
      </c>
      <c r="AJ148" s="39">
        <v>0</v>
      </c>
      <c r="AK148" s="39">
        <v>0</v>
      </c>
      <c r="AL148" s="39">
        <v>0</v>
      </c>
      <c r="AM148" s="39">
        <v>0</v>
      </c>
      <c r="AN148" s="39">
        <v>0</v>
      </c>
      <c r="AO148" s="39">
        <v>0</v>
      </c>
      <c r="AP148" s="39">
        <v>0</v>
      </c>
      <c r="AQ148" s="39">
        <v>0</v>
      </c>
      <c r="AR148" s="39">
        <v>0</v>
      </c>
      <c r="AS148" s="39">
        <v>0</v>
      </c>
      <c r="AT148" s="39">
        <v>0</v>
      </c>
      <c r="AU148" s="39">
        <v>0</v>
      </c>
      <c r="AV148" s="39">
        <v>0</v>
      </c>
      <c r="AW148" s="39">
        <v>0</v>
      </c>
      <c r="AX148" s="39">
        <v>0</v>
      </c>
      <c r="AY148" s="39">
        <v>0</v>
      </c>
      <c r="AZ148" s="39">
        <v>0</v>
      </c>
      <c r="BA148" s="39">
        <v>0</v>
      </c>
      <c r="BB148" s="39">
        <v>0</v>
      </c>
      <c r="BC148" s="39">
        <v>0</v>
      </c>
      <c r="BD148" s="39">
        <v>0</v>
      </c>
      <c r="BE148" s="39">
        <v>0</v>
      </c>
      <c r="BF148" s="39">
        <v>0</v>
      </c>
      <c r="BH148" s="12">
        <f t="shared" si="118"/>
        <v>0</v>
      </c>
      <c r="BI148" s="12">
        <f t="shared" si="119"/>
        <v>0</v>
      </c>
      <c r="BJ148" s="12">
        <f t="shared" si="120"/>
        <v>0</v>
      </c>
      <c r="BK148" s="12">
        <f t="shared" si="121"/>
        <v>0</v>
      </c>
      <c r="BL148" s="12">
        <f t="shared" si="122"/>
        <v>0</v>
      </c>
      <c r="BM148" s="12">
        <f t="shared" si="123"/>
        <v>0</v>
      </c>
      <c r="BN148" s="12">
        <f t="shared" si="124"/>
        <v>0</v>
      </c>
      <c r="BO148" s="12">
        <f t="shared" si="125"/>
        <v>0</v>
      </c>
      <c r="BP148" s="12">
        <f t="shared" si="126"/>
        <v>0</v>
      </c>
      <c r="BQ148" s="12">
        <f t="shared" si="127"/>
        <v>0</v>
      </c>
      <c r="BR148" s="12">
        <f t="shared" si="116"/>
        <v>0</v>
      </c>
      <c r="BS148" s="12">
        <f t="shared" si="117"/>
        <v>0</v>
      </c>
      <c r="BU148" s="11">
        <f t="shared" si="89"/>
        <v>0</v>
      </c>
      <c r="BV148" s="11">
        <f t="shared" si="90"/>
        <v>0</v>
      </c>
      <c r="BW148" s="11">
        <f t="shared" si="91"/>
        <v>0</v>
      </c>
      <c r="BX148" s="11">
        <f t="shared" si="92"/>
        <v>0</v>
      </c>
      <c r="BY148" s="11">
        <f t="shared" si="93"/>
        <v>0</v>
      </c>
      <c r="BZ148" s="11">
        <f t="shared" si="94"/>
        <v>0</v>
      </c>
      <c r="CA148" s="11">
        <f t="shared" si="95"/>
        <v>0</v>
      </c>
      <c r="CB148" s="11">
        <f t="shared" si="96"/>
        <v>0</v>
      </c>
      <c r="CC148" s="11">
        <f t="shared" si="97"/>
        <v>0</v>
      </c>
      <c r="CD148" s="11">
        <f t="shared" si="98"/>
        <v>0</v>
      </c>
      <c r="CE148" s="11">
        <f t="shared" si="99"/>
        <v>0</v>
      </c>
      <c r="CF148" s="11">
        <f t="shared" si="100"/>
        <v>0</v>
      </c>
      <c r="CG148" s="11"/>
      <c r="CH148" s="41">
        <v>1</v>
      </c>
      <c r="CJ148" s="54">
        <f t="shared" si="101"/>
        <v>0</v>
      </c>
      <c r="CK148" s="54">
        <f t="shared" si="102"/>
        <v>0</v>
      </c>
      <c r="CL148" s="54">
        <f t="shared" si="103"/>
        <v>0</v>
      </c>
      <c r="CM148" s="54">
        <f t="shared" si="104"/>
        <v>0</v>
      </c>
      <c r="CN148" s="54">
        <f t="shared" si="105"/>
        <v>0</v>
      </c>
      <c r="CO148" s="54">
        <f t="shared" si="106"/>
        <v>0</v>
      </c>
      <c r="CP148" s="54">
        <f t="shared" si="107"/>
        <v>0</v>
      </c>
      <c r="CQ148" s="54">
        <f t="shared" si="108"/>
        <v>0</v>
      </c>
      <c r="CR148" s="54">
        <f t="shared" si="109"/>
        <v>0</v>
      </c>
      <c r="CS148" s="54">
        <f t="shared" si="110"/>
        <v>0</v>
      </c>
      <c r="CT148" s="54">
        <f t="shared" si="111"/>
        <v>0</v>
      </c>
      <c r="CU148" s="54">
        <f t="shared" si="112"/>
        <v>0</v>
      </c>
      <c r="CV148" s="52">
        <f t="shared" si="113"/>
        <v>0</v>
      </c>
    </row>
    <row r="149" spans="1:100" ht="15.75" x14ac:dyDescent="0.25">
      <c r="A149" s="17"/>
      <c r="B149" s="17"/>
      <c r="C149" s="17"/>
      <c r="D149" s="17"/>
      <c r="E149" s="17"/>
      <c r="F149" s="18" t="s">
        <v>31</v>
      </c>
      <c r="G149" s="79"/>
      <c r="H149" s="79"/>
      <c r="I149" s="79"/>
      <c r="J149" s="79"/>
      <c r="K149" s="79"/>
      <c r="L149" s="79"/>
      <c r="M149" s="79"/>
      <c r="N149" s="79"/>
      <c r="O149" s="79"/>
      <c r="P149" s="79"/>
      <c r="Q149" s="79"/>
      <c r="R149" s="79"/>
      <c r="S149" s="11">
        <f t="shared" si="115"/>
        <v>0</v>
      </c>
      <c r="V149" s="46">
        <f t="shared" si="88"/>
        <v>0</v>
      </c>
      <c r="W149" s="36">
        <v>3.17</v>
      </c>
      <c r="X149" s="36">
        <v>3.17</v>
      </c>
      <c r="Y149" s="36">
        <v>3.17</v>
      </c>
      <c r="Z149" s="36">
        <v>3.17</v>
      </c>
      <c r="AA149" s="36">
        <v>3.17</v>
      </c>
      <c r="AB149" s="36">
        <v>3.17</v>
      </c>
      <c r="AC149" s="36">
        <v>3.17</v>
      </c>
      <c r="AD149" s="36">
        <v>3.17</v>
      </c>
      <c r="AE149" s="36">
        <v>3.17</v>
      </c>
      <c r="AF149" s="36">
        <v>3.17</v>
      </c>
      <c r="AG149" s="36">
        <v>3.17</v>
      </c>
      <c r="AH149" s="36">
        <v>3.17</v>
      </c>
      <c r="AI149" s="39">
        <v>0</v>
      </c>
      <c r="AJ149" s="39">
        <v>0</v>
      </c>
      <c r="AK149" s="39">
        <v>0</v>
      </c>
      <c r="AL149" s="39">
        <v>0</v>
      </c>
      <c r="AM149" s="39">
        <v>0</v>
      </c>
      <c r="AN149" s="39">
        <v>0</v>
      </c>
      <c r="AO149" s="39">
        <v>0</v>
      </c>
      <c r="AP149" s="39">
        <v>0</v>
      </c>
      <c r="AQ149" s="39">
        <v>0</v>
      </c>
      <c r="AR149" s="39">
        <v>0</v>
      </c>
      <c r="AS149" s="39">
        <v>0</v>
      </c>
      <c r="AT149" s="39">
        <v>0</v>
      </c>
      <c r="AU149" s="39">
        <v>0</v>
      </c>
      <c r="AV149" s="39">
        <v>0</v>
      </c>
      <c r="AW149" s="39">
        <v>0</v>
      </c>
      <c r="AX149" s="39">
        <v>0</v>
      </c>
      <c r="AY149" s="39">
        <v>0</v>
      </c>
      <c r="AZ149" s="39">
        <v>0</v>
      </c>
      <c r="BA149" s="39">
        <v>0</v>
      </c>
      <c r="BB149" s="39">
        <v>0</v>
      </c>
      <c r="BC149" s="39">
        <v>0</v>
      </c>
      <c r="BD149" s="39">
        <v>0</v>
      </c>
      <c r="BE149" s="39">
        <v>0</v>
      </c>
      <c r="BF149" s="39">
        <v>0</v>
      </c>
      <c r="BH149" s="12">
        <f t="shared" si="118"/>
        <v>0</v>
      </c>
      <c r="BI149" s="12">
        <f t="shared" si="119"/>
        <v>0</v>
      </c>
      <c r="BJ149" s="12">
        <f t="shared" si="120"/>
        <v>0</v>
      </c>
      <c r="BK149" s="12">
        <f t="shared" si="121"/>
        <v>0</v>
      </c>
      <c r="BL149" s="12">
        <f t="shared" si="122"/>
        <v>0</v>
      </c>
      <c r="BM149" s="12">
        <f t="shared" si="123"/>
        <v>0</v>
      </c>
      <c r="BN149" s="12">
        <f t="shared" si="124"/>
        <v>0</v>
      </c>
      <c r="BO149" s="12">
        <f t="shared" si="125"/>
        <v>0</v>
      </c>
      <c r="BP149" s="12">
        <f t="shared" si="126"/>
        <v>0</v>
      </c>
      <c r="BQ149" s="12">
        <f t="shared" si="127"/>
        <v>0</v>
      </c>
      <c r="BR149" s="12">
        <f t="shared" si="116"/>
        <v>0</v>
      </c>
      <c r="BS149" s="12">
        <f t="shared" si="117"/>
        <v>0</v>
      </c>
      <c r="BU149" s="11">
        <f t="shared" si="89"/>
        <v>0</v>
      </c>
      <c r="BV149" s="11">
        <f t="shared" si="90"/>
        <v>0</v>
      </c>
      <c r="BW149" s="11">
        <f t="shared" si="91"/>
        <v>0</v>
      </c>
      <c r="BX149" s="11">
        <f t="shared" si="92"/>
        <v>0</v>
      </c>
      <c r="BY149" s="11">
        <f t="shared" si="93"/>
        <v>0</v>
      </c>
      <c r="BZ149" s="11">
        <f t="shared" si="94"/>
        <v>0</v>
      </c>
      <c r="CA149" s="11">
        <f t="shared" si="95"/>
        <v>0</v>
      </c>
      <c r="CB149" s="11">
        <f t="shared" si="96"/>
        <v>0</v>
      </c>
      <c r="CC149" s="11">
        <f t="shared" si="97"/>
        <v>0</v>
      </c>
      <c r="CD149" s="11">
        <f t="shared" si="98"/>
        <v>0</v>
      </c>
      <c r="CE149" s="11">
        <f t="shared" si="99"/>
        <v>0</v>
      </c>
      <c r="CF149" s="11">
        <f t="shared" si="100"/>
        <v>0</v>
      </c>
      <c r="CG149" s="11"/>
      <c r="CH149" s="41">
        <v>1</v>
      </c>
      <c r="CJ149" s="54">
        <f t="shared" si="101"/>
        <v>0</v>
      </c>
      <c r="CK149" s="54">
        <f t="shared" si="102"/>
        <v>0</v>
      </c>
      <c r="CL149" s="54">
        <f t="shared" si="103"/>
        <v>0</v>
      </c>
      <c r="CM149" s="54">
        <f t="shared" si="104"/>
        <v>0</v>
      </c>
      <c r="CN149" s="54">
        <f t="shared" si="105"/>
        <v>0</v>
      </c>
      <c r="CO149" s="54">
        <f t="shared" si="106"/>
        <v>0</v>
      </c>
      <c r="CP149" s="54">
        <f t="shared" si="107"/>
        <v>0</v>
      </c>
      <c r="CQ149" s="54">
        <f t="shared" si="108"/>
        <v>0</v>
      </c>
      <c r="CR149" s="54">
        <f t="shared" si="109"/>
        <v>0</v>
      </c>
      <c r="CS149" s="54">
        <f t="shared" si="110"/>
        <v>0</v>
      </c>
      <c r="CT149" s="54">
        <f t="shared" si="111"/>
        <v>0</v>
      </c>
      <c r="CU149" s="54">
        <f t="shared" si="112"/>
        <v>0</v>
      </c>
      <c r="CV149" s="52">
        <f t="shared" si="113"/>
        <v>0</v>
      </c>
    </row>
    <row r="150" spans="1:100" ht="15.75" x14ac:dyDescent="0.25">
      <c r="A150" s="17"/>
      <c r="B150" s="17"/>
      <c r="C150" s="17"/>
      <c r="D150" s="17"/>
      <c r="E150" s="17"/>
      <c r="F150" s="18" t="s">
        <v>31</v>
      </c>
      <c r="G150" s="79"/>
      <c r="H150" s="79"/>
      <c r="I150" s="79"/>
      <c r="J150" s="79"/>
      <c r="K150" s="79"/>
      <c r="L150" s="79"/>
      <c r="M150" s="79"/>
      <c r="N150" s="79"/>
      <c r="O150" s="79"/>
      <c r="P150" s="79"/>
      <c r="Q150" s="79"/>
      <c r="R150" s="79"/>
      <c r="S150" s="11">
        <f t="shared" si="115"/>
        <v>0</v>
      </c>
      <c r="V150" s="46">
        <f t="shared" si="88"/>
        <v>0</v>
      </c>
      <c r="W150" s="36">
        <v>3.149</v>
      </c>
      <c r="X150" s="36">
        <v>3.149</v>
      </c>
      <c r="Y150" s="36">
        <v>3.149</v>
      </c>
      <c r="Z150" s="36">
        <v>3.149</v>
      </c>
      <c r="AA150" s="36">
        <v>3.149</v>
      </c>
      <c r="AB150" s="36">
        <v>3.149</v>
      </c>
      <c r="AC150" s="36">
        <v>3.149</v>
      </c>
      <c r="AD150" s="36">
        <v>3.149</v>
      </c>
      <c r="AE150" s="36">
        <v>3.149</v>
      </c>
      <c r="AF150" s="36">
        <v>3.149</v>
      </c>
      <c r="AG150" s="36">
        <v>3.149</v>
      </c>
      <c r="AH150" s="36">
        <v>3.149</v>
      </c>
      <c r="AI150" s="39">
        <v>1.33634708931066E-2</v>
      </c>
      <c r="AJ150" s="39">
        <v>1.33634708931066E-2</v>
      </c>
      <c r="AK150" s="39">
        <v>1.33634708931066E-2</v>
      </c>
      <c r="AL150" s="39">
        <v>1.33634708931066E-2</v>
      </c>
      <c r="AM150" s="39">
        <v>1.33634708931066E-2</v>
      </c>
      <c r="AN150" s="39">
        <v>1.33634708931066E-2</v>
      </c>
      <c r="AO150" s="39">
        <v>1.33634708931066E-2</v>
      </c>
      <c r="AP150" s="39">
        <v>1.33634708931066E-2</v>
      </c>
      <c r="AQ150" s="39">
        <v>1.33634708931066E-2</v>
      </c>
      <c r="AR150" s="39">
        <v>1.33634708931066E-2</v>
      </c>
      <c r="AS150" s="39">
        <v>1.33634708931066E-2</v>
      </c>
      <c r="AT150" s="39">
        <v>1.33634708931066E-2</v>
      </c>
      <c r="AU150" s="39">
        <v>1.2392217523121999E-3</v>
      </c>
      <c r="AV150" s="39">
        <v>1.2392217523121999E-3</v>
      </c>
      <c r="AW150" s="39">
        <v>1.2392217523121999E-3</v>
      </c>
      <c r="AX150" s="39">
        <v>1.2392217523121999E-3</v>
      </c>
      <c r="AY150" s="39">
        <v>1.2392217523121999E-3</v>
      </c>
      <c r="AZ150" s="39">
        <v>1.2392217523121999E-3</v>
      </c>
      <c r="BA150" s="39">
        <v>1.2392217523121999E-3</v>
      </c>
      <c r="BB150" s="39">
        <v>1.2392217523121999E-3</v>
      </c>
      <c r="BC150" s="39">
        <v>1.2392217523121999E-3</v>
      </c>
      <c r="BD150" s="39">
        <v>1.2392217523121999E-3</v>
      </c>
      <c r="BE150" s="39">
        <v>1.2392217523121999E-3</v>
      </c>
      <c r="BF150" s="39">
        <v>1.2392217523121999E-3</v>
      </c>
      <c r="BH150" s="12">
        <f t="shared" si="118"/>
        <v>0</v>
      </c>
      <c r="BI150" s="12">
        <f t="shared" si="119"/>
        <v>0</v>
      </c>
      <c r="BJ150" s="12">
        <f t="shared" si="120"/>
        <v>0</v>
      </c>
      <c r="BK150" s="12">
        <f t="shared" si="121"/>
        <v>0</v>
      </c>
      <c r="BL150" s="12">
        <f t="shared" si="122"/>
        <v>0</v>
      </c>
      <c r="BM150" s="12">
        <f t="shared" si="123"/>
        <v>0</v>
      </c>
      <c r="BN150" s="12">
        <f t="shared" si="124"/>
        <v>0</v>
      </c>
      <c r="BO150" s="12">
        <f t="shared" si="125"/>
        <v>0</v>
      </c>
      <c r="BP150" s="12">
        <f t="shared" si="126"/>
        <v>0</v>
      </c>
      <c r="BQ150" s="12">
        <f t="shared" si="127"/>
        <v>0</v>
      </c>
      <c r="BR150" s="12">
        <f t="shared" si="116"/>
        <v>0</v>
      </c>
      <c r="BS150" s="12">
        <f t="shared" si="117"/>
        <v>0</v>
      </c>
      <c r="BU150" s="11">
        <f t="shared" si="89"/>
        <v>0</v>
      </c>
      <c r="BV150" s="11">
        <f t="shared" si="90"/>
        <v>0</v>
      </c>
      <c r="BW150" s="11">
        <f t="shared" si="91"/>
        <v>0</v>
      </c>
      <c r="BX150" s="11">
        <f t="shared" si="92"/>
        <v>0</v>
      </c>
      <c r="BY150" s="11">
        <f t="shared" si="93"/>
        <v>0</v>
      </c>
      <c r="BZ150" s="11">
        <f t="shared" si="94"/>
        <v>0</v>
      </c>
      <c r="CA150" s="11">
        <f t="shared" si="95"/>
        <v>0</v>
      </c>
      <c r="CB150" s="11">
        <f t="shared" si="96"/>
        <v>0</v>
      </c>
      <c r="CC150" s="11">
        <f t="shared" si="97"/>
        <v>0</v>
      </c>
      <c r="CD150" s="11">
        <f t="shared" si="98"/>
        <v>0</v>
      </c>
      <c r="CE150" s="11">
        <f t="shared" si="99"/>
        <v>0</v>
      </c>
      <c r="CF150" s="11">
        <f t="shared" si="100"/>
        <v>0</v>
      </c>
      <c r="CG150" s="11"/>
      <c r="CH150" s="41">
        <v>3.23</v>
      </c>
      <c r="CJ150" s="54">
        <f t="shared" si="101"/>
        <v>0</v>
      </c>
      <c r="CK150" s="54">
        <f t="shared" si="102"/>
        <v>0</v>
      </c>
      <c r="CL150" s="54">
        <f t="shared" si="103"/>
        <v>0</v>
      </c>
      <c r="CM150" s="54">
        <f t="shared" si="104"/>
        <v>0</v>
      </c>
      <c r="CN150" s="54">
        <f t="shared" si="105"/>
        <v>0</v>
      </c>
      <c r="CO150" s="54">
        <f t="shared" si="106"/>
        <v>0</v>
      </c>
      <c r="CP150" s="54">
        <f t="shared" si="107"/>
        <v>0</v>
      </c>
      <c r="CQ150" s="54">
        <f t="shared" si="108"/>
        <v>0</v>
      </c>
      <c r="CR150" s="54">
        <f t="shared" si="109"/>
        <v>0</v>
      </c>
      <c r="CS150" s="54">
        <f t="shared" si="110"/>
        <v>0</v>
      </c>
      <c r="CT150" s="54">
        <f t="shared" si="111"/>
        <v>0</v>
      </c>
      <c r="CU150" s="54">
        <f t="shared" si="112"/>
        <v>0</v>
      </c>
      <c r="CV150" s="52">
        <f t="shared" si="113"/>
        <v>0</v>
      </c>
    </row>
    <row r="151" spans="1:100" ht="15.75" x14ac:dyDescent="0.25">
      <c r="A151" s="17"/>
      <c r="B151" s="17"/>
      <c r="C151" s="17"/>
      <c r="D151" s="17"/>
      <c r="E151" s="17"/>
      <c r="F151" s="18" t="s">
        <v>31</v>
      </c>
      <c r="G151" s="79"/>
      <c r="H151" s="79"/>
      <c r="I151" s="79"/>
      <c r="J151" s="79"/>
      <c r="K151" s="79"/>
      <c r="L151" s="79"/>
      <c r="M151" s="79"/>
      <c r="N151" s="79"/>
      <c r="O151" s="79"/>
      <c r="P151" s="79"/>
      <c r="Q151" s="79"/>
      <c r="R151" s="79"/>
      <c r="S151" s="11">
        <f t="shared" si="115"/>
        <v>0</v>
      </c>
      <c r="V151" s="46">
        <f t="shared" si="88"/>
        <v>0</v>
      </c>
      <c r="W151" s="36">
        <v>1.107</v>
      </c>
      <c r="X151" s="36">
        <v>1.107</v>
      </c>
      <c r="Y151" s="36">
        <v>1.4379999999999999</v>
      </c>
      <c r="Z151" s="36">
        <v>1.4379999999999999</v>
      </c>
      <c r="AA151" s="36">
        <v>1.4379999999999999</v>
      </c>
      <c r="AB151" s="36">
        <v>1.4379999999999999</v>
      </c>
      <c r="AC151" s="36">
        <v>1.4379999999999999</v>
      </c>
      <c r="AD151" s="36">
        <v>1.4379999999999999</v>
      </c>
      <c r="AE151" s="36">
        <v>1.4379999999999999</v>
      </c>
      <c r="AF151" s="36">
        <v>1.4379999999999999</v>
      </c>
      <c r="AG151" s="36">
        <v>1.4379999999999999</v>
      </c>
      <c r="AH151" s="36">
        <v>1.4379999999999999</v>
      </c>
      <c r="AI151" s="39">
        <v>1.33634708931066E-2</v>
      </c>
      <c r="AJ151" s="39">
        <v>1.33634708931066E-2</v>
      </c>
      <c r="AK151" s="39">
        <v>1.33634708931066E-2</v>
      </c>
      <c r="AL151" s="39">
        <v>1.33634708931066E-2</v>
      </c>
      <c r="AM151" s="39">
        <v>1.33634708931066E-2</v>
      </c>
      <c r="AN151" s="39">
        <v>1.33634708931066E-2</v>
      </c>
      <c r="AO151" s="39">
        <v>1.33634708931066E-2</v>
      </c>
      <c r="AP151" s="39">
        <v>1.33634708931066E-2</v>
      </c>
      <c r="AQ151" s="39">
        <v>1.33634708931066E-2</v>
      </c>
      <c r="AR151" s="39">
        <v>1.33634708931066E-2</v>
      </c>
      <c r="AS151" s="39">
        <v>1.33634708931066E-2</v>
      </c>
      <c r="AT151" s="39">
        <v>1.33634708931066E-2</v>
      </c>
      <c r="AU151" s="39">
        <v>1.2392217523121999E-3</v>
      </c>
      <c r="AV151" s="39">
        <v>1.2392217523121999E-3</v>
      </c>
      <c r="AW151" s="39">
        <v>1.2392217523121999E-3</v>
      </c>
      <c r="AX151" s="39">
        <v>1.2392217523121999E-3</v>
      </c>
      <c r="AY151" s="39">
        <v>1.2392217523121999E-3</v>
      </c>
      <c r="AZ151" s="39">
        <v>1.2392217523121999E-3</v>
      </c>
      <c r="BA151" s="39">
        <v>1.2392217523121999E-3</v>
      </c>
      <c r="BB151" s="39">
        <v>1.2392217523121999E-3</v>
      </c>
      <c r="BC151" s="39">
        <v>1.2392217523121999E-3</v>
      </c>
      <c r="BD151" s="39">
        <v>1.2392217523121999E-3</v>
      </c>
      <c r="BE151" s="39">
        <v>1.2392217523121999E-3</v>
      </c>
      <c r="BF151" s="39">
        <v>1.2392217523121999E-3</v>
      </c>
      <c r="BH151" s="12">
        <f t="shared" si="118"/>
        <v>0</v>
      </c>
      <c r="BI151" s="12">
        <f t="shared" si="119"/>
        <v>0</v>
      </c>
      <c r="BJ151" s="12">
        <f t="shared" si="120"/>
        <v>0</v>
      </c>
      <c r="BK151" s="12">
        <f t="shared" si="121"/>
        <v>0</v>
      </c>
      <c r="BL151" s="12">
        <f t="shared" si="122"/>
        <v>0</v>
      </c>
      <c r="BM151" s="12">
        <f t="shared" si="123"/>
        <v>0</v>
      </c>
      <c r="BN151" s="12">
        <f t="shared" si="124"/>
        <v>0</v>
      </c>
      <c r="BO151" s="12">
        <f t="shared" si="125"/>
        <v>0</v>
      </c>
      <c r="BP151" s="12">
        <f t="shared" si="126"/>
        <v>0</v>
      </c>
      <c r="BQ151" s="12">
        <f t="shared" si="127"/>
        <v>0</v>
      </c>
      <c r="BR151" s="12">
        <f t="shared" si="116"/>
        <v>0</v>
      </c>
      <c r="BS151" s="12">
        <f t="shared" si="117"/>
        <v>0</v>
      </c>
      <c r="BU151" s="11">
        <f t="shared" si="89"/>
        <v>0</v>
      </c>
      <c r="BV151" s="11">
        <f t="shared" si="90"/>
        <v>0</v>
      </c>
      <c r="BW151" s="11">
        <f t="shared" si="91"/>
        <v>0</v>
      </c>
      <c r="BX151" s="11">
        <f t="shared" si="92"/>
        <v>0</v>
      </c>
      <c r="BY151" s="11">
        <f t="shared" si="93"/>
        <v>0</v>
      </c>
      <c r="BZ151" s="11">
        <f t="shared" si="94"/>
        <v>0</v>
      </c>
      <c r="CA151" s="11">
        <f t="shared" si="95"/>
        <v>0</v>
      </c>
      <c r="CB151" s="11">
        <f t="shared" si="96"/>
        <v>0</v>
      </c>
      <c r="CC151" s="11">
        <f t="shared" si="97"/>
        <v>0</v>
      </c>
      <c r="CD151" s="11">
        <f t="shared" si="98"/>
        <v>0</v>
      </c>
      <c r="CE151" s="11">
        <f t="shared" si="99"/>
        <v>0</v>
      </c>
      <c r="CF151" s="11">
        <f t="shared" si="100"/>
        <v>0</v>
      </c>
      <c r="CG151" s="11"/>
      <c r="CH151" s="41">
        <v>3.23</v>
      </c>
      <c r="CJ151" s="54">
        <f t="shared" si="101"/>
        <v>0</v>
      </c>
      <c r="CK151" s="54">
        <f t="shared" si="102"/>
        <v>0</v>
      </c>
      <c r="CL151" s="54">
        <f t="shared" si="103"/>
        <v>0</v>
      </c>
      <c r="CM151" s="54">
        <f t="shared" si="104"/>
        <v>0</v>
      </c>
      <c r="CN151" s="54">
        <f t="shared" si="105"/>
        <v>0</v>
      </c>
      <c r="CO151" s="54">
        <f t="shared" si="106"/>
        <v>0</v>
      </c>
      <c r="CP151" s="54">
        <f t="shared" si="107"/>
        <v>0</v>
      </c>
      <c r="CQ151" s="54">
        <f t="shared" si="108"/>
        <v>0</v>
      </c>
      <c r="CR151" s="54">
        <f t="shared" si="109"/>
        <v>0</v>
      </c>
      <c r="CS151" s="54">
        <f t="shared" si="110"/>
        <v>0</v>
      </c>
      <c r="CT151" s="54">
        <f t="shared" si="111"/>
        <v>0</v>
      </c>
      <c r="CU151" s="54">
        <f t="shared" si="112"/>
        <v>0</v>
      </c>
      <c r="CV151" s="52">
        <f t="shared" si="113"/>
        <v>0</v>
      </c>
    </row>
    <row r="152" spans="1:100" ht="15.75" x14ac:dyDescent="0.25">
      <c r="A152" s="17"/>
      <c r="B152" s="17"/>
      <c r="C152" s="17"/>
      <c r="D152" s="17"/>
      <c r="E152" s="17"/>
      <c r="F152" s="18" t="s">
        <v>31</v>
      </c>
      <c r="G152" s="79"/>
      <c r="H152" s="79"/>
      <c r="I152" s="79"/>
      <c r="J152" s="79"/>
      <c r="K152" s="79"/>
      <c r="L152" s="79"/>
      <c r="M152" s="79"/>
      <c r="N152" s="79"/>
      <c r="O152" s="79"/>
      <c r="P152" s="79"/>
      <c r="Q152" s="79"/>
      <c r="R152" s="79"/>
      <c r="S152" s="11">
        <f t="shared" si="115"/>
        <v>0</v>
      </c>
      <c r="V152" s="46">
        <f t="shared" si="88"/>
        <v>0</v>
      </c>
      <c r="W152" s="36">
        <v>1.258</v>
      </c>
      <c r="X152" s="36">
        <v>1.258</v>
      </c>
      <c r="Y152" s="36">
        <v>1.6339999999999999</v>
      </c>
      <c r="Z152" s="36">
        <v>1.6339999999999999</v>
      </c>
      <c r="AA152" s="36">
        <v>1.6339999999999999</v>
      </c>
      <c r="AB152" s="36">
        <v>1.6339999999999999</v>
      </c>
      <c r="AC152" s="36">
        <v>1.6339999999999999</v>
      </c>
      <c r="AD152" s="36">
        <v>1.6339999999999999</v>
      </c>
      <c r="AE152" s="36">
        <v>1.6339999999999999</v>
      </c>
      <c r="AF152" s="36">
        <v>1.6339999999999999</v>
      </c>
      <c r="AG152" s="36">
        <v>1.6339999999999999</v>
      </c>
      <c r="AH152" s="36">
        <v>1.6339999999999999</v>
      </c>
      <c r="AI152" s="39">
        <v>1.33634708931066E-2</v>
      </c>
      <c r="AJ152" s="39">
        <v>1.33634708931066E-2</v>
      </c>
      <c r="AK152" s="39">
        <v>1.33634708931066E-2</v>
      </c>
      <c r="AL152" s="39">
        <v>1.33634708931066E-2</v>
      </c>
      <c r="AM152" s="39">
        <v>1.33634708931066E-2</v>
      </c>
      <c r="AN152" s="39">
        <v>1.33634708931066E-2</v>
      </c>
      <c r="AO152" s="39">
        <v>1.33634708931066E-2</v>
      </c>
      <c r="AP152" s="39">
        <v>1.33634708931066E-2</v>
      </c>
      <c r="AQ152" s="39">
        <v>1.33634708931066E-2</v>
      </c>
      <c r="AR152" s="39">
        <v>1.33634708931066E-2</v>
      </c>
      <c r="AS152" s="39">
        <v>1.33634708931066E-2</v>
      </c>
      <c r="AT152" s="39">
        <v>1.33634708931066E-2</v>
      </c>
      <c r="AU152" s="39">
        <v>1.2392217523121999E-3</v>
      </c>
      <c r="AV152" s="39">
        <v>1.2392217523121999E-3</v>
      </c>
      <c r="AW152" s="39">
        <v>1.2392217523121999E-3</v>
      </c>
      <c r="AX152" s="39">
        <v>1.2392217523121999E-3</v>
      </c>
      <c r="AY152" s="39">
        <v>1.2392217523121999E-3</v>
      </c>
      <c r="AZ152" s="39">
        <v>1.2392217523121999E-3</v>
      </c>
      <c r="BA152" s="39">
        <v>1.2392217523121999E-3</v>
      </c>
      <c r="BB152" s="39">
        <v>1.2392217523121999E-3</v>
      </c>
      <c r="BC152" s="39">
        <v>1.2392217523121999E-3</v>
      </c>
      <c r="BD152" s="39">
        <v>1.2392217523121999E-3</v>
      </c>
      <c r="BE152" s="39">
        <v>1.2392217523121999E-3</v>
      </c>
      <c r="BF152" s="39">
        <v>1.2392217523121999E-3</v>
      </c>
      <c r="BH152" s="12">
        <f t="shared" si="118"/>
        <v>0</v>
      </c>
      <c r="BI152" s="12">
        <f t="shared" si="119"/>
        <v>0</v>
      </c>
      <c r="BJ152" s="12">
        <f t="shared" si="120"/>
        <v>0</v>
      </c>
      <c r="BK152" s="12">
        <f t="shared" si="121"/>
        <v>0</v>
      </c>
      <c r="BL152" s="12">
        <f t="shared" si="122"/>
        <v>0</v>
      </c>
      <c r="BM152" s="12">
        <f t="shared" si="123"/>
        <v>0</v>
      </c>
      <c r="BN152" s="12">
        <f t="shared" si="124"/>
        <v>0</v>
      </c>
      <c r="BO152" s="12">
        <f t="shared" si="125"/>
        <v>0</v>
      </c>
      <c r="BP152" s="12">
        <f t="shared" si="126"/>
        <v>0</v>
      </c>
      <c r="BQ152" s="12">
        <f t="shared" si="127"/>
        <v>0</v>
      </c>
      <c r="BR152" s="12">
        <f t="shared" si="116"/>
        <v>0</v>
      </c>
      <c r="BS152" s="12">
        <f t="shared" si="117"/>
        <v>0</v>
      </c>
      <c r="BU152" s="11">
        <f t="shared" si="89"/>
        <v>0</v>
      </c>
      <c r="BV152" s="11">
        <f t="shared" si="90"/>
        <v>0</v>
      </c>
      <c r="BW152" s="11">
        <f t="shared" si="91"/>
        <v>0</v>
      </c>
      <c r="BX152" s="11">
        <f t="shared" si="92"/>
        <v>0</v>
      </c>
      <c r="BY152" s="11">
        <f t="shared" si="93"/>
        <v>0</v>
      </c>
      <c r="BZ152" s="11">
        <f t="shared" si="94"/>
        <v>0</v>
      </c>
      <c r="CA152" s="11">
        <f t="shared" si="95"/>
        <v>0</v>
      </c>
      <c r="CB152" s="11">
        <f t="shared" si="96"/>
        <v>0</v>
      </c>
      <c r="CC152" s="11">
        <f t="shared" si="97"/>
        <v>0</v>
      </c>
      <c r="CD152" s="11">
        <f t="shared" si="98"/>
        <v>0</v>
      </c>
      <c r="CE152" s="11">
        <f t="shared" si="99"/>
        <v>0</v>
      </c>
      <c r="CF152" s="11">
        <f t="shared" si="100"/>
        <v>0</v>
      </c>
      <c r="CG152" s="11"/>
      <c r="CH152" s="41">
        <v>3.23</v>
      </c>
      <c r="CJ152" s="54">
        <f t="shared" si="101"/>
        <v>0</v>
      </c>
      <c r="CK152" s="54">
        <f t="shared" si="102"/>
        <v>0</v>
      </c>
      <c r="CL152" s="54">
        <f t="shared" si="103"/>
        <v>0</v>
      </c>
      <c r="CM152" s="54">
        <f t="shared" si="104"/>
        <v>0</v>
      </c>
      <c r="CN152" s="54">
        <f t="shared" si="105"/>
        <v>0</v>
      </c>
      <c r="CO152" s="54">
        <f t="shared" si="106"/>
        <v>0</v>
      </c>
      <c r="CP152" s="54">
        <f t="shared" si="107"/>
        <v>0</v>
      </c>
      <c r="CQ152" s="54">
        <f t="shared" si="108"/>
        <v>0</v>
      </c>
      <c r="CR152" s="54">
        <f t="shared" si="109"/>
        <v>0</v>
      </c>
      <c r="CS152" s="54">
        <f t="shared" si="110"/>
        <v>0</v>
      </c>
      <c r="CT152" s="54">
        <f t="shared" si="111"/>
        <v>0</v>
      </c>
      <c r="CU152" s="54">
        <f t="shared" si="112"/>
        <v>0</v>
      </c>
      <c r="CV152" s="52">
        <f t="shared" si="113"/>
        <v>0</v>
      </c>
    </row>
    <row r="153" spans="1:100" ht="15.75" x14ac:dyDescent="0.25">
      <c r="A153" s="17"/>
      <c r="B153" s="17"/>
      <c r="C153" s="17"/>
      <c r="D153" s="17"/>
      <c r="E153" s="17"/>
      <c r="F153" s="18" t="s">
        <v>31</v>
      </c>
      <c r="G153" s="79"/>
      <c r="H153" s="79"/>
      <c r="I153" s="79"/>
      <c r="J153" s="79"/>
      <c r="K153" s="79"/>
      <c r="L153" s="79"/>
      <c r="M153" s="79"/>
      <c r="N153" s="79"/>
      <c r="O153" s="79"/>
      <c r="P153" s="79"/>
      <c r="Q153" s="79"/>
      <c r="R153" s="79"/>
      <c r="S153" s="11">
        <f t="shared" si="115"/>
        <v>0</v>
      </c>
      <c r="V153" s="46">
        <f t="shared" si="88"/>
        <v>0</v>
      </c>
      <c r="W153" s="36">
        <v>1.9790000000000001</v>
      </c>
      <c r="X153" s="36">
        <v>1.9790000000000001</v>
      </c>
      <c r="Y153" s="36">
        <v>2.6459999999999999</v>
      </c>
      <c r="Z153" s="36">
        <v>2.6459999999999999</v>
      </c>
      <c r="AA153" s="36">
        <v>2.6459999999999999</v>
      </c>
      <c r="AB153" s="36">
        <v>2.6459999999999999</v>
      </c>
      <c r="AC153" s="36">
        <v>2.6459999999999999</v>
      </c>
      <c r="AD153" s="36">
        <v>2.6459999999999999</v>
      </c>
      <c r="AE153" s="36">
        <v>2.6459999999999999</v>
      </c>
      <c r="AF153" s="36">
        <v>2.6459999999999999</v>
      </c>
      <c r="AG153" s="36">
        <v>2.6459999999999999</v>
      </c>
      <c r="AH153" s="36">
        <v>2.6459999999999999</v>
      </c>
      <c r="AI153" s="39">
        <v>1.33634708931066E-2</v>
      </c>
      <c r="AJ153" s="39">
        <v>1.33634708931066E-2</v>
      </c>
      <c r="AK153" s="39">
        <v>1.33634708931066E-2</v>
      </c>
      <c r="AL153" s="39">
        <v>1.33634708931066E-2</v>
      </c>
      <c r="AM153" s="39">
        <v>1.33634708931066E-2</v>
      </c>
      <c r="AN153" s="39">
        <v>1.33634708931066E-2</v>
      </c>
      <c r="AO153" s="39">
        <v>1.33634708931066E-2</v>
      </c>
      <c r="AP153" s="39">
        <v>1.33634708931066E-2</v>
      </c>
      <c r="AQ153" s="39">
        <v>1.33634708931066E-2</v>
      </c>
      <c r="AR153" s="39">
        <v>1.33634708931066E-2</v>
      </c>
      <c r="AS153" s="39">
        <v>1.33634708931066E-2</v>
      </c>
      <c r="AT153" s="39">
        <v>1.33634708931066E-2</v>
      </c>
      <c r="AU153" s="39">
        <v>1.2392217523121999E-3</v>
      </c>
      <c r="AV153" s="39">
        <v>1.2392217523121999E-3</v>
      </c>
      <c r="AW153" s="39">
        <v>1.2392217523121999E-3</v>
      </c>
      <c r="AX153" s="39">
        <v>1.2392217523121999E-3</v>
      </c>
      <c r="AY153" s="39">
        <v>1.2392217523121999E-3</v>
      </c>
      <c r="AZ153" s="39">
        <v>1.2392217523121999E-3</v>
      </c>
      <c r="BA153" s="39">
        <v>1.2392217523121999E-3</v>
      </c>
      <c r="BB153" s="39">
        <v>1.2392217523121999E-3</v>
      </c>
      <c r="BC153" s="39">
        <v>1.2392217523121999E-3</v>
      </c>
      <c r="BD153" s="39">
        <v>1.2392217523121999E-3</v>
      </c>
      <c r="BE153" s="39">
        <v>1.2392217523121999E-3</v>
      </c>
      <c r="BF153" s="39">
        <v>1.2392217523121999E-3</v>
      </c>
      <c r="BH153" s="12">
        <f t="shared" si="118"/>
        <v>0</v>
      </c>
      <c r="BI153" s="12">
        <f t="shared" si="119"/>
        <v>0</v>
      </c>
      <c r="BJ153" s="12">
        <f t="shared" si="120"/>
        <v>0</v>
      </c>
      <c r="BK153" s="12">
        <f t="shared" si="121"/>
        <v>0</v>
      </c>
      <c r="BL153" s="12">
        <f t="shared" si="122"/>
        <v>0</v>
      </c>
      <c r="BM153" s="12">
        <f t="shared" si="123"/>
        <v>0</v>
      </c>
      <c r="BN153" s="12">
        <f t="shared" si="124"/>
        <v>0</v>
      </c>
      <c r="BO153" s="12">
        <f t="shared" si="125"/>
        <v>0</v>
      </c>
      <c r="BP153" s="12">
        <f t="shared" si="126"/>
        <v>0</v>
      </c>
      <c r="BQ153" s="12">
        <f t="shared" si="127"/>
        <v>0</v>
      </c>
      <c r="BR153" s="12">
        <f t="shared" si="116"/>
        <v>0</v>
      </c>
      <c r="BS153" s="12">
        <f t="shared" si="117"/>
        <v>0</v>
      </c>
      <c r="BU153" s="11">
        <f t="shared" si="89"/>
        <v>0</v>
      </c>
      <c r="BV153" s="11">
        <f t="shared" si="90"/>
        <v>0</v>
      </c>
      <c r="BW153" s="11">
        <f t="shared" si="91"/>
        <v>0</v>
      </c>
      <c r="BX153" s="11">
        <f t="shared" si="92"/>
        <v>0</v>
      </c>
      <c r="BY153" s="11">
        <f t="shared" si="93"/>
        <v>0</v>
      </c>
      <c r="BZ153" s="11">
        <f t="shared" si="94"/>
        <v>0</v>
      </c>
      <c r="CA153" s="11">
        <f t="shared" si="95"/>
        <v>0</v>
      </c>
      <c r="CB153" s="11">
        <f t="shared" si="96"/>
        <v>0</v>
      </c>
      <c r="CC153" s="11">
        <f t="shared" si="97"/>
        <v>0</v>
      </c>
      <c r="CD153" s="11">
        <f t="shared" si="98"/>
        <v>0</v>
      </c>
      <c r="CE153" s="11">
        <f t="shared" si="99"/>
        <v>0</v>
      </c>
      <c r="CF153" s="11">
        <f t="shared" si="100"/>
        <v>0</v>
      </c>
      <c r="CG153" s="11"/>
      <c r="CH153" s="41">
        <v>3.23</v>
      </c>
      <c r="CJ153" s="54">
        <f t="shared" si="101"/>
        <v>0</v>
      </c>
      <c r="CK153" s="54">
        <f t="shared" si="102"/>
        <v>0</v>
      </c>
      <c r="CL153" s="54">
        <f t="shared" si="103"/>
        <v>0</v>
      </c>
      <c r="CM153" s="54">
        <f t="shared" si="104"/>
        <v>0</v>
      </c>
      <c r="CN153" s="54">
        <f t="shared" si="105"/>
        <v>0</v>
      </c>
      <c r="CO153" s="54">
        <f t="shared" si="106"/>
        <v>0</v>
      </c>
      <c r="CP153" s="54">
        <f t="shared" si="107"/>
        <v>0</v>
      </c>
      <c r="CQ153" s="54">
        <f t="shared" si="108"/>
        <v>0</v>
      </c>
      <c r="CR153" s="54">
        <f t="shared" si="109"/>
        <v>0</v>
      </c>
      <c r="CS153" s="54">
        <f t="shared" si="110"/>
        <v>0</v>
      </c>
      <c r="CT153" s="54">
        <f t="shared" si="111"/>
        <v>0</v>
      </c>
      <c r="CU153" s="54">
        <f t="shared" si="112"/>
        <v>0</v>
      </c>
      <c r="CV153" s="52">
        <f t="shared" si="113"/>
        <v>0</v>
      </c>
    </row>
    <row r="154" spans="1:100" ht="15.75" x14ac:dyDescent="0.25">
      <c r="A154" s="17"/>
      <c r="B154" s="17"/>
      <c r="C154" s="17"/>
      <c r="D154" s="17"/>
      <c r="E154" s="17"/>
      <c r="F154" s="18" t="s">
        <v>31</v>
      </c>
      <c r="G154" s="79"/>
      <c r="H154" s="79"/>
      <c r="I154" s="79"/>
      <c r="J154" s="79"/>
      <c r="K154" s="79"/>
      <c r="L154" s="79"/>
      <c r="M154" s="79"/>
      <c r="N154" s="79"/>
      <c r="O154" s="79"/>
      <c r="P154" s="79"/>
      <c r="Q154" s="79"/>
      <c r="R154" s="79"/>
      <c r="S154" s="11">
        <f t="shared" si="115"/>
        <v>0</v>
      </c>
      <c r="V154" s="46">
        <f t="shared" si="88"/>
        <v>0</v>
      </c>
      <c r="W154" s="36">
        <v>1.82</v>
      </c>
      <c r="X154" s="36">
        <v>1.82</v>
      </c>
      <c r="Y154" s="36">
        <v>2.367</v>
      </c>
      <c r="Z154" s="36">
        <v>2.367</v>
      </c>
      <c r="AA154" s="36">
        <v>2.367</v>
      </c>
      <c r="AB154" s="36">
        <v>2.367</v>
      </c>
      <c r="AC154" s="36">
        <v>2.367</v>
      </c>
      <c r="AD154" s="36">
        <v>2.367</v>
      </c>
      <c r="AE154" s="36">
        <v>2.367</v>
      </c>
      <c r="AF154" s="36">
        <v>2.367</v>
      </c>
      <c r="AG154" s="36">
        <v>2.367</v>
      </c>
      <c r="AH154" s="36">
        <v>2.367</v>
      </c>
      <c r="AI154" s="39">
        <v>1.33634708931066E-2</v>
      </c>
      <c r="AJ154" s="39">
        <v>1.33634708931066E-2</v>
      </c>
      <c r="AK154" s="39">
        <v>1.33634708931066E-2</v>
      </c>
      <c r="AL154" s="39">
        <v>1.33634708931066E-2</v>
      </c>
      <c r="AM154" s="39">
        <v>1.33634708931066E-2</v>
      </c>
      <c r="AN154" s="39">
        <v>1.33634708931066E-2</v>
      </c>
      <c r="AO154" s="39">
        <v>1.33634708931066E-2</v>
      </c>
      <c r="AP154" s="39">
        <v>1.33634708931066E-2</v>
      </c>
      <c r="AQ154" s="39">
        <v>1.33634708931066E-2</v>
      </c>
      <c r="AR154" s="39">
        <v>1.33634708931066E-2</v>
      </c>
      <c r="AS154" s="39">
        <v>1.33634708931066E-2</v>
      </c>
      <c r="AT154" s="39">
        <v>1.33634708931066E-2</v>
      </c>
      <c r="AU154" s="39">
        <v>1.2392217523121999E-3</v>
      </c>
      <c r="AV154" s="39">
        <v>1.2392217523121999E-3</v>
      </c>
      <c r="AW154" s="39">
        <v>1.2392217523121999E-3</v>
      </c>
      <c r="AX154" s="39">
        <v>1.2392217523121999E-3</v>
      </c>
      <c r="AY154" s="39">
        <v>1.2392217523121999E-3</v>
      </c>
      <c r="AZ154" s="39">
        <v>1.2392217523121999E-3</v>
      </c>
      <c r="BA154" s="39">
        <v>1.2392217523121999E-3</v>
      </c>
      <c r="BB154" s="39">
        <v>1.2392217523121999E-3</v>
      </c>
      <c r="BC154" s="39">
        <v>1.2392217523121999E-3</v>
      </c>
      <c r="BD154" s="39">
        <v>1.2392217523121999E-3</v>
      </c>
      <c r="BE154" s="39">
        <v>1.2392217523121999E-3</v>
      </c>
      <c r="BF154" s="39">
        <v>1.2392217523121999E-3</v>
      </c>
      <c r="BH154" s="12">
        <f t="shared" si="118"/>
        <v>0</v>
      </c>
      <c r="BI154" s="12">
        <f t="shared" si="119"/>
        <v>0</v>
      </c>
      <c r="BJ154" s="12">
        <f t="shared" si="120"/>
        <v>0</v>
      </c>
      <c r="BK154" s="12">
        <f t="shared" si="121"/>
        <v>0</v>
      </c>
      <c r="BL154" s="12">
        <f t="shared" si="122"/>
        <v>0</v>
      </c>
      <c r="BM154" s="12">
        <f t="shared" si="123"/>
        <v>0</v>
      </c>
      <c r="BN154" s="12">
        <f t="shared" si="124"/>
        <v>0</v>
      </c>
      <c r="BO154" s="12">
        <f t="shared" si="125"/>
        <v>0</v>
      </c>
      <c r="BP154" s="12">
        <f t="shared" si="126"/>
        <v>0</v>
      </c>
      <c r="BQ154" s="12">
        <f t="shared" si="127"/>
        <v>0</v>
      </c>
      <c r="BR154" s="12">
        <f t="shared" si="116"/>
        <v>0</v>
      </c>
      <c r="BS154" s="12">
        <f t="shared" si="117"/>
        <v>0</v>
      </c>
      <c r="BU154" s="11">
        <f t="shared" si="89"/>
        <v>0</v>
      </c>
      <c r="BV154" s="11">
        <f t="shared" si="90"/>
        <v>0</v>
      </c>
      <c r="BW154" s="11">
        <f t="shared" si="91"/>
        <v>0</v>
      </c>
      <c r="BX154" s="11">
        <f t="shared" si="92"/>
        <v>0</v>
      </c>
      <c r="BY154" s="11">
        <f t="shared" si="93"/>
        <v>0</v>
      </c>
      <c r="BZ154" s="11">
        <f t="shared" si="94"/>
        <v>0</v>
      </c>
      <c r="CA154" s="11">
        <f t="shared" si="95"/>
        <v>0</v>
      </c>
      <c r="CB154" s="11">
        <f t="shared" si="96"/>
        <v>0</v>
      </c>
      <c r="CC154" s="11">
        <f t="shared" si="97"/>
        <v>0</v>
      </c>
      <c r="CD154" s="11">
        <f t="shared" si="98"/>
        <v>0</v>
      </c>
      <c r="CE154" s="11">
        <f t="shared" si="99"/>
        <v>0</v>
      </c>
      <c r="CF154" s="11">
        <f t="shared" si="100"/>
        <v>0</v>
      </c>
      <c r="CG154" s="11"/>
      <c r="CH154" s="41">
        <v>3.23</v>
      </c>
      <c r="CJ154" s="54">
        <f t="shared" si="101"/>
        <v>0</v>
      </c>
      <c r="CK154" s="54">
        <f t="shared" si="102"/>
        <v>0</v>
      </c>
      <c r="CL154" s="54">
        <f t="shared" si="103"/>
        <v>0</v>
      </c>
      <c r="CM154" s="54">
        <f t="shared" si="104"/>
        <v>0</v>
      </c>
      <c r="CN154" s="54">
        <f t="shared" si="105"/>
        <v>0</v>
      </c>
      <c r="CO154" s="54">
        <f t="shared" si="106"/>
        <v>0</v>
      </c>
      <c r="CP154" s="54">
        <f t="shared" si="107"/>
        <v>0</v>
      </c>
      <c r="CQ154" s="54">
        <f t="shared" si="108"/>
        <v>0</v>
      </c>
      <c r="CR154" s="54">
        <f t="shared" si="109"/>
        <v>0</v>
      </c>
      <c r="CS154" s="54">
        <f t="shared" si="110"/>
        <v>0</v>
      </c>
      <c r="CT154" s="54">
        <f t="shared" si="111"/>
        <v>0</v>
      </c>
      <c r="CU154" s="54">
        <f t="shared" si="112"/>
        <v>0</v>
      </c>
      <c r="CV154" s="52">
        <f t="shared" si="113"/>
        <v>0</v>
      </c>
    </row>
    <row r="155" spans="1:100" ht="15.75" x14ac:dyDescent="0.25">
      <c r="A155" s="17"/>
      <c r="B155" s="17"/>
      <c r="C155" s="17"/>
      <c r="D155" s="17"/>
      <c r="E155" s="17"/>
      <c r="F155" s="18" t="s">
        <v>31</v>
      </c>
      <c r="G155" s="79"/>
      <c r="H155" s="79"/>
      <c r="I155" s="79"/>
      <c r="J155" s="79"/>
      <c r="K155" s="79"/>
      <c r="L155" s="79"/>
      <c r="M155" s="79"/>
      <c r="N155" s="79"/>
      <c r="O155" s="79"/>
      <c r="P155" s="79"/>
      <c r="Q155" s="79"/>
      <c r="R155" s="79"/>
      <c r="S155" s="11">
        <f t="shared" si="115"/>
        <v>0</v>
      </c>
      <c r="V155" s="46">
        <f t="shared" si="88"/>
        <v>0</v>
      </c>
      <c r="W155" s="36">
        <v>2.3559999999999999</v>
      </c>
      <c r="X155" s="36">
        <v>2.3559999999999999</v>
      </c>
      <c r="Y155" s="36">
        <v>3.0640000000000001</v>
      </c>
      <c r="Z155" s="36">
        <v>3.0640000000000001</v>
      </c>
      <c r="AA155" s="36">
        <v>3.0640000000000001</v>
      </c>
      <c r="AB155" s="36">
        <v>3.0640000000000001</v>
      </c>
      <c r="AC155" s="36">
        <v>3.0640000000000001</v>
      </c>
      <c r="AD155" s="36">
        <v>3.0640000000000001</v>
      </c>
      <c r="AE155" s="36">
        <v>3.0640000000000001</v>
      </c>
      <c r="AF155" s="36">
        <v>3.0640000000000001</v>
      </c>
      <c r="AG155" s="36">
        <v>3.0640000000000001</v>
      </c>
      <c r="AH155" s="36">
        <v>3.0640000000000001</v>
      </c>
      <c r="AI155" s="39">
        <v>1.33634708931066E-2</v>
      </c>
      <c r="AJ155" s="39">
        <v>1.33634708931066E-2</v>
      </c>
      <c r="AK155" s="39">
        <v>1.33634708931066E-2</v>
      </c>
      <c r="AL155" s="39">
        <v>1.33634708931066E-2</v>
      </c>
      <c r="AM155" s="39">
        <v>1.33634708931066E-2</v>
      </c>
      <c r="AN155" s="39">
        <v>1.33634708931066E-2</v>
      </c>
      <c r="AO155" s="39">
        <v>1.33634708931066E-2</v>
      </c>
      <c r="AP155" s="39">
        <v>1.33634708931066E-2</v>
      </c>
      <c r="AQ155" s="39">
        <v>1.33634708931066E-2</v>
      </c>
      <c r="AR155" s="39">
        <v>1.33634708931066E-2</v>
      </c>
      <c r="AS155" s="39">
        <v>1.33634708931066E-2</v>
      </c>
      <c r="AT155" s="39">
        <v>1.33634708931066E-2</v>
      </c>
      <c r="AU155" s="39">
        <v>1.2392217523121999E-3</v>
      </c>
      <c r="AV155" s="39">
        <v>1.2392217523121999E-3</v>
      </c>
      <c r="AW155" s="39">
        <v>1.2392217523121999E-3</v>
      </c>
      <c r="AX155" s="39">
        <v>1.2392217523121999E-3</v>
      </c>
      <c r="AY155" s="39">
        <v>1.2392217523121999E-3</v>
      </c>
      <c r="AZ155" s="39">
        <v>1.2392217523121999E-3</v>
      </c>
      <c r="BA155" s="39">
        <v>1.2392217523121999E-3</v>
      </c>
      <c r="BB155" s="39">
        <v>1.2392217523121999E-3</v>
      </c>
      <c r="BC155" s="39">
        <v>1.2392217523121999E-3</v>
      </c>
      <c r="BD155" s="39">
        <v>1.2392217523121999E-3</v>
      </c>
      <c r="BE155" s="39">
        <v>1.2392217523121999E-3</v>
      </c>
      <c r="BF155" s="39">
        <v>1.2392217523121999E-3</v>
      </c>
      <c r="BH155" s="12">
        <f t="shared" si="118"/>
        <v>0</v>
      </c>
      <c r="BI155" s="12">
        <f t="shared" si="119"/>
        <v>0</v>
      </c>
      <c r="BJ155" s="12">
        <f t="shared" si="120"/>
        <v>0</v>
      </c>
      <c r="BK155" s="12">
        <f t="shared" si="121"/>
        <v>0</v>
      </c>
      <c r="BL155" s="12">
        <f t="shared" si="122"/>
        <v>0</v>
      </c>
      <c r="BM155" s="12">
        <f t="shared" si="123"/>
        <v>0</v>
      </c>
      <c r="BN155" s="12">
        <f t="shared" si="124"/>
        <v>0</v>
      </c>
      <c r="BO155" s="12">
        <f t="shared" si="125"/>
        <v>0</v>
      </c>
      <c r="BP155" s="12">
        <f t="shared" si="126"/>
        <v>0</v>
      </c>
      <c r="BQ155" s="12">
        <f t="shared" si="127"/>
        <v>0</v>
      </c>
      <c r="BR155" s="12">
        <f t="shared" si="116"/>
        <v>0</v>
      </c>
      <c r="BS155" s="12">
        <f t="shared" si="117"/>
        <v>0</v>
      </c>
      <c r="BU155" s="11">
        <f t="shared" si="89"/>
        <v>0</v>
      </c>
      <c r="BV155" s="11">
        <f t="shared" si="90"/>
        <v>0</v>
      </c>
      <c r="BW155" s="11">
        <f t="shared" si="91"/>
        <v>0</v>
      </c>
      <c r="BX155" s="11">
        <f t="shared" si="92"/>
        <v>0</v>
      </c>
      <c r="BY155" s="11">
        <f t="shared" si="93"/>
        <v>0</v>
      </c>
      <c r="BZ155" s="11">
        <f t="shared" si="94"/>
        <v>0</v>
      </c>
      <c r="CA155" s="11">
        <f t="shared" si="95"/>
        <v>0</v>
      </c>
      <c r="CB155" s="11">
        <f t="shared" si="96"/>
        <v>0</v>
      </c>
      <c r="CC155" s="11">
        <f t="shared" si="97"/>
        <v>0</v>
      </c>
      <c r="CD155" s="11">
        <f t="shared" si="98"/>
        <v>0</v>
      </c>
      <c r="CE155" s="11">
        <f t="shared" si="99"/>
        <v>0</v>
      </c>
      <c r="CF155" s="11">
        <f t="shared" si="100"/>
        <v>0</v>
      </c>
      <c r="CG155" s="11"/>
      <c r="CH155" s="41">
        <v>3.23</v>
      </c>
      <c r="CJ155" s="54">
        <f t="shared" si="101"/>
        <v>0</v>
      </c>
      <c r="CK155" s="54">
        <f t="shared" si="102"/>
        <v>0</v>
      </c>
      <c r="CL155" s="54">
        <f t="shared" si="103"/>
        <v>0</v>
      </c>
      <c r="CM155" s="54">
        <f t="shared" si="104"/>
        <v>0</v>
      </c>
      <c r="CN155" s="54">
        <f t="shared" si="105"/>
        <v>0</v>
      </c>
      <c r="CO155" s="54">
        <f t="shared" si="106"/>
        <v>0</v>
      </c>
      <c r="CP155" s="54">
        <f t="shared" si="107"/>
        <v>0</v>
      </c>
      <c r="CQ155" s="54">
        <f t="shared" si="108"/>
        <v>0</v>
      </c>
      <c r="CR155" s="54">
        <f t="shared" si="109"/>
        <v>0</v>
      </c>
      <c r="CS155" s="54">
        <f t="shared" si="110"/>
        <v>0</v>
      </c>
      <c r="CT155" s="54">
        <f t="shared" si="111"/>
        <v>0</v>
      </c>
      <c r="CU155" s="54">
        <f t="shared" si="112"/>
        <v>0</v>
      </c>
      <c r="CV155" s="52">
        <f t="shared" si="113"/>
        <v>0</v>
      </c>
    </row>
    <row r="156" spans="1:100" ht="15.75" x14ac:dyDescent="0.25">
      <c r="A156" s="17"/>
      <c r="B156" s="17"/>
      <c r="C156" s="17"/>
      <c r="D156" s="17"/>
      <c r="E156" s="17"/>
      <c r="F156" s="18" t="s">
        <v>31</v>
      </c>
      <c r="G156" s="79"/>
      <c r="H156" s="79"/>
      <c r="I156" s="79"/>
      <c r="J156" s="79"/>
      <c r="K156" s="79"/>
      <c r="L156" s="79"/>
      <c r="M156" s="79"/>
      <c r="N156" s="79"/>
      <c r="O156" s="79"/>
      <c r="P156" s="79"/>
      <c r="Q156" s="79"/>
      <c r="R156" s="79"/>
      <c r="S156" s="11">
        <f t="shared" si="115"/>
        <v>0</v>
      </c>
      <c r="V156" s="46">
        <f t="shared" si="88"/>
        <v>0</v>
      </c>
      <c r="W156" s="36">
        <v>1.964</v>
      </c>
      <c r="X156" s="36">
        <v>1.964</v>
      </c>
      <c r="Y156" s="36">
        <v>2.6280000000000001</v>
      </c>
      <c r="Z156" s="36">
        <v>2.6280000000000001</v>
      </c>
      <c r="AA156" s="36">
        <v>2.6280000000000001</v>
      </c>
      <c r="AB156" s="36">
        <v>2.6280000000000001</v>
      </c>
      <c r="AC156" s="36">
        <v>2.6280000000000001</v>
      </c>
      <c r="AD156" s="36">
        <v>2.6280000000000001</v>
      </c>
      <c r="AE156" s="36">
        <v>2.6280000000000001</v>
      </c>
      <c r="AF156" s="36">
        <v>2.6280000000000001</v>
      </c>
      <c r="AG156" s="36">
        <v>2.6280000000000001</v>
      </c>
      <c r="AH156" s="36">
        <v>2.6280000000000001</v>
      </c>
      <c r="AI156" s="39">
        <v>1.33634708931066E-2</v>
      </c>
      <c r="AJ156" s="39">
        <v>1.33634708931066E-2</v>
      </c>
      <c r="AK156" s="39">
        <v>1.33634708931066E-2</v>
      </c>
      <c r="AL156" s="39">
        <v>1.33634708931066E-2</v>
      </c>
      <c r="AM156" s="39">
        <v>1.33634708931066E-2</v>
      </c>
      <c r="AN156" s="39">
        <v>1.33634708931066E-2</v>
      </c>
      <c r="AO156" s="39">
        <v>1.33634708931066E-2</v>
      </c>
      <c r="AP156" s="39">
        <v>1.33634708931066E-2</v>
      </c>
      <c r="AQ156" s="39">
        <v>1.33634708931066E-2</v>
      </c>
      <c r="AR156" s="39">
        <v>1.33634708931066E-2</v>
      </c>
      <c r="AS156" s="39">
        <v>1.33634708931066E-2</v>
      </c>
      <c r="AT156" s="39">
        <v>1.33634708931066E-2</v>
      </c>
      <c r="AU156" s="39">
        <v>1.2392217523121999E-3</v>
      </c>
      <c r="AV156" s="39">
        <v>1.2392217523121999E-3</v>
      </c>
      <c r="AW156" s="39">
        <v>1.2392217523121999E-3</v>
      </c>
      <c r="AX156" s="39">
        <v>1.2392217523121999E-3</v>
      </c>
      <c r="AY156" s="39">
        <v>1.2392217523121999E-3</v>
      </c>
      <c r="AZ156" s="39">
        <v>1.2392217523121999E-3</v>
      </c>
      <c r="BA156" s="39">
        <v>1.2392217523121999E-3</v>
      </c>
      <c r="BB156" s="39">
        <v>1.2392217523121999E-3</v>
      </c>
      <c r="BC156" s="39">
        <v>1.2392217523121999E-3</v>
      </c>
      <c r="BD156" s="39">
        <v>1.2392217523121999E-3</v>
      </c>
      <c r="BE156" s="39">
        <v>1.2392217523121999E-3</v>
      </c>
      <c r="BF156" s="39">
        <v>1.2392217523121999E-3</v>
      </c>
      <c r="BH156" s="12">
        <f t="shared" si="118"/>
        <v>0</v>
      </c>
      <c r="BI156" s="12">
        <f t="shared" si="119"/>
        <v>0</v>
      </c>
      <c r="BJ156" s="12">
        <f t="shared" si="120"/>
        <v>0</v>
      </c>
      <c r="BK156" s="12">
        <f t="shared" si="121"/>
        <v>0</v>
      </c>
      <c r="BL156" s="12">
        <f t="shared" si="122"/>
        <v>0</v>
      </c>
      <c r="BM156" s="12">
        <f t="shared" si="123"/>
        <v>0</v>
      </c>
      <c r="BN156" s="12">
        <f t="shared" si="124"/>
        <v>0</v>
      </c>
      <c r="BO156" s="12">
        <f t="shared" si="125"/>
        <v>0</v>
      </c>
      <c r="BP156" s="12">
        <f t="shared" si="126"/>
        <v>0</v>
      </c>
      <c r="BQ156" s="12">
        <f t="shared" si="127"/>
        <v>0</v>
      </c>
      <c r="BR156" s="12">
        <f t="shared" si="116"/>
        <v>0</v>
      </c>
      <c r="BS156" s="12">
        <f t="shared" si="117"/>
        <v>0</v>
      </c>
      <c r="BU156" s="11">
        <f t="shared" si="89"/>
        <v>0</v>
      </c>
      <c r="BV156" s="11">
        <f t="shared" si="90"/>
        <v>0</v>
      </c>
      <c r="BW156" s="11">
        <f t="shared" si="91"/>
        <v>0</v>
      </c>
      <c r="BX156" s="11">
        <f t="shared" si="92"/>
        <v>0</v>
      </c>
      <c r="BY156" s="11">
        <f t="shared" si="93"/>
        <v>0</v>
      </c>
      <c r="BZ156" s="11">
        <f t="shared" si="94"/>
        <v>0</v>
      </c>
      <c r="CA156" s="11">
        <f t="shared" si="95"/>
        <v>0</v>
      </c>
      <c r="CB156" s="11">
        <f t="shared" si="96"/>
        <v>0</v>
      </c>
      <c r="CC156" s="11">
        <f t="shared" si="97"/>
        <v>0</v>
      </c>
      <c r="CD156" s="11">
        <f t="shared" si="98"/>
        <v>0</v>
      </c>
      <c r="CE156" s="11">
        <f t="shared" si="99"/>
        <v>0</v>
      </c>
      <c r="CF156" s="11">
        <f t="shared" si="100"/>
        <v>0</v>
      </c>
      <c r="CG156" s="11"/>
      <c r="CH156" s="41">
        <v>3.23</v>
      </c>
      <c r="CJ156" s="54">
        <f t="shared" si="101"/>
        <v>0</v>
      </c>
      <c r="CK156" s="54">
        <f t="shared" si="102"/>
        <v>0</v>
      </c>
      <c r="CL156" s="54">
        <f t="shared" si="103"/>
        <v>0</v>
      </c>
      <c r="CM156" s="54">
        <f t="shared" si="104"/>
        <v>0</v>
      </c>
      <c r="CN156" s="54">
        <f t="shared" si="105"/>
        <v>0</v>
      </c>
      <c r="CO156" s="54">
        <f t="shared" si="106"/>
        <v>0</v>
      </c>
      <c r="CP156" s="54">
        <f t="shared" si="107"/>
        <v>0</v>
      </c>
      <c r="CQ156" s="54">
        <f t="shared" si="108"/>
        <v>0</v>
      </c>
      <c r="CR156" s="54">
        <f t="shared" si="109"/>
        <v>0</v>
      </c>
      <c r="CS156" s="54">
        <f t="shared" si="110"/>
        <v>0</v>
      </c>
      <c r="CT156" s="54">
        <f t="shared" si="111"/>
        <v>0</v>
      </c>
      <c r="CU156" s="54">
        <f t="shared" si="112"/>
        <v>0</v>
      </c>
      <c r="CV156" s="52">
        <f t="shared" si="113"/>
        <v>0</v>
      </c>
    </row>
    <row r="157" spans="1:100" ht="15.75" x14ac:dyDescent="0.25">
      <c r="A157" s="17"/>
      <c r="B157" s="17"/>
      <c r="C157" s="17"/>
      <c r="D157" s="17"/>
      <c r="E157" s="17"/>
      <c r="F157" s="18" t="s">
        <v>31</v>
      </c>
      <c r="G157" s="79"/>
      <c r="H157" s="79"/>
      <c r="I157" s="79"/>
      <c r="J157" s="79"/>
      <c r="K157" s="79"/>
      <c r="L157" s="79"/>
      <c r="M157" s="79"/>
      <c r="N157" s="79"/>
      <c r="O157" s="79"/>
      <c r="P157" s="79"/>
      <c r="Q157" s="79"/>
      <c r="R157" s="79"/>
      <c r="S157" s="11">
        <f t="shared" si="115"/>
        <v>0</v>
      </c>
      <c r="V157" s="46">
        <f t="shared" si="88"/>
        <v>0</v>
      </c>
      <c r="W157" s="36">
        <v>5.1070000000000002</v>
      </c>
      <c r="X157" s="36">
        <v>5.1070000000000002</v>
      </c>
      <c r="Y157" s="36">
        <v>5.1070000000000002</v>
      </c>
      <c r="Z157" s="36">
        <v>5.1070000000000002</v>
      </c>
      <c r="AA157" s="36">
        <v>5.1070000000000002</v>
      </c>
      <c r="AB157" s="36">
        <v>5.1070000000000002</v>
      </c>
      <c r="AC157" s="36">
        <v>5.1070000000000002</v>
      </c>
      <c r="AD157" s="36">
        <v>5.1070000000000002</v>
      </c>
      <c r="AE157" s="36">
        <v>5.1070000000000002</v>
      </c>
      <c r="AF157" s="36">
        <v>5.1070000000000002</v>
      </c>
      <c r="AG157" s="36">
        <v>5.1070000000000002</v>
      </c>
      <c r="AH157" s="36">
        <v>5.1070000000000002</v>
      </c>
      <c r="AI157" s="39">
        <v>1.33634708931066E-2</v>
      </c>
      <c r="AJ157" s="39">
        <v>1.33634708931066E-2</v>
      </c>
      <c r="AK157" s="39">
        <v>1.33634708931066E-2</v>
      </c>
      <c r="AL157" s="39">
        <v>1.33634708931066E-2</v>
      </c>
      <c r="AM157" s="39">
        <v>1.33634708931066E-2</v>
      </c>
      <c r="AN157" s="39">
        <v>1.33634708931066E-2</v>
      </c>
      <c r="AO157" s="39">
        <v>1.33634708931066E-2</v>
      </c>
      <c r="AP157" s="39">
        <v>1.33634708931066E-2</v>
      </c>
      <c r="AQ157" s="39">
        <v>1.33634708931066E-2</v>
      </c>
      <c r="AR157" s="39">
        <v>1.33634708931066E-2</v>
      </c>
      <c r="AS157" s="39">
        <v>1.33634708931066E-2</v>
      </c>
      <c r="AT157" s="39">
        <v>1.33634708931066E-2</v>
      </c>
      <c r="AU157" s="39">
        <v>1.2392217523121999E-3</v>
      </c>
      <c r="AV157" s="39">
        <v>1.2392217523121999E-3</v>
      </c>
      <c r="AW157" s="39">
        <v>1.2392217523121999E-3</v>
      </c>
      <c r="AX157" s="39">
        <v>1.2392217523121999E-3</v>
      </c>
      <c r="AY157" s="39">
        <v>1.2392217523121999E-3</v>
      </c>
      <c r="AZ157" s="39">
        <v>1.2392217523121999E-3</v>
      </c>
      <c r="BA157" s="39">
        <v>1.2392217523121999E-3</v>
      </c>
      <c r="BB157" s="39">
        <v>1.2392217523121999E-3</v>
      </c>
      <c r="BC157" s="39">
        <v>1.2392217523121999E-3</v>
      </c>
      <c r="BD157" s="39">
        <v>1.2392217523121999E-3</v>
      </c>
      <c r="BE157" s="39">
        <v>1.2392217523121999E-3</v>
      </c>
      <c r="BF157" s="39">
        <v>1.2392217523121999E-3</v>
      </c>
      <c r="BH157" s="12">
        <f t="shared" si="118"/>
        <v>0</v>
      </c>
      <c r="BI157" s="12">
        <f t="shared" si="119"/>
        <v>0</v>
      </c>
      <c r="BJ157" s="12">
        <f t="shared" si="120"/>
        <v>0</v>
      </c>
      <c r="BK157" s="12">
        <f t="shared" si="121"/>
        <v>0</v>
      </c>
      <c r="BL157" s="12">
        <f t="shared" si="122"/>
        <v>0</v>
      </c>
      <c r="BM157" s="12">
        <f t="shared" si="123"/>
        <v>0</v>
      </c>
      <c r="BN157" s="12">
        <f t="shared" si="124"/>
        <v>0</v>
      </c>
      <c r="BO157" s="12">
        <f t="shared" si="125"/>
        <v>0</v>
      </c>
      <c r="BP157" s="12">
        <f t="shared" si="126"/>
        <v>0</v>
      </c>
      <c r="BQ157" s="12">
        <f t="shared" si="127"/>
        <v>0</v>
      </c>
      <c r="BR157" s="12">
        <f t="shared" si="116"/>
        <v>0</v>
      </c>
      <c r="BS157" s="12">
        <f t="shared" si="117"/>
        <v>0</v>
      </c>
      <c r="BU157" s="11">
        <f t="shared" si="89"/>
        <v>0</v>
      </c>
      <c r="BV157" s="11">
        <f t="shared" si="90"/>
        <v>0</v>
      </c>
      <c r="BW157" s="11">
        <f t="shared" si="91"/>
        <v>0</v>
      </c>
      <c r="BX157" s="11">
        <f t="shared" si="92"/>
        <v>0</v>
      </c>
      <c r="BY157" s="11">
        <f t="shared" si="93"/>
        <v>0</v>
      </c>
      <c r="BZ157" s="11">
        <f t="shared" si="94"/>
        <v>0</v>
      </c>
      <c r="CA157" s="11">
        <f t="shared" si="95"/>
        <v>0</v>
      </c>
      <c r="CB157" s="11">
        <f t="shared" si="96"/>
        <v>0</v>
      </c>
      <c r="CC157" s="11">
        <f t="shared" si="97"/>
        <v>0</v>
      </c>
      <c r="CD157" s="11">
        <f t="shared" si="98"/>
        <v>0</v>
      </c>
      <c r="CE157" s="11">
        <f t="shared" si="99"/>
        <v>0</v>
      </c>
      <c r="CF157" s="11">
        <f t="shared" si="100"/>
        <v>0</v>
      </c>
      <c r="CG157" s="11"/>
      <c r="CH157" s="41">
        <v>3.23</v>
      </c>
      <c r="CJ157" s="54">
        <f t="shared" si="101"/>
        <v>0</v>
      </c>
      <c r="CK157" s="54">
        <f t="shared" si="102"/>
        <v>0</v>
      </c>
      <c r="CL157" s="54">
        <f t="shared" si="103"/>
        <v>0</v>
      </c>
      <c r="CM157" s="54">
        <f t="shared" si="104"/>
        <v>0</v>
      </c>
      <c r="CN157" s="54">
        <f t="shared" si="105"/>
        <v>0</v>
      </c>
      <c r="CO157" s="54">
        <f t="shared" si="106"/>
        <v>0</v>
      </c>
      <c r="CP157" s="54">
        <f t="shared" si="107"/>
        <v>0</v>
      </c>
      <c r="CQ157" s="54">
        <f t="shared" si="108"/>
        <v>0</v>
      </c>
      <c r="CR157" s="54">
        <f t="shared" si="109"/>
        <v>0</v>
      </c>
      <c r="CS157" s="54">
        <f t="shared" si="110"/>
        <v>0</v>
      </c>
      <c r="CT157" s="54">
        <f t="shared" si="111"/>
        <v>0</v>
      </c>
      <c r="CU157" s="54">
        <f t="shared" si="112"/>
        <v>0</v>
      </c>
      <c r="CV157" s="52">
        <f t="shared" si="113"/>
        <v>0</v>
      </c>
    </row>
    <row r="158" spans="1:100" ht="15.75" x14ac:dyDescent="0.25">
      <c r="A158" s="17"/>
      <c r="B158" s="17"/>
      <c r="C158" s="17"/>
      <c r="D158" s="17"/>
      <c r="E158" s="17"/>
      <c r="F158" s="18" t="s">
        <v>31</v>
      </c>
      <c r="G158" s="79"/>
      <c r="H158" s="79"/>
      <c r="I158" s="79"/>
      <c r="J158" s="79"/>
      <c r="K158" s="79"/>
      <c r="L158" s="79"/>
      <c r="M158" s="79"/>
      <c r="N158" s="79"/>
      <c r="O158" s="79"/>
      <c r="P158" s="79"/>
      <c r="Q158" s="79"/>
      <c r="R158" s="79"/>
      <c r="S158" s="11">
        <f t="shared" si="115"/>
        <v>0</v>
      </c>
      <c r="V158" s="46">
        <f t="shared" si="88"/>
        <v>0</v>
      </c>
      <c r="W158" s="36">
        <v>3.2559999999999998</v>
      </c>
      <c r="X158" s="36">
        <v>3.2559999999999998</v>
      </c>
      <c r="Y158" s="36">
        <v>3.2559999999999998</v>
      </c>
      <c r="Z158" s="36">
        <v>3.2559999999999998</v>
      </c>
      <c r="AA158" s="36">
        <v>3.2559999999999998</v>
      </c>
      <c r="AB158" s="36">
        <v>3.2559999999999998</v>
      </c>
      <c r="AC158" s="36">
        <v>3.2559999999999998</v>
      </c>
      <c r="AD158" s="36">
        <v>3.2559999999999998</v>
      </c>
      <c r="AE158" s="36">
        <v>3.2559999999999998</v>
      </c>
      <c r="AF158" s="36">
        <v>3.2559999999999998</v>
      </c>
      <c r="AG158" s="36">
        <v>3.2559999999999998</v>
      </c>
      <c r="AH158" s="36">
        <v>3.2559999999999998</v>
      </c>
      <c r="AI158" s="39">
        <v>1.33634708931066E-2</v>
      </c>
      <c r="AJ158" s="39">
        <v>1.33634708931066E-2</v>
      </c>
      <c r="AK158" s="39">
        <v>1.33634708931066E-2</v>
      </c>
      <c r="AL158" s="39">
        <v>1.33634708931066E-2</v>
      </c>
      <c r="AM158" s="39">
        <v>1.33634708931066E-2</v>
      </c>
      <c r="AN158" s="39">
        <v>1.33634708931066E-2</v>
      </c>
      <c r="AO158" s="39">
        <v>1.33634708931066E-2</v>
      </c>
      <c r="AP158" s="39">
        <v>1.33634708931066E-2</v>
      </c>
      <c r="AQ158" s="39">
        <v>1.33634708931066E-2</v>
      </c>
      <c r="AR158" s="39">
        <v>1.33634708931066E-2</v>
      </c>
      <c r="AS158" s="39">
        <v>1.33634708931066E-2</v>
      </c>
      <c r="AT158" s="39">
        <v>1.33634708931066E-2</v>
      </c>
      <c r="AU158" s="39">
        <v>1.2392217523121999E-3</v>
      </c>
      <c r="AV158" s="39">
        <v>1.2392217523121999E-3</v>
      </c>
      <c r="AW158" s="39">
        <v>1.2392217523121999E-3</v>
      </c>
      <c r="AX158" s="39">
        <v>1.2392217523121999E-3</v>
      </c>
      <c r="AY158" s="39">
        <v>1.2392217523121999E-3</v>
      </c>
      <c r="AZ158" s="39">
        <v>1.2392217523121999E-3</v>
      </c>
      <c r="BA158" s="39">
        <v>1.2392217523121999E-3</v>
      </c>
      <c r="BB158" s="39">
        <v>1.2392217523121999E-3</v>
      </c>
      <c r="BC158" s="39">
        <v>1.2392217523121999E-3</v>
      </c>
      <c r="BD158" s="39">
        <v>1.2392217523121999E-3</v>
      </c>
      <c r="BE158" s="39">
        <v>1.2392217523121999E-3</v>
      </c>
      <c r="BF158" s="39">
        <v>1.2392217523121999E-3</v>
      </c>
      <c r="BH158" s="12">
        <f t="shared" si="118"/>
        <v>0</v>
      </c>
      <c r="BI158" s="12">
        <f t="shared" si="119"/>
        <v>0</v>
      </c>
      <c r="BJ158" s="12">
        <f t="shared" si="120"/>
        <v>0</v>
      </c>
      <c r="BK158" s="12">
        <f t="shared" si="121"/>
        <v>0</v>
      </c>
      <c r="BL158" s="12">
        <f t="shared" si="122"/>
        <v>0</v>
      </c>
      <c r="BM158" s="12">
        <f t="shared" si="123"/>
        <v>0</v>
      </c>
      <c r="BN158" s="12">
        <f t="shared" si="124"/>
        <v>0</v>
      </c>
      <c r="BO158" s="12">
        <f t="shared" si="125"/>
        <v>0</v>
      </c>
      <c r="BP158" s="12">
        <f t="shared" si="126"/>
        <v>0</v>
      </c>
      <c r="BQ158" s="12">
        <f t="shared" si="127"/>
        <v>0</v>
      </c>
      <c r="BR158" s="12">
        <f t="shared" si="116"/>
        <v>0</v>
      </c>
      <c r="BS158" s="12">
        <f t="shared" si="117"/>
        <v>0</v>
      </c>
      <c r="BU158" s="11">
        <f t="shared" si="89"/>
        <v>0</v>
      </c>
      <c r="BV158" s="11">
        <f t="shared" si="90"/>
        <v>0</v>
      </c>
      <c r="BW158" s="11">
        <f t="shared" si="91"/>
        <v>0</v>
      </c>
      <c r="BX158" s="11">
        <f t="shared" si="92"/>
        <v>0</v>
      </c>
      <c r="BY158" s="11">
        <f t="shared" si="93"/>
        <v>0</v>
      </c>
      <c r="BZ158" s="11">
        <f t="shared" si="94"/>
        <v>0</v>
      </c>
      <c r="CA158" s="11">
        <f t="shared" si="95"/>
        <v>0</v>
      </c>
      <c r="CB158" s="11">
        <f t="shared" si="96"/>
        <v>0</v>
      </c>
      <c r="CC158" s="11">
        <f t="shared" si="97"/>
        <v>0</v>
      </c>
      <c r="CD158" s="11">
        <f t="shared" si="98"/>
        <v>0</v>
      </c>
      <c r="CE158" s="11">
        <f t="shared" si="99"/>
        <v>0</v>
      </c>
      <c r="CF158" s="11">
        <f t="shared" si="100"/>
        <v>0</v>
      </c>
      <c r="CG158" s="11"/>
      <c r="CH158" s="41">
        <v>3.23</v>
      </c>
      <c r="CJ158" s="54">
        <f t="shared" si="101"/>
        <v>0</v>
      </c>
      <c r="CK158" s="54">
        <f t="shared" si="102"/>
        <v>0</v>
      </c>
      <c r="CL158" s="54">
        <f t="shared" si="103"/>
        <v>0</v>
      </c>
      <c r="CM158" s="54">
        <f t="shared" si="104"/>
        <v>0</v>
      </c>
      <c r="CN158" s="54">
        <f t="shared" si="105"/>
        <v>0</v>
      </c>
      <c r="CO158" s="54">
        <f t="shared" si="106"/>
        <v>0</v>
      </c>
      <c r="CP158" s="54">
        <f t="shared" si="107"/>
        <v>0</v>
      </c>
      <c r="CQ158" s="54">
        <f t="shared" si="108"/>
        <v>0</v>
      </c>
      <c r="CR158" s="54">
        <f t="shared" si="109"/>
        <v>0</v>
      </c>
      <c r="CS158" s="54">
        <f t="shared" si="110"/>
        <v>0</v>
      </c>
      <c r="CT158" s="54">
        <f t="shared" si="111"/>
        <v>0</v>
      </c>
      <c r="CU158" s="54">
        <f t="shared" si="112"/>
        <v>0</v>
      </c>
      <c r="CV158" s="52">
        <f t="shared" si="113"/>
        <v>0</v>
      </c>
    </row>
    <row r="159" spans="1:100" ht="15.75" x14ac:dyDescent="0.25">
      <c r="A159" s="17"/>
      <c r="B159" s="17"/>
      <c r="C159" s="17"/>
      <c r="D159" s="17"/>
      <c r="E159" s="17"/>
      <c r="F159" s="18" t="s">
        <v>31</v>
      </c>
      <c r="G159" s="79"/>
      <c r="H159" s="79"/>
      <c r="I159" s="79"/>
      <c r="J159" s="79"/>
      <c r="K159" s="79"/>
      <c r="L159" s="79"/>
      <c r="M159" s="79"/>
      <c r="N159" s="79"/>
      <c r="O159" s="79"/>
      <c r="P159" s="79"/>
      <c r="Q159" s="79"/>
      <c r="R159" s="79"/>
      <c r="S159" s="11">
        <f t="shared" si="115"/>
        <v>0</v>
      </c>
      <c r="V159" s="46">
        <f t="shared" si="88"/>
        <v>0</v>
      </c>
      <c r="W159" s="36">
        <v>1.4350000000000001</v>
      </c>
      <c r="X159" s="36">
        <v>1.4350000000000001</v>
      </c>
      <c r="Y159" s="36">
        <v>1.4350000000000001</v>
      </c>
      <c r="Z159" s="36">
        <v>1.4350000000000001</v>
      </c>
      <c r="AA159" s="36">
        <v>1.4350000000000001</v>
      </c>
      <c r="AB159" s="36">
        <v>1.4350000000000001</v>
      </c>
      <c r="AC159" s="36">
        <v>1.4350000000000001</v>
      </c>
      <c r="AD159" s="36">
        <v>1.4350000000000001</v>
      </c>
      <c r="AE159" s="36">
        <v>1.4350000000000001</v>
      </c>
      <c r="AF159" s="36">
        <v>1.4350000000000001</v>
      </c>
      <c r="AG159" s="36">
        <v>1.4350000000000001</v>
      </c>
      <c r="AH159" s="36">
        <v>1.4350000000000001</v>
      </c>
      <c r="AI159" s="39">
        <v>1.33634708931066E-2</v>
      </c>
      <c r="AJ159" s="39">
        <v>1.33634708931066E-2</v>
      </c>
      <c r="AK159" s="39">
        <v>1.33634708931066E-2</v>
      </c>
      <c r="AL159" s="39">
        <v>1.33634708931066E-2</v>
      </c>
      <c r="AM159" s="39">
        <v>1.33634708931066E-2</v>
      </c>
      <c r="AN159" s="39">
        <v>1.33634708931066E-2</v>
      </c>
      <c r="AO159" s="39">
        <v>1.33634708931066E-2</v>
      </c>
      <c r="AP159" s="39">
        <v>1.33634708931066E-2</v>
      </c>
      <c r="AQ159" s="39">
        <v>1.33634708931066E-2</v>
      </c>
      <c r="AR159" s="39">
        <v>1.33634708931066E-2</v>
      </c>
      <c r="AS159" s="39">
        <v>1.33634708931066E-2</v>
      </c>
      <c r="AT159" s="39">
        <v>1.33634708931066E-2</v>
      </c>
      <c r="AU159" s="39">
        <v>1.2392217523121999E-3</v>
      </c>
      <c r="AV159" s="39">
        <v>1.2392217523121999E-3</v>
      </c>
      <c r="AW159" s="39">
        <v>1.2392217523121999E-3</v>
      </c>
      <c r="AX159" s="39">
        <v>1.2392217523121999E-3</v>
      </c>
      <c r="AY159" s="39">
        <v>1.2392217523121999E-3</v>
      </c>
      <c r="AZ159" s="39">
        <v>1.2392217523121999E-3</v>
      </c>
      <c r="BA159" s="39">
        <v>1.2392217523121999E-3</v>
      </c>
      <c r="BB159" s="39">
        <v>1.2392217523121999E-3</v>
      </c>
      <c r="BC159" s="39">
        <v>1.2392217523121999E-3</v>
      </c>
      <c r="BD159" s="39">
        <v>1.2392217523121999E-3</v>
      </c>
      <c r="BE159" s="39">
        <v>1.2392217523121999E-3</v>
      </c>
      <c r="BF159" s="39">
        <v>1.2392217523121999E-3</v>
      </c>
      <c r="BH159" s="12">
        <f t="shared" si="118"/>
        <v>0</v>
      </c>
      <c r="BI159" s="12">
        <f t="shared" si="119"/>
        <v>0</v>
      </c>
      <c r="BJ159" s="12">
        <f t="shared" si="120"/>
        <v>0</v>
      </c>
      <c r="BK159" s="12">
        <f t="shared" si="121"/>
        <v>0</v>
      </c>
      <c r="BL159" s="12">
        <f t="shared" si="122"/>
        <v>0</v>
      </c>
      <c r="BM159" s="12">
        <f t="shared" si="123"/>
        <v>0</v>
      </c>
      <c r="BN159" s="12">
        <f t="shared" si="124"/>
        <v>0</v>
      </c>
      <c r="BO159" s="12">
        <f t="shared" si="125"/>
        <v>0</v>
      </c>
      <c r="BP159" s="12">
        <f t="shared" si="126"/>
        <v>0</v>
      </c>
      <c r="BQ159" s="12">
        <f t="shared" si="127"/>
        <v>0</v>
      </c>
      <c r="BR159" s="12">
        <f t="shared" si="116"/>
        <v>0</v>
      </c>
      <c r="BS159" s="12">
        <f t="shared" si="117"/>
        <v>0</v>
      </c>
      <c r="BU159" s="11">
        <f t="shared" si="89"/>
        <v>0</v>
      </c>
      <c r="BV159" s="11">
        <f t="shared" si="90"/>
        <v>0</v>
      </c>
      <c r="BW159" s="11">
        <f t="shared" si="91"/>
        <v>0</v>
      </c>
      <c r="BX159" s="11">
        <f t="shared" si="92"/>
        <v>0</v>
      </c>
      <c r="BY159" s="11">
        <f t="shared" si="93"/>
        <v>0</v>
      </c>
      <c r="BZ159" s="11">
        <f t="shared" si="94"/>
        <v>0</v>
      </c>
      <c r="CA159" s="11">
        <f t="shared" si="95"/>
        <v>0</v>
      </c>
      <c r="CB159" s="11">
        <f t="shared" si="96"/>
        <v>0</v>
      </c>
      <c r="CC159" s="11">
        <f t="shared" si="97"/>
        <v>0</v>
      </c>
      <c r="CD159" s="11">
        <f t="shared" si="98"/>
        <v>0</v>
      </c>
      <c r="CE159" s="11">
        <f t="shared" si="99"/>
        <v>0</v>
      </c>
      <c r="CF159" s="11">
        <f t="shared" si="100"/>
        <v>0</v>
      </c>
      <c r="CG159" s="11"/>
      <c r="CH159" s="41">
        <v>3.23</v>
      </c>
      <c r="CJ159" s="54">
        <f t="shared" si="101"/>
        <v>0</v>
      </c>
      <c r="CK159" s="54">
        <f t="shared" si="102"/>
        <v>0</v>
      </c>
      <c r="CL159" s="54">
        <f t="shared" si="103"/>
        <v>0</v>
      </c>
      <c r="CM159" s="54">
        <f t="shared" si="104"/>
        <v>0</v>
      </c>
      <c r="CN159" s="54">
        <f t="shared" si="105"/>
        <v>0</v>
      </c>
      <c r="CO159" s="54">
        <f t="shared" si="106"/>
        <v>0</v>
      </c>
      <c r="CP159" s="54">
        <f t="shared" si="107"/>
        <v>0</v>
      </c>
      <c r="CQ159" s="54">
        <f t="shared" si="108"/>
        <v>0</v>
      </c>
      <c r="CR159" s="54">
        <f t="shared" si="109"/>
        <v>0</v>
      </c>
      <c r="CS159" s="54">
        <f t="shared" si="110"/>
        <v>0</v>
      </c>
      <c r="CT159" s="54">
        <f t="shared" si="111"/>
        <v>0</v>
      </c>
      <c r="CU159" s="54">
        <f t="shared" si="112"/>
        <v>0</v>
      </c>
      <c r="CV159" s="52">
        <f t="shared" si="113"/>
        <v>0</v>
      </c>
    </row>
    <row r="160" spans="1:100" ht="15.75" x14ac:dyDescent="0.25">
      <c r="A160" s="17"/>
      <c r="B160" s="17"/>
      <c r="C160" s="17"/>
      <c r="D160" s="17"/>
      <c r="E160" s="17"/>
      <c r="F160" s="18" t="s">
        <v>31</v>
      </c>
      <c r="G160" s="79"/>
      <c r="H160" s="79"/>
      <c r="I160" s="79"/>
      <c r="J160" s="79"/>
      <c r="K160" s="79"/>
      <c r="L160" s="79"/>
      <c r="M160" s="79"/>
      <c r="N160" s="79"/>
      <c r="O160" s="79"/>
      <c r="P160" s="79"/>
      <c r="Q160" s="79"/>
      <c r="R160" s="79"/>
      <c r="S160" s="11">
        <f t="shared" si="115"/>
        <v>0</v>
      </c>
      <c r="V160" s="46">
        <f t="shared" si="88"/>
        <v>0</v>
      </c>
      <c r="W160" s="36">
        <v>2.956</v>
      </c>
      <c r="X160" s="36">
        <v>2.956</v>
      </c>
      <c r="Y160" s="36">
        <v>2.956</v>
      </c>
      <c r="Z160" s="36">
        <v>2.956</v>
      </c>
      <c r="AA160" s="36">
        <v>2.956</v>
      </c>
      <c r="AB160" s="36">
        <v>2.956</v>
      </c>
      <c r="AC160" s="36">
        <v>2.956</v>
      </c>
      <c r="AD160" s="36">
        <v>2.956</v>
      </c>
      <c r="AE160" s="36">
        <v>2.956</v>
      </c>
      <c r="AF160" s="36">
        <v>2.956</v>
      </c>
      <c r="AG160" s="36">
        <v>2.956</v>
      </c>
      <c r="AH160" s="36">
        <v>2.956</v>
      </c>
      <c r="AI160" s="39">
        <v>1.33634708931066E-2</v>
      </c>
      <c r="AJ160" s="39">
        <v>1.33634708931066E-2</v>
      </c>
      <c r="AK160" s="39">
        <v>1.33634708931066E-2</v>
      </c>
      <c r="AL160" s="39">
        <v>1.33634708931066E-2</v>
      </c>
      <c r="AM160" s="39">
        <v>1.33634708931066E-2</v>
      </c>
      <c r="AN160" s="39">
        <v>1.33634708931066E-2</v>
      </c>
      <c r="AO160" s="39">
        <v>1.33634708931066E-2</v>
      </c>
      <c r="AP160" s="39">
        <v>1.33634708931066E-2</v>
      </c>
      <c r="AQ160" s="39">
        <v>1.33634708931066E-2</v>
      </c>
      <c r="AR160" s="39">
        <v>1.33634708931066E-2</v>
      </c>
      <c r="AS160" s="39">
        <v>1.33634708931066E-2</v>
      </c>
      <c r="AT160" s="39">
        <v>1.33634708931066E-2</v>
      </c>
      <c r="AU160" s="39">
        <v>1.2392217523121999E-3</v>
      </c>
      <c r="AV160" s="39">
        <v>1.2392217523121999E-3</v>
      </c>
      <c r="AW160" s="39">
        <v>1.2392217523121999E-3</v>
      </c>
      <c r="AX160" s="39">
        <v>1.2392217523121999E-3</v>
      </c>
      <c r="AY160" s="39">
        <v>1.2392217523121999E-3</v>
      </c>
      <c r="AZ160" s="39">
        <v>1.2392217523121999E-3</v>
      </c>
      <c r="BA160" s="39">
        <v>1.2392217523121999E-3</v>
      </c>
      <c r="BB160" s="39">
        <v>1.2392217523121999E-3</v>
      </c>
      <c r="BC160" s="39">
        <v>1.2392217523121999E-3</v>
      </c>
      <c r="BD160" s="39">
        <v>1.2392217523121999E-3</v>
      </c>
      <c r="BE160" s="39">
        <v>1.2392217523121999E-3</v>
      </c>
      <c r="BF160" s="39">
        <v>1.2392217523121999E-3</v>
      </c>
      <c r="BH160" s="12">
        <f t="shared" si="118"/>
        <v>0</v>
      </c>
      <c r="BI160" s="12">
        <f t="shared" si="119"/>
        <v>0</v>
      </c>
      <c r="BJ160" s="12">
        <f t="shared" si="120"/>
        <v>0</v>
      </c>
      <c r="BK160" s="12">
        <f t="shared" si="121"/>
        <v>0</v>
      </c>
      <c r="BL160" s="12">
        <f t="shared" si="122"/>
        <v>0</v>
      </c>
      <c r="BM160" s="12">
        <f t="shared" si="123"/>
        <v>0</v>
      </c>
      <c r="BN160" s="12">
        <f t="shared" si="124"/>
        <v>0</v>
      </c>
      <c r="BO160" s="12">
        <f t="shared" si="125"/>
        <v>0</v>
      </c>
      <c r="BP160" s="12">
        <f t="shared" si="126"/>
        <v>0</v>
      </c>
      <c r="BQ160" s="12">
        <f t="shared" si="127"/>
        <v>0</v>
      </c>
      <c r="BR160" s="12">
        <f t="shared" si="116"/>
        <v>0</v>
      </c>
      <c r="BS160" s="12">
        <f t="shared" si="117"/>
        <v>0</v>
      </c>
      <c r="BU160" s="11">
        <f t="shared" si="89"/>
        <v>0</v>
      </c>
      <c r="BV160" s="11">
        <f t="shared" si="90"/>
        <v>0</v>
      </c>
      <c r="BW160" s="11">
        <f t="shared" si="91"/>
        <v>0</v>
      </c>
      <c r="BX160" s="11">
        <f t="shared" si="92"/>
        <v>0</v>
      </c>
      <c r="BY160" s="11">
        <f t="shared" si="93"/>
        <v>0</v>
      </c>
      <c r="BZ160" s="11">
        <f t="shared" si="94"/>
        <v>0</v>
      </c>
      <c r="CA160" s="11">
        <f t="shared" si="95"/>
        <v>0</v>
      </c>
      <c r="CB160" s="11">
        <f t="shared" si="96"/>
        <v>0</v>
      </c>
      <c r="CC160" s="11">
        <f t="shared" si="97"/>
        <v>0</v>
      </c>
      <c r="CD160" s="11">
        <f t="shared" si="98"/>
        <v>0</v>
      </c>
      <c r="CE160" s="11">
        <f t="shared" si="99"/>
        <v>0</v>
      </c>
      <c r="CF160" s="11">
        <f t="shared" si="100"/>
        <v>0</v>
      </c>
      <c r="CG160" s="11"/>
      <c r="CH160" s="41">
        <v>3.23</v>
      </c>
      <c r="CJ160" s="54">
        <f t="shared" si="101"/>
        <v>0</v>
      </c>
      <c r="CK160" s="54">
        <f t="shared" si="102"/>
        <v>0</v>
      </c>
      <c r="CL160" s="54">
        <f t="shared" si="103"/>
        <v>0</v>
      </c>
      <c r="CM160" s="54">
        <f t="shared" si="104"/>
        <v>0</v>
      </c>
      <c r="CN160" s="54">
        <f t="shared" si="105"/>
        <v>0</v>
      </c>
      <c r="CO160" s="54">
        <f t="shared" si="106"/>
        <v>0</v>
      </c>
      <c r="CP160" s="54">
        <f t="shared" si="107"/>
        <v>0</v>
      </c>
      <c r="CQ160" s="54">
        <f t="shared" si="108"/>
        <v>0</v>
      </c>
      <c r="CR160" s="54">
        <f t="shared" si="109"/>
        <v>0</v>
      </c>
      <c r="CS160" s="54">
        <f t="shared" si="110"/>
        <v>0</v>
      </c>
      <c r="CT160" s="54">
        <f t="shared" si="111"/>
        <v>0</v>
      </c>
      <c r="CU160" s="54">
        <f t="shared" si="112"/>
        <v>0</v>
      </c>
      <c r="CV160" s="52">
        <f t="shared" si="113"/>
        <v>0</v>
      </c>
    </row>
    <row r="161" spans="1:100" ht="15.75" x14ac:dyDescent="0.25">
      <c r="A161" s="17"/>
      <c r="B161" s="17"/>
      <c r="C161" s="17"/>
      <c r="D161" s="17"/>
      <c r="E161" s="17"/>
      <c r="F161" s="18" t="s">
        <v>31</v>
      </c>
      <c r="G161" s="79"/>
      <c r="H161" s="79"/>
      <c r="I161" s="79"/>
      <c r="J161" s="79"/>
      <c r="K161" s="79"/>
      <c r="L161" s="79"/>
      <c r="M161" s="79"/>
      <c r="N161" s="79"/>
      <c r="O161" s="79"/>
      <c r="P161" s="79"/>
      <c r="Q161" s="79"/>
      <c r="R161" s="79"/>
      <c r="S161" s="11">
        <f t="shared" si="115"/>
        <v>0</v>
      </c>
      <c r="V161" s="46">
        <f t="shared" si="88"/>
        <v>0</v>
      </c>
      <c r="W161" s="36">
        <v>3.476</v>
      </c>
      <c r="X161" s="36">
        <v>3.476</v>
      </c>
      <c r="Y161" s="36">
        <v>3.476</v>
      </c>
      <c r="Z161" s="36">
        <v>3.476</v>
      </c>
      <c r="AA161" s="36">
        <v>3.476</v>
      </c>
      <c r="AB161" s="36">
        <v>3.476</v>
      </c>
      <c r="AC161" s="36">
        <v>3.476</v>
      </c>
      <c r="AD161" s="36">
        <v>3.476</v>
      </c>
      <c r="AE161" s="36">
        <v>3.476</v>
      </c>
      <c r="AF161" s="36">
        <v>3.476</v>
      </c>
      <c r="AG161" s="36">
        <v>3.476</v>
      </c>
      <c r="AH161" s="36">
        <v>3.476</v>
      </c>
      <c r="AI161" s="39">
        <v>1.33634708931066E-2</v>
      </c>
      <c r="AJ161" s="39">
        <v>1.33634708931066E-2</v>
      </c>
      <c r="AK161" s="39">
        <v>1.33634708931066E-2</v>
      </c>
      <c r="AL161" s="39">
        <v>1.33634708931066E-2</v>
      </c>
      <c r="AM161" s="39">
        <v>1.33634708931066E-2</v>
      </c>
      <c r="AN161" s="39">
        <v>1.33634708931066E-2</v>
      </c>
      <c r="AO161" s="39">
        <v>1.33634708931066E-2</v>
      </c>
      <c r="AP161" s="39">
        <v>1.33634708931066E-2</v>
      </c>
      <c r="AQ161" s="39">
        <v>1.33634708931066E-2</v>
      </c>
      <c r="AR161" s="39">
        <v>1.33634708931066E-2</v>
      </c>
      <c r="AS161" s="39">
        <v>1.33634708931066E-2</v>
      </c>
      <c r="AT161" s="39">
        <v>1.33634708931066E-2</v>
      </c>
      <c r="AU161" s="39">
        <v>1.2392217523121999E-3</v>
      </c>
      <c r="AV161" s="39">
        <v>1.2392217523121999E-3</v>
      </c>
      <c r="AW161" s="39">
        <v>1.2392217523121999E-3</v>
      </c>
      <c r="AX161" s="39">
        <v>1.2392217523121999E-3</v>
      </c>
      <c r="AY161" s="39">
        <v>1.2392217523121999E-3</v>
      </c>
      <c r="AZ161" s="39">
        <v>1.2392217523121999E-3</v>
      </c>
      <c r="BA161" s="39">
        <v>1.2392217523121999E-3</v>
      </c>
      <c r="BB161" s="39">
        <v>1.2392217523121999E-3</v>
      </c>
      <c r="BC161" s="39">
        <v>1.2392217523121999E-3</v>
      </c>
      <c r="BD161" s="39">
        <v>1.2392217523121999E-3</v>
      </c>
      <c r="BE161" s="39">
        <v>1.2392217523121999E-3</v>
      </c>
      <c r="BF161" s="39">
        <v>1.2392217523121999E-3</v>
      </c>
      <c r="BH161" s="12">
        <f t="shared" si="118"/>
        <v>0</v>
      </c>
      <c r="BI161" s="12">
        <f t="shared" si="119"/>
        <v>0</v>
      </c>
      <c r="BJ161" s="12">
        <f t="shared" si="120"/>
        <v>0</v>
      </c>
      <c r="BK161" s="12">
        <f t="shared" si="121"/>
        <v>0</v>
      </c>
      <c r="BL161" s="12">
        <f t="shared" si="122"/>
        <v>0</v>
      </c>
      <c r="BM161" s="12">
        <f t="shared" si="123"/>
        <v>0</v>
      </c>
      <c r="BN161" s="12">
        <f t="shared" si="124"/>
        <v>0</v>
      </c>
      <c r="BO161" s="12">
        <f t="shared" si="125"/>
        <v>0</v>
      </c>
      <c r="BP161" s="12">
        <f t="shared" si="126"/>
        <v>0</v>
      </c>
      <c r="BQ161" s="12">
        <f t="shared" si="127"/>
        <v>0</v>
      </c>
      <c r="BR161" s="12">
        <f t="shared" si="116"/>
        <v>0</v>
      </c>
      <c r="BS161" s="12">
        <f t="shared" si="117"/>
        <v>0</v>
      </c>
      <c r="BU161" s="11">
        <f t="shared" si="89"/>
        <v>0</v>
      </c>
      <c r="BV161" s="11">
        <f t="shared" si="90"/>
        <v>0</v>
      </c>
      <c r="BW161" s="11">
        <f t="shared" si="91"/>
        <v>0</v>
      </c>
      <c r="BX161" s="11">
        <f t="shared" si="92"/>
        <v>0</v>
      </c>
      <c r="BY161" s="11">
        <f t="shared" si="93"/>
        <v>0</v>
      </c>
      <c r="BZ161" s="11">
        <f t="shared" si="94"/>
        <v>0</v>
      </c>
      <c r="CA161" s="11">
        <f t="shared" si="95"/>
        <v>0</v>
      </c>
      <c r="CB161" s="11">
        <f t="shared" si="96"/>
        <v>0</v>
      </c>
      <c r="CC161" s="11">
        <f t="shared" si="97"/>
        <v>0</v>
      </c>
      <c r="CD161" s="11">
        <f t="shared" si="98"/>
        <v>0</v>
      </c>
      <c r="CE161" s="11">
        <f t="shared" si="99"/>
        <v>0</v>
      </c>
      <c r="CF161" s="11">
        <f t="shared" si="100"/>
        <v>0</v>
      </c>
      <c r="CG161" s="11"/>
      <c r="CH161" s="41">
        <v>3.23</v>
      </c>
      <c r="CJ161" s="54">
        <f t="shared" si="101"/>
        <v>0</v>
      </c>
      <c r="CK161" s="54">
        <f t="shared" si="102"/>
        <v>0</v>
      </c>
      <c r="CL161" s="54">
        <f t="shared" si="103"/>
        <v>0</v>
      </c>
      <c r="CM161" s="54">
        <f t="shared" si="104"/>
        <v>0</v>
      </c>
      <c r="CN161" s="54">
        <f t="shared" si="105"/>
        <v>0</v>
      </c>
      <c r="CO161" s="54">
        <f t="shared" si="106"/>
        <v>0</v>
      </c>
      <c r="CP161" s="54">
        <f t="shared" si="107"/>
        <v>0</v>
      </c>
      <c r="CQ161" s="54">
        <f t="shared" si="108"/>
        <v>0</v>
      </c>
      <c r="CR161" s="54">
        <f t="shared" si="109"/>
        <v>0</v>
      </c>
      <c r="CS161" s="54">
        <f t="shared" si="110"/>
        <v>0</v>
      </c>
      <c r="CT161" s="54">
        <f t="shared" si="111"/>
        <v>0</v>
      </c>
      <c r="CU161" s="54">
        <f t="shared" si="112"/>
        <v>0</v>
      </c>
      <c r="CV161" s="52">
        <f t="shared" si="113"/>
        <v>0</v>
      </c>
    </row>
    <row r="162" spans="1:100" ht="15.75" x14ac:dyDescent="0.25">
      <c r="A162" s="17"/>
      <c r="B162" s="17"/>
      <c r="C162" s="17"/>
      <c r="D162" s="17"/>
      <c r="E162" s="17"/>
      <c r="F162" s="18" t="s">
        <v>31</v>
      </c>
      <c r="G162" s="79"/>
      <c r="H162" s="79"/>
      <c r="I162" s="79"/>
      <c r="J162" s="79"/>
      <c r="K162" s="79"/>
      <c r="L162" s="79"/>
      <c r="M162" s="79"/>
      <c r="N162" s="79"/>
      <c r="O162" s="79"/>
      <c r="P162" s="79"/>
      <c r="Q162" s="79"/>
      <c r="R162" s="79"/>
      <c r="S162" s="11">
        <f t="shared" si="115"/>
        <v>0</v>
      </c>
      <c r="V162" s="46">
        <f t="shared" si="88"/>
        <v>0</v>
      </c>
      <c r="W162" s="36">
        <v>3.915</v>
      </c>
      <c r="X162" s="36">
        <v>3.915</v>
      </c>
      <c r="Y162" s="36">
        <v>3.915</v>
      </c>
      <c r="Z162" s="36">
        <v>3.915</v>
      </c>
      <c r="AA162" s="36">
        <v>3.915</v>
      </c>
      <c r="AB162" s="36">
        <v>3.915</v>
      </c>
      <c r="AC162" s="36">
        <v>3.915</v>
      </c>
      <c r="AD162" s="36">
        <v>3.915</v>
      </c>
      <c r="AE162" s="36">
        <v>3.915</v>
      </c>
      <c r="AF162" s="36">
        <v>3.915</v>
      </c>
      <c r="AG162" s="36">
        <v>3.915</v>
      </c>
      <c r="AH162" s="36">
        <v>3.915</v>
      </c>
      <c r="AI162" s="39">
        <v>1.33634708931066E-2</v>
      </c>
      <c r="AJ162" s="39">
        <v>1.33634708931066E-2</v>
      </c>
      <c r="AK162" s="39">
        <v>1.33634708931066E-2</v>
      </c>
      <c r="AL162" s="39">
        <v>1.33634708931066E-2</v>
      </c>
      <c r="AM162" s="39">
        <v>1.33634708931066E-2</v>
      </c>
      <c r="AN162" s="39">
        <v>1.33634708931066E-2</v>
      </c>
      <c r="AO162" s="39">
        <v>1.33634708931066E-2</v>
      </c>
      <c r="AP162" s="39">
        <v>1.33634708931066E-2</v>
      </c>
      <c r="AQ162" s="39">
        <v>1.33634708931066E-2</v>
      </c>
      <c r="AR162" s="39">
        <v>1.33634708931066E-2</v>
      </c>
      <c r="AS162" s="39">
        <v>1.33634708931066E-2</v>
      </c>
      <c r="AT162" s="39">
        <v>1.33634708931066E-2</v>
      </c>
      <c r="AU162" s="39">
        <v>1.2392217523121999E-3</v>
      </c>
      <c r="AV162" s="39">
        <v>1.2392217523121999E-3</v>
      </c>
      <c r="AW162" s="39">
        <v>1.2392217523121999E-3</v>
      </c>
      <c r="AX162" s="39">
        <v>1.2392217523121999E-3</v>
      </c>
      <c r="AY162" s="39">
        <v>1.2392217523121999E-3</v>
      </c>
      <c r="AZ162" s="39">
        <v>1.2392217523121999E-3</v>
      </c>
      <c r="BA162" s="39">
        <v>1.2392217523121999E-3</v>
      </c>
      <c r="BB162" s="39">
        <v>1.2392217523121999E-3</v>
      </c>
      <c r="BC162" s="39">
        <v>1.2392217523121999E-3</v>
      </c>
      <c r="BD162" s="39">
        <v>1.2392217523121999E-3</v>
      </c>
      <c r="BE162" s="39">
        <v>1.2392217523121999E-3</v>
      </c>
      <c r="BF162" s="39">
        <v>1.2392217523121999E-3</v>
      </c>
      <c r="BH162" s="12">
        <f t="shared" si="118"/>
        <v>0</v>
      </c>
      <c r="BI162" s="12">
        <f t="shared" si="119"/>
        <v>0</v>
      </c>
      <c r="BJ162" s="12">
        <f t="shared" si="120"/>
        <v>0</v>
      </c>
      <c r="BK162" s="12">
        <f t="shared" si="121"/>
        <v>0</v>
      </c>
      <c r="BL162" s="12">
        <f t="shared" si="122"/>
        <v>0</v>
      </c>
      <c r="BM162" s="12">
        <f t="shared" si="123"/>
        <v>0</v>
      </c>
      <c r="BN162" s="12">
        <f t="shared" si="124"/>
        <v>0</v>
      </c>
      <c r="BO162" s="12">
        <f t="shared" si="125"/>
        <v>0</v>
      </c>
      <c r="BP162" s="12">
        <f t="shared" si="126"/>
        <v>0</v>
      </c>
      <c r="BQ162" s="12">
        <f t="shared" si="127"/>
        <v>0</v>
      </c>
      <c r="BR162" s="12">
        <f t="shared" si="116"/>
        <v>0</v>
      </c>
      <c r="BS162" s="12">
        <f t="shared" si="117"/>
        <v>0</v>
      </c>
      <c r="BU162" s="11">
        <f t="shared" si="89"/>
        <v>0</v>
      </c>
      <c r="BV162" s="11">
        <f t="shared" si="90"/>
        <v>0</v>
      </c>
      <c r="BW162" s="11">
        <f t="shared" si="91"/>
        <v>0</v>
      </c>
      <c r="BX162" s="11">
        <f t="shared" si="92"/>
        <v>0</v>
      </c>
      <c r="BY162" s="11">
        <f t="shared" si="93"/>
        <v>0</v>
      </c>
      <c r="BZ162" s="11">
        <f t="shared" si="94"/>
        <v>0</v>
      </c>
      <c r="CA162" s="11">
        <f t="shared" si="95"/>
        <v>0</v>
      </c>
      <c r="CB162" s="11">
        <f t="shared" si="96"/>
        <v>0</v>
      </c>
      <c r="CC162" s="11">
        <f t="shared" si="97"/>
        <v>0</v>
      </c>
      <c r="CD162" s="11">
        <f t="shared" si="98"/>
        <v>0</v>
      </c>
      <c r="CE162" s="11">
        <f t="shared" si="99"/>
        <v>0</v>
      </c>
      <c r="CF162" s="11">
        <f t="shared" si="100"/>
        <v>0</v>
      </c>
      <c r="CG162" s="11"/>
      <c r="CH162" s="41">
        <v>3.23</v>
      </c>
      <c r="CJ162" s="54">
        <f t="shared" si="101"/>
        <v>0</v>
      </c>
      <c r="CK162" s="54">
        <f t="shared" si="102"/>
        <v>0</v>
      </c>
      <c r="CL162" s="54">
        <f t="shared" si="103"/>
        <v>0</v>
      </c>
      <c r="CM162" s="54">
        <f t="shared" si="104"/>
        <v>0</v>
      </c>
      <c r="CN162" s="54">
        <f t="shared" si="105"/>
        <v>0</v>
      </c>
      <c r="CO162" s="54">
        <f t="shared" si="106"/>
        <v>0</v>
      </c>
      <c r="CP162" s="54">
        <f t="shared" si="107"/>
        <v>0</v>
      </c>
      <c r="CQ162" s="54">
        <f t="shared" si="108"/>
        <v>0</v>
      </c>
      <c r="CR162" s="54">
        <f t="shared" si="109"/>
        <v>0</v>
      </c>
      <c r="CS162" s="54">
        <f t="shared" si="110"/>
        <v>0</v>
      </c>
      <c r="CT162" s="54">
        <f t="shared" si="111"/>
        <v>0</v>
      </c>
      <c r="CU162" s="54">
        <f t="shared" si="112"/>
        <v>0</v>
      </c>
      <c r="CV162" s="52">
        <f t="shared" si="113"/>
        <v>0</v>
      </c>
    </row>
    <row r="163" spans="1:100" ht="15.75" x14ac:dyDescent="0.25">
      <c r="A163" s="17"/>
      <c r="B163" s="17"/>
      <c r="C163" s="17"/>
      <c r="D163" s="17"/>
      <c r="E163" s="17"/>
      <c r="F163" s="18" t="s">
        <v>31</v>
      </c>
      <c r="G163" s="79"/>
      <c r="H163" s="79"/>
      <c r="I163" s="79"/>
      <c r="J163" s="79"/>
      <c r="K163" s="79"/>
      <c r="L163" s="79"/>
      <c r="M163" s="79"/>
      <c r="N163" s="79"/>
      <c r="O163" s="79"/>
      <c r="P163" s="79"/>
      <c r="Q163" s="79"/>
      <c r="R163" s="79"/>
      <c r="S163" s="11">
        <f t="shared" si="115"/>
        <v>0</v>
      </c>
      <c r="V163" s="46">
        <f t="shared" si="88"/>
        <v>0</v>
      </c>
      <c r="W163" s="36">
        <v>9.06</v>
      </c>
      <c r="X163" s="36">
        <v>9.06</v>
      </c>
      <c r="Y163" s="36">
        <v>9.06</v>
      </c>
      <c r="Z163" s="36">
        <v>9.06</v>
      </c>
      <c r="AA163" s="36">
        <v>9.06</v>
      </c>
      <c r="AB163" s="36">
        <v>9.06</v>
      </c>
      <c r="AC163" s="36">
        <v>9.06</v>
      </c>
      <c r="AD163" s="36">
        <v>9.06</v>
      </c>
      <c r="AE163" s="36">
        <v>9.06</v>
      </c>
      <c r="AF163" s="36">
        <v>9.06</v>
      </c>
      <c r="AG163" s="36">
        <v>9.06</v>
      </c>
      <c r="AH163" s="36">
        <v>9.06</v>
      </c>
      <c r="AI163" s="39">
        <v>0</v>
      </c>
      <c r="AJ163" s="39">
        <v>0</v>
      </c>
      <c r="AK163" s="39">
        <v>0</v>
      </c>
      <c r="AL163" s="39">
        <v>0</v>
      </c>
      <c r="AM163" s="39">
        <v>0</v>
      </c>
      <c r="AN163" s="39">
        <v>0</v>
      </c>
      <c r="AO163" s="39">
        <v>0</v>
      </c>
      <c r="AP163" s="39">
        <v>0</v>
      </c>
      <c r="AQ163" s="39">
        <v>0</v>
      </c>
      <c r="AR163" s="39">
        <v>0</v>
      </c>
      <c r="AS163" s="39">
        <v>0</v>
      </c>
      <c r="AT163" s="39">
        <v>0</v>
      </c>
      <c r="AU163" s="39">
        <v>0</v>
      </c>
      <c r="AV163" s="39">
        <v>0</v>
      </c>
      <c r="AW163" s="39">
        <v>0</v>
      </c>
      <c r="AX163" s="39">
        <v>0</v>
      </c>
      <c r="AY163" s="39">
        <v>0</v>
      </c>
      <c r="AZ163" s="39">
        <v>0</v>
      </c>
      <c r="BA163" s="39">
        <v>0</v>
      </c>
      <c r="BB163" s="39">
        <v>0</v>
      </c>
      <c r="BC163" s="39">
        <v>0</v>
      </c>
      <c r="BD163" s="39">
        <v>0</v>
      </c>
      <c r="BE163" s="39">
        <v>0</v>
      </c>
      <c r="BF163" s="39">
        <v>0</v>
      </c>
      <c r="BH163" s="12">
        <f t="shared" si="118"/>
        <v>0</v>
      </c>
      <c r="BI163" s="12">
        <f t="shared" si="119"/>
        <v>0</v>
      </c>
      <c r="BJ163" s="12">
        <f t="shared" si="120"/>
        <v>0</v>
      </c>
      <c r="BK163" s="12">
        <f t="shared" si="121"/>
        <v>0</v>
      </c>
      <c r="BL163" s="12">
        <f t="shared" si="122"/>
        <v>0</v>
      </c>
      <c r="BM163" s="12">
        <f t="shared" si="123"/>
        <v>0</v>
      </c>
      <c r="BN163" s="12">
        <f t="shared" si="124"/>
        <v>0</v>
      </c>
      <c r="BO163" s="12">
        <f t="shared" si="125"/>
        <v>0</v>
      </c>
      <c r="BP163" s="12">
        <f t="shared" si="126"/>
        <v>0</v>
      </c>
      <c r="BQ163" s="12">
        <f t="shared" si="127"/>
        <v>0</v>
      </c>
      <c r="BR163" s="12">
        <f t="shared" si="116"/>
        <v>0</v>
      </c>
      <c r="BS163" s="12">
        <f t="shared" si="117"/>
        <v>0</v>
      </c>
      <c r="BU163" s="11">
        <f t="shared" si="89"/>
        <v>0</v>
      </c>
      <c r="BV163" s="11">
        <f t="shared" si="90"/>
        <v>0</v>
      </c>
      <c r="BW163" s="11">
        <f t="shared" si="91"/>
        <v>0</v>
      </c>
      <c r="BX163" s="11">
        <f t="shared" si="92"/>
        <v>0</v>
      </c>
      <c r="BY163" s="11">
        <f t="shared" si="93"/>
        <v>0</v>
      </c>
      <c r="BZ163" s="11">
        <f t="shared" si="94"/>
        <v>0</v>
      </c>
      <c r="CA163" s="11">
        <f t="shared" si="95"/>
        <v>0</v>
      </c>
      <c r="CB163" s="11">
        <f t="shared" si="96"/>
        <v>0</v>
      </c>
      <c r="CC163" s="11">
        <f t="shared" si="97"/>
        <v>0</v>
      </c>
      <c r="CD163" s="11">
        <f t="shared" si="98"/>
        <v>0</v>
      </c>
      <c r="CE163" s="11">
        <f t="shared" si="99"/>
        <v>0</v>
      </c>
      <c r="CF163" s="11">
        <f t="shared" si="100"/>
        <v>0</v>
      </c>
      <c r="CG163" s="11"/>
      <c r="CH163" s="41">
        <v>1</v>
      </c>
      <c r="CJ163" s="54">
        <f t="shared" si="101"/>
        <v>0</v>
      </c>
      <c r="CK163" s="54">
        <f t="shared" si="102"/>
        <v>0</v>
      </c>
      <c r="CL163" s="54">
        <f t="shared" si="103"/>
        <v>0</v>
      </c>
      <c r="CM163" s="54">
        <f t="shared" si="104"/>
        <v>0</v>
      </c>
      <c r="CN163" s="54">
        <f t="shared" si="105"/>
        <v>0</v>
      </c>
      <c r="CO163" s="54">
        <f t="shared" si="106"/>
        <v>0</v>
      </c>
      <c r="CP163" s="54">
        <f t="shared" si="107"/>
        <v>0</v>
      </c>
      <c r="CQ163" s="54">
        <f t="shared" si="108"/>
        <v>0</v>
      </c>
      <c r="CR163" s="54">
        <f t="shared" si="109"/>
        <v>0</v>
      </c>
      <c r="CS163" s="54">
        <f t="shared" si="110"/>
        <v>0</v>
      </c>
      <c r="CT163" s="54">
        <f t="shared" si="111"/>
        <v>0</v>
      </c>
      <c r="CU163" s="54">
        <f t="shared" si="112"/>
        <v>0</v>
      </c>
      <c r="CV163" s="52">
        <f t="shared" si="113"/>
        <v>0</v>
      </c>
    </row>
    <row r="164" spans="1:100" ht="15.75" x14ac:dyDescent="0.25">
      <c r="A164" s="17"/>
      <c r="B164" s="17"/>
      <c r="C164" s="17"/>
      <c r="D164" s="17"/>
      <c r="E164" s="17"/>
      <c r="F164" s="18" t="s">
        <v>31</v>
      </c>
      <c r="G164" s="79"/>
      <c r="H164" s="79"/>
      <c r="I164" s="79"/>
      <c r="J164" s="79"/>
      <c r="K164" s="79"/>
      <c r="L164" s="79"/>
      <c r="M164" s="79"/>
      <c r="N164" s="79"/>
      <c r="O164" s="79"/>
      <c r="P164" s="79"/>
      <c r="Q164" s="79"/>
      <c r="R164" s="79"/>
      <c r="S164" s="11">
        <f t="shared" si="115"/>
        <v>0</v>
      </c>
      <c r="V164" s="46">
        <f t="shared" si="88"/>
        <v>0</v>
      </c>
      <c r="W164" s="36">
        <v>1.69</v>
      </c>
      <c r="X164" s="36">
        <v>1.69</v>
      </c>
      <c r="Y164" s="36">
        <v>1.69</v>
      </c>
      <c r="Z164" s="36">
        <v>1.69</v>
      </c>
      <c r="AA164" s="36">
        <v>1.69</v>
      </c>
      <c r="AB164" s="36">
        <v>1.69</v>
      </c>
      <c r="AC164" s="36">
        <v>1.69</v>
      </c>
      <c r="AD164" s="36">
        <v>1.69</v>
      </c>
      <c r="AE164" s="36">
        <v>1.69</v>
      </c>
      <c r="AF164" s="36">
        <v>1.69</v>
      </c>
      <c r="AG164" s="36">
        <v>1.69</v>
      </c>
      <c r="AH164" s="36">
        <v>1.69</v>
      </c>
      <c r="AI164" s="39">
        <v>0</v>
      </c>
      <c r="AJ164" s="39">
        <v>0</v>
      </c>
      <c r="AK164" s="39">
        <v>0</v>
      </c>
      <c r="AL164" s="39">
        <v>0</v>
      </c>
      <c r="AM164" s="39">
        <v>0</v>
      </c>
      <c r="AN164" s="39">
        <v>0</v>
      </c>
      <c r="AO164" s="39">
        <v>0</v>
      </c>
      <c r="AP164" s="39">
        <v>0</v>
      </c>
      <c r="AQ164" s="39">
        <v>0</v>
      </c>
      <c r="AR164" s="39">
        <v>0</v>
      </c>
      <c r="AS164" s="39">
        <v>0</v>
      </c>
      <c r="AT164" s="39">
        <v>0</v>
      </c>
      <c r="AU164" s="39">
        <v>0</v>
      </c>
      <c r="AV164" s="39">
        <v>0</v>
      </c>
      <c r="AW164" s="39">
        <v>0</v>
      </c>
      <c r="AX164" s="39">
        <v>0</v>
      </c>
      <c r="AY164" s="39">
        <v>0</v>
      </c>
      <c r="AZ164" s="39">
        <v>0</v>
      </c>
      <c r="BA164" s="39">
        <v>0</v>
      </c>
      <c r="BB164" s="39">
        <v>0</v>
      </c>
      <c r="BC164" s="39">
        <v>0</v>
      </c>
      <c r="BD164" s="39">
        <v>0</v>
      </c>
      <c r="BE164" s="39">
        <v>0</v>
      </c>
      <c r="BF164" s="39">
        <v>0</v>
      </c>
      <c r="BH164" s="12">
        <f t="shared" si="118"/>
        <v>0</v>
      </c>
      <c r="BI164" s="12">
        <f t="shared" si="119"/>
        <v>0</v>
      </c>
      <c r="BJ164" s="12">
        <f t="shared" si="120"/>
        <v>0</v>
      </c>
      <c r="BK164" s="12">
        <f t="shared" si="121"/>
        <v>0</v>
      </c>
      <c r="BL164" s="12">
        <f t="shared" si="122"/>
        <v>0</v>
      </c>
      <c r="BM164" s="12">
        <f t="shared" si="123"/>
        <v>0</v>
      </c>
      <c r="BN164" s="12">
        <f t="shared" si="124"/>
        <v>0</v>
      </c>
      <c r="BO164" s="12">
        <f t="shared" si="125"/>
        <v>0</v>
      </c>
      <c r="BP164" s="12">
        <f t="shared" si="126"/>
        <v>0</v>
      </c>
      <c r="BQ164" s="12">
        <f t="shared" si="127"/>
        <v>0</v>
      </c>
      <c r="BR164" s="12">
        <f t="shared" si="116"/>
        <v>0</v>
      </c>
      <c r="BS164" s="12">
        <f t="shared" si="117"/>
        <v>0</v>
      </c>
      <c r="BU164" s="11">
        <f t="shared" si="89"/>
        <v>0</v>
      </c>
      <c r="BV164" s="11">
        <f t="shared" si="90"/>
        <v>0</v>
      </c>
      <c r="BW164" s="11">
        <f t="shared" si="91"/>
        <v>0</v>
      </c>
      <c r="BX164" s="11">
        <f t="shared" si="92"/>
        <v>0</v>
      </c>
      <c r="BY164" s="11">
        <f t="shared" si="93"/>
        <v>0</v>
      </c>
      <c r="BZ164" s="11">
        <f t="shared" si="94"/>
        <v>0</v>
      </c>
      <c r="CA164" s="11">
        <f t="shared" si="95"/>
        <v>0</v>
      </c>
      <c r="CB164" s="11">
        <f t="shared" si="96"/>
        <v>0</v>
      </c>
      <c r="CC164" s="11">
        <f t="shared" si="97"/>
        <v>0</v>
      </c>
      <c r="CD164" s="11">
        <f t="shared" si="98"/>
        <v>0</v>
      </c>
      <c r="CE164" s="11">
        <f t="shared" si="99"/>
        <v>0</v>
      </c>
      <c r="CF164" s="11">
        <f t="shared" si="100"/>
        <v>0</v>
      </c>
      <c r="CG164" s="11"/>
      <c r="CH164" s="41">
        <v>1</v>
      </c>
      <c r="CJ164" s="54">
        <f t="shared" si="101"/>
        <v>0</v>
      </c>
      <c r="CK164" s="54">
        <f t="shared" si="102"/>
        <v>0</v>
      </c>
      <c r="CL164" s="54">
        <f t="shared" si="103"/>
        <v>0</v>
      </c>
      <c r="CM164" s="54">
        <f t="shared" si="104"/>
        <v>0</v>
      </c>
      <c r="CN164" s="54">
        <f t="shared" si="105"/>
        <v>0</v>
      </c>
      <c r="CO164" s="54">
        <f t="shared" si="106"/>
        <v>0</v>
      </c>
      <c r="CP164" s="54">
        <f t="shared" si="107"/>
        <v>0</v>
      </c>
      <c r="CQ164" s="54">
        <f t="shared" si="108"/>
        <v>0</v>
      </c>
      <c r="CR164" s="54">
        <f t="shared" si="109"/>
        <v>0</v>
      </c>
      <c r="CS164" s="54">
        <f t="shared" si="110"/>
        <v>0</v>
      </c>
      <c r="CT164" s="54">
        <f t="shared" si="111"/>
        <v>0</v>
      </c>
      <c r="CU164" s="54">
        <f t="shared" si="112"/>
        <v>0</v>
      </c>
      <c r="CV164" s="52">
        <f t="shared" si="113"/>
        <v>0</v>
      </c>
    </row>
    <row r="165" spans="1:100" ht="15.75" x14ac:dyDescent="0.25">
      <c r="A165" s="17"/>
      <c r="B165" s="17"/>
      <c r="C165" s="17"/>
      <c r="D165" s="17"/>
      <c r="E165" s="17"/>
      <c r="F165" s="18" t="s">
        <v>31</v>
      </c>
      <c r="G165" s="79"/>
      <c r="H165" s="79"/>
      <c r="I165" s="79"/>
      <c r="J165" s="79"/>
      <c r="K165" s="79"/>
      <c r="L165" s="79"/>
      <c r="M165" s="79"/>
      <c r="N165" s="79"/>
      <c r="O165" s="79"/>
      <c r="P165" s="79"/>
      <c r="Q165" s="79"/>
      <c r="R165" s="79"/>
      <c r="S165" s="11">
        <f t="shared" si="115"/>
        <v>0</v>
      </c>
      <c r="V165" s="46">
        <f t="shared" si="88"/>
        <v>0</v>
      </c>
      <c r="W165" s="36">
        <v>1.8400042087542088</v>
      </c>
      <c r="X165" s="36">
        <v>1.8400042087542088</v>
      </c>
      <c r="Y165" s="36">
        <v>1.8400042087542088</v>
      </c>
      <c r="Z165" s="36">
        <v>1.8400042087542088</v>
      </c>
      <c r="AA165" s="36">
        <v>1.8400042087542088</v>
      </c>
      <c r="AB165" s="36">
        <v>1.8400042087542088</v>
      </c>
      <c r="AC165" s="36">
        <v>1.8400042087542088</v>
      </c>
      <c r="AD165" s="36">
        <v>1.8400042087542088</v>
      </c>
      <c r="AE165" s="36">
        <v>1.8400042087542088</v>
      </c>
      <c r="AF165" s="36">
        <v>1.8400042087542088</v>
      </c>
      <c r="AG165" s="36">
        <v>1.8400042087542088</v>
      </c>
      <c r="AH165" s="36">
        <v>1.8400042087542088</v>
      </c>
      <c r="AI165" s="39">
        <v>0</v>
      </c>
      <c r="AJ165" s="39">
        <v>0</v>
      </c>
      <c r="AK165" s="39">
        <v>0</v>
      </c>
      <c r="AL165" s="39">
        <v>0</v>
      </c>
      <c r="AM165" s="39">
        <v>0</v>
      </c>
      <c r="AN165" s="39">
        <v>0</v>
      </c>
      <c r="AO165" s="39">
        <v>0</v>
      </c>
      <c r="AP165" s="39">
        <v>0</v>
      </c>
      <c r="AQ165" s="39">
        <v>0</v>
      </c>
      <c r="AR165" s="39">
        <v>0</v>
      </c>
      <c r="AS165" s="39">
        <v>0</v>
      </c>
      <c r="AT165" s="39">
        <v>0</v>
      </c>
      <c r="AU165" s="39">
        <v>0</v>
      </c>
      <c r="AV165" s="39">
        <v>0</v>
      </c>
      <c r="AW165" s="39">
        <v>0</v>
      </c>
      <c r="AX165" s="39">
        <v>0</v>
      </c>
      <c r="AY165" s="39">
        <v>0</v>
      </c>
      <c r="AZ165" s="39">
        <v>0</v>
      </c>
      <c r="BA165" s="39">
        <v>0</v>
      </c>
      <c r="BB165" s="39">
        <v>0</v>
      </c>
      <c r="BC165" s="39">
        <v>0</v>
      </c>
      <c r="BD165" s="39">
        <v>0</v>
      </c>
      <c r="BE165" s="39">
        <v>0</v>
      </c>
      <c r="BF165" s="39">
        <v>0</v>
      </c>
      <c r="BH165" s="12">
        <f t="shared" si="118"/>
        <v>0</v>
      </c>
      <c r="BI165" s="12">
        <f t="shared" si="119"/>
        <v>0</v>
      </c>
      <c r="BJ165" s="12">
        <f t="shared" si="120"/>
        <v>0</v>
      </c>
      <c r="BK165" s="12">
        <f t="shared" si="121"/>
        <v>0</v>
      </c>
      <c r="BL165" s="12">
        <f t="shared" si="122"/>
        <v>0</v>
      </c>
      <c r="BM165" s="12">
        <f t="shared" si="123"/>
        <v>0</v>
      </c>
      <c r="BN165" s="12">
        <f t="shared" si="124"/>
        <v>0</v>
      </c>
      <c r="BO165" s="12">
        <f t="shared" si="125"/>
        <v>0</v>
      </c>
      <c r="BP165" s="12">
        <f t="shared" si="126"/>
        <v>0</v>
      </c>
      <c r="BQ165" s="12">
        <f t="shared" si="127"/>
        <v>0</v>
      </c>
      <c r="BR165" s="12">
        <f t="shared" si="116"/>
        <v>0</v>
      </c>
      <c r="BS165" s="12">
        <f t="shared" si="117"/>
        <v>0</v>
      </c>
      <c r="BU165" s="11">
        <f t="shared" si="89"/>
        <v>0</v>
      </c>
      <c r="BV165" s="11">
        <f t="shared" si="90"/>
        <v>0</v>
      </c>
      <c r="BW165" s="11">
        <f t="shared" si="91"/>
        <v>0</v>
      </c>
      <c r="BX165" s="11">
        <f t="shared" si="92"/>
        <v>0</v>
      </c>
      <c r="BY165" s="11">
        <f t="shared" si="93"/>
        <v>0</v>
      </c>
      <c r="BZ165" s="11">
        <f t="shared" si="94"/>
        <v>0</v>
      </c>
      <c r="CA165" s="11">
        <f t="shared" si="95"/>
        <v>0</v>
      </c>
      <c r="CB165" s="11">
        <f t="shared" si="96"/>
        <v>0</v>
      </c>
      <c r="CC165" s="11">
        <f t="shared" si="97"/>
        <v>0</v>
      </c>
      <c r="CD165" s="11">
        <f t="shared" si="98"/>
        <v>0</v>
      </c>
      <c r="CE165" s="11">
        <f t="shared" si="99"/>
        <v>0</v>
      </c>
      <c r="CF165" s="11">
        <f t="shared" si="100"/>
        <v>0</v>
      </c>
      <c r="CG165" s="11"/>
      <c r="CH165" s="41">
        <v>1</v>
      </c>
      <c r="CJ165" s="54">
        <f t="shared" si="101"/>
        <v>0</v>
      </c>
      <c r="CK165" s="54">
        <f t="shared" si="102"/>
        <v>0</v>
      </c>
      <c r="CL165" s="54">
        <f t="shared" si="103"/>
        <v>0</v>
      </c>
      <c r="CM165" s="54">
        <f t="shared" si="104"/>
        <v>0</v>
      </c>
      <c r="CN165" s="54">
        <f t="shared" si="105"/>
        <v>0</v>
      </c>
      <c r="CO165" s="54">
        <f t="shared" si="106"/>
        <v>0</v>
      </c>
      <c r="CP165" s="54">
        <f t="shared" si="107"/>
        <v>0</v>
      </c>
      <c r="CQ165" s="54">
        <f t="shared" si="108"/>
        <v>0</v>
      </c>
      <c r="CR165" s="54">
        <f t="shared" si="109"/>
        <v>0</v>
      </c>
      <c r="CS165" s="54">
        <f t="shared" si="110"/>
        <v>0</v>
      </c>
      <c r="CT165" s="54">
        <f t="shared" si="111"/>
        <v>0</v>
      </c>
      <c r="CU165" s="54">
        <f t="shared" si="112"/>
        <v>0</v>
      </c>
      <c r="CV165" s="52">
        <f t="shared" si="113"/>
        <v>0</v>
      </c>
    </row>
    <row r="166" spans="1:100" ht="15.75" x14ac:dyDescent="0.25">
      <c r="A166" s="17"/>
      <c r="B166" s="17"/>
      <c r="C166" s="17"/>
      <c r="D166" s="17"/>
      <c r="E166" s="17"/>
      <c r="F166" s="18" t="s">
        <v>31</v>
      </c>
      <c r="G166" s="79"/>
      <c r="H166" s="79"/>
      <c r="I166" s="79"/>
      <c r="J166" s="79"/>
      <c r="K166" s="79"/>
      <c r="L166" s="79"/>
      <c r="M166" s="79"/>
      <c r="N166" s="79"/>
      <c r="O166" s="79"/>
      <c r="P166" s="79"/>
      <c r="Q166" s="79"/>
      <c r="R166" s="79"/>
      <c r="S166" s="11">
        <f t="shared" si="115"/>
        <v>0</v>
      </c>
      <c r="V166" s="46">
        <f t="shared" si="88"/>
        <v>0</v>
      </c>
      <c r="W166" s="36">
        <v>11.423999999999999</v>
      </c>
      <c r="X166" s="36">
        <v>11.423999999999999</v>
      </c>
      <c r="Y166" s="36">
        <v>11.423999999999999</v>
      </c>
      <c r="Z166" s="36">
        <v>11.423999999999999</v>
      </c>
      <c r="AA166" s="36">
        <v>11.423999999999999</v>
      </c>
      <c r="AB166" s="36">
        <v>11.423999999999999</v>
      </c>
      <c r="AC166" s="36">
        <v>11.423999999999999</v>
      </c>
      <c r="AD166" s="36">
        <v>11.423999999999999</v>
      </c>
      <c r="AE166" s="36">
        <v>11.423999999999999</v>
      </c>
      <c r="AF166" s="36">
        <v>11.423999999999999</v>
      </c>
      <c r="AG166" s="36">
        <v>11.423999999999999</v>
      </c>
      <c r="AH166" s="36">
        <v>11.423999999999999</v>
      </c>
      <c r="AI166" s="39">
        <v>0.22999999999999998</v>
      </c>
      <c r="AJ166" s="39">
        <v>0.22999999999999998</v>
      </c>
      <c r="AK166" s="39">
        <v>0.22999999999999998</v>
      </c>
      <c r="AL166" s="39">
        <v>0.22999999999999998</v>
      </c>
      <c r="AM166" s="39">
        <v>0.22999999999999998</v>
      </c>
      <c r="AN166" s="39">
        <v>0.22999999999999998</v>
      </c>
      <c r="AO166" s="39">
        <v>0.22999999999999998</v>
      </c>
      <c r="AP166" s="39">
        <v>0.22999999999999998</v>
      </c>
      <c r="AQ166" s="39">
        <v>0.22999999999999998</v>
      </c>
      <c r="AR166" s="39">
        <v>0.22999999999999998</v>
      </c>
      <c r="AS166" s="39">
        <v>0.22999999999999998</v>
      </c>
      <c r="AT166" s="39">
        <v>0.22999999999999998</v>
      </c>
      <c r="AU166" s="39">
        <v>0</v>
      </c>
      <c r="AV166" s="39">
        <v>0</v>
      </c>
      <c r="AW166" s="39">
        <v>0</v>
      </c>
      <c r="AX166" s="39">
        <v>0</v>
      </c>
      <c r="AY166" s="39">
        <v>0</v>
      </c>
      <c r="AZ166" s="39">
        <v>0</v>
      </c>
      <c r="BA166" s="39">
        <v>0</v>
      </c>
      <c r="BB166" s="39">
        <v>0</v>
      </c>
      <c r="BC166" s="39">
        <v>0</v>
      </c>
      <c r="BD166" s="39">
        <v>0</v>
      </c>
      <c r="BE166" s="39">
        <v>0</v>
      </c>
      <c r="BF166" s="39">
        <v>0</v>
      </c>
      <c r="BH166" s="12">
        <f t="shared" si="118"/>
        <v>0</v>
      </c>
      <c r="BI166" s="12">
        <f t="shared" si="119"/>
        <v>0</v>
      </c>
      <c r="BJ166" s="12">
        <f t="shared" si="120"/>
        <v>0</v>
      </c>
      <c r="BK166" s="12">
        <f t="shared" si="121"/>
        <v>0</v>
      </c>
      <c r="BL166" s="12">
        <f t="shared" si="122"/>
        <v>0</v>
      </c>
      <c r="BM166" s="12">
        <f t="shared" si="123"/>
        <v>0</v>
      </c>
      <c r="BN166" s="12">
        <f t="shared" si="124"/>
        <v>0</v>
      </c>
      <c r="BO166" s="12">
        <f t="shared" si="125"/>
        <v>0</v>
      </c>
      <c r="BP166" s="12">
        <f t="shared" si="126"/>
        <v>0</v>
      </c>
      <c r="BQ166" s="12">
        <f t="shared" si="127"/>
        <v>0</v>
      </c>
      <c r="BR166" s="12">
        <f t="shared" si="116"/>
        <v>0</v>
      </c>
      <c r="BS166" s="12">
        <f t="shared" si="117"/>
        <v>0</v>
      </c>
      <c r="BU166" s="11">
        <f t="shared" si="89"/>
        <v>0</v>
      </c>
      <c r="BV166" s="11">
        <f t="shared" si="90"/>
        <v>0</v>
      </c>
      <c r="BW166" s="11">
        <f t="shared" si="91"/>
        <v>0</v>
      </c>
      <c r="BX166" s="11">
        <f t="shared" si="92"/>
        <v>0</v>
      </c>
      <c r="BY166" s="11">
        <f t="shared" si="93"/>
        <v>0</v>
      </c>
      <c r="BZ166" s="11">
        <f t="shared" si="94"/>
        <v>0</v>
      </c>
      <c r="CA166" s="11">
        <f t="shared" si="95"/>
        <v>0</v>
      </c>
      <c r="CB166" s="11">
        <f t="shared" si="96"/>
        <v>0</v>
      </c>
      <c r="CC166" s="11">
        <f t="shared" si="97"/>
        <v>0</v>
      </c>
      <c r="CD166" s="11">
        <f t="shared" si="98"/>
        <v>0</v>
      </c>
      <c r="CE166" s="11">
        <f t="shared" si="99"/>
        <v>0</v>
      </c>
      <c r="CF166" s="11">
        <f t="shared" si="100"/>
        <v>0</v>
      </c>
      <c r="CG166" s="11"/>
      <c r="CH166" s="41">
        <v>1</v>
      </c>
      <c r="CJ166" s="54">
        <f t="shared" si="101"/>
        <v>0</v>
      </c>
      <c r="CK166" s="54">
        <f t="shared" si="102"/>
        <v>0</v>
      </c>
      <c r="CL166" s="54">
        <f t="shared" si="103"/>
        <v>0</v>
      </c>
      <c r="CM166" s="54">
        <f t="shared" si="104"/>
        <v>0</v>
      </c>
      <c r="CN166" s="54">
        <f t="shared" si="105"/>
        <v>0</v>
      </c>
      <c r="CO166" s="54">
        <f t="shared" si="106"/>
        <v>0</v>
      </c>
      <c r="CP166" s="54">
        <f t="shared" si="107"/>
        <v>0</v>
      </c>
      <c r="CQ166" s="54">
        <f t="shared" si="108"/>
        <v>0</v>
      </c>
      <c r="CR166" s="54">
        <f t="shared" si="109"/>
        <v>0</v>
      </c>
      <c r="CS166" s="54">
        <f t="shared" si="110"/>
        <v>0</v>
      </c>
      <c r="CT166" s="54">
        <f t="shared" si="111"/>
        <v>0</v>
      </c>
      <c r="CU166" s="54">
        <f t="shared" si="112"/>
        <v>0</v>
      </c>
      <c r="CV166" s="52">
        <f t="shared" si="113"/>
        <v>0</v>
      </c>
    </row>
    <row r="167" spans="1:100" ht="15.75" x14ac:dyDescent="0.25">
      <c r="A167" s="16"/>
      <c r="B167" s="44"/>
      <c r="C167" s="44"/>
      <c r="D167" s="44"/>
      <c r="E167" s="44"/>
      <c r="F167" s="45" t="s">
        <v>20</v>
      </c>
      <c r="G167" s="80"/>
      <c r="H167" s="80"/>
      <c r="I167" s="80"/>
      <c r="J167" s="80"/>
      <c r="K167" s="80"/>
      <c r="L167" s="80"/>
      <c r="M167" s="80"/>
      <c r="N167" s="80"/>
      <c r="O167" s="80"/>
      <c r="P167" s="80"/>
      <c r="Q167" s="80"/>
      <c r="R167" s="80"/>
      <c r="S167" s="11">
        <f t="shared" si="115"/>
        <v>0</v>
      </c>
      <c r="T167" s="8">
        <f t="shared" ref="T167:T191" si="128">IFERROR(((S167-S17)/S17),0)</f>
        <v>0</v>
      </c>
      <c r="U167" s="13" t="s">
        <v>22</v>
      </c>
      <c r="V167" s="46">
        <f t="shared" si="88"/>
        <v>0</v>
      </c>
      <c r="W167" s="36">
        <v>3.766</v>
      </c>
      <c r="X167" s="36">
        <v>3.766</v>
      </c>
      <c r="Y167" s="36">
        <v>3.766</v>
      </c>
      <c r="Z167" s="36">
        <v>3.766</v>
      </c>
      <c r="AA167" s="36">
        <v>3.766</v>
      </c>
      <c r="AB167" s="36">
        <v>3.766</v>
      </c>
      <c r="AC167" s="36">
        <v>3.766</v>
      </c>
      <c r="AD167" s="36">
        <v>3.766</v>
      </c>
      <c r="AE167" s="36">
        <v>3.766</v>
      </c>
      <c r="AF167" s="36">
        <v>3.766</v>
      </c>
      <c r="AG167" s="36">
        <v>3.766</v>
      </c>
      <c r="AH167" s="36">
        <v>3.766</v>
      </c>
      <c r="AI167" s="39">
        <v>1.33634708931066E-2</v>
      </c>
      <c r="AJ167" s="39">
        <v>1.33634708931066E-2</v>
      </c>
      <c r="AK167" s="39">
        <v>1.33634708931066E-2</v>
      </c>
      <c r="AL167" s="39">
        <v>1.33634708931066E-2</v>
      </c>
      <c r="AM167" s="39">
        <v>1.33634708931066E-2</v>
      </c>
      <c r="AN167" s="39">
        <v>1.33634708931066E-2</v>
      </c>
      <c r="AO167" s="39">
        <v>1.33634708931066E-2</v>
      </c>
      <c r="AP167" s="39">
        <v>1.33634708931066E-2</v>
      </c>
      <c r="AQ167" s="39">
        <v>1.33634708931066E-2</v>
      </c>
      <c r="AR167" s="39">
        <v>1.33634708931066E-2</v>
      </c>
      <c r="AS167" s="39">
        <v>1.33634708931066E-2</v>
      </c>
      <c r="AT167" s="39">
        <v>1.33634708931066E-2</v>
      </c>
      <c r="AU167" s="39">
        <v>1.2392217523121999E-3</v>
      </c>
      <c r="AV167" s="39">
        <v>1.2392217523121999E-3</v>
      </c>
      <c r="AW167" s="39">
        <v>1.2392217523121999E-3</v>
      </c>
      <c r="AX167" s="39">
        <v>1.2392217523121999E-3</v>
      </c>
      <c r="AY167" s="39">
        <v>1.2392217523121999E-3</v>
      </c>
      <c r="AZ167" s="39">
        <v>1.2392217523121999E-3</v>
      </c>
      <c r="BA167" s="39">
        <v>1.2392217523121999E-3</v>
      </c>
      <c r="BB167" s="39">
        <v>1.2392217523121999E-3</v>
      </c>
      <c r="BC167" s="39">
        <v>1.2392217523121999E-3</v>
      </c>
      <c r="BD167" s="39">
        <v>1.2392217523121999E-3</v>
      </c>
      <c r="BE167" s="39">
        <v>1.2392217523121999E-3</v>
      </c>
      <c r="BF167" s="39">
        <v>1.2392217523121999E-3</v>
      </c>
      <c r="BH167" s="12">
        <f t="shared" si="118"/>
        <v>0</v>
      </c>
      <c r="BI167" s="12">
        <f t="shared" si="119"/>
        <v>0</v>
      </c>
      <c r="BJ167" s="12">
        <f t="shared" si="120"/>
        <v>0</v>
      </c>
      <c r="BK167" s="12">
        <f t="shared" si="121"/>
        <v>0</v>
      </c>
      <c r="BL167" s="12">
        <f t="shared" si="122"/>
        <v>0</v>
      </c>
      <c r="BM167" s="12">
        <f t="shared" si="123"/>
        <v>0</v>
      </c>
      <c r="BN167" s="12">
        <f t="shared" si="124"/>
        <v>0</v>
      </c>
      <c r="BO167" s="12">
        <f t="shared" si="125"/>
        <v>0</v>
      </c>
      <c r="BP167" s="12">
        <f t="shared" si="126"/>
        <v>0</v>
      </c>
      <c r="BQ167" s="12">
        <f t="shared" si="127"/>
        <v>0</v>
      </c>
      <c r="BR167" s="12">
        <f t="shared" si="116"/>
        <v>0</v>
      </c>
      <c r="BS167" s="12">
        <f t="shared" si="117"/>
        <v>0</v>
      </c>
      <c r="BU167" s="11">
        <f t="shared" si="89"/>
        <v>0</v>
      </c>
      <c r="BV167" s="11">
        <f t="shared" si="90"/>
        <v>0</v>
      </c>
      <c r="BW167" s="11">
        <f t="shared" si="91"/>
        <v>0</v>
      </c>
      <c r="BX167" s="11">
        <f t="shared" si="92"/>
        <v>0</v>
      </c>
      <c r="BY167" s="11">
        <f t="shared" si="93"/>
        <v>0</v>
      </c>
      <c r="BZ167" s="11">
        <f t="shared" si="94"/>
        <v>0</v>
      </c>
      <c r="CA167" s="11">
        <f t="shared" si="95"/>
        <v>0</v>
      </c>
      <c r="CB167" s="11">
        <f t="shared" si="96"/>
        <v>0</v>
      </c>
      <c r="CC167" s="11">
        <f t="shared" si="97"/>
        <v>0</v>
      </c>
      <c r="CD167" s="11">
        <f t="shared" si="98"/>
        <v>0</v>
      </c>
      <c r="CE167" s="11">
        <f t="shared" si="99"/>
        <v>0</v>
      </c>
      <c r="CF167" s="11">
        <f t="shared" si="100"/>
        <v>0</v>
      </c>
      <c r="CG167" s="11"/>
      <c r="CH167" s="41">
        <v>3.23</v>
      </c>
      <c r="CJ167" s="54">
        <f t="shared" si="101"/>
        <v>0</v>
      </c>
      <c r="CK167" s="54">
        <f t="shared" si="102"/>
        <v>0</v>
      </c>
      <c r="CL167" s="54">
        <f t="shared" si="103"/>
        <v>0</v>
      </c>
      <c r="CM167" s="54">
        <f t="shared" si="104"/>
        <v>0</v>
      </c>
      <c r="CN167" s="54">
        <f t="shared" si="105"/>
        <v>0</v>
      </c>
      <c r="CO167" s="54">
        <f t="shared" si="106"/>
        <v>0</v>
      </c>
      <c r="CP167" s="54">
        <f t="shared" si="107"/>
        <v>0</v>
      </c>
      <c r="CQ167" s="54">
        <f t="shared" si="108"/>
        <v>0</v>
      </c>
      <c r="CR167" s="54">
        <f t="shared" si="109"/>
        <v>0</v>
      </c>
      <c r="CS167" s="54">
        <f t="shared" si="110"/>
        <v>0</v>
      </c>
      <c r="CT167" s="54">
        <f t="shared" si="111"/>
        <v>0</v>
      </c>
      <c r="CU167" s="54">
        <f t="shared" si="112"/>
        <v>0</v>
      </c>
      <c r="CV167" s="52">
        <f t="shared" si="113"/>
        <v>0</v>
      </c>
    </row>
    <row r="168" spans="1:100" ht="15.75" x14ac:dyDescent="0.25">
      <c r="A168" s="16"/>
      <c r="B168" s="44"/>
      <c r="C168" s="44"/>
      <c r="D168" s="44"/>
      <c r="E168" s="44"/>
      <c r="F168" s="45" t="s">
        <v>20</v>
      </c>
      <c r="G168" s="80"/>
      <c r="H168" s="80"/>
      <c r="I168" s="80"/>
      <c r="J168" s="80"/>
      <c r="K168" s="80"/>
      <c r="L168" s="80"/>
      <c r="M168" s="80"/>
      <c r="N168" s="80"/>
      <c r="O168" s="80"/>
      <c r="P168" s="80"/>
      <c r="Q168" s="80"/>
      <c r="R168" s="80"/>
      <c r="S168" s="11">
        <f t="shared" si="115"/>
        <v>0</v>
      </c>
      <c r="T168" s="8">
        <f t="shared" si="128"/>
        <v>0</v>
      </c>
      <c r="U168" s="13" t="s">
        <v>22</v>
      </c>
      <c r="V168" s="46">
        <f t="shared" si="88"/>
        <v>0</v>
      </c>
      <c r="W168" s="36">
        <v>0.94</v>
      </c>
      <c r="X168" s="36">
        <v>0.94</v>
      </c>
      <c r="Y168" s="36">
        <v>0.94</v>
      </c>
      <c r="Z168" s="36">
        <v>0.94</v>
      </c>
      <c r="AA168" s="36">
        <v>0.94</v>
      </c>
      <c r="AB168" s="36">
        <v>0.94</v>
      </c>
      <c r="AC168" s="36">
        <v>0.94</v>
      </c>
      <c r="AD168" s="36">
        <v>0.94</v>
      </c>
      <c r="AE168" s="36">
        <v>0.94</v>
      </c>
      <c r="AF168" s="36">
        <v>0.94</v>
      </c>
      <c r="AG168" s="36">
        <v>0.94</v>
      </c>
      <c r="AH168" s="36">
        <v>0.94</v>
      </c>
      <c r="AI168" s="39">
        <v>1.33634708931066E-2</v>
      </c>
      <c r="AJ168" s="39">
        <v>1.33634708931066E-2</v>
      </c>
      <c r="AK168" s="39">
        <v>1.33634708931066E-2</v>
      </c>
      <c r="AL168" s="39">
        <v>1.33634708931066E-2</v>
      </c>
      <c r="AM168" s="39">
        <v>1.33634708931066E-2</v>
      </c>
      <c r="AN168" s="39">
        <v>1.33634708931066E-2</v>
      </c>
      <c r="AO168" s="39">
        <v>1.33634708931066E-2</v>
      </c>
      <c r="AP168" s="39">
        <v>1.33634708931066E-2</v>
      </c>
      <c r="AQ168" s="39">
        <v>1.33634708931066E-2</v>
      </c>
      <c r="AR168" s="39">
        <v>1.33634708931066E-2</v>
      </c>
      <c r="AS168" s="39">
        <v>1.33634708931066E-2</v>
      </c>
      <c r="AT168" s="39">
        <v>1.33634708931066E-2</v>
      </c>
      <c r="AU168" s="39">
        <v>1.2392217523121999E-3</v>
      </c>
      <c r="AV168" s="39">
        <v>1.2392217523121999E-3</v>
      </c>
      <c r="AW168" s="39">
        <v>1.2392217523121999E-3</v>
      </c>
      <c r="AX168" s="39">
        <v>1.2392217523121999E-3</v>
      </c>
      <c r="AY168" s="39">
        <v>1.2392217523121999E-3</v>
      </c>
      <c r="AZ168" s="39">
        <v>1.2392217523121999E-3</v>
      </c>
      <c r="BA168" s="39">
        <v>1.2392217523121999E-3</v>
      </c>
      <c r="BB168" s="39">
        <v>1.2392217523121999E-3</v>
      </c>
      <c r="BC168" s="39">
        <v>1.2392217523121999E-3</v>
      </c>
      <c r="BD168" s="39">
        <v>1.2392217523121999E-3</v>
      </c>
      <c r="BE168" s="39">
        <v>1.2392217523121999E-3</v>
      </c>
      <c r="BF168" s="39">
        <v>1.2392217523121999E-3</v>
      </c>
      <c r="BH168" s="12">
        <f t="shared" si="118"/>
        <v>0</v>
      </c>
      <c r="BI168" s="12">
        <f t="shared" si="119"/>
        <v>0</v>
      </c>
      <c r="BJ168" s="12">
        <f t="shared" si="120"/>
        <v>0</v>
      </c>
      <c r="BK168" s="12">
        <f t="shared" si="121"/>
        <v>0</v>
      </c>
      <c r="BL168" s="12">
        <f t="shared" si="122"/>
        <v>0</v>
      </c>
      <c r="BM168" s="12">
        <f t="shared" si="123"/>
        <v>0</v>
      </c>
      <c r="BN168" s="12">
        <f t="shared" si="124"/>
        <v>0</v>
      </c>
      <c r="BO168" s="12">
        <f t="shared" si="125"/>
        <v>0</v>
      </c>
      <c r="BP168" s="12">
        <f t="shared" si="126"/>
        <v>0</v>
      </c>
      <c r="BQ168" s="12">
        <f t="shared" si="127"/>
        <v>0</v>
      </c>
      <c r="BR168" s="12">
        <f t="shared" si="116"/>
        <v>0</v>
      </c>
      <c r="BS168" s="12">
        <f t="shared" si="117"/>
        <v>0</v>
      </c>
      <c r="BU168" s="11">
        <f t="shared" si="89"/>
        <v>0</v>
      </c>
      <c r="BV168" s="11">
        <f t="shared" si="90"/>
        <v>0</v>
      </c>
      <c r="BW168" s="11">
        <f t="shared" si="91"/>
        <v>0</v>
      </c>
      <c r="BX168" s="11">
        <f t="shared" si="92"/>
        <v>0</v>
      </c>
      <c r="BY168" s="11">
        <f t="shared" si="93"/>
        <v>0</v>
      </c>
      <c r="BZ168" s="11">
        <f t="shared" si="94"/>
        <v>0</v>
      </c>
      <c r="CA168" s="11">
        <f t="shared" si="95"/>
        <v>0</v>
      </c>
      <c r="CB168" s="11">
        <f t="shared" si="96"/>
        <v>0</v>
      </c>
      <c r="CC168" s="11">
        <f t="shared" si="97"/>
        <v>0</v>
      </c>
      <c r="CD168" s="11">
        <f t="shared" si="98"/>
        <v>0</v>
      </c>
      <c r="CE168" s="11">
        <f t="shared" si="99"/>
        <v>0</v>
      </c>
      <c r="CF168" s="11">
        <f t="shared" si="100"/>
        <v>0</v>
      </c>
      <c r="CG168" s="11"/>
      <c r="CH168" s="41">
        <v>3.23</v>
      </c>
      <c r="CJ168" s="54">
        <f t="shared" si="101"/>
        <v>0</v>
      </c>
      <c r="CK168" s="54">
        <f t="shared" si="102"/>
        <v>0</v>
      </c>
      <c r="CL168" s="54">
        <f t="shared" si="103"/>
        <v>0</v>
      </c>
      <c r="CM168" s="54">
        <f t="shared" si="104"/>
        <v>0</v>
      </c>
      <c r="CN168" s="54">
        <f t="shared" si="105"/>
        <v>0</v>
      </c>
      <c r="CO168" s="54">
        <f t="shared" si="106"/>
        <v>0</v>
      </c>
      <c r="CP168" s="54">
        <f t="shared" si="107"/>
        <v>0</v>
      </c>
      <c r="CQ168" s="54">
        <f t="shared" si="108"/>
        <v>0</v>
      </c>
      <c r="CR168" s="54">
        <f t="shared" si="109"/>
        <v>0</v>
      </c>
      <c r="CS168" s="54">
        <f t="shared" si="110"/>
        <v>0</v>
      </c>
      <c r="CT168" s="54">
        <f t="shared" si="111"/>
        <v>0</v>
      </c>
      <c r="CU168" s="54">
        <f t="shared" si="112"/>
        <v>0</v>
      </c>
      <c r="CV168" s="52">
        <f t="shared" si="113"/>
        <v>0</v>
      </c>
    </row>
    <row r="169" spans="1:100" ht="15.75" x14ac:dyDescent="0.25">
      <c r="A169" s="16"/>
      <c r="B169" s="44"/>
      <c r="C169" s="44"/>
      <c r="D169" s="44"/>
      <c r="E169" s="44"/>
      <c r="F169" s="45" t="s">
        <v>20</v>
      </c>
      <c r="G169" s="80"/>
      <c r="H169" s="80"/>
      <c r="I169" s="80"/>
      <c r="J169" s="80"/>
      <c r="K169" s="80"/>
      <c r="L169" s="80"/>
      <c r="M169" s="80"/>
      <c r="N169" s="80"/>
      <c r="O169" s="80"/>
      <c r="P169" s="80"/>
      <c r="Q169" s="80"/>
      <c r="R169" s="80"/>
      <c r="S169" s="11">
        <f t="shared" si="115"/>
        <v>0</v>
      </c>
      <c r="T169" s="8">
        <f t="shared" si="128"/>
        <v>0</v>
      </c>
      <c r="U169" s="13" t="s">
        <v>22</v>
      </c>
      <c r="V169" s="46">
        <f t="shared" si="88"/>
        <v>0</v>
      </c>
      <c r="W169" s="36">
        <v>1.75</v>
      </c>
      <c r="X169" s="36">
        <v>1.75</v>
      </c>
      <c r="Y169" s="36">
        <v>1.75</v>
      </c>
      <c r="Z169" s="36">
        <v>1.75</v>
      </c>
      <c r="AA169" s="36">
        <v>1.75</v>
      </c>
      <c r="AB169" s="36">
        <v>1.75</v>
      </c>
      <c r="AC169" s="36">
        <v>1.75</v>
      </c>
      <c r="AD169" s="36">
        <v>1.75</v>
      </c>
      <c r="AE169" s="36">
        <v>1.75</v>
      </c>
      <c r="AF169" s="36">
        <v>1.75</v>
      </c>
      <c r="AG169" s="36">
        <v>1.75</v>
      </c>
      <c r="AH169" s="36">
        <v>1.75</v>
      </c>
      <c r="AI169" s="39">
        <v>1.33634708931066E-2</v>
      </c>
      <c r="AJ169" s="39">
        <v>1.33634708931066E-2</v>
      </c>
      <c r="AK169" s="39">
        <v>1.33634708931066E-2</v>
      </c>
      <c r="AL169" s="39">
        <v>1.33634708931066E-2</v>
      </c>
      <c r="AM169" s="39">
        <v>1.33634708931066E-2</v>
      </c>
      <c r="AN169" s="39">
        <v>1.33634708931066E-2</v>
      </c>
      <c r="AO169" s="39">
        <v>1.33634708931066E-2</v>
      </c>
      <c r="AP169" s="39">
        <v>1.33634708931066E-2</v>
      </c>
      <c r="AQ169" s="39">
        <v>1.33634708931066E-2</v>
      </c>
      <c r="AR169" s="39">
        <v>1.33634708931066E-2</v>
      </c>
      <c r="AS169" s="39">
        <v>1.33634708931066E-2</v>
      </c>
      <c r="AT169" s="39">
        <v>1.33634708931066E-2</v>
      </c>
      <c r="AU169" s="39">
        <v>1.2392217523121999E-3</v>
      </c>
      <c r="AV169" s="39">
        <v>1.2392217523121999E-3</v>
      </c>
      <c r="AW169" s="39">
        <v>1.2392217523121999E-3</v>
      </c>
      <c r="AX169" s="39">
        <v>1.2392217523121999E-3</v>
      </c>
      <c r="AY169" s="39">
        <v>1.2392217523121999E-3</v>
      </c>
      <c r="AZ169" s="39">
        <v>1.2392217523121999E-3</v>
      </c>
      <c r="BA169" s="39">
        <v>1.2392217523121999E-3</v>
      </c>
      <c r="BB169" s="39">
        <v>1.2392217523121999E-3</v>
      </c>
      <c r="BC169" s="39">
        <v>1.2392217523121999E-3</v>
      </c>
      <c r="BD169" s="39">
        <v>1.2392217523121999E-3</v>
      </c>
      <c r="BE169" s="39">
        <v>1.2392217523121999E-3</v>
      </c>
      <c r="BF169" s="39">
        <v>1.2392217523121999E-3</v>
      </c>
      <c r="BH169" s="12">
        <f t="shared" si="118"/>
        <v>0</v>
      </c>
      <c r="BI169" s="12">
        <f t="shared" si="119"/>
        <v>0</v>
      </c>
      <c r="BJ169" s="12">
        <f t="shared" si="120"/>
        <v>0</v>
      </c>
      <c r="BK169" s="12">
        <f t="shared" si="121"/>
        <v>0</v>
      </c>
      <c r="BL169" s="12">
        <f t="shared" si="122"/>
        <v>0</v>
      </c>
      <c r="BM169" s="12">
        <f t="shared" si="123"/>
        <v>0</v>
      </c>
      <c r="BN169" s="12">
        <f t="shared" si="124"/>
        <v>0</v>
      </c>
      <c r="BO169" s="12">
        <f t="shared" si="125"/>
        <v>0</v>
      </c>
      <c r="BP169" s="12">
        <f t="shared" si="126"/>
        <v>0</v>
      </c>
      <c r="BQ169" s="12">
        <f t="shared" si="127"/>
        <v>0</v>
      </c>
      <c r="BR169" s="12">
        <f t="shared" si="116"/>
        <v>0</v>
      </c>
      <c r="BS169" s="12">
        <f t="shared" si="117"/>
        <v>0</v>
      </c>
      <c r="BU169" s="11">
        <f t="shared" si="89"/>
        <v>0</v>
      </c>
      <c r="BV169" s="11">
        <f t="shared" si="90"/>
        <v>0</v>
      </c>
      <c r="BW169" s="11">
        <f t="shared" si="91"/>
        <v>0</v>
      </c>
      <c r="BX169" s="11">
        <f t="shared" si="92"/>
        <v>0</v>
      </c>
      <c r="BY169" s="11">
        <f t="shared" si="93"/>
        <v>0</v>
      </c>
      <c r="BZ169" s="11">
        <f t="shared" si="94"/>
        <v>0</v>
      </c>
      <c r="CA169" s="11">
        <f t="shared" si="95"/>
        <v>0</v>
      </c>
      <c r="CB169" s="11">
        <f t="shared" si="96"/>
        <v>0</v>
      </c>
      <c r="CC169" s="11">
        <f t="shared" si="97"/>
        <v>0</v>
      </c>
      <c r="CD169" s="11">
        <f t="shared" si="98"/>
        <v>0</v>
      </c>
      <c r="CE169" s="11">
        <f t="shared" si="99"/>
        <v>0</v>
      </c>
      <c r="CF169" s="11">
        <f t="shared" si="100"/>
        <v>0</v>
      </c>
      <c r="CG169" s="11"/>
      <c r="CH169" s="41">
        <v>3.23</v>
      </c>
      <c r="CJ169" s="54">
        <f t="shared" si="101"/>
        <v>0</v>
      </c>
      <c r="CK169" s="54">
        <f t="shared" si="102"/>
        <v>0</v>
      </c>
      <c r="CL169" s="54">
        <f t="shared" si="103"/>
        <v>0</v>
      </c>
      <c r="CM169" s="54">
        <f t="shared" si="104"/>
        <v>0</v>
      </c>
      <c r="CN169" s="54">
        <f t="shared" si="105"/>
        <v>0</v>
      </c>
      <c r="CO169" s="54">
        <f t="shared" si="106"/>
        <v>0</v>
      </c>
      <c r="CP169" s="54">
        <f t="shared" si="107"/>
        <v>0</v>
      </c>
      <c r="CQ169" s="54">
        <f t="shared" si="108"/>
        <v>0</v>
      </c>
      <c r="CR169" s="54">
        <f t="shared" si="109"/>
        <v>0</v>
      </c>
      <c r="CS169" s="54">
        <f t="shared" si="110"/>
        <v>0</v>
      </c>
      <c r="CT169" s="54">
        <f t="shared" si="111"/>
        <v>0</v>
      </c>
      <c r="CU169" s="54">
        <f t="shared" si="112"/>
        <v>0</v>
      </c>
      <c r="CV169" s="52">
        <f t="shared" si="113"/>
        <v>0</v>
      </c>
    </row>
    <row r="170" spans="1:100" ht="15.75" x14ac:dyDescent="0.25">
      <c r="A170" s="16"/>
      <c r="B170" s="44"/>
      <c r="C170" s="44"/>
      <c r="D170" s="44"/>
      <c r="E170" s="44"/>
      <c r="F170" s="45" t="s">
        <v>20</v>
      </c>
      <c r="G170" s="80"/>
      <c r="H170" s="80"/>
      <c r="I170" s="80"/>
      <c r="J170" s="80"/>
      <c r="K170" s="80"/>
      <c r="L170" s="80"/>
      <c r="M170" s="80"/>
      <c r="N170" s="80"/>
      <c r="O170" s="80"/>
      <c r="P170" s="80"/>
      <c r="Q170" s="80"/>
      <c r="R170" s="80"/>
      <c r="S170" s="11">
        <f t="shared" ref="S170:S175" si="129">SUM(G170:R170)</f>
        <v>0</v>
      </c>
      <c r="T170" s="8">
        <f t="shared" si="128"/>
        <v>0</v>
      </c>
      <c r="U170" s="13" t="s">
        <v>22</v>
      </c>
      <c r="V170" s="46">
        <f t="shared" si="88"/>
        <v>0</v>
      </c>
      <c r="W170" s="36">
        <v>2.367</v>
      </c>
      <c r="X170" s="36">
        <v>2.367</v>
      </c>
      <c r="Y170" s="36">
        <v>2.367</v>
      </c>
      <c r="Z170" s="36">
        <v>2.367</v>
      </c>
      <c r="AA170" s="36">
        <v>2.367</v>
      </c>
      <c r="AB170" s="36">
        <v>2.367</v>
      </c>
      <c r="AC170" s="36">
        <v>2.367</v>
      </c>
      <c r="AD170" s="36">
        <v>2.367</v>
      </c>
      <c r="AE170" s="36">
        <v>2.367</v>
      </c>
      <c r="AF170" s="36">
        <v>2.367</v>
      </c>
      <c r="AG170" s="36">
        <v>2.367</v>
      </c>
      <c r="AH170" s="36">
        <v>2.367</v>
      </c>
      <c r="AI170" s="39">
        <v>1.33634708931066E-2</v>
      </c>
      <c r="AJ170" s="39">
        <v>1.33634708931066E-2</v>
      </c>
      <c r="AK170" s="39">
        <v>1.33634708931066E-2</v>
      </c>
      <c r="AL170" s="39">
        <v>1.33634708931066E-2</v>
      </c>
      <c r="AM170" s="39">
        <v>1.33634708931066E-2</v>
      </c>
      <c r="AN170" s="39">
        <v>1.33634708931066E-2</v>
      </c>
      <c r="AO170" s="39">
        <v>1.33634708931066E-2</v>
      </c>
      <c r="AP170" s="39">
        <v>1.33634708931066E-2</v>
      </c>
      <c r="AQ170" s="39">
        <v>1.33634708931066E-2</v>
      </c>
      <c r="AR170" s="39">
        <v>1.33634708931066E-2</v>
      </c>
      <c r="AS170" s="39">
        <v>1.33634708931066E-2</v>
      </c>
      <c r="AT170" s="39">
        <v>1.33634708931066E-2</v>
      </c>
      <c r="AU170" s="39">
        <v>1.2392217523121999E-3</v>
      </c>
      <c r="AV170" s="39">
        <v>1.2392217523121999E-3</v>
      </c>
      <c r="AW170" s="39">
        <v>1.2392217523121999E-3</v>
      </c>
      <c r="AX170" s="39">
        <v>1.2392217523121999E-3</v>
      </c>
      <c r="AY170" s="39">
        <v>1.2392217523121999E-3</v>
      </c>
      <c r="AZ170" s="39">
        <v>1.2392217523121999E-3</v>
      </c>
      <c r="BA170" s="39">
        <v>1.2392217523121999E-3</v>
      </c>
      <c r="BB170" s="39">
        <v>1.2392217523121999E-3</v>
      </c>
      <c r="BC170" s="39">
        <v>1.2392217523121999E-3</v>
      </c>
      <c r="BD170" s="39">
        <v>1.2392217523121999E-3</v>
      </c>
      <c r="BE170" s="39">
        <v>1.2392217523121999E-3</v>
      </c>
      <c r="BF170" s="39">
        <v>1.2392217523121999E-3</v>
      </c>
      <c r="BH170" s="12">
        <f t="shared" si="118"/>
        <v>0</v>
      </c>
      <c r="BI170" s="12">
        <f t="shared" si="119"/>
        <v>0</v>
      </c>
      <c r="BJ170" s="12">
        <f t="shared" si="120"/>
        <v>0</v>
      </c>
      <c r="BK170" s="12">
        <f t="shared" si="121"/>
        <v>0</v>
      </c>
      <c r="BL170" s="12">
        <f t="shared" si="122"/>
        <v>0</v>
      </c>
      <c r="BM170" s="12">
        <f t="shared" si="123"/>
        <v>0</v>
      </c>
      <c r="BN170" s="12">
        <f t="shared" si="124"/>
        <v>0</v>
      </c>
      <c r="BO170" s="12">
        <f t="shared" si="125"/>
        <v>0</v>
      </c>
      <c r="BP170" s="12">
        <f t="shared" si="126"/>
        <v>0</v>
      </c>
      <c r="BQ170" s="12">
        <f t="shared" si="127"/>
        <v>0</v>
      </c>
      <c r="BR170" s="12">
        <f t="shared" si="116"/>
        <v>0</v>
      </c>
      <c r="BS170" s="12">
        <f t="shared" si="117"/>
        <v>0</v>
      </c>
      <c r="BU170" s="11">
        <f t="shared" si="89"/>
        <v>0</v>
      </c>
      <c r="BV170" s="11">
        <f t="shared" si="90"/>
        <v>0</v>
      </c>
      <c r="BW170" s="11">
        <f t="shared" si="91"/>
        <v>0</v>
      </c>
      <c r="BX170" s="11">
        <f t="shared" si="92"/>
        <v>0</v>
      </c>
      <c r="BY170" s="11">
        <f t="shared" si="93"/>
        <v>0</v>
      </c>
      <c r="BZ170" s="11">
        <f t="shared" si="94"/>
        <v>0</v>
      </c>
      <c r="CA170" s="11">
        <f t="shared" si="95"/>
        <v>0</v>
      </c>
      <c r="CB170" s="11">
        <f t="shared" si="96"/>
        <v>0</v>
      </c>
      <c r="CC170" s="11">
        <f t="shared" si="97"/>
        <v>0</v>
      </c>
      <c r="CD170" s="11">
        <f t="shared" si="98"/>
        <v>0</v>
      </c>
      <c r="CE170" s="11">
        <f t="shared" si="99"/>
        <v>0</v>
      </c>
      <c r="CF170" s="11">
        <f t="shared" si="100"/>
        <v>0</v>
      </c>
      <c r="CG170" s="11"/>
      <c r="CH170" s="41">
        <v>3.23</v>
      </c>
      <c r="CJ170" s="54">
        <f t="shared" si="101"/>
        <v>0</v>
      </c>
      <c r="CK170" s="54">
        <f t="shared" si="102"/>
        <v>0</v>
      </c>
      <c r="CL170" s="54">
        <f t="shared" si="103"/>
        <v>0</v>
      </c>
      <c r="CM170" s="54">
        <f t="shared" si="104"/>
        <v>0</v>
      </c>
      <c r="CN170" s="54">
        <f t="shared" si="105"/>
        <v>0</v>
      </c>
      <c r="CO170" s="54">
        <f t="shared" si="106"/>
        <v>0</v>
      </c>
      <c r="CP170" s="54">
        <f t="shared" si="107"/>
        <v>0</v>
      </c>
      <c r="CQ170" s="54">
        <f t="shared" si="108"/>
        <v>0</v>
      </c>
      <c r="CR170" s="54">
        <f t="shared" si="109"/>
        <v>0</v>
      </c>
      <c r="CS170" s="54">
        <f t="shared" si="110"/>
        <v>0</v>
      </c>
      <c r="CT170" s="54">
        <f t="shared" si="111"/>
        <v>0</v>
      </c>
      <c r="CU170" s="54">
        <f t="shared" si="112"/>
        <v>0</v>
      </c>
      <c r="CV170" s="52">
        <f t="shared" si="113"/>
        <v>0</v>
      </c>
    </row>
    <row r="171" spans="1:100" ht="15.75" x14ac:dyDescent="0.25">
      <c r="A171" s="16"/>
      <c r="B171" s="44"/>
      <c r="C171" s="44"/>
      <c r="D171" s="44"/>
      <c r="E171" s="44"/>
      <c r="F171" s="45" t="s">
        <v>20</v>
      </c>
      <c r="G171" s="80"/>
      <c r="H171" s="80"/>
      <c r="I171" s="80"/>
      <c r="J171" s="80"/>
      <c r="K171" s="80"/>
      <c r="L171" s="80"/>
      <c r="M171" s="80"/>
      <c r="N171" s="80"/>
      <c r="O171" s="80"/>
      <c r="P171" s="80"/>
      <c r="Q171" s="80"/>
      <c r="R171" s="80"/>
      <c r="S171" s="11">
        <f t="shared" si="129"/>
        <v>0</v>
      </c>
      <c r="T171" s="8">
        <f t="shared" si="128"/>
        <v>0</v>
      </c>
      <c r="U171" s="13" t="s">
        <v>22</v>
      </c>
      <c r="V171" s="46">
        <f t="shared" ref="V171:V234" si="130">CV171</f>
        <v>0</v>
      </c>
      <c r="W171" s="36">
        <v>1.9370000000000001</v>
      </c>
      <c r="X171" s="36">
        <v>1.9370000000000001</v>
      </c>
      <c r="Y171" s="36">
        <v>1.9370000000000001</v>
      </c>
      <c r="Z171" s="36">
        <v>1.9370000000000001</v>
      </c>
      <c r="AA171" s="36">
        <v>1.9370000000000001</v>
      </c>
      <c r="AB171" s="36">
        <v>1.9370000000000001</v>
      </c>
      <c r="AC171" s="36">
        <v>1.9370000000000001</v>
      </c>
      <c r="AD171" s="36">
        <v>1.9370000000000001</v>
      </c>
      <c r="AE171" s="36">
        <v>1.9370000000000001</v>
      </c>
      <c r="AF171" s="36">
        <v>1.9370000000000001</v>
      </c>
      <c r="AG171" s="36">
        <v>1.9370000000000001</v>
      </c>
      <c r="AH171" s="36">
        <v>1.9370000000000001</v>
      </c>
      <c r="AI171" s="39">
        <v>1.33634708931066E-2</v>
      </c>
      <c r="AJ171" s="39">
        <v>1.33634708931066E-2</v>
      </c>
      <c r="AK171" s="39">
        <v>1.33634708931066E-2</v>
      </c>
      <c r="AL171" s="39">
        <v>1.33634708931066E-2</v>
      </c>
      <c r="AM171" s="39">
        <v>1.33634708931066E-2</v>
      </c>
      <c r="AN171" s="39">
        <v>1.33634708931066E-2</v>
      </c>
      <c r="AO171" s="39">
        <v>1.33634708931066E-2</v>
      </c>
      <c r="AP171" s="39">
        <v>1.33634708931066E-2</v>
      </c>
      <c r="AQ171" s="39">
        <v>1.33634708931066E-2</v>
      </c>
      <c r="AR171" s="39">
        <v>1.33634708931066E-2</v>
      </c>
      <c r="AS171" s="39">
        <v>1.33634708931066E-2</v>
      </c>
      <c r="AT171" s="39">
        <v>1.33634708931066E-2</v>
      </c>
      <c r="AU171" s="39">
        <v>1.2392217523121999E-3</v>
      </c>
      <c r="AV171" s="39">
        <v>1.2392217523121999E-3</v>
      </c>
      <c r="AW171" s="39">
        <v>1.2392217523121999E-3</v>
      </c>
      <c r="AX171" s="39">
        <v>1.2392217523121999E-3</v>
      </c>
      <c r="AY171" s="39">
        <v>1.2392217523121999E-3</v>
      </c>
      <c r="AZ171" s="39">
        <v>1.2392217523121999E-3</v>
      </c>
      <c r="BA171" s="39">
        <v>1.2392217523121999E-3</v>
      </c>
      <c r="BB171" s="39">
        <v>1.2392217523121999E-3</v>
      </c>
      <c r="BC171" s="39">
        <v>1.2392217523121999E-3</v>
      </c>
      <c r="BD171" s="39">
        <v>1.2392217523121999E-3</v>
      </c>
      <c r="BE171" s="39">
        <v>1.2392217523121999E-3</v>
      </c>
      <c r="BF171" s="39">
        <v>1.2392217523121999E-3</v>
      </c>
      <c r="BH171" s="12">
        <f t="shared" si="118"/>
        <v>0</v>
      </c>
      <c r="BI171" s="12">
        <f t="shared" si="119"/>
        <v>0</v>
      </c>
      <c r="BJ171" s="12">
        <f t="shared" si="120"/>
        <v>0</v>
      </c>
      <c r="BK171" s="12">
        <f t="shared" si="121"/>
        <v>0</v>
      </c>
      <c r="BL171" s="12">
        <f t="shared" si="122"/>
        <v>0</v>
      </c>
      <c r="BM171" s="12">
        <f t="shared" si="123"/>
        <v>0</v>
      </c>
      <c r="BN171" s="12">
        <f t="shared" si="124"/>
        <v>0</v>
      </c>
      <c r="BO171" s="12">
        <f t="shared" si="125"/>
        <v>0</v>
      </c>
      <c r="BP171" s="12">
        <f t="shared" si="126"/>
        <v>0</v>
      </c>
      <c r="BQ171" s="12">
        <f t="shared" si="127"/>
        <v>0</v>
      </c>
      <c r="BR171" s="12">
        <f t="shared" ref="BR171:BR234" si="131">(AG171*Q171)</f>
        <v>0</v>
      </c>
      <c r="BS171" s="12">
        <f t="shared" ref="BS171:BS234" si="132">(AH171*R171)</f>
        <v>0</v>
      </c>
      <c r="BU171" s="11">
        <f t="shared" ref="BU171:BU234" si="133">BH171*(1-(AI171+AU171))</f>
        <v>0</v>
      </c>
      <c r="BV171" s="11">
        <f t="shared" ref="BV171:BV234" si="134">BI171*(1-(AJ171+AV171))</f>
        <v>0</v>
      </c>
      <c r="BW171" s="11">
        <f t="shared" ref="BW171:BW234" si="135">BJ171*(1-(AK171+AW171))</f>
        <v>0</v>
      </c>
      <c r="BX171" s="11">
        <f t="shared" ref="BX171:BX234" si="136">BK171*(1-(AL171+AX171))</f>
        <v>0</v>
      </c>
      <c r="BY171" s="11">
        <f t="shared" ref="BY171:BY234" si="137">BL171*(1-(AM171+AY171))</f>
        <v>0</v>
      </c>
      <c r="BZ171" s="11">
        <f t="shared" ref="BZ171:BZ234" si="138">BM171*(1-(AN171+AZ171))</f>
        <v>0</v>
      </c>
      <c r="CA171" s="11">
        <f t="shared" ref="CA171:CA234" si="139">BN171*(1-(AO171+BA171))</f>
        <v>0</v>
      </c>
      <c r="CB171" s="11">
        <f t="shared" ref="CB171:CB234" si="140">BO171*(1-(AP171+BB171))</f>
        <v>0</v>
      </c>
      <c r="CC171" s="11">
        <f t="shared" ref="CC171:CC234" si="141">BP171*(1-(AQ171+BC171))</f>
        <v>0</v>
      </c>
      <c r="CD171" s="11">
        <f t="shared" ref="CD171:CD234" si="142">BQ171*(1-(AR171+BD171))</f>
        <v>0</v>
      </c>
      <c r="CE171" s="11">
        <f t="shared" ref="CE171:CE234" si="143">BR171*(1-(AS171+BE171))</f>
        <v>0</v>
      </c>
      <c r="CF171" s="11">
        <f t="shared" ref="CF171:CF234" si="144">BS171*(1-(AT171+BF171))</f>
        <v>0</v>
      </c>
      <c r="CG171" s="11"/>
      <c r="CH171" s="41">
        <v>3.23</v>
      </c>
      <c r="CJ171" s="54">
        <f t="shared" ref="CJ171:CJ234" si="145">((BU171/$CH171)/1000)</f>
        <v>0</v>
      </c>
      <c r="CK171" s="54">
        <f t="shared" ref="CK171:CK234" si="146">((BV171/$CH171)/1000)</f>
        <v>0</v>
      </c>
      <c r="CL171" s="54">
        <f t="shared" ref="CL171:CL234" si="147">((BW171/$CH171)/1000)</f>
        <v>0</v>
      </c>
      <c r="CM171" s="54">
        <f t="shared" ref="CM171:CM234" si="148">((BX171/$CH171)/1000)</f>
        <v>0</v>
      </c>
      <c r="CN171" s="54">
        <f t="shared" ref="CN171:CN234" si="149">((BY171/$CH171)/1000)</f>
        <v>0</v>
      </c>
      <c r="CO171" s="54">
        <f t="shared" ref="CO171:CO234" si="150">((BZ171/$CH171)/1000)</f>
        <v>0</v>
      </c>
      <c r="CP171" s="54">
        <f t="shared" ref="CP171:CP234" si="151">((CA171/$CH171)/1000)</f>
        <v>0</v>
      </c>
      <c r="CQ171" s="54">
        <f t="shared" ref="CQ171:CQ234" si="152">((CB171/$CH171)/1000)</f>
        <v>0</v>
      </c>
      <c r="CR171" s="54">
        <f t="shared" ref="CR171:CR234" si="153">((CC171/$CH171)/1000)</f>
        <v>0</v>
      </c>
      <c r="CS171" s="54">
        <f t="shared" ref="CS171:CS234" si="154">((CD171/$CH171)/1000)</f>
        <v>0</v>
      </c>
      <c r="CT171" s="54">
        <f t="shared" ref="CT171:CT234" si="155">((CE171/$CH171)/1000)</f>
        <v>0</v>
      </c>
      <c r="CU171" s="54">
        <f t="shared" ref="CU171:CU234" si="156">((CF171/$CH171)/1000)</f>
        <v>0</v>
      </c>
      <c r="CV171" s="52">
        <f t="shared" ref="CV171:CV234" si="157">ROUNDUP(SUM(CJ171:CU171),0)</f>
        <v>0</v>
      </c>
    </row>
    <row r="172" spans="1:100" ht="15.75" x14ac:dyDescent="0.25">
      <c r="A172" s="16"/>
      <c r="B172" s="44"/>
      <c r="C172" s="44"/>
      <c r="D172" s="44"/>
      <c r="E172" s="44"/>
      <c r="F172" s="45" t="s">
        <v>20</v>
      </c>
      <c r="G172" s="80"/>
      <c r="H172" s="80"/>
      <c r="I172" s="80"/>
      <c r="J172" s="80"/>
      <c r="K172" s="80"/>
      <c r="L172" s="80"/>
      <c r="M172" s="80"/>
      <c r="N172" s="80"/>
      <c r="O172" s="80"/>
      <c r="P172" s="80"/>
      <c r="Q172" s="80"/>
      <c r="R172" s="80"/>
      <c r="S172" s="11">
        <f t="shared" si="129"/>
        <v>0</v>
      </c>
      <c r="T172" s="8">
        <f t="shared" si="128"/>
        <v>0</v>
      </c>
      <c r="U172" s="13" t="s">
        <v>22</v>
      </c>
      <c r="V172" s="46">
        <f t="shared" si="130"/>
        <v>0</v>
      </c>
      <c r="W172" s="36">
        <v>2.6589999999999998</v>
      </c>
      <c r="X172" s="36">
        <v>2.6589999999999998</v>
      </c>
      <c r="Y172" s="36">
        <v>2.6589999999999998</v>
      </c>
      <c r="Z172" s="36">
        <v>2.6589999999999998</v>
      </c>
      <c r="AA172" s="36">
        <v>2.6589999999999998</v>
      </c>
      <c r="AB172" s="36">
        <v>2.6589999999999998</v>
      </c>
      <c r="AC172" s="36">
        <v>2.6589999999999998</v>
      </c>
      <c r="AD172" s="36">
        <v>2.6589999999999998</v>
      </c>
      <c r="AE172" s="36">
        <v>2.6589999999999998</v>
      </c>
      <c r="AF172" s="36">
        <v>2.6589999999999998</v>
      </c>
      <c r="AG172" s="36">
        <v>2.6589999999999998</v>
      </c>
      <c r="AH172" s="36">
        <v>2.6589999999999998</v>
      </c>
      <c r="AI172" s="39">
        <v>1.33634708931066E-2</v>
      </c>
      <c r="AJ172" s="39">
        <v>1.33634708931066E-2</v>
      </c>
      <c r="AK172" s="39">
        <v>1.33634708931066E-2</v>
      </c>
      <c r="AL172" s="39">
        <v>1.33634708931066E-2</v>
      </c>
      <c r="AM172" s="39">
        <v>1.33634708931066E-2</v>
      </c>
      <c r="AN172" s="39">
        <v>1.33634708931066E-2</v>
      </c>
      <c r="AO172" s="39">
        <v>1.33634708931066E-2</v>
      </c>
      <c r="AP172" s="39">
        <v>1.33634708931066E-2</v>
      </c>
      <c r="AQ172" s="39">
        <v>1.33634708931066E-2</v>
      </c>
      <c r="AR172" s="39">
        <v>1.33634708931066E-2</v>
      </c>
      <c r="AS172" s="39">
        <v>1.33634708931066E-2</v>
      </c>
      <c r="AT172" s="39">
        <v>1.33634708931066E-2</v>
      </c>
      <c r="AU172" s="39">
        <v>1.2392217523121999E-3</v>
      </c>
      <c r="AV172" s="39">
        <v>1.2392217523121999E-3</v>
      </c>
      <c r="AW172" s="39">
        <v>1.2392217523121999E-3</v>
      </c>
      <c r="AX172" s="39">
        <v>1.2392217523121999E-3</v>
      </c>
      <c r="AY172" s="39">
        <v>1.2392217523121999E-3</v>
      </c>
      <c r="AZ172" s="39">
        <v>1.2392217523121999E-3</v>
      </c>
      <c r="BA172" s="39">
        <v>1.2392217523121999E-3</v>
      </c>
      <c r="BB172" s="39">
        <v>1.2392217523121999E-3</v>
      </c>
      <c r="BC172" s="39">
        <v>1.2392217523121999E-3</v>
      </c>
      <c r="BD172" s="39">
        <v>1.2392217523121999E-3</v>
      </c>
      <c r="BE172" s="39">
        <v>1.2392217523121999E-3</v>
      </c>
      <c r="BF172" s="39">
        <v>1.2392217523121999E-3</v>
      </c>
      <c r="BH172" s="12">
        <f t="shared" si="118"/>
        <v>0</v>
      </c>
      <c r="BI172" s="12">
        <f t="shared" si="119"/>
        <v>0</v>
      </c>
      <c r="BJ172" s="12">
        <f t="shared" si="120"/>
        <v>0</v>
      </c>
      <c r="BK172" s="12">
        <f t="shared" si="121"/>
        <v>0</v>
      </c>
      <c r="BL172" s="12">
        <f t="shared" si="122"/>
        <v>0</v>
      </c>
      <c r="BM172" s="12">
        <f t="shared" si="123"/>
        <v>0</v>
      </c>
      <c r="BN172" s="12">
        <f t="shared" si="124"/>
        <v>0</v>
      </c>
      <c r="BO172" s="12">
        <f t="shared" si="125"/>
        <v>0</v>
      </c>
      <c r="BP172" s="12">
        <f t="shared" si="126"/>
        <v>0</v>
      </c>
      <c r="BQ172" s="12">
        <f t="shared" si="127"/>
        <v>0</v>
      </c>
      <c r="BR172" s="12">
        <f t="shared" si="131"/>
        <v>0</v>
      </c>
      <c r="BS172" s="12">
        <f t="shared" si="132"/>
        <v>0</v>
      </c>
      <c r="BU172" s="11">
        <f t="shared" si="133"/>
        <v>0</v>
      </c>
      <c r="BV172" s="11">
        <f t="shared" si="134"/>
        <v>0</v>
      </c>
      <c r="BW172" s="11">
        <f t="shared" si="135"/>
        <v>0</v>
      </c>
      <c r="BX172" s="11">
        <f t="shared" si="136"/>
        <v>0</v>
      </c>
      <c r="BY172" s="11">
        <f t="shared" si="137"/>
        <v>0</v>
      </c>
      <c r="BZ172" s="11">
        <f t="shared" si="138"/>
        <v>0</v>
      </c>
      <c r="CA172" s="11">
        <f t="shared" si="139"/>
        <v>0</v>
      </c>
      <c r="CB172" s="11">
        <f t="shared" si="140"/>
        <v>0</v>
      </c>
      <c r="CC172" s="11">
        <f t="shared" si="141"/>
        <v>0</v>
      </c>
      <c r="CD172" s="11">
        <f t="shared" si="142"/>
        <v>0</v>
      </c>
      <c r="CE172" s="11">
        <f t="shared" si="143"/>
        <v>0</v>
      </c>
      <c r="CF172" s="11">
        <f t="shared" si="144"/>
        <v>0</v>
      </c>
      <c r="CG172" s="11"/>
      <c r="CH172" s="41">
        <v>3.23</v>
      </c>
      <c r="CJ172" s="54">
        <f t="shared" si="145"/>
        <v>0</v>
      </c>
      <c r="CK172" s="54">
        <f t="shared" si="146"/>
        <v>0</v>
      </c>
      <c r="CL172" s="54">
        <f t="shared" si="147"/>
        <v>0</v>
      </c>
      <c r="CM172" s="54">
        <f t="shared" si="148"/>
        <v>0</v>
      </c>
      <c r="CN172" s="54">
        <f t="shared" si="149"/>
        <v>0</v>
      </c>
      <c r="CO172" s="54">
        <f t="shared" si="150"/>
        <v>0</v>
      </c>
      <c r="CP172" s="54">
        <f t="shared" si="151"/>
        <v>0</v>
      </c>
      <c r="CQ172" s="54">
        <f t="shared" si="152"/>
        <v>0</v>
      </c>
      <c r="CR172" s="54">
        <f t="shared" si="153"/>
        <v>0</v>
      </c>
      <c r="CS172" s="54">
        <f t="shared" si="154"/>
        <v>0</v>
      </c>
      <c r="CT172" s="54">
        <f t="shared" si="155"/>
        <v>0</v>
      </c>
      <c r="CU172" s="54">
        <f t="shared" si="156"/>
        <v>0</v>
      </c>
      <c r="CV172" s="52">
        <f t="shared" si="157"/>
        <v>0</v>
      </c>
    </row>
    <row r="173" spans="1:100" ht="15.75" x14ac:dyDescent="0.25">
      <c r="A173" s="16"/>
      <c r="B173" s="44"/>
      <c r="C173" s="44"/>
      <c r="D173" s="44"/>
      <c r="E173" s="44"/>
      <c r="F173" s="45" t="s">
        <v>20</v>
      </c>
      <c r="G173" s="80"/>
      <c r="H173" s="80"/>
      <c r="I173" s="80"/>
      <c r="J173" s="80"/>
      <c r="K173" s="80"/>
      <c r="L173" s="80"/>
      <c r="M173" s="80"/>
      <c r="N173" s="80"/>
      <c r="O173" s="80"/>
      <c r="P173" s="80"/>
      <c r="Q173" s="80"/>
      <c r="R173" s="80"/>
      <c r="S173" s="11">
        <f t="shared" si="129"/>
        <v>0</v>
      </c>
      <c r="T173" s="8">
        <f t="shared" si="128"/>
        <v>0</v>
      </c>
      <c r="U173" s="13" t="s">
        <v>22</v>
      </c>
      <c r="V173" s="46">
        <f t="shared" si="130"/>
        <v>0</v>
      </c>
      <c r="W173" s="36">
        <v>1.8500010816189674</v>
      </c>
      <c r="X173" s="36">
        <v>1.8500010816189674</v>
      </c>
      <c r="Y173" s="36">
        <v>1.8500010816189674</v>
      </c>
      <c r="Z173" s="36">
        <v>1.8500010816189674</v>
      </c>
      <c r="AA173" s="36">
        <v>1.8500010816189674</v>
      </c>
      <c r="AB173" s="36">
        <v>1.8500010816189674</v>
      </c>
      <c r="AC173" s="36">
        <v>1.8500010816189674</v>
      </c>
      <c r="AD173" s="36">
        <v>1.8500010816189674</v>
      </c>
      <c r="AE173" s="36">
        <v>1.8500010816189674</v>
      </c>
      <c r="AF173" s="36">
        <v>1.8500010816189674</v>
      </c>
      <c r="AG173" s="36">
        <v>1.8500010816189674</v>
      </c>
      <c r="AH173" s="36">
        <v>1.8500010816189674</v>
      </c>
      <c r="AI173" s="39">
        <v>0</v>
      </c>
      <c r="AJ173" s="39">
        <v>0</v>
      </c>
      <c r="AK173" s="39">
        <v>0</v>
      </c>
      <c r="AL173" s="39">
        <v>0</v>
      </c>
      <c r="AM173" s="39">
        <v>0</v>
      </c>
      <c r="AN173" s="39">
        <v>0</v>
      </c>
      <c r="AO173" s="39">
        <v>0</v>
      </c>
      <c r="AP173" s="39">
        <v>0</v>
      </c>
      <c r="AQ173" s="39">
        <v>0</v>
      </c>
      <c r="AR173" s="39">
        <v>0</v>
      </c>
      <c r="AS173" s="39">
        <v>0</v>
      </c>
      <c r="AT173" s="39">
        <v>0</v>
      </c>
      <c r="AU173" s="39">
        <v>0</v>
      </c>
      <c r="AV173" s="39">
        <v>0</v>
      </c>
      <c r="AW173" s="39">
        <v>0</v>
      </c>
      <c r="AX173" s="39">
        <v>0</v>
      </c>
      <c r="AY173" s="39">
        <v>0</v>
      </c>
      <c r="AZ173" s="39">
        <v>0</v>
      </c>
      <c r="BA173" s="39">
        <v>0</v>
      </c>
      <c r="BB173" s="39">
        <v>0</v>
      </c>
      <c r="BC173" s="39">
        <v>0</v>
      </c>
      <c r="BD173" s="39">
        <v>0</v>
      </c>
      <c r="BE173" s="39">
        <v>0</v>
      </c>
      <c r="BF173" s="39">
        <v>0</v>
      </c>
      <c r="BH173" s="12">
        <f t="shared" si="118"/>
        <v>0</v>
      </c>
      <c r="BI173" s="12">
        <f t="shared" si="119"/>
        <v>0</v>
      </c>
      <c r="BJ173" s="12">
        <f t="shared" si="120"/>
        <v>0</v>
      </c>
      <c r="BK173" s="12">
        <f t="shared" si="121"/>
        <v>0</v>
      </c>
      <c r="BL173" s="12">
        <f t="shared" si="122"/>
        <v>0</v>
      </c>
      <c r="BM173" s="12">
        <f t="shared" si="123"/>
        <v>0</v>
      </c>
      <c r="BN173" s="12">
        <f t="shared" si="124"/>
        <v>0</v>
      </c>
      <c r="BO173" s="12">
        <f t="shared" si="125"/>
        <v>0</v>
      </c>
      <c r="BP173" s="12">
        <f t="shared" si="126"/>
        <v>0</v>
      </c>
      <c r="BQ173" s="12">
        <f t="shared" si="127"/>
        <v>0</v>
      </c>
      <c r="BR173" s="12">
        <f t="shared" si="131"/>
        <v>0</v>
      </c>
      <c r="BS173" s="12">
        <f t="shared" si="132"/>
        <v>0</v>
      </c>
      <c r="BU173" s="11">
        <f t="shared" si="133"/>
        <v>0</v>
      </c>
      <c r="BV173" s="11">
        <f t="shared" si="134"/>
        <v>0</v>
      </c>
      <c r="BW173" s="11">
        <f t="shared" si="135"/>
        <v>0</v>
      </c>
      <c r="BX173" s="11">
        <f t="shared" si="136"/>
        <v>0</v>
      </c>
      <c r="BY173" s="11">
        <f t="shared" si="137"/>
        <v>0</v>
      </c>
      <c r="BZ173" s="11">
        <f t="shared" si="138"/>
        <v>0</v>
      </c>
      <c r="CA173" s="11">
        <f t="shared" si="139"/>
        <v>0</v>
      </c>
      <c r="CB173" s="11">
        <f t="shared" si="140"/>
        <v>0</v>
      </c>
      <c r="CC173" s="11">
        <f t="shared" si="141"/>
        <v>0</v>
      </c>
      <c r="CD173" s="11">
        <f t="shared" si="142"/>
        <v>0</v>
      </c>
      <c r="CE173" s="11">
        <f t="shared" si="143"/>
        <v>0</v>
      </c>
      <c r="CF173" s="11">
        <f t="shared" si="144"/>
        <v>0</v>
      </c>
      <c r="CG173" s="11"/>
      <c r="CH173" s="41">
        <v>1</v>
      </c>
      <c r="CJ173" s="54">
        <f t="shared" si="145"/>
        <v>0</v>
      </c>
      <c r="CK173" s="54">
        <f t="shared" si="146"/>
        <v>0</v>
      </c>
      <c r="CL173" s="54">
        <f t="shared" si="147"/>
        <v>0</v>
      </c>
      <c r="CM173" s="54">
        <f t="shared" si="148"/>
        <v>0</v>
      </c>
      <c r="CN173" s="54">
        <f t="shared" si="149"/>
        <v>0</v>
      </c>
      <c r="CO173" s="54">
        <f t="shared" si="150"/>
        <v>0</v>
      </c>
      <c r="CP173" s="54">
        <f t="shared" si="151"/>
        <v>0</v>
      </c>
      <c r="CQ173" s="54">
        <f t="shared" si="152"/>
        <v>0</v>
      </c>
      <c r="CR173" s="54">
        <f t="shared" si="153"/>
        <v>0</v>
      </c>
      <c r="CS173" s="54">
        <f t="shared" si="154"/>
        <v>0</v>
      </c>
      <c r="CT173" s="54">
        <f t="shared" si="155"/>
        <v>0</v>
      </c>
      <c r="CU173" s="54">
        <f t="shared" si="156"/>
        <v>0</v>
      </c>
      <c r="CV173" s="52">
        <f t="shared" si="157"/>
        <v>0</v>
      </c>
    </row>
    <row r="174" spans="1:100" ht="15.75" x14ac:dyDescent="0.25">
      <c r="A174" s="16"/>
      <c r="B174" s="44"/>
      <c r="C174" s="44"/>
      <c r="D174" s="44"/>
      <c r="E174" s="44"/>
      <c r="F174" s="45" t="s">
        <v>20</v>
      </c>
      <c r="G174" s="80"/>
      <c r="H174" s="80"/>
      <c r="I174" s="80"/>
      <c r="J174" s="80"/>
      <c r="K174" s="80"/>
      <c r="L174" s="80"/>
      <c r="M174" s="80"/>
      <c r="N174" s="80"/>
      <c r="O174" s="80"/>
      <c r="P174" s="80"/>
      <c r="Q174" s="80"/>
      <c r="R174" s="80"/>
      <c r="S174" s="11">
        <f t="shared" si="129"/>
        <v>0</v>
      </c>
      <c r="T174" s="8">
        <f t="shared" si="128"/>
        <v>0</v>
      </c>
      <c r="U174" s="13" t="s">
        <v>22</v>
      </c>
      <c r="V174" s="46">
        <f t="shared" si="130"/>
        <v>0</v>
      </c>
      <c r="W174" s="36">
        <v>3.17</v>
      </c>
      <c r="X174" s="36">
        <v>3.17</v>
      </c>
      <c r="Y174" s="36">
        <v>3.17</v>
      </c>
      <c r="Z174" s="36">
        <v>3.17</v>
      </c>
      <c r="AA174" s="36">
        <v>3.17</v>
      </c>
      <c r="AB174" s="36">
        <v>3.17</v>
      </c>
      <c r="AC174" s="36">
        <v>3.17</v>
      </c>
      <c r="AD174" s="36">
        <v>3.17</v>
      </c>
      <c r="AE174" s="36">
        <v>3.17</v>
      </c>
      <c r="AF174" s="36">
        <v>3.17</v>
      </c>
      <c r="AG174" s="36">
        <v>3.17</v>
      </c>
      <c r="AH174" s="36">
        <v>3.17</v>
      </c>
      <c r="AI174" s="39">
        <v>0</v>
      </c>
      <c r="AJ174" s="39">
        <v>0</v>
      </c>
      <c r="AK174" s="39">
        <v>0</v>
      </c>
      <c r="AL174" s="39">
        <v>0</v>
      </c>
      <c r="AM174" s="39">
        <v>0</v>
      </c>
      <c r="AN174" s="39">
        <v>0</v>
      </c>
      <c r="AO174" s="39">
        <v>0</v>
      </c>
      <c r="AP174" s="39">
        <v>0</v>
      </c>
      <c r="AQ174" s="39">
        <v>0</v>
      </c>
      <c r="AR174" s="39">
        <v>0</v>
      </c>
      <c r="AS174" s="39">
        <v>0</v>
      </c>
      <c r="AT174" s="39">
        <v>0</v>
      </c>
      <c r="AU174" s="39">
        <v>0</v>
      </c>
      <c r="AV174" s="39">
        <v>0</v>
      </c>
      <c r="AW174" s="39">
        <v>0</v>
      </c>
      <c r="AX174" s="39">
        <v>0</v>
      </c>
      <c r="AY174" s="39">
        <v>0</v>
      </c>
      <c r="AZ174" s="39">
        <v>0</v>
      </c>
      <c r="BA174" s="39">
        <v>0</v>
      </c>
      <c r="BB174" s="39">
        <v>0</v>
      </c>
      <c r="BC174" s="39">
        <v>0</v>
      </c>
      <c r="BD174" s="39">
        <v>0</v>
      </c>
      <c r="BE174" s="39">
        <v>0</v>
      </c>
      <c r="BF174" s="39">
        <v>0</v>
      </c>
      <c r="BH174" s="12">
        <f t="shared" si="118"/>
        <v>0</v>
      </c>
      <c r="BI174" s="12">
        <f t="shared" si="119"/>
        <v>0</v>
      </c>
      <c r="BJ174" s="12">
        <f t="shared" si="120"/>
        <v>0</v>
      </c>
      <c r="BK174" s="12">
        <f t="shared" si="121"/>
        <v>0</v>
      </c>
      <c r="BL174" s="12">
        <f t="shared" si="122"/>
        <v>0</v>
      </c>
      <c r="BM174" s="12">
        <f t="shared" si="123"/>
        <v>0</v>
      </c>
      <c r="BN174" s="12">
        <f t="shared" si="124"/>
        <v>0</v>
      </c>
      <c r="BO174" s="12">
        <f t="shared" si="125"/>
        <v>0</v>
      </c>
      <c r="BP174" s="12">
        <f t="shared" si="126"/>
        <v>0</v>
      </c>
      <c r="BQ174" s="12">
        <f t="shared" si="127"/>
        <v>0</v>
      </c>
      <c r="BR174" s="12">
        <f t="shared" si="131"/>
        <v>0</v>
      </c>
      <c r="BS174" s="12">
        <f t="shared" si="132"/>
        <v>0</v>
      </c>
      <c r="BU174" s="11">
        <f t="shared" si="133"/>
        <v>0</v>
      </c>
      <c r="BV174" s="11">
        <f t="shared" si="134"/>
        <v>0</v>
      </c>
      <c r="BW174" s="11">
        <f t="shared" si="135"/>
        <v>0</v>
      </c>
      <c r="BX174" s="11">
        <f t="shared" si="136"/>
        <v>0</v>
      </c>
      <c r="BY174" s="11">
        <f t="shared" si="137"/>
        <v>0</v>
      </c>
      <c r="BZ174" s="11">
        <f t="shared" si="138"/>
        <v>0</v>
      </c>
      <c r="CA174" s="11">
        <f t="shared" si="139"/>
        <v>0</v>
      </c>
      <c r="CB174" s="11">
        <f t="shared" si="140"/>
        <v>0</v>
      </c>
      <c r="CC174" s="11">
        <f t="shared" si="141"/>
        <v>0</v>
      </c>
      <c r="CD174" s="11">
        <f t="shared" si="142"/>
        <v>0</v>
      </c>
      <c r="CE174" s="11">
        <f t="shared" si="143"/>
        <v>0</v>
      </c>
      <c r="CF174" s="11">
        <f t="shared" si="144"/>
        <v>0</v>
      </c>
      <c r="CG174" s="11"/>
      <c r="CH174" s="41">
        <v>1</v>
      </c>
      <c r="CJ174" s="54">
        <f t="shared" si="145"/>
        <v>0</v>
      </c>
      <c r="CK174" s="54">
        <f t="shared" si="146"/>
        <v>0</v>
      </c>
      <c r="CL174" s="54">
        <f t="shared" si="147"/>
        <v>0</v>
      </c>
      <c r="CM174" s="54">
        <f t="shared" si="148"/>
        <v>0</v>
      </c>
      <c r="CN174" s="54">
        <f t="shared" si="149"/>
        <v>0</v>
      </c>
      <c r="CO174" s="54">
        <f t="shared" si="150"/>
        <v>0</v>
      </c>
      <c r="CP174" s="54">
        <f t="shared" si="151"/>
        <v>0</v>
      </c>
      <c r="CQ174" s="54">
        <f t="shared" si="152"/>
        <v>0</v>
      </c>
      <c r="CR174" s="54">
        <f t="shared" si="153"/>
        <v>0</v>
      </c>
      <c r="CS174" s="54">
        <f t="shared" si="154"/>
        <v>0</v>
      </c>
      <c r="CT174" s="54">
        <f t="shared" si="155"/>
        <v>0</v>
      </c>
      <c r="CU174" s="54">
        <f t="shared" si="156"/>
        <v>0</v>
      </c>
      <c r="CV174" s="52">
        <f t="shared" si="157"/>
        <v>0</v>
      </c>
    </row>
    <row r="175" spans="1:100" ht="15.75" x14ac:dyDescent="0.25">
      <c r="A175" s="16"/>
      <c r="B175" s="44"/>
      <c r="C175" s="44"/>
      <c r="D175" s="44"/>
      <c r="E175" s="44"/>
      <c r="F175" s="45" t="s">
        <v>20</v>
      </c>
      <c r="G175" s="80"/>
      <c r="H175" s="80"/>
      <c r="I175" s="80"/>
      <c r="J175" s="80"/>
      <c r="K175" s="80"/>
      <c r="L175" s="80"/>
      <c r="M175" s="80"/>
      <c r="N175" s="80"/>
      <c r="O175" s="80"/>
      <c r="P175" s="80"/>
      <c r="Q175" s="80"/>
      <c r="R175" s="80"/>
      <c r="S175" s="11">
        <f t="shared" si="129"/>
        <v>0</v>
      </c>
      <c r="T175" s="8">
        <f t="shared" si="128"/>
        <v>0</v>
      </c>
      <c r="U175" s="13" t="s">
        <v>22</v>
      </c>
      <c r="V175" s="46">
        <f t="shared" si="130"/>
        <v>0</v>
      </c>
      <c r="W175" s="36">
        <v>3.149</v>
      </c>
      <c r="X175" s="36">
        <v>3.149</v>
      </c>
      <c r="Y175" s="36">
        <v>3.149</v>
      </c>
      <c r="Z175" s="36">
        <v>3.149</v>
      </c>
      <c r="AA175" s="36">
        <v>3.149</v>
      </c>
      <c r="AB175" s="36">
        <v>3.149</v>
      </c>
      <c r="AC175" s="36">
        <v>3.149</v>
      </c>
      <c r="AD175" s="36">
        <v>3.149</v>
      </c>
      <c r="AE175" s="36">
        <v>3.149</v>
      </c>
      <c r="AF175" s="36">
        <v>3.149</v>
      </c>
      <c r="AG175" s="36">
        <v>3.149</v>
      </c>
      <c r="AH175" s="36">
        <v>3.149</v>
      </c>
      <c r="AI175" s="39">
        <v>1.33634708931066E-2</v>
      </c>
      <c r="AJ175" s="39">
        <v>1.33634708931066E-2</v>
      </c>
      <c r="AK175" s="39">
        <v>1.33634708931066E-2</v>
      </c>
      <c r="AL175" s="39">
        <v>1.33634708931066E-2</v>
      </c>
      <c r="AM175" s="39">
        <v>1.33634708931066E-2</v>
      </c>
      <c r="AN175" s="39">
        <v>1.33634708931066E-2</v>
      </c>
      <c r="AO175" s="39">
        <v>1.33634708931066E-2</v>
      </c>
      <c r="AP175" s="39">
        <v>1.33634708931066E-2</v>
      </c>
      <c r="AQ175" s="39">
        <v>1.33634708931066E-2</v>
      </c>
      <c r="AR175" s="39">
        <v>1.33634708931066E-2</v>
      </c>
      <c r="AS175" s="39">
        <v>1.33634708931066E-2</v>
      </c>
      <c r="AT175" s="39">
        <v>1.33634708931066E-2</v>
      </c>
      <c r="AU175" s="39">
        <v>1.2392217523121999E-3</v>
      </c>
      <c r="AV175" s="39">
        <v>1.2392217523121999E-3</v>
      </c>
      <c r="AW175" s="39">
        <v>1.2392217523121999E-3</v>
      </c>
      <c r="AX175" s="39">
        <v>1.2392217523121999E-3</v>
      </c>
      <c r="AY175" s="39">
        <v>1.2392217523121999E-3</v>
      </c>
      <c r="AZ175" s="39">
        <v>1.2392217523121999E-3</v>
      </c>
      <c r="BA175" s="39">
        <v>1.2392217523121999E-3</v>
      </c>
      <c r="BB175" s="39">
        <v>1.2392217523121999E-3</v>
      </c>
      <c r="BC175" s="39">
        <v>1.2392217523121999E-3</v>
      </c>
      <c r="BD175" s="39">
        <v>1.2392217523121999E-3</v>
      </c>
      <c r="BE175" s="39">
        <v>1.2392217523121999E-3</v>
      </c>
      <c r="BF175" s="39">
        <v>1.2392217523121999E-3</v>
      </c>
      <c r="BH175" s="12">
        <f t="shared" si="118"/>
        <v>0</v>
      </c>
      <c r="BI175" s="12">
        <f t="shared" si="119"/>
        <v>0</v>
      </c>
      <c r="BJ175" s="12">
        <f t="shared" si="120"/>
        <v>0</v>
      </c>
      <c r="BK175" s="12">
        <f t="shared" si="121"/>
        <v>0</v>
      </c>
      <c r="BL175" s="12">
        <f t="shared" si="122"/>
        <v>0</v>
      </c>
      <c r="BM175" s="12">
        <f t="shared" si="123"/>
        <v>0</v>
      </c>
      <c r="BN175" s="12">
        <f t="shared" si="124"/>
        <v>0</v>
      </c>
      <c r="BO175" s="12">
        <f t="shared" si="125"/>
        <v>0</v>
      </c>
      <c r="BP175" s="12">
        <f t="shared" si="126"/>
        <v>0</v>
      </c>
      <c r="BQ175" s="12">
        <f t="shared" si="127"/>
        <v>0</v>
      </c>
      <c r="BR175" s="12">
        <f t="shared" si="131"/>
        <v>0</v>
      </c>
      <c r="BS175" s="12">
        <f t="shared" si="132"/>
        <v>0</v>
      </c>
      <c r="BU175" s="11">
        <f t="shared" si="133"/>
        <v>0</v>
      </c>
      <c r="BV175" s="11">
        <f t="shared" si="134"/>
        <v>0</v>
      </c>
      <c r="BW175" s="11">
        <f t="shared" si="135"/>
        <v>0</v>
      </c>
      <c r="BX175" s="11">
        <f t="shared" si="136"/>
        <v>0</v>
      </c>
      <c r="BY175" s="11">
        <f t="shared" si="137"/>
        <v>0</v>
      </c>
      <c r="BZ175" s="11">
        <f t="shared" si="138"/>
        <v>0</v>
      </c>
      <c r="CA175" s="11">
        <f t="shared" si="139"/>
        <v>0</v>
      </c>
      <c r="CB175" s="11">
        <f t="shared" si="140"/>
        <v>0</v>
      </c>
      <c r="CC175" s="11">
        <f t="shared" si="141"/>
        <v>0</v>
      </c>
      <c r="CD175" s="11">
        <f t="shared" si="142"/>
        <v>0</v>
      </c>
      <c r="CE175" s="11">
        <f t="shared" si="143"/>
        <v>0</v>
      </c>
      <c r="CF175" s="11">
        <f t="shared" si="144"/>
        <v>0</v>
      </c>
      <c r="CG175" s="11"/>
      <c r="CH175" s="41">
        <v>3.23</v>
      </c>
      <c r="CJ175" s="54">
        <f t="shared" si="145"/>
        <v>0</v>
      </c>
      <c r="CK175" s="54">
        <f t="shared" si="146"/>
        <v>0</v>
      </c>
      <c r="CL175" s="54">
        <f t="shared" si="147"/>
        <v>0</v>
      </c>
      <c r="CM175" s="54">
        <f t="shared" si="148"/>
        <v>0</v>
      </c>
      <c r="CN175" s="54">
        <f t="shared" si="149"/>
        <v>0</v>
      </c>
      <c r="CO175" s="54">
        <f t="shared" si="150"/>
        <v>0</v>
      </c>
      <c r="CP175" s="54">
        <f t="shared" si="151"/>
        <v>0</v>
      </c>
      <c r="CQ175" s="54">
        <f t="shared" si="152"/>
        <v>0</v>
      </c>
      <c r="CR175" s="54">
        <f t="shared" si="153"/>
        <v>0</v>
      </c>
      <c r="CS175" s="54">
        <f t="shared" si="154"/>
        <v>0</v>
      </c>
      <c r="CT175" s="54">
        <f t="shared" si="155"/>
        <v>0</v>
      </c>
      <c r="CU175" s="54">
        <f t="shared" si="156"/>
        <v>0</v>
      </c>
      <c r="CV175" s="52">
        <f t="shared" si="157"/>
        <v>0</v>
      </c>
    </row>
    <row r="176" spans="1:100" ht="15.75" x14ac:dyDescent="0.25">
      <c r="A176" s="16"/>
      <c r="B176" s="44"/>
      <c r="C176" s="44"/>
      <c r="D176" s="44"/>
      <c r="E176" s="44"/>
      <c r="F176" s="45" t="s">
        <v>20</v>
      </c>
      <c r="G176" s="80"/>
      <c r="H176" s="80"/>
      <c r="I176" s="80"/>
      <c r="J176" s="80"/>
      <c r="K176" s="80"/>
      <c r="L176" s="80"/>
      <c r="M176" s="80"/>
      <c r="N176" s="80"/>
      <c r="O176" s="80"/>
      <c r="P176" s="80"/>
      <c r="Q176" s="80"/>
      <c r="R176" s="80"/>
      <c r="S176" s="11">
        <f t="shared" ref="S176:S242" si="158">SUM(G176:R176)</f>
        <v>0</v>
      </c>
      <c r="T176" s="8">
        <f t="shared" si="128"/>
        <v>0</v>
      </c>
      <c r="U176" s="13" t="s">
        <v>22</v>
      </c>
      <c r="V176" s="46">
        <f t="shared" si="130"/>
        <v>0</v>
      </c>
      <c r="W176" s="36">
        <v>1.4379999999999999</v>
      </c>
      <c r="X176" s="36">
        <v>1.4379999999999999</v>
      </c>
      <c r="Y176" s="36">
        <v>1.4379999999999999</v>
      </c>
      <c r="Z176" s="36">
        <v>1.4379999999999999</v>
      </c>
      <c r="AA176" s="36">
        <v>1.4379999999999999</v>
      </c>
      <c r="AB176" s="36">
        <v>1.4379999999999999</v>
      </c>
      <c r="AC176" s="36">
        <v>1.4379999999999999</v>
      </c>
      <c r="AD176" s="36">
        <v>1.4379999999999999</v>
      </c>
      <c r="AE176" s="36">
        <v>1.4379999999999999</v>
      </c>
      <c r="AF176" s="36">
        <v>1.4379999999999999</v>
      </c>
      <c r="AG176" s="36">
        <v>1.4379999999999999</v>
      </c>
      <c r="AH176" s="36">
        <v>1.4379999999999999</v>
      </c>
      <c r="AI176" s="39">
        <v>1.33634708931066E-2</v>
      </c>
      <c r="AJ176" s="39">
        <v>1.33634708931066E-2</v>
      </c>
      <c r="AK176" s="39">
        <v>1.33634708931066E-2</v>
      </c>
      <c r="AL176" s="39">
        <v>1.33634708931066E-2</v>
      </c>
      <c r="AM176" s="39">
        <v>1.33634708931066E-2</v>
      </c>
      <c r="AN176" s="39">
        <v>1.33634708931066E-2</v>
      </c>
      <c r="AO176" s="39">
        <v>1.33634708931066E-2</v>
      </c>
      <c r="AP176" s="39">
        <v>1.33634708931066E-2</v>
      </c>
      <c r="AQ176" s="39">
        <v>1.33634708931066E-2</v>
      </c>
      <c r="AR176" s="39">
        <v>1.33634708931066E-2</v>
      </c>
      <c r="AS176" s="39">
        <v>1.33634708931066E-2</v>
      </c>
      <c r="AT176" s="39">
        <v>1.33634708931066E-2</v>
      </c>
      <c r="AU176" s="39">
        <v>1.2392217523121999E-3</v>
      </c>
      <c r="AV176" s="39">
        <v>1.2392217523121999E-3</v>
      </c>
      <c r="AW176" s="39">
        <v>1.2392217523121999E-3</v>
      </c>
      <c r="AX176" s="39">
        <v>1.2392217523121999E-3</v>
      </c>
      <c r="AY176" s="39">
        <v>1.2392217523121999E-3</v>
      </c>
      <c r="AZ176" s="39">
        <v>1.2392217523121999E-3</v>
      </c>
      <c r="BA176" s="39">
        <v>1.2392217523121999E-3</v>
      </c>
      <c r="BB176" s="39">
        <v>1.2392217523121999E-3</v>
      </c>
      <c r="BC176" s="39">
        <v>1.2392217523121999E-3</v>
      </c>
      <c r="BD176" s="39">
        <v>1.2392217523121999E-3</v>
      </c>
      <c r="BE176" s="39">
        <v>1.2392217523121999E-3</v>
      </c>
      <c r="BF176" s="39">
        <v>1.2392217523121999E-3</v>
      </c>
      <c r="BH176" s="12">
        <f t="shared" si="118"/>
        <v>0</v>
      </c>
      <c r="BI176" s="12">
        <f t="shared" si="119"/>
        <v>0</v>
      </c>
      <c r="BJ176" s="12">
        <f t="shared" si="120"/>
        <v>0</v>
      </c>
      <c r="BK176" s="12">
        <f t="shared" si="121"/>
        <v>0</v>
      </c>
      <c r="BL176" s="12">
        <f t="shared" si="122"/>
        <v>0</v>
      </c>
      <c r="BM176" s="12">
        <f t="shared" si="123"/>
        <v>0</v>
      </c>
      <c r="BN176" s="12">
        <f t="shared" si="124"/>
        <v>0</v>
      </c>
      <c r="BO176" s="12">
        <f t="shared" si="125"/>
        <v>0</v>
      </c>
      <c r="BP176" s="12">
        <f t="shared" si="126"/>
        <v>0</v>
      </c>
      <c r="BQ176" s="12">
        <f t="shared" si="127"/>
        <v>0</v>
      </c>
      <c r="BR176" s="12">
        <f t="shared" si="131"/>
        <v>0</v>
      </c>
      <c r="BS176" s="12">
        <f t="shared" si="132"/>
        <v>0</v>
      </c>
      <c r="BU176" s="11">
        <f t="shared" si="133"/>
        <v>0</v>
      </c>
      <c r="BV176" s="11">
        <f t="shared" si="134"/>
        <v>0</v>
      </c>
      <c r="BW176" s="11">
        <f t="shared" si="135"/>
        <v>0</v>
      </c>
      <c r="BX176" s="11">
        <f t="shared" si="136"/>
        <v>0</v>
      </c>
      <c r="BY176" s="11">
        <f t="shared" si="137"/>
        <v>0</v>
      </c>
      <c r="BZ176" s="11">
        <f t="shared" si="138"/>
        <v>0</v>
      </c>
      <c r="CA176" s="11">
        <f t="shared" si="139"/>
        <v>0</v>
      </c>
      <c r="CB176" s="11">
        <f t="shared" si="140"/>
        <v>0</v>
      </c>
      <c r="CC176" s="11">
        <f t="shared" si="141"/>
        <v>0</v>
      </c>
      <c r="CD176" s="11">
        <f t="shared" si="142"/>
        <v>0</v>
      </c>
      <c r="CE176" s="11">
        <f t="shared" si="143"/>
        <v>0</v>
      </c>
      <c r="CF176" s="11">
        <f t="shared" si="144"/>
        <v>0</v>
      </c>
      <c r="CG176" s="11"/>
      <c r="CH176" s="41">
        <v>3.23</v>
      </c>
      <c r="CJ176" s="54">
        <f t="shared" si="145"/>
        <v>0</v>
      </c>
      <c r="CK176" s="54">
        <f t="shared" si="146"/>
        <v>0</v>
      </c>
      <c r="CL176" s="54">
        <f t="shared" si="147"/>
        <v>0</v>
      </c>
      <c r="CM176" s="54">
        <f t="shared" si="148"/>
        <v>0</v>
      </c>
      <c r="CN176" s="54">
        <f t="shared" si="149"/>
        <v>0</v>
      </c>
      <c r="CO176" s="54">
        <f t="shared" si="150"/>
        <v>0</v>
      </c>
      <c r="CP176" s="54">
        <f t="shared" si="151"/>
        <v>0</v>
      </c>
      <c r="CQ176" s="54">
        <f t="shared" si="152"/>
        <v>0</v>
      </c>
      <c r="CR176" s="54">
        <f t="shared" si="153"/>
        <v>0</v>
      </c>
      <c r="CS176" s="54">
        <f t="shared" si="154"/>
        <v>0</v>
      </c>
      <c r="CT176" s="54">
        <f t="shared" si="155"/>
        <v>0</v>
      </c>
      <c r="CU176" s="54">
        <f t="shared" si="156"/>
        <v>0</v>
      </c>
      <c r="CV176" s="52">
        <f t="shared" si="157"/>
        <v>0</v>
      </c>
    </row>
    <row r="177" spans="1:100" ht="15.75" x14ac:dyDescent="0.25">
      <c r="A177" s="16"/>
      <c r="B177" s="44"/>
      <c r="C177" s="44"/>
      <c r="D177" s="44"/>
      <c r="E177" s="44"/>
      <c r="F177" s="45" t="s">
        <v>20</v>
      </c>
      <c r="G177" s="80"/>
      <c r="H177" s="80"/>
      <c r="I177" s="80"/>
      <c r="J177" s="80"/>
      <c r="K177" s="80"/>
      <c r="L177" s="80"/>
      <c r="M177" s="80"/>
      <c r="N177" s="80"/>
      <c r="O177" s="80"/>
      <c r="P177" s="80"/>
      <c r="Q177" s="80"/>
      <c r="R177" s="80"/>
      <c r="S177" s="11">
        <f t="shared" si="158"/>
        <v>0</v>
      </c>
      <c r="T177" s="8">
        <f t="shared" si="128"/>
        <v>0</v>
      </c>
      <c r="U177" s="13" t="s">
        <v>22</v>
      </c>
      <c r="V177" s="46">
        <f t="shared" si="130"/>
        <v>0</v>
      </c>
      <c r="W177" s="36">
        <v>1.6339999999999999</v>
      </c>
      <c r="X177" s="36">
        <v>1.6339999999999999</v>
      </c>
      <c r="Y177" s="36">
        <v>1.6339999999999999</v>
      </c>
      <c r="Z177" s="36">
        <v>1.6339999999999999</v>
      </c>
      <c r="AA177" s="36">
        <v>1.6339999999999999</v>
      </c>
      <c r="AB177" s="36">
        <v>1.6339999999999999</v>
      </c>
      <c r="AC177" s="36">
        <v>1.6339999999999999</v>
      </c>
      <c r="AD177" s="36">
        <v>1.6339999999999999</v>
      </c>
      <c r="AE177" s="36">
        <v>1.6339999999999999</v>
      </c>
      <c r="AF177" s="36">
        <v>1.6339999999999999</v>
      </c>
      <c r="AG177" s="36">
        <v>1.6339999999999999</v>
      </c>
      <c r="AH177" s="36">
        <v>1.6339999999999999</v>
      </c>
      <c r="AI177" s="39">
        <v>1.33634708931066E-2</v>
      </c>
      <c r="AJ177" s="39">
        <v>1.33634708931066E-2</v>
      </c>
      <c r="AK177" s="39">
        <v>1.33634708931066E-2</v>
      </c>
      <c r="AL177" s="39">
        <v>1.33634708931066E-2</v>
      </c>
      <c r="AM177" s="39">
        <v>1.33634708931066E-2</v>
      </c>
      <c r="AN177" s="39">
        <v>1.33634708931066E-2</v>
      </c>
      <c r="AO177" s="39">
        <v>1.33634708931066E-2</v>
      </c>
      <c r="AP177" s="39">
        <v>1.33634708931066E-2</v>
      </c>
      <c r="AQ177" s="39">
        <v>1.33634708931066E-2</v>
      </c>
      <c r="AR177" s="39">
        <v>1.33634708931066E-2</v>
      </c>
      <c r="AS177" s="39">
        <v>1.33634708931066E-2</v>
      </c>
      <c r="AT177" s="39">
        <v>1.33634708931066E-2</v>
      </c>
      <c r="AU177" s="39">
        <v>1.2392217523121999E-3</v>
      </c>
      <c r="AV177" s="39">
        <v>1.2392217523121999E-3</v>
      </c>
      <c r="AW177" s="39">
        <v>1.2392217523121999E-3</v>
      </c>
      <c r="AX177" s="39">
        <v>1.2392217523121999E-3</v>
      </c>
      <c r="AY177" s="39">
        <v>1.2392217523121999E-3</v>
      </c>
      <c r="AZ177" s="39">
        <v>1.2392217523121999E-3</v>
      </c>
      <c r="BA177" s="39">
        <v>1.2392217523121999E-3</v>
      </c>
      <c r="BB177" s="39">
        <v>1.2392217523121999E-3</v>
      </c>
      <c r="BC177" s="39">
        <v>1.2392217523121999E-3</v>
      </c>
      <c r="BD177" s="39">
        <v>1.2392217523121999E-3</v>
      </c>
      <c r="BE177" s="39">
        <v>1.2392217523121999E-3</v>
      </c>
      <c r="BF177" s="39">
        <v>1.2392217523121999E-3</v>
      </c>
      <c r="BH177" s="12">
        <f t="shared" si="118"/>
        <v>0</v>
      </c>
      <c r="BI177" s="12">
        <f t="shared" si="119"/>
        <v>0</v>
      </c>
      <c r="BJ177" s="12">
        <f t="shared" si="120"/>
        <v>0</v>
      </c>
      <c r="BK177" s="12">
        <f t="shared" si="121"/>
        <v>0</v>
      </c>
      <c r="BL177" s="12">
        <f t="shared" si="122"/>
        <v>0</v>
      </c>
      <c r="BM177" s="12">
        <f t="shared" si="123"/>
        <v>0</v>
      </c>
      <c r="BN177" s="12">
        <f t="shared" si="124"/>
        <v>0</v>
      </c>
      <c r="BO177" s="12">
        <f t="shared" si="125"/>
        <v>0</v>
      </c>
      <c r="BP177" s="12">
        <f t="shared" si="126"/>
        <v>0</v>
      </c>
      <c r="BQ177" s="12">
        <f t="shared" si="127"/>
        <v>0</v>
      </c>
      <c r="BR177" s="12">
        <f t="shared" si="131"/>
        <v>0</v>
      </c>
      <c r="BS177" s="12">
        <f t="shared" si="132"/>
        <v>0</v>
      </c>
      <c r="BU177" s="11">
        <f t="shared" si="133"/>
        <v>0</v>
      </c>
      <c r="BV177" s="11">
        <f t="shared" si="134"/>
        <v>0</v>
      </c>
      <c r="BW177" s="11">
        <f t="shared" si="135"/>
        <v>0</v>
      </c>
      <c r="BX177" s="11">
        <f t="shared" si="136"/>
        <v>0</v>
      </c>
      <c r="BY177" s="11">
        <f t="shared" si="137"/>
        <v>0</v>
      </c>
      <c r="BZ177" s="11">
        <f t="shared" si="138"/>
        <v>0</v>
      </c>
      <c r="CA177" s="11">
        <f t="shared" si="139"/>
        <v>0</v>
      </c>
      <c r="CB177" s="11">
        <f t="shared" si="140"/>
        <v>0</v>
      </c>
      <c r="CC177" s="11">
        <f t="shared" si="141"/>
        <v>0</v>
      </c>
      <c r="CD177" s="11">
        <f t="shared" si="142"/>
        <v>0</v>
      </c>
      <c r="CE177" s="11">
        <f t="shared" si="143"/>
        <v>0</v>
      </c>
      <c r="CF177" s="11">
        <f t="shared" si="144"/>
        <v>0</v>
      </c>
      <c r="CG177" s="11"/>
      <c r="CH177" s="41">
        <v>3.23</v>
      </c>
      <c r="CJ177" s="54">
        <f t="shared" si="145"/>
        <v>0</v>
      </c>
      <c r="CK177" s="54">
        <f t="shared" si="146"/>
        <v>0</v>
      </c>
      <c r="CL177" s="54">
        <f t="shared" si="147"/>
        <v>0</v>
      </c>
      <c r="CM177" s="54">
        <f t="shared" si="148"/>
        <v>0</v>
      </c>
      <c r="CN177" s="54">
        <f t="shared" si="149"/>
        <v>0</v>
      </c>
      <c r="CO177" s="54">
        <f t="shared" si="150"/>
        <v>0</v>
      </c>
      <c r="CP177" s="54">
        <f t="shared" si="151"/>
        <v>0</v>
      </c>
      <c r="CQ177" s="54">
        <f t="shared" si="152"/>
        <v>0</v>
      </c>
      <c r="CR177" s="54">
        <f t="shared" si="153"/>
        <v>0</v>
      </c>
      <c r="CS177" s="54">
        <f t="shared" si="154"/>
        <v>0</v>
      </c>
      <c r="CT177" s="54">
        <f t="shared" si="155"/>
        <v>0</v>
      </c>
      <c r="CU177" s="54">
        <f t="shared" si="156"/>
        <v>0</v>
      </c>
      <c r="CV177" s="52">
        <f t="shared" si="157"/>
        <v>0</v>
      </c>
    </row>
    <row r="178" spans="1:100" ht="15.75" x14ac:dyDescent="0.25">
      <c r="A178" s="16"/>
      <c r="B178" s="44"/>
      <c r="C178" s="44"/>
      <c r="D178" s="44"/>
      <c r="E178" s="44"/>
      <c r="F178" s="45" t="s">
        <v>20</v>
      </c>
      <c r="G178" s="80"/>
      <c r="H178" s="80"/>
      <c r="I178" s="80"/>
      <c r="J178" s="80"/>
      <c r="K178" s="80"/>
      <c r="L178" s="80"/>
      <c r="M178" s="80"/>
      <c r="N178" s="80"/>
      <c r="O178" s="80"/>
      <c r="P178" s="80"/>
      <c r="Q178" s="80"/>
      <c r="R178" s="80"/>
      <c r="S178" s="11">
        <f t="shared" si="158"/>
        <v>0</v>
      </c>
      <c r="T178" s="8">
        <f t="shared" si="128"/>
        <v>0</v>
      </c>
      <c r="U178" s="13" t="s">
        <v>22</v>
      </c>
      <c r="V178" s="46">
        <f t="shared" si="130"/>
        <v>0</v>
      </c>
      <c r="W178" s="36">
        <v>2.6459999999999999</v>
      </c>
      <c r="X178" s="36">
        <v>2.6459999999999999</v>
      </c>
      <c r="Y178" s="36">
        <v>2.6459999999999999</v>
      </c>
      <c r="Z178" s="36">
        <v>2.6459999999999999</v>
      </c>
      <c r="AA178" s="36">
        <v>2.6459999999999999</v>
      </c>
      <c r="AB178" s="36">
        <v>2.6459999999999999</v>
      </c>
      <c r="AC178" s="36">
        <v>2.6459999999999999</v>
      </c>
      <c r="AD178" s="36">
        <v>2.6459999999999999</v>
      </c>
      <c r="AE178" s="36">
        <v>2.6459999999999999</v>
      </c>
      <c r="AF178" s="36">
        <v>2.6459999999999999</v>
      </c>
      <c r="AG178" s="36">
        <v>2.6459999999999999</v>
      </c>
      <c r="AH178" s="36">
        <v>2.6459999999999999</v>
      </c>
      <c r="AI178" s="39">
        <v>1.33634708931066E-2</v>
      </c>
      <c r="AJ178" s="39">
        <v>1.33634708931066E-2</v>
      </c>
      <c r="AK178" s="39">
        <v>1.33634708931066E-2</v>
      </c>
      <c r="AL178" s="39">
        <v>1.33634708931066E-2</v>
      </c>
      <c r="AM178" s="39">
        <v>1.33634708931066E-2</v>
      </c>
      <c r="AN178" s="39">
        <v>1.33634708931066E-2</v>
      </c>
      <c r="AO178" s="39">
        <v>1.33634708931066E-2</v>
      </c>
      <c r="AP178" s="39">
        <v>1.33634708931066E-2</v>
      </c>
      <c r="AQ178" s="39">
        <v>1.33634708931066E-2</v>
      </c>
      <c r="AR178" s="39">
        <v>1.33634708931066E-2</v>
      </c>
      <c r="AS178" s="39">
        <v>1.33634708931066E-2</v>
      </c>
      <c r="AT178" s="39">
        <v>1.33634708931066E-2</v>
      </c>
      <c r="AU178" s="39">
        <v>1.2392217523121999E-3</v>
      </c>
      <c r="AV178" s="39">
        <v>1.2392217523121999E-3</v>
      </c>
      <c r="AW178" s="39">
        <v>1.2392217523121999E-3</v>
      </c>
      <c r="AX178" s="39">
        <v>1.2392217523121999E-3</v>
      </c>
      <c r="AY178" s="39">
        <v>1.2392217523121999E-3</v>
      </c>
      <c r="AZ178" s="39">
        <v>1.2392217523121999E-3</v>
      </c>
      <c r="BA178" s="39">
        <v>1.2392217523121999E-3</v>
      </c>
      <c r="BB178" s="39">
        <v>1.2392217523121999E-3</v>
      </c>
      <c r="BC178" s="39">
        <v>1.2392217523121999E-3</v>
      </c>
      <c r="BD178" s="39">
        <v>1.2392217523121999E-3</v>
      </c>
      <c r="BE178" s="39">
        <v>1.2392217523121999E-3</v>
      </c>
      <c r="BF178" s="39">
        <v>1.2392217523121999E-3</v>
      </c>
      <c r="BH178" s="12">
        <f t="shared" si="118"/>
        <v>0</v>
      </c>
      <c r="BI178" s="12">
        <f t="shared" si="119"/>
        <v>0</v>
      </c>
      <c r="BJ178" s="12">
        <f t="shared" si="120"/>
        <v>0</v>
      </c>
      <c r="BK178" s="12">
        <f t="shared" si="121"/>
        <v>0</v>
      </c>
      <c r="BL178" s="12">
        <f t="shared" si="122"/>
        <v>0</v>
      </c>
      <c r="BM178" s="12">
        <f t="shared" si="123"/>
        <v>0</v>
      </c>
      <c r="BN178" s="12">
        <f t="shared" si="124"/>
        <v>0</v>
      </c>
      <c r="BO178" s="12">
        <f t="shared" si="125"/>
        <v>0</v>
      </c>
      <c r="BP178" s="12">
        <f t="shared" si="126"/>
        <v>0</v>
      </c>
      <c r="BQ178" s="12">
        <f t="shared" si="127"/>
        <v>0</v>
      </c>
      <c r="BR178" s="12">
        <f t="shared" si="131"/>
        <v>0</v>
      </c>
      <c r="BS178" s="12">
        <f t="shared" si="132"/>
        <v>0</v>
      </c>
      <c r="BU178" s="11">
        <f t="shared" si="133"/>
        <v>0</v>
      </c>
      <c r="BV178" s="11">
        <f t="shared" si="134"/>
        <v>0</v>
      </c>
      <c r="BW178" s="11">
        <f t="shared" si="135"/>
        <v>0</v>
      </c>
      <c r="BX178" s="11">
        <f t="shared" si="136"/>
        <v>0</v>
      </c>
      <c r="BY178" s="11">
        <f t="shared" si="137"/>
        <v>0</v>
      </c>
      <c r="BZ178" s="11">
        <f t="shared" si="138"/>
        <v>0</v>
      </c>
      <c r="CA178" s="11">
        <f t="shared" si="139"/>
        <v>0</v>
      </c>
      <c r="CB178" s="11">
        <f t="shared" si="140"/>
        <v>0</v>
      </c>
      <c r="CC178" s="11">
        <f t="shared" si="141"/>
        <v>0</v>
      </c>
      <c r="CD178" s="11">
        <f t="shared" si="142"/>
        <v>0</v>
      </c>
      <c r="CE178" s="11">
        <f t="shared" si="143"/>
        <v>0</v>
      </c>
      <c r="CF178" s="11">
        <f t="shared" si="144"/>
        <v>0</v>
      </c>
      <c r="CG178" s="11"/>
      <c r="CH178" s="41">
        <v>3.23</v>
      </c>
      <c r="CJ178" s="54">
        <f t="shared" si="145"/>
        <v>0</v>
      </c>
      <c r="CK178" s="54">
        <f t="shared" si="146"/>
        <v>0</v>
      </c>
      <c r="CL178" s="54">
        <f t="shared" si="147"/>
        <v>0</v>
      </c>
      <c r="CM178" s="54">
        <f t="shared" si="148"/>
        <v>0</v>
      </c>
      <c r="CN178" s="54">
        <f t="shared" si="149"/>
        <v>0</v>
      </c>
      <c r="CO178" s="54">
        <f t="shared" si="150"/>
        <v>0</v>
      </c>
      <c r="CP178" s="54">
        <f t="shared" si="151"/>
        <v>0</v>
      </c>
      <c r="CQ178" s="54">
        <f t="shared" si="152"/>
        <v>0</v>
      </c>
      <c r="CR178" s="54">
        <f t="shared" si="153"/>
        <v>0</v>
      </c>
      <c r="CS178" s="54">
        <f t="shared" si="154"/>
        <v>0</v>
      </c>
      <c r="CT178" s="54">
        <f t="shared" si="155"/>
        <v>0</v>
      </c>
      <c r="CU178" s="54">
        <f t="shared" si="156"/>
        <v>0</v>
      </c>
      <c r="CV178" s="52">
        <f t="shared" si="157"/>
        <v>0</v>
      </c>
    </row>
    <row r="179" spans="1:100" ht="15.75" x14ac:dyDescent="0.25">
      <c r="A179" s="16"/>
      <c r="B179" s="44"/>
      <c r="C179" s="44"/>
      <c r="D179" s="44"/>
      <c r="E179" s="44"/>
      <c r="F179" s="45" t="s">
        <v>20</v>
      </c>
      <c r="G179" s="80"/>
      <c r="H179" s="80"/>
      <c r="I179" s="80"/>
      <c r="J179" s="80"/>
      <c r="K179" s="80"/>
      <c r="L179" s="80"/>
      <c r="M179" s="80"/>
      <c r="N179" s="80"/>
      <c r="O179" s="80"/>
      <c r="P179" s="80"/>
      <c r="Q179" s="80"/>
      <c r="R179" s="80"/>
      <c r="S179" s="11">
        <f t="shared" si="158"/>
        <v>0</v>
      </c>
      <c r="T179" s="8">
        <f t="shared" si="128"/>
        <v>0</v>
      </c>
      <c r="U179" s="13" t="s">
        <v>22</v>
      </c>
      <c r="V179" s="46">
        <f t="shared" si="130"/>
        <v>0</v>
      </c>
      <c r="W179" s="36">
        <v>2.367</v>
      </c>
      <c r="X179" s="36">
        <v>2.367</v>
      </c>
      <c r="Y179" s="36">
        <v>2.367</v>
      </c>
      <c r="Z179" s="36">
        <v>2.367</v>
      </c>
      <c r="AA179" s="36">
        <v>2.367</v>
      </c>
      <c r="AB179" s="36">
        <v>2.367</v>
      </c>
      <c r="AC179" s="36">
        <v>2.367</v>
      </c>
      <c r="AD179" s="36">
        <v>2.367</v>
      </c>
      <c r="AE179" s="36">
        <v>2.367</v>
      </c>
      <c r="AF179" s="36">
        <v>2.367</v>
      </c>
      <c r="AG179" s="36">
        <v>2.367</v>
      </c>
      <c r="AH179" s="36">
        <v>2.367</v>
      </c>
      <c r="AI179" s="39">
        <v>1.33634708931066E-2</v>
      </c>
      <c r="AJ179" s="39">
        <v>1.33634708931066E-2</v>
      </c>
      <c r="AK179" s="39">
        <v>1.33634708931066E-2</v>
      </c>
      <c r="AL179" s="39">
        <v>1.33634708931066E-2</v>
      </c>
      <c r="AM179" s="39">
        <v>1.33634708931066E-2</v>
      </c>
      <c r="AN179" s="39">
        <v>1.33634708931066E-2</v>
      </c>
      <c r="AO179" s="39">
        <v>1.33634708931066E-2</v>
      </c>
      <c r="AP179" s="39">
        <v>1.33634708931066E-2</v>
      </c>
      <c r="AQ179" s="39">
        <v>1.33634708931066E-2</v>
      </c>
      <c r="AR179" s="39">
        <v>1.33634708931066E-2</v>
      </c>
      <c r="AS179" s="39">
        <v>1.33634708931066E-2</v>
      </c>
      <c r="AT179" s="39">
        <v>1.33634708931066E-2</v>
      </c>
      <c r="AU179" s="39">
        <v>1.2392217523121999E-3</v>
      </c>
      <c r="AV179" s="39">
        <v>1.2392217523121999E-3</v>
      </c>
      <c r="AW179" s="39">
        <v>1.2392217523121999E-3</v>
      </c>
      <c r="AX179" s="39">
        <v>1.2392217523121999E-3</v>
      </c>
      <c r="AY179" s="39">
        <v>1.2392217523121999E-3</v>
      </c>
      <c r="AZ179" s="39">
        <v>1.2392217523121999E-3</v>
      </c>
      <c r="BA179" s="39">
        <v>1.2392217523121999E-3</v>
      </c>
      <c r="BB179" s="39">
        <v>1.2392217523121999E-3</v>
      </c>
      <c r="BC179" s="39">
        <v>1.2392217523121999E-3</v>
      </c>
      <c r="BD179" s="39">
        <v>1.2392217523121999E-3</v>
      </c>
      <c r="BE179" s="39">
        <v>1.2392217523121999E-3</v>
      </c>
      <c r="BF179" s="39">
        <v>1.2392217523121999E-3</v>
      </c>
      <c r="BH179" s="12">
        <f t="shared" si="118"/>
        <v>0</v>
      </c>
      <c r="BI179" s="12">
        <f t="shared" si="119"/>
        <v>0</v>
      </c>
      <c r="BJ179" s="12">
        <f t="shared" si="120"/>
        <v>0</v>
      </c>
      <c r="BK179" s="12">
        <f t="shared" si="121"/>
        <v>0</v>
      </c>
      <c r="BL179" s="12">
        <f t="shared" si="122"/>
        <v>0</v>
      </c>
      <c r="BM179" s="12">
        <f t="shared" si="123"/>
        <v>0</v>
      </c>
      <c r="BN179" s="12">
        <f t="shared" si="124"/>
        <v>0</v>
      </c>
      <c r="BO179" s="12">
        <f t="shared" si="125"/>
        <v>0</v>
      </c>
      <c r="BP179" s="12">
        <f t="shared" si="126"/>
        <v>0</v>
      </c>
      <c r="BQ179" s="12">
        <f t="shared" si="127"/>
        <v>0</v>
      </c>
      <c r="BR179" s="12">
        <f t="shared" si="131"/>
        <v>0</v>
      </c>
      <c r="BS179" s="12">
        <f t="shared" si="132"/>
        <v>0</v>
      </c>
      <c r="BU179" s="11">
        <f t="shared" si="133"/>
        <v>0</v>
      </c>
      <c r="BV179" s="11">
        <f t="shared" si="134"/>
        <v>0</v>
      </c>
      <c r="BW179" s="11">
        <f t="shared" si="135"/>
        <v>0</v>
      </c>
      <c r="BX179" s="11">
        <f t="shared" si="136"/>
        <v>0</v>
      </c>
      <c r="BY179" s="11">
        <f t="shared" si="137"/>
        <v>0</v>
      </c>
      <c r="BZ179" s="11">
        <f t="shared" si="138"/>
        <v>0</v>
      </c>
      <c r="CA179" s="11">
        <f t="shared" si="139"/>
        <v>0</v>
      </c>
      <c r="CB179" s="11">
        <f t="shared" si="140"/>
        <v>0</v>
      </c>
      <c r="CC179" s="11">
        <f t="shared" si="141"/>
        <v>0</v>
      </c>
      <c r="CD179" s="11">
        <f t="shared" si="142"/>
        <v>0</v>
      </c>
      <c r="CE179" s="11">
        <f t="shared" si="143"/>
        <v>0</v>
      </c>
      <c r="CF179" s="11">
        <f t="shared" si="144"/>
        <v>0</v>
      </c>
      <c r="CG179" s="11"/>
      <c r="CH179" s="41">
        <v>3.23</v>
      </c>
      <c r="CJ179" s="54">
        <f t="shared" si="145"/>
        <v>0</v>
      </c>
      <c r="CK179" s="54">
        <f t="shared" si="146"/>
        <v>0</v>
      </c>
      <c r="CL179" s="54">
        <f t="shared" si="147"/>
        <v>0</v>
      </c>
      <c r="CM179" s="54">
        <f t="shared" si="148"/>
        <v>0</v>
      </c>
      <c r="CN179" s="54">
        <f t="shared" si="149"/>
        <v>0</v>
      </c>
      <c r="CO179" s="54">
        <f t="shared" si="150"/>
        <v>0</v>
      </c>
      <c r="CP179" s="54">
        <f t="shared" si="151"/>
        <v>0</v>
      </c>
      <c r="CQ179" s="54">
        <f t="shared" si="152"/>
        <v>0</v>
      </c>
      <c r="CR179" s="54">
        <f t="shared" si="153"/>
        <v>0</v>
      </c>
      <c r="CS179" s="54">
        <f t="shared" si="154"/>
        <v>0</v>
      </c>
      <c r="CT179" s="54">
        <f t="shared" si="155"/>
        <v>0</v>
      </c>
      <c r="CU179" s="54">
        <f t="shared" si="156"/>
        <v>0</v>
      </c>
      <c r="CV179" s="52">
        <f t="shared" si="157"/>
        <v>0</v>
      </c>
    </row>
    <row r="180" spans="1:100" ht="15.75" x14ac:dyDescent="0.25">
      <c r="A180" s="16"/>
      <c r="B180" s="44"/>
      <c r="C180" s="44"/>
      <c r="D180" s="44"/>
      <c r="E180" s="44"/>
      <c r="F180" s="45" t="s">
        <v>20</v>
      </c>
      <c r="G180" s="80"/>
      <c r="H180" s="80"/>
      <c r="I180" s="80"/>
      <c r="J180" s="80"/>
      <c r="K180" s="80"/>
      <c r="L180" s="80"/>
      <c r="M180" s="80"/>
      <c r="N180" s="80"/>
      <c r="O180" s="80"/>
      <c r="P180" s="80"/>
      <c r="Q180" s="80"/>
      <c r="R180" s="80"/>
      <c r="S180" s="11">
        <f t="shared" si="158"/>
        <v>0</v>
      </c>
      <c r="T180" s="8">
        <f t="shared" si="128"/>
        <v>0</v>
      </c>
      <c r="U180" s="13" t="s">
        <v>22</v>
      </c>
      <c r="V180" s="46">
        <f t="shared" si="130"/>
        <v>0</v>
      </c>
      <c r="W180" s="36">
        <v>3.0640000000000001</v>
      </c>
      <c r="X180" s="36">
        <v>3.0640000000000001</v>
      </c>
      <c r="Y180" s="36">
        <v>3.0640000000000001</v>
      </c>
      <c r="Z180" s="36">
        <v>3.0640000000000001</v>
      </c>
      <c r="AA180" s="36">
        <v>3.0640000000000001</v>
      </c>
      <c r="AB180" s="36">
        <v>3.0640000000000001</v>
      </c>
      <c r="AC180" s="36">
        <v>3.0640000000000001</v>
      </c>
      <c r="AD180" s="36">
        <v>3.0640000000000001</v>
      </c>
      <c r="AE180" s="36">
        <v>3.0640000000000001</v>
      </c>
      <c r="AF180" s="36">
        <v>3.0640000000000001</v>
      </c>
      <c r="AG180" s="36">
        <v>3.0640000000000001</v>
      </c>
      <c r="AH180" s="36">
        <v>3.0640000000000001</v>
      </c>
      <c r="AI180" s="39">
        <v>1.33634708931066E-2</v>
      </c>
      <c r="AJ180" s="39">
        <v>1.33634708931066E-2</v>
      </c>
      <c r="AK180" s="39">
        <v>1.33634708931066E-2</v>
      </c>
      <c r="AL180" s="39">
        <v>1.33634708931066E-2</v>
      </c>
      <c r="AM180" s="39">
        <v>1.33634708931066E-2</v>
      </c>
      <c r="AN180" s="39">
        <v>1.33634708931066E-2</v>
      </c>
      <c r="AO180" s="39">
        <v>1.33634708931066E-2</v>
      </c>
      <c r="AP180" s="39">
        <v>1.33634708931066E-2</v>
      </c>
      <c r="AQ180" s="39">
        <v>1.33634708931066E-2</v>
      </c>
      <c r="AR180" s="39">
        <v>1.33634708931066E-2</v>
      </c>
      <c r="AS180" s="39">
        <v>1.33634708931066E-2</v>
      </c>
      <c r="AT180" s="39">
        <v>1.33634708931066E-2</v>
      </c>
      <c r="AU180" s="39">
        <v>1.2392217523121999E-3</v>
      </c>
      <c r="AV180" s="39">
        <v>1.2392217523121999E-3</v>
      </c>
      <c r="AW180" s="39">
        <v>1.2392217523121999E-3</v>
      </c>
      <c r="AX180" s="39">
        <v>1.2392217523121999E-3</v>
      </c>
      <c r="AY180" s="39">
        <v>1.2392217523121999E-3</v>
      </c>
      <c r="AZ180" s="39">
        <v>1.2392217523121999E-3</v>
      </c>
      <c r="BA180" s="39">
        <v>1.2392217523121999E-3</v>
      </c>
      <c r="BB180" s="39">
        <v>1.2392217523121999E-3</v>
      </c>
      <c r="BC180" s="39">
        <v>1.2392217523121999E-3</v>
      </c>
      <c r="BD180" s="39">
        <v>1.2392217523121999E-3</v>
      </c>
      <c r="BE180" s="39">
        <v>1.2392217523121999E-3</v>
      </c>
      <c r="BF180" s="39">
        <v>1.2392217523121999E-3</v>
      </c>
      <c r="BH180" s="12">
        <f t="shared" si="118"/>
        <v>0</v>
      </c>
      <c r="BI180" s="12">
        <f t="shared" si="119"/>
        <v>0</v>
      </c>
      <c r="BJ180" s="12">
        <f t="shared" si="120"/>
        <v>0</v>
      </c>
      <c r="BK180" s="12">
        <f t="shared" si="121"/>
        <v>0</v>
      </c>
      <c r="BL180" s="12">
        <f t="shared" si="122"/>
        <v>0</v>
      </c>
      <c r="BM180" s="12">
        <f t="shared" si="123"/>
        <v>0</v>
      </c>
      <c r="BN180" s="12">
        <f t="shared" si="124"/>
        <v>0</v>
      </c>
      <c r="BO180" s="12">
        <f t="shared" si="125"/>
        <v>0</v>
      </c>
      <c r="BP180" s="12">
        <f t="shared" si="126"/>
        <v>0</v>
      </c>
      <c r="BQ180" s="12">
        <f t="shared" si="127"/>
        <v>0</v>
      </c>
      <c r="BR180" s="12">
        <f t="shared" si="131"/>
        <v>0</v>
      </c>
      <c r="BS180" s="12">
        <f t="shared" si="132"/>
        <v>0</v>
      </c>
      <c r="BU180" s="11">
        <f t="shared" si="133"/>
        <v>0</v>
      </c>
      <c r="BV180" s="11">
        <f t="shared" si="134"/>
        <v>0</v>
      </c>
      <c r="BW180" s="11">
        <f t="shared" si="135"/>
        <v>0</v>
      </c>
      <c r="BX180" s="11">
        <f t="shared" si="136"/>
        <v>0</v>
      </c>
      <c r="BY180" s="11">
        <f t="shared" si="137"/>
        <v>0</v>
      </c>
      <c r="BZ180" s="11">
        <f t="shared" si="138"/>
        <v>0</v>
      </c>
      <c r="CA180" s="11">
        <f t="shared" si="139"/>
        <v>0</v>
      </c>
      <c r="CB180" s="11">
        <f t="shared" si="140"/>
        <v>0</v>
      </c>
      <c r="CC180" s="11">
        <f t="shared" si="141"/>
        <v>0</v>
      </c>
      <c r="CD180" s="11">
        <f t="shared" si="142"/>
        <v>0</v>
      </c>
      <c r="CE180" s="11">
        <f t="shared" si="143"/>
        <v>0</v>
      </c>
      <c r="CF180" s="11">
        <f t="shared" si="144"/>
        <v>0</v>
      </c>
      <c r="CG180" s="11"/>
      <c r="CH180" s="41">
        <v>3.23</v>
      </c>
      <c r="CJ180" s="54">
        <f t="shared" si="145"/>
        <v>0</v>
      </c>
      <c r="CK180" s="54">
        <f t="shared" si="146"/>
        <v>0</v>
      </c>
      <c r="CL180" s="54">
        <f t="shared" si="147"/>
        <v>0</v>
      </c>
      <c r="CM180" s="54">
        <f t="shared" si="148"/>
        <v>0</v>
      </c>
      <c r="CN180" s="54">
        <f t="shared" si="149"/>
        <v>0</v>
      </c>
      <c r="CO180" s="54">
        <f t="shared" si="150"/>
        <v>0</v>
      </c>
      <c r="CP180" s="54">
        <f t="shared" si="151"/>
        <v>0</v>
      </c>
      <c r="CQ180" s="54">
        <f t="shared" si="152"/>
        <v>0</v>
      </c>
      <c r="CR180" s="54">
        <f t="shared" si="153"/>
        <v>0</v>
      </c>
      <c r="CS180" s="54">
        <f t="shared" si="154"/>
        <v>0</v>
      </c>
      <c r="CT180" s="54">
        <f t="shared" si="155"/>
        <v>0</v>
      </c>
      <c r="CU180" s="54">
        <f t="shared" si="156"/>
        <v>0</v>
      </c>
      <c r="CV180" s="52">
        <f t="shared" si="157"/>
        <v>0</v>
      </c>
    </row>
    <row r="181" spans="1:100" ht="15.75" x14ac:dyDescent="0.25">
      <c r="A181" s="16"/>
      <c r="B181" s="44"/>
      <c r="C181" s="44"/>
      <c r="D181" s="44"/>
      <c r="E181" s="44"/>
      <c r="F181" s="45" t="s">
        <v>20</v>
      </c>
      <c r="G181" s="80"/>
      <c r="H181" s="80"/>
      <c r="I181" s="80"/>
      <c r="J181" s="80"/>
      <c r="K181" s="80"/>
      <c r="L181" s="80"/>
      <c r="M181" s="80"/>
      <c r="N181" s="80"/>
      <c r="O181" s="80"/>
      <c r="P181" s="80"/>
      <c r="Q181" s="80"/>
      <c r="R181" s="80"/>
      <c r="S181" s="11">
        <f t="shared" si="158"/>
        <v>0</v>
      </c>
      <c r="T181" s="8">
        <f t="shared" si="128"/>
        <v>0</v>
      </c>
      <c r="U181" s="13" t="s">
        <v>22</v>
      </c>
      <c r="V181" s="46">
        <f t="shared" si="130"/>
        <v>0</v>
      </c>
      <c r="W181" s="36">
        <v>2.6280000000000001</v>
      </c>
      <c r="X181" s="36">
        <v>2.6280000000000001</v>
      </c>
      <c r="Y181" s="36">
        <v>2.6280000000000001</v>
      </c>
      <c r="Z181" s="36">
        <v>2.6280000000000001</v>
      </c>
      <c r="AA181" s="36">
        <v>2.6280000000000001</v>
      </c>
      <c r="AB181" s="36">
        <v>2.6280000000000001</v>
      </c>
      <c r="AC181" s="36">
        <v>2.6280000000000001</v>
      </c>
      <c r="AD181" s="36">
        <v>2.6280000000000001</v>
      </c>
      <c r="AE181" s="36">
        <v>2.6280000000000001</v>
      </c>
      <c r="AF181" s="36">
        <v>2.6280000000000001</v>
      </c>
      <c r="AG181" s="36">
        <v>2.6280000000000001</v>
      </c>
      <c r="AH181" s="36">
        <v>2.6280000000000001</v>
      </c>
      <c r="AI181" s="39">
        <v>1.33634708931066E-2</v>
      </c>
      <c r="AJ181" s="39">
        <v>1.33634708931066E-2</v>
      </c>
      <c r="AK181" s="39">
        <v>1.33634708931066E-2</v>
      </c>
      <c r="AL181" s="39">
        <v>1.33634708931066E-2</v>
      </c>
      <c r="AM181" s="39">
        <v>1.33634708931066E-2</v>
      </c>
      <c r="AN181" s="39">
        <v>1.33634708931066E-2</v>
      </c>
      <c r="AO181" s="39">
        <v>1.33634708931066E-2</v>
      </c>
      <c r="AP181" s="39">
        <v>1.33634708931066E-2</v>
      </c>
      <c r="AQ181" s="39">
        <v>1.33634708931066E-2</v>
      </c>
      <c r="AR181" s="39">
        <v>1.33634708931066E-2</v>
      </c>
      <c r="AS181" s="39">
        <v>1.33634708931066E-2</v>
      </c>
      <c r="AT181" s="39">
        <v>1.33634708931066E-2</v>
      </c>
      <c r="AU181" s="39">
        <v>1.2392217523121999E-3</v>
      </c>
      <c r="AV181" s="39">
        <v>1.2392217523121999E-3</v>
      </c>
      <c r="AW181" s="39">
        <v>1.2392217523121999E-3</v>
      </c>
      <c r="AX181" s="39">
        <v>1.2392217523121999E-3</v>
      </c>
      <c r="AY181" s="39">
        <v>1.2392217523121999E-3</v>
      </c>
      <c r="AZ181" s="39">
        <v>1.2392217523121999E-3</v>
      </c>
      <c r="BA181" s="39">
        <v>1.2392217523121999E-3</v>
      </c>
      <c r="BB181" s="39">
        <v>1.2392217523121999E-3</v>
      </c>
      <c r="BC181" s="39">
        <v>1.2392217523121999E-3</v>
      </c>
      <c r="BD181" s="39">
        <v>1.2392217523121999E-3</v>
      </c>
      <c r="BE181" s="39">
        <v>1.2392217523121999E-3</v>
      </c>
      <c r="BF181" s="39">
        <v>1.2392217523121999E-3</v>
      </c>
      <c r="BH181" s="12">
        <f t="shared" si="118"/>
        <v>0</v>
      </c>
      <c r="BI181" s="12">
        <f t="shared" si="119"/>
        <v>0</v>
      </c>
      <c r="BJ181" s="12">
        <f t="shared" si="120"/>
        <v>0</v>
      </c>
      <c r="BK181" s="12">
        <f t="shared" si="121"/>
        <v>0</v>
      </c>
      <c r="BL181" s="12">
        <f t="shared" si="122"/>
        <v>0</v>
      </c>
      <c r="BM181" s="12">
        <f t="shared" si="123"/>
        <v>0</v>
      </c>
      <c r="BN181" s="12">
        <f t="shared" si="124"/>
        <v>0</v>
      </c>
      <c r="BO181" s="12">
        <f t="shared" si="125"/>
        <v>0</v>
      </c>
      <c r="BP181" s="12">
        <f t="shared" si="126"/>
        <v>0</v>
      </c>
      <c r="BQ181" s="12">
        <f t="shared" si="127"/>
        <v>0</v>
      </c>
      <c r="BR181" s="12">
        <f t="shared" si="131"/>
        <v>0</v>
      </c>
      <c r="BS181" s="12">
        <f t="shared" si="132"/>
        <v>0</v>
      </c>
      <c r="BU181" s="11">
        <f t="shared" si="133"/>
        <v>0</v>
      </c>
      <c r="BV181" s="11">
        <f t="shared" si="134"/>
        <v>0</v>
      </c>
      <c r="BW181" s="11">
        <f t="shared" si="135"/>
        <v>0</v>
      </c>
      <c r="BX181" s="11">
        <f t="shared" si="136"/>
        <v>0</v>
      </c>
      <c r="BY181" s="11">
        <f t="shared" si="137"/>
        <v>0</v>
      </c>
      <c r="BZ181" s="11">
        <f t="shared" si="138"/>
        <v>0</v>
      </c>
      <c r="CA181" s="11">
        <f t="shared" si="139"/>
        <v>0</v>
      </c>
      <c r="CB181" s="11">
        <f t="shared" si="140"/>
        <v>0</v>
      </c>
      <c r="CC181" s="11">
        <f t="shared" si="141"/>
        <v>0</v>
      </c>
      <c r="CD181" s="11">
        <f t="shared" si="142"/>
        <v>0</v>
      </c>
      <c r="CE181" s="11">
        <f t="shared" si="143"/>
        <v>0</v>
      </c>
      <c r="CF181" s="11">
        <f t="shared" si="144"/>
        <v>0</v>
      </c>
      <c r="CG181" s="11"/>
      <c r="CH181" s="41">
        <v>3.23</v>
      </c>
      <c r="CJ181" s="54">
        <f t="shared" si="145"/>
        <v>0</v>
      </c>
      <c r="CK181" s="54">
        <f t="shared" si="146"/>
        <v>0</v>
      </c>
      <c r="CL181" s="54">
        <f t="shared" si="147"/>
        <v>0</v>
      </c>
      <c r="CM181" s="54">
        <f t="shared" si="148"/>
        <v>0</v>
      </c>
      <c r="CN181" s="54">
        <f t="shared" si="149"/>
        <v>0</v>
      </c>
      <c r="CO181" s="54">
        <f t="shared" si="150"/>
        <v>0</v>
      </c>
      <c r="CP181" s="54">
        <f t="shared" si="151"/>
        <v>0</v>
      </c>
      <c r="CQ181" s="54">
        <f t="shared" si="152"/>
        <v>0</v>
      </c>
      <c r="CR181" s="54">
        <f t="shared" si="153"/>
        <v>0</v>
      </c>
      <c r="CS181" s="54">
        <f t="shared" si="154"/>
        <v>0</v>
      </c>
      <c r="CT181" s="54">
        <f t="shared" si="155"/>
        <v>0</v>
      </c>
      <c r="CU181" s="54">
        <f t="shared" si="156"/>
        <v>0</v>
      </c>
      <c r="CV181" s="52">
        <f t="shared" si="157"/>
        <v>0</v>
      </c>
    </row>
    <row r="182" spans="1:100" ht="15.75" x14ac:dyDescent="0.25">
      <c r="A182" s="16"/>
      <c r="B182" s="44"/>
      <c r="C182" s="44"/>
      <c r="D182" s="44"/>
      <c r="E182" s="44"/>
      <c r="F182" s="45" t="s">
        <v>20</v>
      </c>
      <c r="G182" s="80"/>
      <c r="H182" s="80"/>
      <c r="I182" s="80"/>
      <c r="J182" s="80"/>
      <c r="K182" s="80"/>
      <c r="L182" s="80"/>
      <c r="M182" s="80"/>
      <c r="N182" s="80"/>
      <c r="O182" s="80"/>
      <c r="P182" s="80"/>
      <c r="Q182" s="80"/>
      <c r="R182" s="80"/>
      <c r="S182" s="11">
        <f t="shared" si="158"/>
        <v>0</v>
      </c>
      <c r="T182" s="8">
        <f t="shared" si="128"/>
        <v>0</v>
      </c>
      <c r="U182" s="13" t="s">
        <v>22</v>
      </c>
      <c r="V182" s="46">
        <f t="shared" si="130"/>
        <v>0</v>
      </c>
      <c r="W182" s="36">
        <v>5.1070000000000002</v>
      </c>
      <c r="X182" s="36">
        <v>5.1070000000000002</v>
      </c>
      <c r="Y182" s="36">
        <v>5.1070000000000002</v>
      </c>
      <c r="Z182" s="36">
        <v>5.1070000000000002</v>
      </c>
      <c r="AA182" s="36">
        <v>5.1070000000000002</v>
      </c>
      <c r="AB182" s="36">
        <v>5.1070000000000002</v>
      </c>
      <c r="AC182" s="36">
        <v>5.1070000000000002</v>
      </c>
      <c r="AD182" s="36">
        <v>5.1070000000000002</v>
      </c>
      <c r="AE182" s="36">
        <v>5.1070000000000002</v>
      </c>
      <c r="AF182" s="36">
        <v>5.1070000000000002</v>
      </c>
      <c r="AG182" s="36">
        <v>5.1070000000000002</v>
      </c>
      <c r="AH182" s="36">
        <v>5.1070000000000002</v>
      </c>
      <c r="AI182" s="39">
        <v>1.33634708931066E-2</v>
      </c>
      <c r="AJ182" s="39">
        <v>1.33634708931066E-2</v>
      </c>
      <c r="AK182" s="39">
        <v>1.33634708931066E-2</v>
      </c>
      <c r="AL182" s="39">
        <v>1.33634708931066E-2</v>
      </c>
      <c r="AM182" s="39">
        <v>1.33634708931066E-2</v>
      </c>
      <c r="AN182" s="39">
        <v>1.33634708931066E-2</v>
      </c>
      <c r="AO182" s="39">
        <v>1.33634708931066E-2</v>
      </c>
      <c r="AP182" s="39">
        <v>1.33634708931066E-2</v>
      </c>
      <c r="AQ182" s="39">
        <v>1.33634708931066E-2</v>
      </c>
      <c r="AR182" s="39">
        <v>1.33634708931066E-2</v>
      </c>
      <c r="AS182" s="39">
        <v>1.33634708931066E-2</v>
      </c>
      <c r="AT182" s="39">
        <v>1.33634708931066E-2</v>
      </c>
      <c r="AU182" s="39">
        <v>1.2392217523121999E-3</v>
      </c>
      <c r="AV182" s="39">
        <v>1.2392217523121999E-3</v>
      </c>
      <c r="AW182" s="39">
        <v>1.2392217523121999E-3</v>
      </c>
      <c r="AX182" s="39">
        <v>1.2392217523121999E-3</v>
      </c>
      <c r="AY182" s="39">
        <v>1.2392217523121999E-3</v>
      </c>
      <c r="AZ182" s="39">
        <v>1.2392217523121999E-3</v>
      </c>
      <c r="BA182" s="39">
        <v>1.2392217523121999E-3</v>
      </c>
      <c r="BB182" s="39">
        <v>1.2392217523121999E-3</v>
      </c>
      <c r="BC182" s="39">
        <v>1.2392217523121999E-3</v>
      </c>
      <c r="BD182" s="39">
        <v>1.2392217523121999E-3</v>
      </c>
      <c r="BE182" s="39">
        <v>1.2392217523121999E-3</v>
      </c>
      <c r="BF182" s="39">
        <v>1.2392217523121999E-3</v>
      </c>
      <c r="BH182" s="12">
        <f t="shared" si="118"/>
        <v>0</v>
      </c>
      <c r="BI182" s="12">
        <f t="shared" si="119"/>
        <v>0</v>
      </c>
      <c r="BJ182" s="12">
        <f t="shared" si="120"/>
        <v>0</v>
      </c>
      <c r="BK182" s="12">
        <f t="shared" si="121"/>
        <v>0</v>
      </c>
      <c r="BL182" s="12">
        <f t="shared" si="122"/>
        <v>0</v>
      </c>
      <c r="BM182" s="12">
        <f t="shared" si="123"/>
        <v>0</v>
      </c>
      <c r="BN182" s="12">
        <f t="shared" si="124"/>
        <v>0</v>
      </c>
      <c r="BO182" s="12">
        <f t="shared" si="125"/>
        <v>0</v>
      </c>
      <c r="BP182" s="12">
        <f t="shared" si="126"/>
        <v>0</v>
      </c>
      <c r="BQ182" s="12">
        <f t="shared" si="127"/>
        <v>0</v>
      </c>
      <c r="BR182" s="12">
        <f t="shared" si="131"/>
        <v>0</v>
      </c>
      <c r="BS182" s="12">
        <f t="shared" si="132"/>
        <v>0</v>
      </c>
      <c r="BU182" s="11">
        <f t="shared" si="133"/>
        <v>0</v>
      </c>
      <c r="BV182" s="11">
        <f t="shared" si="134"/>
        <v>0</v>
      </c>
      <c r="BW182" s="11">
        <f t="shared" si="135"/>
        <v>0</v>
      </c>
      <c r="BX182" s="11">
        <f t="shared" si="136"/>
        <v>0</v>
      </c>
      <c r="BY182" s="11">
        <f t="shared" si="137"/>
        <v>0</v>
      </c>
      <c r="BZ182" s="11">
        <f t="shared" si="138"/>
        <v>0</v>
      </c>
      <c r="CA182" s="11">
        <f t="shared" si="139"/>
        <v>0</v>
      </c>
      <c r="CB182" s="11">
        <f t="shared" si="140"/>
        <v>0</v>
      </c>
      <c r="CC182" s="11">
        <f t="shared" si="141"/>
        <v>0</v>
      </c>
      <c r="CD182" s="11">
        <f t="shared" si="142"/>
        <v>0</v>
      </c>
      <c r="CE182" s="11">
        <f t="shared" si="143"/>
        <v>0</v>
      </c>
      <c r="CF182" s="11">
        <f t="shared" si="144"/>
        <v>0</v>
      </c>
      <c r="CG182" s="11"/>
      <c r="CH182" s="41">
        <v>3.23</v>
      </c>
      <c r="CJ182" s="54">
        <f t="shared" si="145"/>
        <v>0</v>
      </c>
      <c r="CK182" s="54">
        <f t="shared" si="146"/>
        <v>0</v>
      </c>
      <c r="CL182" s="54">
        <f t="shared" si="147"/>
        <v>0</v>
      </c>
      <c r="CM182" s="54">
        <f t="shared" si="148"/>
        <v>0</v>
      </c>
      <c r="CN182" s="54">
        <f t="shared" si="149"/>
        <v>0</v>
      </c>
      <c r="CO182" s="54">
        <f t="shared" si="150"/>
        <v>0</v>
      </c>
      <c r="CP182" s="54">
        <f t="shared" si="151"/>
        <v>0</v>
      </c>
      <c r="CQ182" s="54">
        <f t="shared" si="152"/>
        <v>0</v>
      </c>
      <c r="CR182" s="54">
        <f t="shared" si="153"/>
        <v>0</v>
      </c>
      <c r="CS182" s="54">
        <f t="shared" si="154"/>
        <v>0</v>
      </c>
      <c r="CT182" s="54">
        <f t="shared" si="155"/>
        <v>0</v>
      </c>
      <c r="CU182" s="54">
        <f t="shared" si="156"/>
        <v>0</v>
      </c>
      <c r="CV182" s="52">
        <f t="shared" si="157"/>
        <v>0</v>
      </c>
    </row>
    <row r="183" spans="1:100" ht="15.75" x14ac:dyDescent="0.25">
      <c r="A183" s="16"/>
      <c r="B183" s="44"/>
      <c r="C183" s="44"/>
      <c r="D183" s="44"/>
      <c r="E183" s="44"/>
      <c r="F183" s="45" t="s">
        <v>20</v>
      </c>
      <c r="G183" s="80"/>
      <c r="H183" s="80"/>
      <c r="I183" s="80"/>
      <c r="J183" s="80"/>
      <c r="K183" s="80"/>
      <c r="L183" s="80"/>
      <c r="M183" s="80"/>
      <c r="N183" s="80"/>
      <c r="O183" s="80"/>
      <c r="P183" s="80"/>
      <c r="Q183" s="80"/>
      <c r="R183" s="80"/>
      <c r="S183" s="11">
        <f t="shared" si="158"/>
        <v>0</v>
      </c>
      <c r="T183" s="8">
        <f t="shared" si="128"/>
        <v>0</v>
      </c>
      <c r="U183" s="13" t="s">
        <v>22</v>
      </c>
      <c r="V183" s="46">
        <f t="shared" si="130"/>
        <v>0</v>
      </c>
      <c r="W183" s="36">
        <v>3.2559999999999998</v>
      </c>
      <c r="X183" s="36">
        <v>3.2559999999999998</v>
      </c>
      <c r="Y183" s="36">
        <v>3.2559999999999998</v>
      </c>
      <c r="Z183" s="36">
        <v>3.2559999999999998</v>
      </c>
      <c r="AA183" s="36">
        <v>3.2559999999999998</v>
      </c>
      <c r="AB183" s="36">
        <v>3.2559999999999998</v>
      </c>
      <c r="AC183" s="36">
        <v>3.2559999999999998</v>
      </c>
      <c r="AD183" s="36">
        <v>3.2559999999999998</v>
      </c>
      <c r="AE183" s="36">
        <v>3.2559999999999998</v>
      </c>
      <c r="AF183" s="36">
        <v>3.2559999999999998</v>
      </c>
      <c r="AG183" s="36">
        <v>3.2559999999999998</v>
      </c>
      <c r="AH183" s="36">
        <v>3.2559999999999998</v>
      </c>
      <c r="AI183" s="39">
        <v>1.33634708931066E-2</v>
      </c>
      <c r="AJ183" s="39">
        <v>1.33634708931066E-2</v>
      </c>
      <c r="AK183" s="39">
        <v>1.33634708931066E-2</v>
      </c>
      <c r="AL183" s="39">
        <v>1.33634708931066E-2</v>
      </c>
      <c r="AM183" s="39">
        <v>1.33634708931066E-2</v>
      </c>
      <c r="AN183" s="39">
        <v>1.33634708931066E-2</v>
      </c>
      <c r="AO183" s="39">
        <v>1.33634708931066E-2</v>
      </c>
      <c r="AP183" s="39">
        <v>1.33634708931066E-2</v>
      </c>
      <c r="AQ183" s="39">
        <v>1.33634708931066E-2</v>
      </c>
      <c r="AR183" s="39">
        <v>1.33634708931066E-2</v>
      </c>
      <c r="AS183" s="39">
        <v>1.33634708931066E-2</v>
      </c>
      <c r="AT183" s="39">
        <v>1.33634708931066E-2</v>
      </c>
      <c r="AU183" s="39">
        <v>1.2392217523121999E-3</v>
      </c>
      <c r="AV183" s="39">
        <v>1.2392217523121999E-3</v>
      </c>
      <c r="AW183" s="39">
        <v>1.2392217523121999E-3</v>
      </c>
      <c r="AX183" s="39">
        <v>1.2392217523121999E-3</v>
      </c>
      <c r="AY183" s="39">
        <v>1.2392217523121999E-3</v>
      </c>
      <c r="AZ183" s="39">
        <v>1.2392217523121999E-3</v>
      </c>
      <c r="BA183" s="39">
        <v>1.2392217523121999E-3</v>
      </c>
      <c r="BB183" s="39">
        <v>1.2392217523121999E-3</v>
      </c>
      <c r="BC183" s="39">
        <v>1.2392217523121999E-3</v>
      </c>
      <c r="BD183" s="39">
        <v>1.2392217523121999E-3</v>
      </c>
      <c r="BE183" s="39">
        <v>1.2392217523121999E-3</v>
      </c>
      <c r="BF183" s="39">
        <v>1.2392217523121999E-3</v>
      </c>
      <c r="BH183" s="12">
        <f t="shared" si="118"/>
        <v>0</v>
      </c>
      <c r="BI183" s="12">
        <f t="shared" si="119"/>
        <v>0</v>
      </c>
      <c r="BJ183" s="12">
        <f t="shared" si="120"/>
        <v>0</v>
      </c>
      <c r="BK183" s="12">
        <f t="shared" si="121"/>
        <v>0</v>
      </c>
      <c r="BL183" s="12">
        <f t="shared" si="122"/>
        <v>0</v>
      </c>
      <c r="BM183" s="12">
        <f t="shared" si="123"/>
        <v>0</v>
      </c>
      <c r="BN183" s="12">
        <f t="shared" si="124"/>
        <v>0</v>
      </c>
      <c r="BO183" s="12">
        <f t="shared" si="125"/>
        <v>0</v>
      </c>
      <c r="BP183" s="12">
        <f t="shared" si="126"/>
        <v>0</v>
      </c>
      <c r="BQ183" s="12">
        <f t="shared" si="127"/>
        <v>0</v>
      </c>
      <c r="BR183" s="12">
        <f t="shared" si="131"/>
        <v>0</v>
      </c>
      <c r="BS183" s="12">
        <f t="shared" si="132"/>
        <v>0</v>
      </c>
      <c r="BU183" s="11">
        <f t="shared" si="133"/>
        <v>0</v>
      </c>
      <c r="BV183" s="11">
        <f t="shared" si="134"/>
        <v>0</v>
      </c>
      <c r="BW183" s="11">
        <f t="shared" si="135"/>
        <v>0</v>
      </c>
      <c r="BX183" s="11">
        <f t="shared" si="136"/>
        <v>0</v>
      </c>
      <c r="BY183" s="11">
        <f t="shared" si="137"/>
        <v>0</v>
      </c>
      <c r="BZ183" s="11">
        <f t="shared" si="138"/>
        <v>0</v>
      </c>
      <c r="CA183" s="11">
        <f t="shared" si="139"/>
        <v>0</v>
      </c>
      <c r="CB183" s="11">
        <f t="shared" si="140"/>
        <v>0</v>
      </c>
      <c r="CC183" s="11">
        <f t="shared" si="141"/>
        <v>0</v>
      </c>
      <c r="CD183" s="11">
        <f t="shared" si="142"/>
        <v>0</v>
      </c>
      <c r="CE183" s="11">
        <f t="shared" si="143"/>
        <v>0</v>
      </c>
      <c r="CF183" s="11">
        <f t="shared" si="144"/>
        <v>0</v>
      </c>
      <c r="CG183" s="11"/>
      <c r="CH183" s="41">
        <v>3.23</v>
      </c>
      <c r="CJ183" s="54">
        <f t="shared" si="145"/>
        <v>0</v>
      </c>
      <c r="CK183" s="54">
        <f t="shared" si="146"/>
        <v>0</v>
      </c>
      <c r="CL183" s="54">
        <f t="shared" si="147"/>
        <v>0</v>
      </c>
      <c r="CM183" s="54">
        <f t="shared" si="148"/>
        <v>0</v>
      </c>
      <c r="CN183" s="54">
        <f t="shared" si="149"/>
        <v>0</v>
      </c>
      <c r="CO183" s="54">
        <f t="shared" si="150"/>
        <v>0</v>
      </c>
      <c r="CP183" s="54">
        <f t="shared" si="151"/>
        <v>0</v>
      </c>
      <c r="CQ183" s="54">
        <f t="shared" si="152"/>
        <v>0</v>
      </c>
      <c r="CR183" s="54">
        <f t="shared" si="153"/>
        <v>0</v>
      </c>
      <c r="CS183" s="54">
        <f t="shared" si="154"/>
        <v>0</v>
      </c>
      <c r="CT183" s="54">
        <f t="shared" si="155"/>
        <v>0</v>
      </c>
      <c r="CU183" s="54">
        <f t="shared" si="156"/>
        <v>0</v>
      </c>
      <c r="CV183" s="52">
        <f t="shared" si="157"/>
        <v>0</v>
      </c>
    </row>
    <row r="184" spans="1:100" ht="15.75" x14ac:dyDescent="0.25">
      <c r="A184" s="16"/>
      <c r="B184" s="44"/>
      <c r="C184" s="44"/>
      <c r="D184" s="44"/>
      <c r="E184" s="44"/>
      <c r="F184" s="45" t="s">
        <v>20</v>
      </c>
      <c r="G184" s="80"/>
      <c r="H184" s="80"/>
      <c r="I184" s="80"/>
      <c r="J184" s="80"/>
      <c r="K184" s="80"/>
      <c r="L184" s="80"/>
      <c r="M184" s="80"/>
      <c r="N184" s="80"/>
      <c r="O184" s="80"/>
      <c r="P184" s="80"/>
      <c r="Q184" s="80"/>
      <c r="R184" s="80"/>
      <c r="S184" s="11">
        <f t="shared" si="158"/>
        <v>0</v>
      </c>
      <c r="T184" s="8">
        <f t="shared" si="128"/>
        <v>0</v>
      </c>
      <c r="U184" s="13" t="s">
        <v>22</v>
      </c>
      <c r="V184" s="46">
        <f t="shared" si="130"/>
        <v>0</v>
      </c>
      <c r="W184" s="36">
        <v>1.4350000000000001</v>
      </c>
      <c r="X184" s="36">
        <v>1.4350000000000001</v>
      </c>
      <c r="Y184" s="36">
        <v>1.4350000000000001</v>
      </c>
      <c r="Z184" s="36">
        <v>1.4350000000000001</v>
      </c>
      <c r="AA184" s="36">
        <v>1.4350000000000001</v>
      </c>
      <c r="AB184" s="36">
        <v>1.4350000000000001</v>
      </c>
      <c r="AC184" s="36">
        <v>1.4350000000000001</v>
      </c>
      <c r="AD184" s="36">
        <v>1.4350000000000001</v>
      </c>
      <c r="AE184" s="36">
        <v>1.4350000000000001</v>
      </c>
      <c r="AF184" s="36">
        <v>1.4350000000000001</v>
      </c>
      <c r="AG184" s="36">
        <v>1.4350000000000001</v>
      </c>
      <c r="AH184" s="36">
        <v>1.4350000000000001</v>
      </c>
      <c r="AI184" s="39">
        <v>1.33634708931066E-2</v>
      </c>
      <c r="AJ184" s="39">
        <v>1.33634708931066E-2</v>
      </c>
      <c r="AK184" s="39">
        <v>1.33634708931066E-2</v>
      </c>
      <c r="AL184" s="39">
        <v>1.33634708931066E-2</v>
      </c>
      <c r="AM184" s="39">
        <v>1.33634708931066E-2</v>
      </c>
      <c r="AN184" s="39">
        <v>1.33634708931066E-2</v>
      </c>
      <c r="AO184" s="39">
        <v>1.33634708931066E-2</v>
      </c>
      <c r="AP184" s="39">
        <v>1.33634708931066E-2</v>
      </c>
      <c r="AQ184" s="39">
        <v>1.33634708931066E-2</v>
      </c>
      <c r="AR184" s="39">
        <v>1.33634708931066E-2</v>
      </c>
      <c r="AS184" s="39">
        <v>1.33634708931066E-2</v>
      </c>
      <c r="AT184" s="39">
        <v>1.33634708931066E-2</v>
      </c>
      <c r="AU184" s="39">
        <v>1.2392217523121999E-3</v>
      </c>
      <c r="AV184" s="39">
        <v>1.2392217523121999E-3</v>
      </c>
      <c r="AW184" s="39">
        <v>1.2392217523121999E-3</v>
      </c>
      <c r="AX184" s="39">
        <v>1.2392217523121999E-3</v>
      </c>
      <c r="AY184" s="39">
        <v>1.2392217523121999E-3</v>
      </c>
      <c r="AZ184" s="39">
        <v>1.2392217523121999E-3</v>
      </c>
      <c r="BA184" s="39">
        <v>1.2392217523121999E-3</v>
      </c>
      <c r="BB184" s="39">
        <v>1.2392217523121999E-3</v>
      </c>
      <c r="BC184" s="39">
        <v>1.2392217523121999E-3</v>
      </c>
      <c r="BD184" s="39">
        <v>1.2392217523121999E-3</v>
      </c>
      <c r="BE184" s="39">
        <v>1.2392217523121999E-3</v>
      </c>
      <c r="BF184" s="39">
        <v>1.2392217523121999E-3</v>
      </c>
      <c r="BH184" s="12">
        <f t="shared" si="118"/>
        <v>0</v>
      </c>
      <c r="BI184" s="12">
        <f t="shared" si="119"/>
        <v>0</v>
      </c>
      <c r="BJ184" s="12">
        <f t="shared" si="120"/>
        <v>0</v>
      </c>
      <c r="BK184" s="12">
        <f t="shared" si="121"/>
        <v>0</v>
      </c>
      <c r="BL184" s="12">
        <f t="shared" si="122"/>
        <v>0</v>
      </c>
      <c r="BM184" s="12">
        <f t="shared" si="123"/>
        <v>0</v>
      </c>
      <c r="BN184" s="12">
        <f t="shared" si="124"/>
        <v>0</v>
      </c>
      <c r="BO184" s="12">
        <f t="shared" si="125"/>
        <v>0</v>
      </c>
      <c r="BP184" s="12">
        <f t="shared" si="126"/>
        <v>0</v>
      </c>
      <c r="BQ184" s="12">
        <f t="shared" si="127"/>
        <v>0</v>
      </c>
      <c r="BR184" s="12">
        <f t="shared" si="131"/>
        <v>0</v>
      </c>
      <c r="BS184" s="12">
        <f t="shared" si="132"/>
        <v>0</v>
      </c>
      <c r="BU184" s="11">
        <f t="shared" si="133"/>
        <v>0</v>
      </c>
      <c r="BV184" s="11">
        <f t="shared" si="134"/>
        <v>0</v>
      </c>
      <c r="BW184" s="11">
        <f t="shared" si="135"/>
        <v>0</v>
      </c>
      <c r="BX184" s="11">
        <f t="shared" si="136"/>
        <v>0</v>
      </c>
      <c r="BY184" s="11">
        <f t="shared" si="137"/>
        <v>0</v>
      </c>
      <c r="BZ184" s="11">
        <f t="shared" si="138"/>
        <v>0</v>
      </c>
      <c r="CA184" s="11">
        <f t="shared" si="139"/>
        <v>0</v>
      </c>
      <c r="CB184" s="11">
        <f t="shared" si="140"/>
        <v>0</v>
      </c>
      <c r="CC184" s="11">
        <f t="shared" si="141"/>
        <v>0</v>
      </c>
      <c r="CD184" s="11">
        <f t="shared" si="142"/>
        <v>0</v>
      </c>
      <c r="CE184" s="11">
        <f t="shared" si="143"/>
        <v>0</v>
      </c>
      <c r="CF184" s="11">
        <f t="shared" si="144"/>
        <v>0</v>
      </c>
      <c r="CG184" s="11"/>
      <c r="CH184" s="41">
        <v>3.23</v>
      </c>
      <c r="CJ184" s="54">
        <f t="shared" si="145"/>
        <v>0</v>
      </c>
      <c r="CK184" s="54">
        <f t="shared" si="146"/>
        <v>0</v>
      </c>
      <c r="CL184" s="54">
        <f t="shared" si="147"/>
        <v>0</v>
      </c>
      <c r="CM184" s="54">
        <f t="shared" si="148"/>
        <v>0</v>
      </c>
      <c r="CN184" s="54">
        <f t="shared" si="149"/>
        <v>0</v>
      </c>
      <c r="CO184" s="54">
        <f t="shared" si="150"/>
        <v>0</v>
      </c>
      <c r="CP184" s="54">
        <f t="shared" si="151"/>
        <v>0</v>
      </c>
      <c r="CQ184" s="54">
        <f t="shared" si="152"/>
        <v>0</v>
      </c>
      <c r="CR184" s="54">
        <f t="shared" si="153"/>
        <v>0</v>
      </c>
      <c r="CS184" s="54">
        <f t="shared" si="154"/>
        <v>0</v>
      </c>
      <c r="CT184" s="54">
        <f t="shared" si="155"/>
        <v>0</v>
      </c>
      <c r="CU184" s="54">
        <f t="shared" si="156"/>
        <v>0</v>
      </c>
      <c r="CV184" s="52">
        <f t="shared" si="157"/>
        <v>0</v>
      </c>
    </row>
    <row r="185" spans="1:100" ht="15.75" x14ac:dyDescent="0.25">
      <c r="A185" s="16"/>
      <c r="B185" s="44"/>
      <c r="C185" s="44"/>
      <c r="D185" s="44"/>
      <c r="E185" s="44"/>
      <c r="F185" s="45" t="s">
        <v>20</v>
      </c>
      <c r="G185" s="80"/>
      <c r="H185" s="80"/>
      <c r="I185" s="80"/>
      <c r="J185" s="80"/>
      <c r="K185" s="80"/>
      <c r="L185" s="80"/>
      <c r="M185" s="80"/>
      <c r="N185" s="80"/>
      <c r="O185" s="80"/>
      <c r="P185" s="80"/>
      <c r="Q185" s="80"/>
      <c r="R185" s="80"/>
      <c r="S185" s="11">
        <f t="shared" si="158"/>
        <v>0</v>
      </c>
      <c r="T185" s="8">
        <f t="shared" si="128"/>
        <v>0</v>
      </c>
      <c r="U185" s="13" t="s">
        <v>22</v>
      </c>
      <c r="V185" s="46">
        <f t="shared" si="130"/>
        <v>0</v>
      </c>
      <c r="W185" s="36">
        <v>2.956</v>
      </c>
      <c r="X185" s="36">
        <v>2.956</v>
      </c>
      <c r="Y185" s="36">
        <v>2.956</v>
      </c>
      <c r="Z185" s="36">
        <v>2.956</v>
      </c>
      <c r="AA185" s="36">
        <v>2.956</v>
      </c>
      <c r="AB185" s="36">
        <v>2.956</v>
      </c>
      <c r="AC185" s="36">
        <v>2.956</v>
      </c>
      <c r="AD185" s="36">
        <v>2.956</v>
      </c>
      <c r="AE185" s="36">
        <v>2.956</v>
      </c>
      <c r="AF185" s="36">
        <v>2.956</v>
      </c>
      <c r="AG185" s="36">
        <v>2.956</v>
      </c>
      <c r="AH185" s="36">
        <v>2.956</v>
      </c>
      <c r="AI185" s="39">
        <v>1.33634708931066E-2</v>
      </c>
      <c r="AJ185" s="39">
        <v>1.33634708931066E-2</v>
      </c>
      <c r="AK185" s="39">
        <v>1.33634708931066E-2</v>
      </c>
      <c r="AL185" s="39">
        <v>1.33634708931066E-2</v>
      </c>
      <c r="AM185" s="39">
        <v>1.33634708931066E-2</v>
      </c>
      <c r="AN185" s="39">
        <v>1.33634708931066E-2</v>
      </c>
      <c r="AO185" s="39">
        <v>1.33634708931066E-2</v>
      </c>
      <c r="AP185" s="39">
        <v>1.33634708931066E-2</v>
      </c>
      <c r="AQ185" s="39">
        <v>1.33634708931066E-2</v>
      </c>
      <c r="AR185" s="39">
        <v>1.33634708931066E-2</v>
      </c>
      <c r="AS185" s="39">
        <v>1.33634708931066E-2</v>
      </c>
      <c r="AT185" s="39">
        <v>1.33634708931066E-2</v>
      </c>
      <c r="AU185" s="39">
        <v>1.2392217523121999E-3</v>
      </c>
      <c r="AV185" s="39">
        <v>1.2392217523121999E-3</v>
      </c>
      <c r="AW185" s="39">
        <v>1.2392217523121999E-3</v>
      </c>
      <c r="AX185" s="39">
        <v>1.2392217523121999E-3</v>
      </c>
      <c r="AY185" s="39">
        <v>1.2392217523121999E-3</v>
      </c>
      <c r="AZ185" s="39">
        <v>1.2392217523121999E-3</v>
      </c>
      <c r="BA185" s="39">
        <v>1.2392217523121999E-3</v>
      </c>
      <c r="BB185" s="39">
        <v>1.2392217523121999E-3</v>
      </c>
      <c r="BC185" s="39">
        <v>1.2392217523121999E-3</v>
      </c>
      <c r="BD185" s="39">
        <v>1.2392217523121999E-3</v>
      </c>
      <c r="BE185" s="39">
        <v>1.2392217523121999E-3</v>
      </c>
      <c r="BF185" s="39">
        <v>1.2392217523121999E-3</v>
      </c>
      <c r="BH185" s="12">
        <f t="shared" si="118"/>
        <v>0</v>
      </c>
      <c r="BI185" s="12">
        <f t="shared" si="119"/>
        <v>0</v>
      </c>
      <c r="BJ185" s="12">
        <f t="shared" si="120"/>
        <v>0</v>
      </c>
      <c r="BK185" s="12">
        <f t="shared" si="121"/>
        <v>0</v>
      </c>
      <c r="BL185" s="12">
        <f t="shared" si="122"/>
        <v>0</v>
      </c>
      <c r="BM185" s="12">
        <f t="shared" si="123"/>
        <v>0</v>
      </c>
      <c r="BN185" s="12">
        <f t="shared" si="124"/>
        <v>0</v>
      </c>
      <c r="BO185" s="12">
        <f t="shared" si="125"/>
        <v>0</v>
      </c>
      <c r="BP185" s="12">
        <f t="shared" si="126"/>
        <v>0</v>
      </c>
      <c r="BQ185" s="12">
        <f t="shared" si="127"/>
        <v>0</v>
      </c>
      <c r="BR185" s="12">
        <f t="shared" si="131"/>
        <v>0</v>
      </c>
      <c r="BS185" s="12">
        <f t="shared" si="132"/>
        <v>0</v>
      </c>
      <c r="BU185" s="11">
        <f t="shared" si="133"/>
        <v>0</v>
      </c>
      <c r="BV185" s="11">
        <f t="shared" si="134"/>
        <v>0</v>
      </c>
      <c r="BW185" s="11">
        <f t="shared" si="135"/>
        <v>0</v>
      </c>
      <c r="BX185" s="11">
        <f t="shared" si="136"/>
        <v>0</v>
      </c>
      <c r="BY185" s="11">
        <f t="shared" si="137"/>
        <v>0</v>
      </c>
      <c r="BZ185" s="11">
        <f t="shared" si="138"/>
        <v>0</v>
      </c>
      <c r="CA185" s="11">
        <f t="shared" si="139"/>
        <v>0</v>
      </c>
      <c r="CB185" s="11">
        <f t="shared" si="140"/>
        <v>0</v>
      </c>
      <c r="CC185" s="11">
        <f t="shared" si="141"/>
        <v>0</v>
      </c>
      <c r="CD185" s="11">
        <f t="shared" si="142"/>
        <v>0</v>
      </c>
      <c r="CE185" s="11">
        <f t="shared" si="143"/>
        <v>0</v>
      </c>
      <c r="CF185" s="11">
        <f t="shared" si="144"/>
        <v>0</v>
      </c>
      <c r="CG185" s="11"/>
      <c r="CH185" s="41">
        <v>3.23</v>
      </c>
      <c r="CJ185" s="54">
        <f t="shared" si="145"/>
        <v>0</v>
      </c>
      <c r="CK185" s="54">
        <f t="shared" si="146"/>
        <v>0</v>
      </c>
      <c r="CL185" s="54">
        <f t="shared" si="147"/>
        <v>0</v>
      </c>
      <c r="CM185" s="54">
        <f t="shared" si="148"/>
        <v>0</v>
      </c>
      <c r="CN185" s="54">
        <f t="shared" si="149"/>
        <v>0</v>
      </c>
      <c r="CO185" s="54">
        <f t="shared" si="150"/>
        <v>0</v>
      </c>
      <c r="CP185" s="54">
        <f t="shared" si="151"/>
        <v>0</v>
      </c>
      <c r="CQ185" s="54">
        <f t="shared" si="152"/>
        <v>0</v>
      </c>
      <c r="CR185" s="54">
        <f t="shared" si="153"/>
        <v>0</v>
      </c>
      <c r="CS185" s="54">
        <f t="shared" si="154"/>
        <v>0</v>
      </c>
      <c r="CT185" s="54">
        <f t="shared" si="155"/>
        <v>0</v>
      </c>
      <c r="CU185" s="54">
        <f t="shared" si="156"/>
        <v>0</v>
      </c>
      <c r="CV185" s="52">
        <f t="shared" si="157"/>
        <v>0</v>
      </c>
    </row>
    <row r="186" spans="1:100" ht="15.75" x14ac:dyDescent="0.25">
      <c r="A186" s="16"/>
      <c r="B186" s="44"/>
      <c r="C186" s="44"/>
      <c r="D186" s="44"/>
      <c r="E186" s="44"/>
      <c r="F186" s="45" t="s">
        <v>20</v>
      </c>
      <c r="G186" s="80"/>
      <c r="H186" s="80"/>
      <c r="I186" s="80"/>
      <c r="J186" s="80"/>
      <c r="K186" s="80"/>
      <c r="L186" s="80"/>
      <c r="M186" s="80"/>
      <c r="N186" s="80"/>
      <c r="O186" s="80"/>
      <c r="P186" s="80"/>
      <c r="Q186" s="80"/>
      <c r="R186" s="80"/>
      <c r="S186" s="11">
        <f t="shared" si="158"/>
        <v>0</v>
      </c>
      <c r="T186" s="8">
        <f t="shared" si="128"/>
        <v>0</v>
      </c>
      <c r="U186" s="13" t="s">
        <v>22</v>
      </c>
      <c r="V186" s="46">
        <f t="shared" si="130"/>
        <v>0</v>
      </c>
      <c r="W186" s="36">
        <v>3.476</v>
      </c>
      <c r="X186" s="36">
        <v>3.476</v>
      </c>
      <c r="Y186" s="36">
        <v>3.476</v>
      </c>
      <c r="Z186" s="36">
        <v>3.476</v>
      </c>
      <c r="AA186" s="36">
        <v>3.476</v>
      </c>
      <c r="AB186" s="36">
        <v>3.476</v>
      </c>
      <c r="AC186" s="36">
        <v>3.476</v>
      </c>
      <c r="AD186" s="36">
        <v>3.476</v>
      </c>
      <c r="AE186" s="36">
        <v>3.476</v>
      </c>
      <c r="AF186" s="36">
        <v>3.476</v>
      </c>
      <c r="AG186" s="36">
        <v>3.476</v>
      </c>
      <c r="AH186" s="36">
        <v>3.476</v>
      </c>
      <c r="AI186" s="39">
        <v>1.33634708931066E-2</v>
      </c>
      <c r="AJ186" s="39">
        <v>1.33634708931066E-2</v>
      </c>
      <c r="AK186" s="39">
        <v>1.33634708931066E-2</v>
      </c>
      <c r="AL186" s="39">
        <v>1.33634708931066E-2</v>
      </c>
      <c r="AM186" s="39">
        <v>1.33634708931066E-2</v>
      </c>
      <c r="AN186" s="39">
        <v>1.33634708931066E-2</v>
      </c>
      <c r="AO186" s="39">
        <v>1.33634708931066E-2</v>
      </c>
      <c r="AP186" s="39">
        <v>1.33634708931066E-2</v>
      </c>
      <c r="AQ186" s="39">
        <v>1.33634708931066E-2</v>
      </c>
      <c r="AR186" s="39">
        <v>1.33634708931066E-2</v>
      </c>
      <c r="AS186" s="39">
        <v>1.33634708931066E-2</v>
      </c>
      <c r="AT186" s="39">
        <v>1.33634708931066E-2</v>
      </c>
      <c r="AU186" s="39">
        <v>1.2392217523121999E-3</v>
      </c>
      <c r="AV186" s="39">
        <v>1.2392217523121999E-3</v>
      </c>
      <c r="AW186" s="39">
        <v>1.2392217523121999E-3</v>
      </c>
      <c r="AX186" s="39">
        <v>1.2392217523121999E-3</v>
      </c>
      <c r="AY186" s="39">
        <v>1.2392217523121999E-3</v>
      </c>
      <c r="AZ186" s="39">
        <v>1.2392217523121999E-3</v>
      </c>
      <c r="BA186" s="39">
        <v>1.2392217523121999E-3</v>
      </c>
      <c r="BB186" s="39">
        <v>1.2392217523121999E-3</v>
      </c>
      <c r="BC186" s="39">
        <v>1.2392217523121999E-3</v>
      </c>
      <c r="BD186" s="39">
        <v>1.2392217523121999E-3</v>
      </c>
      <c r="BE186" s="39">
        <v>1.2392217523121999E-3</v>
      </c>
      <c r="BF186" s="39">
        <v>1.2392217523121999E-3</v>
      </c>
      <c r="BH186" s="12">
        <f t="shared" si="118"/>
        <v>0</v>
      </c>
      <c r="BI186" s="12">
        <f t="shared" si="119"/>
        <v>0</v>
      </c>
      <c r="BJ186" s="12">
        <f t="shared" si="120"/>
        <v>0</v>
      </c>
      <c r="BK186" s="12">
        <f t="shared" si="121"/>
        <v>0</v>
      </c>
      <c r="BL186" s="12">
        <f t="shared" si="122"/>
        <v>0</v>
      </c>
      <c r="BM186" s="12">
        <f t="shared" si="123"/>
        <v>0</v>
      </c>
      <c r="BN186" s="12">
        <f t="shared" si="124"/>
        <v>0</v>
      </c>
      <c r="BO186" s="12">
        <f t="shared" si="125"/>
        <v>0</v>
      </c>
      <c r="BP186" s="12">
        <f t="shared" si="126"/>
        <v>0</v>
      </c>
      <c r="BQ186" s="12">
        <f t="shared" si="127"/>
        <v>0</v>
      </c>
      <c r="BR186" s="12">
        <f t="shared" si="131"/>
        <v>0</v>
      </c>
      <c r="BS186" s="12">
        <f t="shared" si="132"/>
        <v>0</v>
      </c>
      <c r="BU186" s="11">
        <f t="shared" si="133"/>
        <v>0</v>
      </c>
      <c r="BV186" s="11">
        <f t="shared" si="134"/>
        <v>0</v>
      </c>
      <c r="BW186" s="11">
        <f t="shared" si="135"/>
        <v>0</v>
      </c>
      <c r="BX186" s="11">
        <f t="shared" si="136"/>
        <v>0</v>
      </c>
      <c r="BY186" s="11">
        <f t="shared" si="137"/>
        <v>0</v>
      </c>
      <c r="BZ186" s="11">
        <f t="shared" si="138"/>
        <v>0</v>
      </c>
      <c r="CA186" s="11">
        <f t="shared" si="139"/>
        <v>0</v>
      </c>
      <c r="CB186" s="11">
        <f t="shared" si="140"/>
        <v>0</v>
      </c>
      <c r="CC186" s="11">
        <f t="shared" si="141"/>
        <v>0</v>
      </c>
      <c r="CD186" s="11">
        <f t="shared" si="142"/>
        <v>0</v>
      </c>
      <c r="CE186" s="11">
        <f t="shared" si="143"/>
        <v>0</v>
      </c>
      <c r="CF186" s="11">
        <f t="shared" si="144"/>
        <v>0</v>
      </c>
      <c r="CG186" s="11"/>
      <c r="CH186" s="41">
        <v>3.23</v>
      </c>
      <c r="CJ186" s="54">
        <f t="shared" si="145"/>
        <v>0</v>
      </c>
      <c r="CK186" s="54">
        <f t="shared" si="146"/>
        <v>0</v>
      </c>
      <c r="CL186" s="54">
        <f t="shared" si="147"/>
        <v>0</v>
      </c>
      <c r="CM186" s="54">
        <f t="shared" si="148"/>
        <v>0</v>
      </c>
      <c r="CN186" s="54">
        <f t="shared" si="149"/>
        <v>0</v>
      </c>
      <c r="CO186" s="54">
        <f t="shared" si="150"/>
        <v>0</v>
      </c>
      <c r="CP186" s="54">
        <f t="shared" si="151"/>
        <v>0</v>
      </c>
      <c r="CQ186" s="54">
        <f t="shared" si="152"/>
        <v>0</v>
      </c>
      <c r="CR186" s="54">
        <f t="shared" si="153"/>
        <v>0</v>
      </c>
      <c r="CS186" s="54">
        <f t="shared" si="154"/>
        <v>0</v>
      </c>
      <c r="CT186" s="54">
        <f t="shared" si="155"/>
        <v>0</v>
      </c>
      <c r="CU186" s="54">
        <f t="shared" si="156"/>
        <v>0</v>
      </c>
      <c r="CV186" s="52">
        <f t="shared" si="157"/>
        <v>0</v>
      </c>
    </row>
    <row r="187" spans="1:100" ht="15.75" x14ac:dyDescent="0.25">
      <c r="A187" s="16"/>
      <c r="B187" s="44"/>
      <c r="C187" s="44"/>
      <c r="D187" s="44"/>
      <c r="E187" s="44"/>
      <c r="F187" s="45" t="s">
        <v>20</v>
      </c>
      <c r="G187" s="80"/>
      <c r="H187" s="80"/>
      <c r="I187" s="80"/>
      <c r="J187" s="80"/>
      <c r="K187" s="80"/>
      <c r="L187" s="80"/>
      <c r="M187" s="80"/>
      <c r="N187" s="80"/>
      <c r="O187" s="80"/>
      <c r="P187" s="80"/>
      <c r="Q187" s="80"/>
      <c r="R187" s="80"/>
      <c r="S187" s="11">
        <f t="shared" si="158"/>
        <v>0</v>
      </c>
      <c r="T187" s="8">
        <f t="shared" si="128"/>
        <v>0</v>
      </c>
      <c r="U187" s="13" t="s">
        <v>22</v>
      </c>
      <c r="V187" s="46">
        <f t="shared" si="130"/>
        <v>0</v>
      </c>
      <c r="W187" s="36">
        <v>3.915</v>
      </c>
      <c r="X187" s="36">
        <v>3.915</v>
      </c>
      <c r="Y187" s="36">
        <v>3.915</v>
      </c>
      <c r="Z187" s="36">
        <v>3.915</v>
      </c>
      <c r="AA187" s="36">
        <v>3.915</v>
      </c>
      <c r="AB187" s="36">
        <v>3.915</v>
      </c>
      <c r="AC187" s="36">
        <v>3.915</v>
      </c>
      <c r="AD187" s="36">
        <v>3.915</v>
      </c>
      <c r="AE187" s="36">
        <v>3.915</v>
      </c>
      <c r="AF187" s="36">
        <v>3.915</v>
      </c>
      <c r="AG187" s="36">
        <v>3.915</v>
      </c>
      <c r="AH187" s="36">
        <v>3.915</v>
      </c>
      <c r="AI187" s="39">
        <v>1.33634708931066E-2</v>
      </c>
      <c r="AJ187" s="39">
        <v>1.33634708931066E-2</v>
      </c>
      <c r="AK187" s="39">
        <v>1.33634708931066E-2</v>
      </c>
      <c r="AL187" s="39">
        <v>1.33634708931066E-2</v>
      </c>
      <c r="AM187" s="39">
        <v>1.33634708931066E-2</v>
      </c>
      <c r="AN187" s="39">
        <v>1.33634708931066E-2</v>
      </c>
      <c r="AO187" s="39">
        <v>1.33634708931066E-2</v>
      </c>
      <c r="AP187" s="39">
        <v>1.33634708931066E-2</v>
      </c>
      <c r="AQ187" s="39">
        <v>1.33634708931066E-2</v>
      </c>
      <c r="AR187" s="39">
        <v>1.33634708931066E-2</v>
      </c>
      <c r="AS187" s="39">
        <v>1.33634708931066E-2</v>
      </c>
      <c r="AT187" s="39">
        <v>1.33634708931066E-2</v>
      </c>
      <c r="AU187" s="39">
        <v>1.2392217523121999E-3</v>
      </c>
      <c r="AV187" s="39">
        <v>1.2392217523121999E-3</v>
      </c>
      <c r="AW187" s="39">
        <v>1.2392217523121999E-3</v>
      </c>
      <c r="AX187" s="39">
        <v>1.2392217523121999E-3</v>
      </c>
      <c r="AY187" s="39">
        <v>1.2392217523121999E-3</v>
      </c>
      <c r="AZ187" s="39">
        <v>1.2392217523121999E-3</v>
      </c>
      <c r="BA187" s="39">
        <v>1.2392217523121999E-3</v>
      </c>
      <c r="BB187" s="39">
        <v>1.2392217523121999E-3</v>
      </c>
      <c r="BC187" s="39">
        <v>1.2392217523121999E-3</v>
      </c>
      <c r="BD187" s="39">
        <v>1.2392217523121999E-3</v>
      </c>
      <c r="BE187" s="39">
        <v>1.2392217523121999E-3</v>
      </c>
      <c r="BF187" s="39">
        <v>1.2392217523121999E-3</v>
      </c>
      <c r="BH187" s="12">
        <f t="shared" si="118"/>
        <v>0</v>
      </c>
      <c r="BI187" s="12">
        <f t="shared" si="119"/>
        <v>0</v>
      </c>
      <c r="BJ187" s="12">
        <f t="shared" si="120"/>
        <v>0</v>
      </c>
      <c r="BK187" s="12">
        <f t="shared" si="121"/>
        <v>0</v>
      </c>
      <c r="BL187" s="12">
        <f t="shared" si="122"/>
        <v>0</v>
      </c>
      <c r="BM187" s="12">
        <f t="shared" si="123"/>
        <v>0</v>
      </c>
      <c r="BN187" s="12">
        <f t="shared" si="124"/>
        <v>0</v>
      </c>
      <c r="BO187" s="12">
        <f t="shared" si="125"/>
        <v>0</v>
      </c>
      <c r="BP187" s="12">
        <f t="shared" si="126"/>
        <v>0</v>
      </c>
      <c r="BQ187" s="12">
        <f t="shared" si="127"/>
        <v>0</v>
      </c>
      <c r="BR187" s="12">
        <f t="shared" si="131"/>
        <v>0</v>
      </c>
      <c r="BS187" s="12">
        <f t="shared" si="132"/>
        <v>0</v>
      </c>
      <c r="BU187" s="11">
        <f t="shared" si="133"/>
        <v>0</v>
      </c>
      <c r="BV187" s="11">
        <f t="shared" si="134"/>
        <v>0</v>
      </c>
      <c r="BW187" s="11">
        <f t="shared" si="135"/>
        <v>0</v>
      </c>
      <c r="BX187" s="11">
        <f t="shared" si="136"/>
        <v>0</v>
      </c>
      <c r="BY187" s="11">
        <f t="shared" si="137"/>
        <v>0</v>
      </c>
      <c r="BZ187" s="11">
        <f t="shared" si="138"/>
        <v>0</v>
      </c>
      <c r="CA187" s="11">
        <f t="shared" si="139"/>
        <v>0</v>
      </c>
      <c r="CB187" s="11">
        <f t="shared" si="140"/>
        <v>0</v>
      </c>
      <c r="CC187" s="11">
        <f t="shared" si="141"/>
        <v>0</v>
      </c>
      <c r="CD187" s="11">
        <f t="shared" si="142"/>
        <v>0</v>
      </c>
      <c r="CE187" s="11">
        <f t="shared" si="143"/>
        <v>0</v>
      </c>
      <c r="CF187" s="11">
        <f t="shared" si="144"/>
        <v>0</v>
      </c>
      <c r="CG187" s="11"/>
      <c r="CH187" s="41">
        <v>3.23</v>
      </c>
      <c r="CJ187" s="54">
        <f t="shared" si="145"/>
        <v>0</v>
      </c>
      <c r="CK187" s="54">
        <f t="shared" si="146"/>
        <v>0</v>
      </c>
      <c r="CL187" s="54">
        <f t="shared" si="147"/>
        <v>0</v>
      </c>
      <c r="CM187" s="54">
        <f t="shared" si="148"/>
        <v>0</v>
      </c>
      <c r="CN187" s="54">
        <f t="shared" si="149"/>
        <v>0</v>
      </c>
      <c r="CO187" s="54">
        <f t="shared" si="150"/>
        <v>0</v>
      </c>
      <c r="CP187" s="54">
        <f t="shared" si="151"/>
        <v>0</v>
      </c>
      <c r="CQ187" s="54">
        <f t="shared" si="152"/>
        <v>0</v>
      </c>
      <c r="CR187" s="54">
        <f t="shared" si="153"/>
        <v>0</v>
      </c>
      <c r="CS187" s="54">
        <f t="shared" si="154"/>
        <v>0</v>
      </c>
      <c r="CT187" s="54">
        <f t="shared" si="155"/>
        <v>0</v>
      </c>
      <c r="CU187" s="54">
        <f t="shared" si="156"/>
        <v>0</v>
      </c>
      <c r="CV187" s="52">
        <f t="shared" si="157"/>
        <v>0</v>
      </c>
    </row>
    <row r="188" spans="1:100" ht="15.75" x14ac:dyDescent="0.25">
      <c r="A188" s="16"/>
      <c r="B188" s="44"/>
      <c r="C188" s="44"/>
      <c r="D188" s="44"/>
      <c r="E188" s="44"/>
      <c r="F188" s="45" t="s">
        <v>20</v>
      </c>
      <c r="G188" s="80"/>
      <c r="H188" s="80"/>
      <c r="I188" s="80"/>
      <c r="J188" s="80"/>
      <c r="K188" s="80"/>
      <c r="L188" s="80"/>
      <c r="M188" s="80"/>
      <c r="N188" s="80"/>
      <c r="O188" s="80"/>
      <c r="P188" s="80"/>
      <c r="Q188" s="80"/>
      <c r="R188" s="80"/>
      <c r="S188" s="11">
        <f t="shared" si="158"/>
        <v>0</v>
      </c>
      <c r="T188" s="8">
        <f t="shared" si="128"/>
        <v>0</v>
      </c>
      <c r="U188" s="13" t="s">
        <v>22</v>
      </c>
      <c r="V188" s="46">
        <f t="shared" si="130"/>
        <v>0</v>
      </c>
      <c r="W188" s="36">
        <v>9.06</v>
      </c>
      <c r="X188" s="36">
        <v>9.06</v>
      </c>
      <c r="Y188" s="36">
        <v>9.06</v>
      </c>
      <c r="Z188" s="36">
        <v>9.06</v>
      </c>
      <c r="AA188" s="36">
        <v>9.06</v>
      </c>
      <c r="AB188" s="36">
        <v>9.06</v>
      </c>
      <c r="AC188" s="36">
        <v>9.06</v>
      </c>
      <c r="AD188" s="36">
        <v>9.06</v>
      </c>
      <c r="AE188" s="36">
        <v>9.06</v>
      </c>
      <c r="AF188" s="36">
        <v>9.06</v>
      </c>
      <c r="AG188" s="36">
        <v>9.06</v>
      </c>
      <c r="AH188" s="36">
        <v>9.06</v>
      </c>
      <c r="AI188" s="39">
        <v>0</v>
      </c>
      <c r="AJ188" s="39">
        <v>0</v>
      </c>
      <c r="AK188" s="39">
        <v>0</v>
      </c>
      <c r="AL188" s="39">
        <v>0</v>
      </c>
      <c r="AM188" s="39">
        <v>0</v>
      </c>
      <c r="AN188" s="39">
        <v>0</v>
      </c>
      <c r="AO188" s="39">
        <v>0</v>
      </c>
      <c r="AP188" s="39">
        <v>0</v>
      </c>
      <c r="AQ188" s="39">
        <v>0</v>
      </c>
      <c r="AR188" s="39">
        <v>0</v>
      </c>
      <c r="AS188" s="39">
        <v>0</v>
      </c>
      <c r="AT188" s="39">
        <v>0</v>
      </c>
      <c r="AU188" s="39">
        <v>0</v>
      </c>
      <c r="AV188" s="39">
        <v>0</v>
      </c>
      <c r="AW188" s="39">
        <v>0</v>
      </c>
      <c r="AX188" s="39">
        <v>0</v>
      </c>
      <c r="AY188" s="39">
        <v>0</v>
      </c>
      <c r="AZ188" s="39">
        <v>0</v>
      </c>
      <c r="BA188" s="39">
        <v>0</v>
      </c>
      <c r="BB188" s="39">
        <v>0</v>
      </c>
      <c r="BC188" s="39">
        <v>0</v>
      </c>
      <c r="BD188" s="39">
        <v>0</v>
      </c>
      <c r="BE188" s="39">
        <v>0</v>
      </c>
      <c r="BF188" s="39">
        <v>0</v>
      </c>
      <c r="BH188" s="12">
        <f t="shared" si="118"/>
        <v>0</v>
      </c>
      <c r="BI188" s="12">
        <f t="shared" si="119"/>
        <v>0</v>
      </c>
      <c r="BJ188" s="12">
        <f t="shared" si="120"/>
        <v>0</v>
      </c>
      <c r="BK188" s="12">
        <f t="shared" si="121"/>
        <v>0</v>
      </c>
      <c r="BL188" s="12">
        <f t="shared" si="122"/>
        <v>0</v>
      </c>
      <c r="BM188" s="12">
        <f t="shared" si="123"/>
        <v>0</v>
      </c>
      <c r="BN188" s="12">
        <f t="shared" si="124"/>
        <v>0</v>
      </c>
      <c r="BO188" s="12">
        <f t="shared" si="125"/>
        <v>0</v>
      </c>
      <c r="BP188" s="12">
        <f t="shared" si="126"/>
        <v>0</v>
      </c>
      <c r="BQ188" s="12">
        <f t="shared" si="127"/>
        <v>0</v>
      </c>
      <c r="BR188" s="12">
        <f t="shared" si="131"/>
        <v>0</v>
      </c>
      <c r="BS188" s="12">
        <f t="shared" si="132"/>
        <v>0</v>
      </c>
      <c r="BU188" s="11">
        <f t="shared" si="133"/>
        <v>0</v>
      </c>
      <c r="BV188" s="11">
        <f t="shared" si="134"/>
        <v>0</v>
      </c>
      <c r="BW188" s="11">
        <f t="shared" si="135"/>
        <v>0</v>
      </c>
      <c r="BX188" s="11">
        <f t="shared" si="136"/>
        <v>0</v>
      </c>
      <c r="BY188" s="11">
        <f t="shared" si="137"/>
        <v>0</v>
      </c>
      <c r="BZ188" s="11">
        <f t="shared" si="138"/>
        <v>0</v>
      </c>
      <c r="CA188" s="11">
        <f t="shared" si="139"/>
        <v>0</v>
      </c>
      <c r="CB188" s="11">
        <f t="shared" si="140"/>
        <v>0</v>
      </c>
      <c r="CC188" s="11">
        <f t="shared" si="141"/>
        <v>0</v>
      </c>
      <c r="CD188" s="11">
        <f t="shared" si="142"/>
        <v>0</v>
      </c>
      <c r="CE188" s="11">
        <f t="shared" si="143"/>
        <v>0</v>
      </c>
      <c r="CF188" s="11">
        <f t="shared" si="144"/>
        <v>0</v>
      </c>
      <c r="CG188" s="11"/>
      <c r="CH188" s="41">
        <v>1</v>
      </c>
      <c r="CJ188" s="54">
        <f t="shared" si="145"/>
        <v>0</v>
      </c>
      <c r="CK188" s="54">
        <f t="shared" si="146"/>
        <v>0</v>
      </c>
      <c r="CL188" s="54">
        <f t="shared" si="147"/>
        <v>0</v>
      </c>
      <c r="CM188" s="54">
        <f t="shared" si="148"/>
        <v>0</v>
      </c>
      <c r="CN188" s="54">
        <f t="shared" si="149"/>
        <v>0</v>
      </c>
      <c r="CO188" s="54">
        <f t="shared" si="150"/>
        <v>0</v>
      </c>
      <c r="CP188" s="54">
        <f t="shared" si="151"/>
        <v>0</v>
      </c>
      <c r="CQ188" s="54">
        <f t="shared" si="152"/>
        <v>0</v>
      </c>
      <c r="CR188" s="54">
        <f t="shared" si="153"/>
        <v>0</v>
      </c>
      <c r="CS188" s="54">
        <f t="shared" si="154"/>
        <v>0</v>
      </c>
      <c r="CT188" s="54">
        <f t="shared" si="155"/>
        <v>0</v>
      </c>
      <c r="CU188" s="54">
        <f t="shared" si="156"/>
        <v>0</v>
      </c>
      <c r="CV188" s="52">
        <f t="shared" si="157"/>
        <v>0</v>
      </c>
    </row>
    <row r="189" spans="1:100" ht="15.75" x14ac:dyDescent="0.25">
      <c r="A189" s="16"/>
      <c r="B189" s="44"/>
      <c r="C189" s="44"/>
      <c r="D189" s="44"/>
      <c r="E189" s="44"/>
      <c r="F189" s="45" t="s">
        <v>20</v>
      </c>
      <c r="G189" s="80"/>
      <c r="H189" s="80"/>
      <c r="I189" s="80"/>
      <c r="J189" s="80"/>
      <c r="K189" s="80"/>
      <c r="L189" s="80"/>
      <c r="M189" s="80"/>
      <c r="N189" s="80"/>
      <c r="O189" s="80"/>
      <c r="P189" s="80"/>
      <c r="Q189" s="80"/>
      <c r="R189" s="80"/>
      <c r="S189" s="11">
        <f t="shared" si="158"/>
        <v>0</v>
      </c>
      <c r="T189" s="8">
        <f t="shared" si="128"/>
        <v>0</v>
      </c>
      <c r="U189" s="13" t="s">
        <v>22</v>
      </c>
      <c r="V189" s="46">
        <f t="shared" si="130"/>
        <v>0</v>
      </c>
      <c r="W189" s="36">
        <v>1.69</v>
      </c>
      <c r="X189" s="36">
        <v>1.69</v>
      </c>
      <c r="Y189" s="36">
        <v>1.69</v>
      </c>
      <c r="Z189" s="36">
        <v>1.69</v>
      </c>
      <c r="AA189" s="36">
        <v>1.69</v>
      </c>
      <c r="AB189" s="36">
        <v>1.69</v>
      </c>
      <c r="AC189" s="36">
        <v>1.69</v>
      </c>
      <c r="AD189" s="36">
        <v>1.69</v>
      </c>
      <c r="AE189" s="36">
        <v>1.69</v>
      </c>
      <c r="AF189" s="36">
        <v>1.69</v>
      </c>
      <c r="AG189" s="36">
        <v>1.69</v>
      </c>
      <c r="AH189" s="36">
        <v>1.69</v>
      </c>
      <c r="AI189" s="39">
        <v>0</v>
      </c>
      <c r="AJ189" s="39">
        <v>0</v>
      </c>
      <c r="AK189" s="39">
        <v>0</v>
      </c>
      <c r="AL189" s="39">
        <v>0</v>
      </c>
      <c r="AM189" s="39">
        <v>0</v>
      </c>
      <c r="AN189" s="39">
        <v>0</v>
      </c>
      <c r="AO189" s="39">
        <v>0</v>
      </c>
      <c r="AP189" s="39">
        <v>0</v>
      </c>
      <c r="AQ189" s="39">
        <v>0</v>
      </c>
      <c r="AR189" s="39">
        <v>0</v>
      </c>
      <c r="AS189" s="39">
        <v>0</v>
      </c>
      <c r="AT189" s="39">
        <v>0</v>
      </c>
      <c r="AU189" s="39">
        <v>0</v>
      </c>
      <c r="AV189" s="39">
        <v>0</v>
      </c>
      <c r="AW189" s="39">
        <v>0</v>
      </c>
      <c r="AX189" s="39">
        <v>0</v>
      </c>
      <c r="AY189" s="39">
        <v>0</v>
      </c>
      <c r="AZ189" s="39">
        <v>0</v>
      </c>
      <c r="BA189" s="39">
        <v>0</v>
      </c>
      <c r="BB189" s="39">
        <v>0</v>
      </c>
      <c r="BC189" s="39">
        <v>0</v>
      </c>
      <c r="BD189" s="39">
        <v>0</v>
      </c>
      <c r="BE189" s="39">
        <v>0</v>
      </c>
      <c r="BF189" s="39">
        <v>0</v>
      </c>
      <c r="BH189" s="12">
        <f t="shared" si="118"/>
        <v>0</v>
      </c>
      <c r="BI189" s="12">
        <f t="shared" si="119"/>
        <v>0</v>
      </c>
      <c r="BJ189" s="12">
        <f t="shared" si="120"/>
        <v>0</v>
      </c>
      <c r="BK189" s="12">
        <f t="shared" si="121"/>
        <v>0</v>
      </c>
      <c r="BL189" s="12">
        <f t="shared" si="122"/>
        <v>0</v>
      </c>
      <c r="BM189" s="12">
        <f t="shared" si="123"/>
        <v>0</v>
      </c>
      <c r="BN189" s="12">
        <f t="shared" si="124"/>
        <v>0</v>
      </c>
      <c r="BO189" s="12">
        <f t="shared" si="125"/>
        <v>0</v>
      </c>
      <c r="BP189" s="12">
        <f t="shared" si="126"/>
        <v>0</v>
      </c>
      <c r="BQ189" s="12">
        <f t="shared" si="127"/>
        <v>0</v>
      </c>
      <c r="BR189" s="12">
        <f t="shared" si="131"/>
        <v>0</v>
      </c>
      <c r="BS189" s="12">
        <f t="shared" si="132"/>
        <v>0</v>
      </c>
      <c r="BU189" s="11">
        <f t="shared" si="133"/>
        <v>0</v>
      </c>
      <c r="BV189" s="11">
        <f t="shared" si="134"/>
        <v>0</v>
      </c>
      <c r="BW189" s="11">
        <f t="shared" si="135"/>
        <v>0</v>
      </c>
      <c r="BX189" s="11">
        <f t="shared" si="136"/>
        <v>0</v>
      </c>
      <c r="BY189" s="11">
        <f t="shared" si="137"/>
        <v>0</v>
      </c>
      <c r="BZ189" s="11">
        <f t="shared" si="138"/>
        <v>0</v>
      </c>
      <c r="CA189" s="11">
        <f t="shared" si="139"/>
        <v>0</v>
      </c>
      <c r="CB189" s="11">
        <f t="shared" si="140"/>
        <v>0</v>
      </c>
      <c r="CC189" s="11">
        <f t="shared" si="141"/>
        <v>0</v>
      </c>
      <c r="CD189" s="11">
        <f t="shared" si="142"/>
        <v>0</v>
      </c>
      <c r="CE189" s="11">
        <f t="shared" si="143"/>
        <v>0</v>
      </c>
      <c r="CF189" s="11">
        <f t="shared" si="144"/>
        <v>0</v>
      </c>
      <c r="CG189" s="11"/>
      <c r="CH189" s="41">
        <v>1</v>
      </c>
      <c r="CJ189" s="54">
        <f t="shared" si="145"/>
        <v>0</v>
      </c>
      <c r="CK189" s="54">
        <f t="shared" si="146"/>
        <v>0</v>
      </c>
      <c r="CL189" s="54">
        <f t="shared" si="147"/>
        <v>0</v>
      </c>
      <c r="CM189" s="54">
        <f t="shared" si="148"/>
        <v>0</v>
      </c>
      <c r="CN189" s="54">
        <f t="shared" si="149"/>
        <v>0</v>
      </c>
      <c r="CO189" s="54">
        <f t="shared" si="150"/>
        <v>0</v>
      </c>
      <c r="CP189" s="54">
        <f t="shared" si="151"/>
        <v>0</v>
      </c>
      <c r="CQ189" s="54">
        <f t="shared" si="152"/>
        <v>0</v>
      </c>
      <c r="CR189" s="54">
        <f t="shared" si="153"/>
        <v>0</v>
      </c>
      <c r="CS189" s="54">
        <f t="shared" si="154"/>
        <v>0</v>
      </c>
      <c r="CT189" s="54">
        <f t="shared" si="155"/>
        <v>0</v>
      </c>
      <c r="CU189" s="54">
        <f t="shared" si="156"/>
        <v>0</v>
      </c>
      <c r="CV189" s="52">
        <f t="shared" si="157"/>
        <v>0</v>
      </c>
    </row>
    <row r="190" spans="1:100" ht="15.75" x14ac:dyDescent="0.25">
      <c r="A190" s="16"/>
      <c r="B190" s="44"/>
      <c r="C190" s="44"/>
      <c r="D190" s="44"/>
      <c r="E190" s="44"/>
      <c r="F190" s="45" t="s">
        <v>20</v>
      </c>
      <c r="G190" s="80"/>
      <c r="H190" s="80"/>
      <c r="I190" s="80"/>
      <c r="J190" s="80"/>
      <c r="K190" s="80"/>
      <c r="L190" s="80"/>
      <c r="M190" s="80"/>
      <c r="N190" s="80"/>
      <c r="O190" s="80"/>
      <c r="P190" s="80"/>
      <c r="Q190" s="80"/>
      <c r="R190" s="80"/>
      <c r="S190" s="11">
        <f t="shared" si="158"/>
        <v>0</v>
      </c>
      <c r="T190" s="8">
        <f t="shared" si="128"/>
        <v>0</v>
      </c>
      <c r="U190" s="13" t="s">
        <v>22</v>
      </c>
      <c r="V190" s="46">
        <f t="shared" si="130"/>
        <v>0</v>
      </c>
      <c r="W190" s="36">
        <v>1.8400042087542088</v>
      </c>
      <c r="X190" s="36">
        <v>1.8400042087542088</v>
      </c>
      <c r="Y190" s="36">
        <v>1.8400042087542088</v>
      </c>
      <c r="Z190" s="36">
        <v>1.8400042087542088</v>
      </c>
      <c r="AA190" s="36">
        <v>1.8400042087542088</v>
      </c>
      <c r="AB190" s="36">
        <v>1.8400042087542088</v>
      </c>
      <c r="AC190" s="36">
        <v>1.8400042087542088</v>
      </c>
      <c r="AD190" s="36">
        <v>1.8400042087542088</v>
      </c>
      <c r="AE190" s="36">
        <v>1.8400042087542088</v>
      </c>
      <c r="AF190" s="36">
        <v>1.8400042087542088</v>
      </c>
      <c r="AG190" s="36">
        <v>1.8400042087542088</v>
      </c>
      <c r="AH190" s="36">
        <v>1.8400042087542088</v>
      </c>
      <c r="AI190" s="39">
        <v>0</v>
      </c>
      <c r="AJ190" s="39">
        <v>0</v>
      </c>
      <c r="AK190" s="39">
        <v>0</v>
      </c>
      <c r="AL190" s="39">
        <v>0</v>
      </c>
      <c r="AM190" s="39">
        <v>0</v>
      </c>
      <c r="AN190" s="39">
        <v>0</v>
      </c>
      <c r="AO190" s="39">
        <v>0</v>
      </c>
      <c r="AP190" s="39">
        <v>0</v>
      </c>
      <c r="AQ190" s="39">
        <v>0</v>
      </c>
      <c r="AR190" s="39">
        <v>0</v>
      </c>
      <c r="AS190" s="39">
        <v>0</v>
      </c>
      <c r="AT190" s="39">
        <v>0</v>
      </c>
      <c r="AU190" s="39">
        <v>0</v>
      </c>
      <c r="AV190" s="39">
        <v>0</v>
      </c>
      <c r="AW190" s="39">
        <v>0</v>
      </c>
      <c r="AX190" s="39">
        <v>0</v>
      </c>
      <c r="AY190" s="39">
        <v>0</v>
      </c>
      <c r="AZ190" s="39">
        <v>0</v>
      </c>
      <c r="BA190" s="39">
        <v>0</v>
      </c>
      <c r="BB190" s="39">
        <v>0</v>
      </c>
      <c r="BC190" s="39">
        <v>0</v>
      </c>
      <c r="BD190" s="39">
        <v>0</v>
      </c>
      <c r="BE190" s="39">
        <v>0</v>
      </c>
      <c r="BF190" s="39">
        <v>0</v>
      </c>
      <c r="BH190" s="12">
        <f t="shared" si="118"/>
        <v>0</v>
      </c>
      <c r="BI190" s="12">
        <f t="shared" si="119"/>
        <v>0</v>
      </c>
      <c r="BJ190" s="12">
        <f t="shared" si="120"/>
        <v>0</v>
      </c>
      <c r="BK190" s="12">
        <f t="shared" si="121"/>
        <v>0</v>
      </c>
      <c r="BL190" s="12">
        <f t="shared" si="122"/>
        <v>0</v>
      </c>
      <c r="BM190" s="12">
        <f t="shared" si="123"/>
        <v>0</v>
      </c>
      <c r="BN190" s="12">
        <f t="shared" si="124"/>
        <v>0</v>
      </c>
      <c r="BO190" s="12">
        <f t="shared" si="125"/>
        <v>0</v>
      </c>
      <c r="BP190" s="12">
        <f t="shared" si="126"/>
        <v>0</v>
      </c>
      <c r="BQ190" s="12">
        <f t="shared" si="127"/>
        <v>0</v>
      </c>
      <c r="BR190" s="12">
        <f t="shared" si="131"/>
        <v>0</v>
      </c>
      <c r="BS190" s="12">
        <f t="shared" si="132"/>
        <v>0</v>
      </c>
      <c r="BU190" s="11">
        <f t="shared" si="133"/>
        <v>0</v>
      </c>
      <c r="BV190" s="11">
        <f t="shared" si="134"/>
        <v>0</v>
      </c>
      <c r="BW190" s="11">
        <f t="shared" si="135"/>
        <v>0</v>
      </c>
      <c r="BX190" s="11">
        <f t="shared" si="136"/>
        <v>0</v>
      </c>
      <c r="BY190" s="11">
        <f t="shared" si="137"/>
        <v>0</v>
      </c>
      <c r="BZ190" s="11">
        <f t="shared" si="138"/>
        <v>0</v>
      </c>
      <c r="CA190" s="11">
        <f t="shared" si="139"/>
        <v>0</v>
      </c>
      <c r="CB190" s="11">
        <f t="shared" si="140"/>
        <v>0</v>
      </c>
      <c r="CC190" s="11">
        <f t="shared" si="141"/>
        <v>0</v>
      </c>
      <c r="CD190" s="11">
        <f t="shared" si="142"/>
        <v>0</v>
      </c>
      <c r="CE190" s="11">
        <f t="shared" si="143"/>
        <v>0</v>
      </c>
      <c r="CF190" s="11">
        <f t="shared" si="144"/>
        <v>0</v>
      </c>
      <c r="CG190" s="11"/>
      <c r="CH190" s="41">
        <v>1</v>
      </c>
      <c r="CJ190" s="54">
        <f t="shared" si="145"/>
        <v>0</v>
      </c>
      <c r="CK190" s="54">
        <f t="shared" si="146"/>
        <v>0</v>
      </c>
      <c r="CL190" s="54">
        <f t="shared" si="147"/>
        <v>0</v>
      </c>
      <c r="CM190" s="54">
        <f t="shared" si="148"/>
        <v>0</v>
      </c>
      <c r="CN190" s="54">
        <f t="shared" si="149"/>
        <v>0</v>
      </c>
      <c r="CO190" s="54">
        <f t="shared" si="150"/>
        <v>0</v>
      </c>
      <c r="CP190" s="54">
        <f t="shared" si="151"/>
        <v>0</v>
      </c>
      <c r="CQ190" s="54">
        <f t="shared" si="152"/>
        <v>0</v>
      </c>
      <c r="CR190" s="54">
        <f t="shared" si="153"/>
        <v>0</v>
      </c>
      <c r="CS190" s="54">
        <f t="shared" si="154"/>
        <v>0</v>
      </c>
      <c r="CT190" s="54">
        <f t="shared" si="155"/>
        <v>0</v>
      </c>
      <c r="CU190" s="54">
        <f t="shared" si="156"/>
        <v>0</v>
      </c>
      <c r="CV190" s="52">
        <f t="shared" si="157"/>
        <v>0</v>
      </c>
    </row>
    <row r="191" spans="1:100" ht="15.75" x14ac:dyDescent="0.25">
      <c r="A191" s="16"/>
      <c r="B191" s="44"/>
      <c r="C191" s="44"/>
      <c r="D191" s="44"/>
      <c r="E191" s="44"/>
      <c r="F191" s="45" t="s">
        <v>20</v>
      </c>
      <c r="G191" s="80"/>
      <c r="H191" s="74"/>
      <c r="I191" s="74"/>
      <c r="J191" s="74"/>
      <c r="K191" s="74"/>
      <c r="L191" s="74"/>
      <c r="M191" s="74"/>
      <c r="N191" s="74"/>
      <c r="O191" s="74"/>
      <c r="P191" s="74"/>
      <c r="Q191" s="74"/>
      <c r="R191" s="74"/>
      <c r="S191" s="11">
        <f>SUM(G191:R191)</f>
        <v>0</v>
      </c>
      <c r="T191" s="8">
        <f t="shared" si="128"/>
        <v>0</v>
      </c>
      <c r="U191" s="13" t="s">
        <v>22</v>
      </c>
      <c r="V191" s="46">
        <f t="shared" si="130"/>
        <v>0</v>
      </c>
      <c r="W191" s="36">
        <v>11.423999999999999</v>
      </c>
      <c r="X191" s="36">
        <v>11.423999999999999</v>
      </c>
      <c r="Y191" s="36">
        <v>11.423999999999999</v>
      </c>
      <c r="Z191" s="36">
        <v>11.423999999999999</v>
      </c>
      <c r="AA191" s="36">
        <v>11.423999999999999</v>
      </c>
      <c r="AB191" s="36">
        <v>11.423999999999999</v>
      </c>
      <c r="AC191" s="36">
        <v>11.423999999999999</v>
      </c>
      <c r="AD191" s="36">
        <v>11.423999999999999</v>
      </c>
      <c r="AE191" s="36">
        <v>11.423999999999999</v>
      </c>
      <c r="AF191" s="36">
        <v>11.423999999999999</v>
      </c>
      <c r="AG191" s="36">
        <v>11.423999999999999</v>
      </c>
      <c r="AH191" s="36">
        <v>11.423999999999999</v>
      </c>
      <c r="AI191" s="39">
        <v>0.22999999999999998</v>
      </c>
      <c r="AJ191" s="39">
        <v>0.22999999999999998</v>
      </c>
      <c r="AK191" s="39">
        <v>0.22999999999999998</v>
      </c>
      <c r="AL191" s="39">
        <v>0.22999999999999998</v>
      </c>
      <c r="AM191" s="39">
        <v>0.22999999999999998</v>
      </c>
      <c r="AN191" s="39">
        <v>0.22999999999999998</v>
      </c>
      <c r="AO191" s="39">
        <v>0.22999999999999998</v>
      </c>
      <c r="AP191" s="39">
        <v>0.22999999999999998</v>
      </c>
      <c r="AQ191" s="39">
        <v>0.22999999999999998</v>
      </c>
      <c r="AR191" s="39">
        <v>0.22999999999999998</v>
      </c>
      <c r="AS191" s="39">
        <v>0.22999999999999998</v>
      </c>
      <c r="AT191" s="39">
        <v>0.22999999999999998</v>
      </c>
      <c r="AU191" s="39">
        <v>0</v>
      </c>
      <c r="AV191" s="39">
        <v>0</v>
      </c>
      <c r="AW191" s="39">
        <v>0</v>
      </c>
      <c r="AX191" s="39">
        <v>0</v>
      </c>
      <c r="AY191" s="39">
        <v>0</v>
      </c>
      <c r="AZ191" s="39">
        <v>0</v>
      </c>
      <c r="BA191" s="39">
        <v>0</v>
      </c>
      <c r="BB191" s="39">
        <v>0</v>
      </c>
      <c r="BC191" s="39">
        <v>0</v>
      </c>
      <c r="BD191" s="39">
        <v>0</v>
      </c>
      <c r="BE191" s="39">
        <v>0</v>
      </c>
      <c r="BF191" s="39">
        <v>0</v>
      </c>
      <c r="BH191" s="12">
        <f t="shared" si="118"/>
        <v>0</v>
      </c>
      <c r="BI191" s="12">
        <f t="shared" si="119"/>
        <v>0</v>
      </c>
      <c r="BJ191" s="12">
        <f t="shared" si="120"/>
        <v>0</v>
      </c>
      <c r="BK191" s="12">
        <f t="shared" si="121"/>
        <v>0</v>
      </c>
      <c r="BL191" s="12">
        <f t="shared" si="122"/>
        <v>0</v>
      </c>
      <c r="BM191" s="12">
        <f t="shared" si="123"/>
        <v>0</v>
      </c>
      <c r="BN191" s="12">
        <f t="shared" si="124"/>
        <v>0</v>
      </c>
      <c r="BO191" s="12">
        <f t="shared" si="125"/>
        <v>0</v>
      </c>
      <c r="BP191" s="12">
        <f t="shared" si="126"/>
        <v>0</v>
      </c>
      <c r="BQ191" s="12">
        <f t="shared" si="127"/>
        <v>0</v>
      </c>
      <c r="BR191" s="12">
        <f t="shared" si="131"/>
        <v>0</v>
      </c>
      <c r="BS191" s="12">
        <f t="shared" si="132"/>
        <v>0</v>
      </c>
      <c r="BU191" s="11">
        <f t="shared" si="133"/>
        <v>0</v>
      </c>
      <c r="BV191" s="11">
        <f t="shared" si="134"/>
        <v>0</v>
      </c>
      <c r="BW191" s="11">
        <f t="shared" si="135"/>
        <v>0</v>
      </c>
      <c r="BX191" s="11">
        <f t="shared" si="136"/>
        <v>0</v>
      </c>
      <c r="BY191" s="11">
        <f t="shared" si="137"/>
        <v>0</v>
      </c>
      <c r="BZ191" s="11">
        <f t="shared" si="138"/>
        <v>0</v>
      </c>
      <c r="CA191" s="11">
        <f t="shared" si="139"/>
        <v>0</v>
      </c>
      <c r="CB191" s="11">
        <f t="shared" si="140"/>
        <v>0</v>
      </c>
      <c r="CC191" s="11">
        <f t="shared" si="141"/>
        <v>0</v>
      </c>
      <c r="CD191" s="11">
        <f t="shared" si="142"/>
        <v>0</v>
      </c>
      <c r="CE191" s="11">
        <f t="shared" si="143"/>
        <v>0</v>
      </c>
      <c r="CF191" s="11">
        <f t="shared" si="144"/>
        <v>0</v>
      </c>
      <c r="CG191" s="11"/>
      <c r="CH191" s="41">
        <v>1</v>
      </c>
      <c r="CJ191" s="54">
        <f t="shared" si="145"/>
        <v>0</v>
      </c>
      <c r="CK191" s="54">
        <f t="shared" si="146"/>
        <v>0</v>
      </c>
      <c r="CL191" s="54">
        <f t="shared" si="147"/>
        <v>0</v>
      </c>
      <c r="CM191" s="54">
        <f t="shared" si="148"/>
        <v>0</v>
      </c>
      <c r="CN191" s="54">
        <f t="shared" si="149"/>
        <v>0</v>
      </c>
      <c r="CO191" s="54">
        <f t="shared" si="150"/>
        <v>0</v>
      </c>
      <c r="CP191" s="54">
        <f t="shared" si="151"/>
        <v>0</v>
      </c>
      <c r="CQ191" s="54">
        <f t="shared" si="152"/>
        <v>0</v>
      </c>
      <c r="CR191" s="54">
        <f t="shared" si="153"/>
        <v>0</v>
      </c>
      <c r="CS191" s="54">
        <f t="shared" si="154"/>
        <v>0</v>
      </c>
      <c r="CT191" s="54">
        <f t="shared" si="155"/>
        <v>0</v>
      </c>
      <c r="CU191" s="54">
        <f t="shared" si="156"/>
        <v>0</v>
      </c>
      <c r="CV191" s="52">
        <f t="shared" si="157"/>
        <v>0</v>
      </c>
    </row>
    <row r="192" spans="1:100" ht="15.75" x14ac:dyDescent="0.25">
      <c r="A192" s="17"/>
      <c r="B192" s="17"/>
      <c r="C192" s="17"/>
      <c r="D192" s="17"/>
      <c r="E192" s="17"/>
      <c r="F192" s="31" t="s">
        <v>21</v>
      </c>
      <c r="G192" s="76"/>
      <c r="H192" s="76"/>
      <c r="I192" s="76"/>
      <c r="J192" s="76"/>
      <c r="K192" s="76"/>
      <c r="L192" s="76"/>
      <c r="M192" s="76"/>
      <c r="N192" s="76"/>
      <c r="O192" s="76"/>
      <c r="P192" s="76"/>
      <c r="Q192" s="76"/>
      <c r="R192" s="76"/>
      <c r="S192" s="11">
        <f t="shared" si="158"/>
        <v>0</v>
      </c>
      <c r="T192" s="9"/>
      <c r="V192" s="46">
        <f t="shared" si="130"/>
        <v>0</v>
      </c>
      <c r="W192" s="36">
        <v>3.766</v>
      </c>
      <c r="X192" s="36">
        <v>3.766</v>
      </c>
      <c r="Y192" s="36">
        <v>3.766</v>
      </c>
      <c r="Z192" s="36">
        <v>3.766</v>
      </c>
      <c r="AA192" s="36">
        <v>3.766</v>
      </c>
      <c r="AB192" s="36">
        <v>3.766</v>
      </c>
      <c r="AC192" s="36">
        <v>3.766</v>
      </c>
      <c r="AD192" s="36">
        <v>3.766</v>
      </c>
      <c r="AE192" s="36">
        <v>3.766</v>
      </c>
      <c r="AF192" s="36">
        <v>3.766</v>
      </c>
      <c r="AG192" s="36">
        <v>3.766</v>
      </c>
      <c r="AH192" s="36">
        <v>3.766</v>
      </c>
      <c r="AI192" s="39">
        <v>1.33634708931066E-2</v>
      </c>
      <c r="AJ192" s="39">
        <v>1.33634708931066E-2</v>
      </c>
      <c r="AK192" s="39">
        <v>1.33634708931066E-2</v>
      </c>
      <c r="AL192" s="39">
        <v>1.33634708931066E-2</v>
      </c>
      <c r="AM192" s="39">
        <v>1.33634708931066E-2</v>
      </c>
      <c r="AN192" s="39">
        <v>1.33634708931066E-2</v>
      </c>
      <c r="AO192" s="39">
        <v>1.33634708931066E-2</v>
      </c>
      <c r="AP192" s="39">
        <v>1.33634708931066E-2</v>
      </c>
      <c r="AQ192" s="39">
        <v>1.33634708931066E-2</v>
      </c>
      <c r="AR192" s="39">
        <v>1.33634708931066E-2</v>
      </c>
      <c r="AS192" s="39">
        <v>1.33634708931066E-2</v>
      </c>
      <c r="AT192" s="39">
        <v>1.33634708931066E-2</v>
      </c>
      <c r="AU192" s="39">
        <v>1.2392217523121999E-3</v>
      </c>
      <c r="AV192" s="39">
        <v>1.2392217523121999E-3</v>
      </c>
      <c r="AW192" s="39">
        <v>1.2392217523121999E-3</v>
      </c>
      <c r="AX192" s="39">
        <v>1.2392217523121999E-3</v>
      </c>
      <c r="AY192" s="39">
        <v>1.2392217523121999E-3</v>
      </c>
      <c r="AZ192" s="39">
        <v>1.2392217523121999E-3</v>
      </c>
      <c r="BA192" s="39">
        <v>1.2392217523121999E-3</v>
      </c>
      <c r="BB192" s="39">
        <v>1.2392217523121999E-3</v>
      </c>
      <c r="BC192" s="39">
        <v>1.2392217523121999E-3</v>
      </c>
      <c r="BD192" s="39">
        <v>1.2392217523121999E-3</v>
      </c>
      <c r="BE192" s="39">
        <v>1.2392217523121999E-3</v>
      </c>
      <c r="BF192" s="39">
        <v>1.2392217523121999E-3</v>
      </c>
      <c r="BH192" s="12">
        <f t="shared" si="118"/>
        <v>0</v>
      </c>
      <c r="BI192" s="12">
        <f t="shared" si="119"/>
        <v>0</v>
      </c>
      <c r="BJ192" s="12">
        <f t="shared" si="120"/>
        <v>0</v>
      </c>
      <c r="BK192" s="12">
        <f t="shared" si="121"/>
        <v>0</v>
      </c>
      <c r="BL192" s="12">
        <f t="shared" si="122"/>
        <v>0</v>
      </c>
      <c r="BM192" s="12">
        <f t="shared" si="123"/>
        <v>0</v>
      </c>
      <c r="BN192" s="12">
        <f t="shared" si="124"/>
        <v>0</v>
      </c>
      <c r="BO192" s="12">
        <f t="shared" si="125"/>
        <v>0</v>
      </c>
      <c r="BP192" s="12">
        <f t="shared" si="126"/>
        <v>0</v>
      </c>
      <c r="BQ192" s="12">
        <f t="shared" si="127"/>
        <v>0</v>
      </c>
      <c r="BR192" s="12">
        <f t="shared" si="131"/>
        <v>0</v>
      </c>
      <c r="BS192" s="12">
        <f t="shared" si="132"/>
        <v>0</v>
      </c>
      <c r="BU192" s="11">
        <f t="shared" si="133"/>
        <v>0</v>
      </c>
      <c r="BV192" s="11">
        <f t="shared" si="134"/>
        <v>0</v>
      </c>
      <c r="BW192" s="11">
        <f t="shared" si="135"/>
        <v>0</v>
      </c>
      <c r="BX192" s="11">
        <f t="shared" si="136"/>
        <v>0</v>
      </c>
      <c r="BY192" s="11">
        <f t="shared" si="137"/>
        <v>0</v>
      </c>
      <c r="BZ192" s="11">
        <f t="shared" si="138"/>
        <v>0</v>
      </c>
      <c r="CA192" s="11">
        <f t="shared" si="139"/>
        <v>0</v>
      </c>
      <c r="CB192" s="11">
        <f t="shared" si="140"/>
        <v>0</v>
      </c>
      <c r="CC192" s="11">
        <f t="shared" si="141"/>
        <v>0</v>
      </c>
      <c r="CD192" s="11">
        <f t="shared" si="142"/>
        <v>0</v>
      </c>
      <c r="CE192" s="11">
        <f t="shared" si="143"/>
        <v>0</v>
      </c>
      <c r="CF192" s="11">
        <f t="shared" si="144"/>
        <v>0</v>
      </c>
      <c r="CG192" s="11"/>
      <c r="CH192" s="41">
        <v>3.23</v>
      </c>
      <c r="CJ192" s="54">
        <f t="shared" si="145"/>
        <v>0</v>
      </c>
      <c r="CK192" s="54">
        <f t="shared" si="146"/>
        <v>0</v>
      </c>
      <c r="CL192" s="54">
        <f t="shared" si="147"/>
        <v>0</v>
      </c>
      <c r="CM192" s="54">
        <f t="shared" si="148"/>
        <v>0</v>
      </c>
      <c r="CN192" s="54">
        <f t="shared" si="149"/>
        <v>0</v>
      </c>
      <c r="CO192" s="54">
        <f t="shared" si="150"/>
        <v>0</v>
      </c>
      <c r="CP192" s="54">
        <f t="shared" si="151"/>
        <v>0</v>
      </c>
      <c r="CQ192" s="54">
        <f t="shared" si="152"/>
        <v>0</v>
      </c>
      <c r="CR192" s="54">
        <f t="shared" si="153"/>
        <v>0</v>
      </c>
      <c r="CS192" s="54">
        <f t="shared" si="154"/>
        <v>0</v>
      </c>
      <c r="CT192" s="54">
        <f t="shared" si="155"/>
        <v>0</v>
      </c>
      <c r="CU192" s="54">
        <f t="shared" si="156"/>
        <v>0</v>
      </c>
      <c r="CV192" s="52">
        <f t="shared" si="157"/>
        <v>0</v>
      </c>
    </row>
    <row r="193" spans="1:100" ht="15.75" x14ac:dyDescent="0.25">
      <c r="A193" s="17"/>
      <c r="B193" s="17"/>
      <c r="C193" s="17"/>
      <c r="D193" s="17"/>
      <c r="E193" s="17"/>
      <c r="F193" s="31" t="s">
        <v>21</v>
      </c>
      <c r="G193" s="76"/>
      <c r="H193" s="76"/>
      <c r="I193" s="76"/>
      <c r="J193" s="76"/>
      <c r="K193" s="76"/>
      <c r="L193" s="76"/>
      <c r="M193" s="76"/>
      <c r="N193" s="76"/>
      <c r="O193" s="76"/>
      <c r="P193" s="76"/>
      <c r="Q193" s="76"/>
      <c r="R193" s="76"/>
      <c r="S193" s="11">
        <f t="shared" si="158"/>
        <v>0</v>
      </c>
      <c r="T193" s="9"/>
      <c r="V193" s="46">
        <f t="shared" si="130"/>
        <v>0</v>
      </c>
      <c r="W193" s="36">
        <v>0.94</v>
      </c>
      <c r="X193" s="36">
        <v>0.94</v>
      </c>
      <c r="Y193" s="36">
        <v>0.94</v>
      </c>
      <c r="Z193" s="36">
        <v>0.94</v>
      </c>
      <c r="AA193" s="36">
        <v>0.94</v>
      </c>
      <c r="AB193" s="36">
        <v>0.94</v>
      </c>
      <c r="AC193" s="36">
        <v>0.94</v>
      </c>
      <c r="AD193" s="36">
        <v>0.94</v>
      </c>
      <c r="AE193" s="36">
        <v>0.94</v>
      </c>
      <c r="AF193" s="36">
        <v>0.94</v>
      </c>
      <c r="AG193" s="36">
        <v>0.94</v>
      </c>
      <c r="AH193" s="36">
        <v>0.94</v>
      </c>
      <c r="AI193" s="39">
        <v>1.33634708931066E-2</v>
      </c>
      <c r="AJ193" s="39">
        <v>1.33634708931066E-2</v>
      </c>
      <c r="AK193" s="39">
        <v>1.33634708931066E-2</v>
      </c>
      <c r="AL193" s="39">
        <v>1.33634708931066E-2</v>
      </c>
      <c r="AM193" s="39">
        <v>1.33634708931066E-2</v>
      </c>
      <c r="AN193" s="39">
        <v>1.33634708931066E-2</v>
      </c>
      <c r="AO193" s="39">
        <v>1.33634708931066E-2</v>
      </c>
      <c r="AP193" s="39">
        <v>1.33634708931066E-2</v>
      </c>
      <c r="AQ193" s="39">
        <v>1.33634708931066E-2</v>
      </c>
      <c r="AR193" s="39">
        <v>1.33634708931066E-2</v>
      </c>
      <c r="AS193" s="39">
        <v>1.33634708931066E-2</v>
      </c>
      <c r="AT193" s="39">
        <v>1.33634708931066E-2</v>
      </c>
      <c r="AU193" s="39">
        <v>1.2392217523121999E-3</v>
      </c>
      <c r="AV193" s="39">
        <v>1.2392217523121999E-3</v>
      </c>
      <c r="AW193" s="39">
        <v>1.2392217523121999E-3</v>
      </c>
      <c r="AX193" s="39">
        <v>1.2392217523121999E-3</v>
      </c>
      <c r="AY193" s="39">
        <v>1.2392217523121999E-3</v>
      </c>
      <c r="AZ193" s="39">
        <v>1.2392217523121999E-3</v>
      </c>
      <c r="BA193" s="39">
        <v>1.2392217523121999E-3</v>
      </c>
      <c r="BB193" s="39">
        <v>1.2392217523121999E-3</v>
      </c>
      <c r="BC193" s="39">
        <v>1.2392217523121999E-3</v>
      </c>
      <c r="BD193" s="39">
        <v>1.2392217523121999E-3</v>
      </c>
      <c r="BE193" s="39">
        <v>1.2392217523121999E-3</v>
      </c>
      <c r="BF193" s="39">
        <v>1.2392217523121999E-3</v>
      </c>
      <c r="BH193" s="12">
        <f t="shared" si="118"/>
        <v>0</v>
      </c>
      <c r="BI193" s="12">
        <f t="shared" si="119"/>
        <v>0</v>
      </c>
      <c r="BJ193" s="12">
        <f t="shared" si="120"/>
        <v>0</v>
      </c>
      <c r="BK193" s="12">
        <f t="shared" si="121"/>
        <v>0</v>
      </c>
      <c r="BL193" s="12">
        <f t="shared" si="122"/>
        <v>0</v>
      </c>
      <c r="BM193" s="12">
        <f t="shared" si="123"/>
        <v>0</v>
      </c>
      <c r="BN193" s="12">
        <f t="shared" si="124"/>
        <v>0</v>
      </c>
      <c r="BO193" s="12">
        <f t="shared" si="125"/>
        <v>0</v>
      </c>
      <c r="BP193" s="12">
        <f t="shared" si="126"/>
        <v>0</v>
      </c>
      <c r="BQ193" s="12">
        <f t="shared" si="127"/>
        <v>0</v>
      </c>
      <c r="BR193" s="12">
        <f t="shared" si="131"/>
        <v>0</v>
      </c>
      <c r="BS193" s="12">
        <f t="shared" si="132"/>
        <v>0</v>
      </c>
      <c r="BU193" s="11">
        <f t="shared" si="133"/>
        <v>0</v>
      </c>
      <c r="BV193" s="11">
        <f t="shared" si="134"/>
        <v>0</v>
      </c>
      <c r="BW193" s="11">
        <f t="shared" si="135"/>
        <v>0</v>
      </c>
      <c r="BX193" s="11">
        <f t="shared" si="136"/>
        <v>0</v>
      </c>
      <c r="BY193" s="11">
        <f t="shared" si="137"/>
        <v>0</v>
      </c>
      <c r="BZ193" s="11">
        <f t="shared" si="138"/>
        <v>0</v>
      </c>
      <c r="CA193" s="11">
        <f t="shared" si="139"/>
        <v>0</v>
      </c>
      <c r="CB193" s="11">
        <f t="shared" si="140"/>
        <v>0</v>
      </c>
      <c r="CC193" s="11">
        <f t="shared" si="141"/>
        <v>0</v>
      </c>
      <c r="CD193" s="11">
        <f t="shared" si="142"/>
        <v>0</v>
      </c>
      <c r="CE193" s="11">
        <f t="shared" si="143"/>
        <v>0</v>
      </c>
      <c r="CF193" s="11">
        <f t="shared" si="144"/>
        <v>0</v>
      </c>
      <c r="CG193" s="11"/>
      <c r="CH193" s="41">
        <v>3.23</v>
      </c>
      <c r="CJ193" s="54">
        <f t="shared" si="145"/>
        <v>0</v>
      </c>
      <c r="CK193" s="54">
        <f t="shared" si="146"/>
        <v>0</v>
      </c>
      <c r="CL193" s="54">
        <f t="shared" si="147"/>
        <v>0</v>
      </c>
      <c r="CM193" s="54">
        <f t="shared" si="148"/>
        <v>0</v>
      </c>
      <c r="CN193" s="54">
        <f t="shared" si="149"/>
        <v>0</v>
      </c>
      <c r="CO193" s="54">
        <f t="shared" si="150"/>
        <v>0</v>
      </c>
      <c r="CP193" s="54">
        <f t="shared" si="151"/>
        <v>0</v>
      </c>
      <c r="CQ193" s="54">
        <f t="shared" si="152"/>
        <v>0</v>
      </c>
      <c r="CR193" s="54">
        <f t="shared" si="153"/>
        <v>0</v>
      </c>
      <c r="CS193" s="54">
        <f t="shared" si="154"/>
        <v>0</v>
      </c>
      <c r="CT193" s="54">
        <f t="shared" si="155"/>
        <v>0</v>
      </c>
      <c r="CU193" s="54">
        <f t="shared" si="156"/>
        <v>0</v>
      </c>
      <c r="CV193" s="52">
        <f t="shared" si="157"/>
        <v>0</v>
      </c>
    </row>
    <row r="194" spans="1:100" ht="15.75" x14ac:dyDescent="0.25">
      <c r="A194" s="17"/>
      <c r="B194" s="17"/>
      <c r="C194" s="17"/>
      <c r="D194" s="17"/>
      <c r="E194" s="17"/>
      <c r="F194" s="31" t="s">
        <v>21</v>
      </c>
      <c r="G194" s="76"/>
      <c r="H194" s="76"/>
      <c r="I194" s="76"/>
      <c r="J194" s="76"/>
      <c r="K194" s="76"/>
      <c r="L194" s="76"/>
      <c r="M194" s="76"/>
      <c r="N194" s="76"/>
      <c r="O194" s="76"/>
      <c r="P194" s="76"/>
      <c r="Q194" s="76"/>
      <c r="R194" s="76"/>
      <c r="S194" s="11">
        <f t="shared" si="158"/>
        <v>0</v>
      </c>
      <c r="T194" s="9"/>
      <c r="V194" s="46">
        <f t="shared" si="130"/>
        <v>0</v>
      </c>
      <c r="W194" s="36">
        <v>1.75</v>
      </c>
      <c r="X194" s="36">
        <v>1.75</v>
      </c>
      <c r="Y194" s="36">
        <v>1.75</v>
      </c>
      <c r="Z194" s="36">
        <v>1.75</v>
      </c>
      <c r="AA194" s="36">
        <v>1.75</v>
      </c>
      <c r="AB194" s="36">
        <v>1.75</v>
      </c>
      <c r="AC194" s="36">
        <v>1.75</v>
      </c>
      <c r="AD194" s="36">
        <v>1.75</v>
      </c>
      <c r="AE194" s="36">
        <v>1.75</v>
      </c>
      <c r="AF194" s="36">
        <v>1.75</v>
      </c>
      <c r="AG194" s="36">
        <v>1.75</v>
      </c>
      <c r="AH194" s="36">
        <v>1.75</v>
      </c>
      <c r="AI194" s="39">
        <v>1.33634708931066E-2</v>
      </c>
      <c r="AJ194" s="39">
        <v>1.33634708931066E-2</v>
      </c>
      <c r="AK194" s="39">
        <v>1.33634708931066E-2</v>
      </c>
      <c r="AL194" s="39">
        <v>1.33634708931066E-2</v>
      </c>
      <c r="AM194" s="39">
        <v>1.33634708931066E-2</v>
      </c>
      <c r="AN194" s="39">
        <v>1.33634708931066E-2</v>
      </c>
      <c r="AO194" s="39">
        <v>1.33634708931066E-2</v>
      </c>
      <c r="AP194" s="39">
        <v>1.33634708931066E-2</v>
      </c>
      <c r="AQ194" s="39">
        <v>1.33634708931066E-2</v>
      </c>
      <c r="AR194" s="39">
        <v>1.33634708931066E-2</v>
      </c>
      <c r="AS194" s="39">
        <v>1.33634708931066E-2</v>
      </c>
      <c r="AT194" s="39">
        <v>1.33634708931066E-2</v>
      </c>
      <c r="AU194" s="39">
        <v>1.2392217523121999E-3</v>
      </c>
      <c r="AV194" s="39">
        <v>1.2392217523121999E-3</v>
      </c>
      <c r="AW194" s="39">
        <v>1.2392217523121999E-3</v>
      </c>
      <c r="AX194" s="39">
        <v>1.2392217523121999E-3</v>
      </c>
      <c r="AY194" s="39">
        <v>1.2392217523121999E-3</v>
      </c>
      <c r="AZ194" s="39">
        <v>1.2392217523121999E-3</v>
      </c>
      <c r="BA194" s="39">
        <v>1.2392217523121999E-3</v>
      </c>
      <c r="BB194" s="39">
        <v>1.2392217523121999E-3</v>
      </c>
      <c r="BC194" s="39">
        <v>1.2392217523121999E-3</v>
      </c>
      <c r="BD194" s="39">
        <v>1.2392217523121999E-3</v>
      </c>
      <c r="BE194" s="39">
        <v>1.2392217523121999E-3</v>
      </c>
      <c r="BF194" s="39">
        <v>1.2392217523121999E-3</v>
      </c>
      <c r="BH194" s="12">
        <f t="shared" si="118"/>
        <v>0</v>
      </c>
      <c r="BI194" s="12">
        <f t="shared" si="119"/>
        <v>0</v>
      </c>
      <c r="BJ194" s="12">
        <f t="shared" si="120"/>
        <v>0</v>
      </c>
      <c r="BK194" s="12">
        <f t="shared" si="121"/>
        <v>0</v>
      </c>
      <c r="BL194" s="12">
        <f t="shared" si="122"/>
        <v>0</v>
      </c>
      <c r="BM194" s="12">
        <f t="shared" si="123"/>
        <v>0</v>
      </c>
      <c r="BN194" s="12">
        <f t="shared" si="124"/>
        <v>0</v>
      </c>
      <c r="BO194" s="12">
        <f t="shared" si="125"/>
        <v>0</v>
      </c>
      <c r="BP194" s="12">
        <f t="shared" si="126"/>
        <v>0</v>
      </c>
      <c r="BQ194" s="12">
        <f t="shared" si="127"/>
        <v>0</v>
      </c>
      <c r="BR194" s="12">
        <f t="shared" si="131"/>
        <v>0</v>
      </c>
      <c r="BS194" s="12">
        <f t="shared" si="132"/>
        <v>0</v>
      </c>
      <c r="BU194" s="11">
        <f t="shared" si="133"/>
        <v>0</v>
      </c>
      <c r="BV194" s="11">
        <f t="shared" si="134"/>
        <v>0</v>
      </c>
      <c r="BW194" s="11">
        <f t="shared" si="135"/>
        <v>0</v>
      </c>
      <c r="BX194" s="11">
        <f t="shared" si="136"/>
        <v>0</v>
      </c>
      <c r="BY194" s="11">
        <f t="shared" si="137"/>
        <v>0</v>
      </c>
      <c r="BZ194" s="11">
        <f t="shared" si="138"/>
        <v>0</v>
      </c>
      <c r="CA194" s="11">
        <f t="shared" si="139"/>
        <v>0</v>
      </c>
      <c r="CB194" s="11">
        <f t="shared" si="140"/>
        <v>0</v>
      </c>
      <c r="CC194" s="11">
        <f t="shared" si="141"/>
        <v>0</v>
      </c>
      <c r="CD194" s="11">
        <f t="shared" si="142"/>
        <v>0</v>
      </c>
      <c r="CE194" s="11">
        <f t="shared" si="143"/>
        <v>0</v>
      </c>
      <c r="CF194" s="11">
        <f t="shared" si="144"/>
        <v>0</v>
      </c>
      <c r="CG194" s="11"/>
      <c r="CH194" s="41">
        <v>3.23</v>
      </c>
      <c r="CJ194" s="54">
        <f t="shared" si="145"/>
        <v>0</v>
      </c>
      <c r="CK194" s="54">
        <f t="shared" si="146"/>
        <v>0</v>
      </c>
      <c r="CL194" s="54">
        <f t="shared" si="147"/>
        <v>0</v>
      </c>
      <c r="CM194" s="54">
        <f t="shared" si="148"/>
        <v>0</v>
      </c>
      <c r="CN194" s="54">
        <f t="shared" si="149"/>
        <v>0</v>
      </c>
      <c r="CO194" s="54">
        <f t="shared" si="150"/>
        <v>0</v>
      </c>
      <c r="CP194" s="54">
        <f t="shared" si="151"/>
        <v>0</v>
      </c>
      <c r="CQ194" s="54">
        <f t="shared" si="152"/>
        <v>0</v>
      </c>
      <c r="CR194" s="54">
        <f t="shared" si="153"/>
        <v>0</v>
      </c>
      <c r="CS194" s="54">
        <f t="shared" si="154"/>
        <v>0</v>
      </c>
      <c r="CT194" s="54">
        <f t="shared" si="155"/>
        <v>0</v>
      </c>
      <c r="CU194" s="54">
        <f t="shared" si="156"/>
        <v>0</v>
      </c>
      <c r="CV194" s="52">
        <f t="shared" si="157"/>
        <v>0</v>
      </c>
    </row>
    <row r="195" spans="1:100" ht="15.75" x14ac:dyDescent="0.25">
      <c r="A195" s="17"/>
      <c r="B195" s="17"/>
      <c r="C195" s="17"/>
      <c r="D195" s="17"/>
      <c r="E195" s="17"/>
      <c r="F195" s="31" t="s">
        <v>21</v>
      </c>
      <c r="G195" s="76"/>
      <c r="H195" s="76"/>
      <c r="I195" s="76"/>
      <c r="J195" s="76"/>
      <c r="K195" s="76"/>
      <c r="L195" s="76"/>
      <c r="M195" s="76"/>
      <c r="N195" s="76"/>
      <c r="O195" s="76"/>
      <c r="P195" s="76"/>
      <c r="Q195" s="76"/>
      <c r="R195" s="76"/>
      <c r="S195" s="11">
        <f t="shared" si="158"/>
        <v>0</v>
      </c>
      <c r="T195" s="9"/>
      <c r="V195" s="46">
        <f t="shared" si="130"/>
        <v>0</v>
      </c>
      <c r="W195" s="36">
        <v>2.367</v>
      </c>
      <c r="X195" s="36">
        <v>2.367</v>
      </c>
      <c r="Y195" s="36">
        <v>2.367</v>
      </c>
      <c r="Z195" s="36">
        <v>2.367</v>
      </c>
      <c r="AA195" s="36">
        <v>2.367</v>
      </c>
      <c r="AB195" s="36">
        <v>2.367</v>
      </c>
      <c r="AC195" s="36">
        <v>2.367</v>
      </c>
      <c r="AD195" s="36">
        <v>2.367</v>
      </c>
      <c r="AE195" s="36">
        <v>2.367</v>
      </c>
      <c r="AF195" s="36">
        <v>2.367</v>
      </c>
      <c r="AG195" s="36">
        <v>2.367</v>
      </c>
      <c r="AH195" s="36">
        <v>2.367</v>
      </c>
      <c r="AI195" s="39">
        <v>1.33634708931066E-2</v>
      </c>
      <c r="AJ195" s="39">
        <v>1.33634708931066E-2</v>
      </c>
      <c r="AK195" s="39">
        <v>1.33634708931066E-2</v>
      </c>
      <c r="AL195" s="39">
        <v>1.33634708931066E-2</v>
      </c>
      <c r="AM195" s="39">
        <v>1.33634708931066E-2</v>
      </c>
      <c r="AN195" s="39">
        <v>1.33634708931066E-2</v>
      </c>
      <c r="AO195" s="39">
        <v>1.33634708931066E-2</v>
      </c>
      <c r="AP195" s="39">
        <v>1.33634708931066E-2</v>
      </c>
      <c r="AQ195" s="39">
        <v>1.33634708931066E-2</v>
      </c>
      <c r="AR195" s="39">
        <v>1.33634708931066E-2</v>
      </c>
      <c r="AS195" s="39">
        <v>1.33634708931066E-2</v>
      </c>
      <c r="AT195" s="39">
        <v>1.33634708931066E-2</v>
      </c>
      <c r="AU195" s="39">
        <v>1.2392217523121999E-3</v>
      </c>
      <c r="AV195" s="39">
        <v>1.2392217523121999E-3</v>
      </c>
      <c r="AW195" s="39">
        <v>1.2392217523121999E-3</v>
      </c>
      <c r="AX195" s="39">
        <v>1.2392217523121999E-3</v>
      </c>
      <c r="AY195" s="39">
        <v>1.2392217523121999E-3</v>
      </c>
      <c r="AZ195" s="39">
        <v>1.2392217523121999E-3</v>
      </c>
      <c r="BA195" s="39">
        <v>1.2392217523121999E-3</v>
      </c>
      <c r="BB195" s="39">
        <v>1.2392217523121999E-3</v>
      </c>
      <c r="BC195" s="39">
        <v>1.2392217523121999E-3</v>
      </c>
      <c r="BD195" s="39">
        <v>1.2392217523121999E-3</v>
      </c>
      <c r="BE195" s="39">
        <v>1.2392217523121999E-3</v>
      </c>
      <c r="BF195" s="39">
        <v>1.2392217523121999E-3</v>
      </c>
      <c r="BH195" s="12">
        <f t="shared" si="118"/>
        <v>0</v>
      </c>
      <c r="BI195" s="12">
        <f t="shared" si="119"/>
        <v>0</v>
      </c>
      <c r="BJ195" s="12">
        <f t="shared" si="120"/>
        <v>0</v>
      </c>
      <c r="BK195" s="12">
        <f t="shared" si="121"/>
        <v>0</v>
      </c>
      <c r="BL195" s="12">
        <f t="shared" si="122"/>
        <v>0</v>
      </c>
      <c r="BM195" s="12">
        <f t="shared" si="123"/>
        <v>0</v>
      </c>
      <c r="BN195" s="12">
        <f t="shared" si="124"/>
        <v>0</v>
      </c>
      <c r="BO195" s="12">
        <f t="shared" si="125"/>
        <v>0</v>
      </c>
      <c r="BP195" s="12">
        <f t="shared" si="126"/>
        <v>0</v>
      </c>
      <c r="BQ195" s="12">
        <f t="shared" si="127"/>
        <v>0</v>
      </c>
      <c r="BR195" s="12">
        <f t="shared" si="131"/>
        <v>0</v>
      </c>
      <c r="BS195" s="12">
        <f t="shared" si="132"/>
        <v>0</v>
      </c>
      <c r="BU195" s="11">
        <f t="shared" si="133"/>
        <v>0</v>
      </c>
      <c r="BV195" s="11">
        <f t="shared" si="134"/>
        <v>0</v>
      </c>
      <c r="BW195" s="11">
        <f t="shared" si="135"/>
        <v>0</v>
      </c>
      <c r="BX195" s="11">
        <f t="shared" si="136"/>
        <v>0</v>
      </c>
      <c r="BY195" s="11">
        <f t="shared" si="137"/>
        <v>0</v>
      </c>
      <c r="BZ195" s="11">
        <f t="shared" si="138"/>
        <v>0</v>
      </c>
      <c r="CA195" s="11">
        <f t="shared" si="139"/>
        <v>0</v>
      </c>
      <c r="CB195" s="11">
        <f t="shared" si="140"/>
        <v>0</v>
      </c>
      <c r="CC195" s="11">
        <f t="shared" si="141"/>
        <v>0</v>
      </c>
      <c r="CD195" s="11">
        <f t="shared" si="142"/>
        <v>0</v>
      </c>
      <c r="CE195" s="11">
        <f t="shared" si="143"/>
        <v>0</v>
      </c>
      <c r="CF195" s="11">
        <f t="shared" si="144"/>
        <v>0</v>
      </c>
      <c r="CG195" s="11"/>
      <c r="CH195" s="41">
        <v>3.23</v>
      </c>
      <c r="CJ195" s="54">
        <f t="shared" si="145"/>
        <v>0</v>
      </c>
      <c r="CK195" s="54">
        <f t="shared" si="146"/>
        <v>0</v>
      </c>
      <c r="CL195" s="54">
        <f t="shared" si="147"/>
        <v>0</v>
      </c>
      <c r="CM195" s="54">
        <f t="shared" si="148"/>
        <v>0</v>
      </c>
      <c r="CN195" s="54">
        <f t="shared" si="149"/>
        <v>0</v>
      </c>
      <c r="CO195" s="54">
        <f t="shared" si="150"/>
        <v>0</v>
      </c>
      <c r="CP195" s="54">
        <f t="shared" si="151"/>
        <v>0</v>
      </c>
      <c r="CQ195" s="54">
        <f t="shared" si="152"/>
        <v>0</v>
      </c>
      <c r="CR195" s="54">
        <f t="shared" si="153"/>
        <v>0</v>
      </c>
      <c r="CS195" s="54">
        <f t="shared" si="154"/>
        <v>0</v>
      </c>
      <c r="CT195" s="54">
        <f t="shared" si="155"/>
        <v>0</v>
      </c>
      <c r="CU195" s="54">
        <f t="shared" si="156"/>
        <v>0</v>
      </c>
      <c r="CV195" s="52">
        <f t="shared" si="157"/>
        <v>0</v>
      </c>
    </row>
    <row r="196" spans="1:100" ht="15.75" x14ac:dyDescent="0.25">
      <c r="A196" s="17"/>
      <c r="B196" s="17"/>
      <c r="C196" s="17"/>
      <c r="D196" s="17"/>
      <c r="E196" s="17"/>
      <c r="F196" s="31" t="s">
        <v>21</v>
      </c>
      <c r="G196" s="76"/>
      <c r="H196" s="76"/>
      <c r="I196" s="76"/>
      <c r="J196" s="76"/>
      <c r="K196" s="76"/>
      <c r="L196" s="76"/>
      <c r="M196" s="76"/>
      <c r="N196" s="76"/>
      <c r="O196" s="76"/>
      <c r="P196" s="76"/>
      <c r="Q196" s="76"/>
      <c r="R196" s="76"/>
      <c r="S196" s="11">
        <f t="shared" si="158"/>
        <v>0</v>
      </c>
      <c r="T196" s="9"/>
      <c r="V196" s="46">
        <f t="shared" si="130"/>
        <v>0</v>
      </c>
      <c r="W196" s="36">
        <v>1.9370000000000001</v>
      </c>
      <c r="X196" s="36">
        <v>1.9370000000000001</v>
      </c>
      <c r="Y196" s="36">
        <v>1.9370000000000001</v>
      </c>
      <c r="Z196" s="36">
        <v>1.9370000000000001</v>
      </c>
      <c r="AA196" s="36">
        <v>1.9370000000000001</v>
      </c>
      <c r="AB196" s="36">
        <v>1.9370000000000001</v>
      </c>
      <c r="AC196" s="36">
        <v>1.9370000000000001</v>
      </c>
      <c r="AD196" s="36">
        <v>1.9370000000000001</v>
      </c>
      <c r="AE196" s="36">
        <v>1.9370000000000001</v>
      </c>
      <c r="AF196" s="36">
        <v>1.9370000000000001</v>
      </c>
      <c r="AG196" s="36">
        <v>1.9370000000000001</v>
      </c>
      <c r="AH196" s="36">
        <v>1.9370000000000001</v>
      </c>
      <c r="AI196" s="39">
        <v>1.33634708931066E-2</v>
      </c>
      <c r="AJ196" s="39">
        <v>1.33634708931066E-2</v>
      </c>
      <c r="AK196" s="39">
        <v>1.33634708931066E-2</v>
      </c>
      <c r="AL196" s="39">
        <v>1.33634708931066E-2</v>
      </c>
      <c r="AM196" s="39">
        <v>1.33634708931066E-2</v>
      </c>
      <c r="AN196" s="39">
        <v>1.33634708931066E-2</v>
      </c>
      <c r="AO196" s="39">
        <v>1.33634708931066E-2</v>
      </c>
      <c r="AP196" s="39">
        <v>1.33634708931066E-2</v>
      </c>
      <c r="AQ196" s="39">
        <v>1.33634708931066E-2</v>
      </c>
      <c r="AR196" s="39">
        <v>1.33634708931066E-2</v>
      </c>
      <c r="AS196" s="39">
        <v>1.33634708931066E-2</v>
      </c>
      <c r="AT196" s="39">
        <v>1.33634708931066E-2</v>
      </c>
      <c r="AU196" s="39">
        <v>1.2392217523121999E-3</v>
      </c>
      <c r="AV196" s="39">
        <v>1.2392217523121999E-3</v>
      </c>
      <c r="AW196" s="39">
        <v>1.2392217523121999E-3</v>
      </c>
      <c r="AX196" s="39">
        <v>1.2392217523121999E-3</v>
      </c>
      <c r="AY196" s="39">
        <v>1.2392217523121999E-3</v>
      </c>
      <c r="AZ196" s="39">
        <v>1.2392217523121999E-3</v>
      </c>
      <c r="BA196" s="39">
        <v>1.2392217523121999E-3</v>
      </c>
      <c r="BB196" s="39">
        <v>1.2392217523121999E-3</v>
      </c>
      <c r="BC196" s="39">
        <v>1.2392217523121999E-3</v>
      </c>
      <c r="BD196" s="39">
        <v>1.2392217523121999E-3</v>
      </c>
      <c r="BE196" s="39">
        <v>1.2392217523121999E-3</v>
      </c>
      <c r="BF196" s="39">
        <v>1.2392217523121999E-3</v>
      </c>
      <c r="BH196" s="12">
        <f t="shared" si="118"/>
        <v>0</v>
      </c>
      <c r="BI196" s="12">
        <f t="shared" si="119"/>
        <v>0</v>
      </c>
      <c r="BJ196" s="12">
        <f t="shared" si="120"/>
        <v>0</v>
      </c>
      <c r="BK196" s="12">
        <f t="shared" si="121"/>
        <v>0</v>
      </c>
      <c r="BL196" s="12">
        <f t="shared" si="122"/>
        <v>0</v>
      </c>
      <c r="BM196" s="12">
        <f t="shared" si="123"/>
        <v>0</v>
      </c>
      <c r="BN196" s="12">
        <f t="shared" si="124"/>
        <v>0</v>
      </c>
      <c r="BO196" s="12">
        <f t="shared" si="125"/>
        <v>0</v>
      </c>
      <c r="BP196" s="12">
        <f t="shared" si="126"/>
        <v>0</v>
      </c>
      <c r="BQ196" s="12">
        <f t="shared" si="127"/>
        <v>0</v>
      </c>
      <c r="BR196" s="12">
        <f t="shared" si="131"/>
        <v>0</v>
      </c>
      <c r="BS196" s="12">
        <f t="shared" si="132"/>
        <v>0</v>
      </c>
      <c r="BU196" s="11">
        <f t="shared" si="133"/>
        <v>0</v>
      </c>
      <c r="BV196" s="11">
        <f t="shared" si="134"/>
        <v>0</v>
      </c>
      <c r="BW196" s="11">
        <f t="shared" si="135"/>
        <v>0</v>
      </c>
      <c r="BX196" s="11">
        <f t="shared" si="136"/>
        <v>0</v>
      </c>
      <c r="BY196" s="11">
        <f t="shared" si="137"/>
        <v>0</v>
      </c>
      <c r="BZ196" s="11">
        <f t="shared" si="138"/>
        <v>0</v>
      </c>
      <c r="CA196" s="11">
        <f t="shared" si="139"/>
        <v>0</v>
      </c>
      <c r="CB196" s="11">
        <f t="shared" si="140"/>
        <v>0</v>
      </c>
      <c r="CC196" s="11">
        <f t="shared" si="141"/>
        <v>0</v>
      </c>
      <c r="CD196" s="11">
        <f t="shared" si="142"/>
        <v>0</v>
      </c>
      <c r="CE196" s="11">
        <f t="shared" si="143"/>
        <v>0</v>
      </c>
      <c r="CF196" s="11">
        <f t="shared" si="144"/>
        <v>0</v>
      </c>
      <c r="CG196" s="11"/>
      <c r="CH196" s="41">
        <v>3.23</v>
      </c>
      <c r="CJ196" s="54">
        <f t="shared" si="145"/>
        <v>0</v>
      </c>
      <c r="CK196" s="54">
        <f t="shared" si="146"/>
        <v>0</v>
      </c>
      <c r="CL196" s="54">
        <f t="shared" si="147"/>
        <v>0</v>
      </c>
      <c r="CM196" s="54">
        <f t="shared" si="148"/>
        <v>0</v>
      </c>
      <c r="CN196" s="54">
        <f t="shared" si="149"/>
        <v>0</v>
      </c>
      <c r="CO196" s="54">
        <f t="shared" si="150"/>
        <v>0</v>
      </c>
      <c r="CP196" s="54">
        <f t="shared" si="151"/>
        <v>0</v>
      </c>
      <c r="CQ196" s="54">
        <f t="shared" si="152"/>
        <v>0</v>
      </c>
      <c r="CR196" s="54">
        <f t="shared" si="153"/>
        <v>0</v>
      </c>
      <c r="CS196" s="54">
        <f t="shared" si="154"/>
        <v>0</v>
      </c>
      <c r="CT196" s="54">
        <f t="shared" si="155"/>
        <v>0</v>
      </c>
      <c r="CU196" s="54">
        <f t="shared" si="156"/>
        <v>0</v>
      </c>
      <c r="CV196" s="52">
        <f t="shared" si="157"/>
        <v>0</v>
      </c>
    </row>
    <row r="197" spans="1:100" ht="15.75" x14ac:dyDescent="0.25">
      <c r="A197" s="17"/>
      <c r="B197" s="17"/>
      <c r="C197" s="17"/>
      <c r="D197" s="17"/>
      <c r="E197" s="17"/>
      <c r="F197" s="31" t="s">
        <v>21</v>
      </c>
      <c r="G197" s="76"/>
      <c r="H197" s="76"/>
      <c r="I197" s="76"/>
      <c r="J197" s="76"/>
      <c r="K197" s="76"/>
      <c r="L197" s="76"/>
      <c r="M197" s="76"/>
      <c r="N197" s="76"/>
      <c r="O197" s="76"/>
      <c r="P197" s="76"/>
      <c r="Q197" s="76"/>
      <c r="R197" s="76"/>
      <c r="S197" s="11">
        <f t="shared" si="158"/>
        <v>0</v>
      </c>
      <c r="T197" s="9"/>
      <c r="V197" s="46">
        <f t="shared" si="130"/>
        <v>0</v>
      </c>
      <c r="W197" s="36">
        <v>2.6589999999999998</v>
      </c>
      <c r="X197" s="36">
        <v>2.6589999999999998</v>
      </c>
      <c r="Y197" s="36">
        <v>2.6589999999999998</v>
      </c>
      <c r="Z197" s="36">
        <v>2.6589999999999998</v>
      </c>
      <c r="AA197" s="36">
        <v>2.6589999999999998</v>
      </c>
      <c r="AB197" s="36">
        <v>2.6589999999999998</v>
      </c>
      <c r="AC197" s="36">
        <v>2.6589999999999998</v>
      </c>
      <c r="AD197" s="36">
        <v>2.6589999999999998</v>
      </c>
      <c r="AE197" s="36">
        <v>2.6589999999999998</v>
      </c>
      <c r="AF197" s="36">
        <v>2.6589999999999998</v>
      </c>
      <c r="AG197" s="36">
        <v>2.6589999999999998</v>
      </c>
      <c r="AH197" s="36">
        <v>2.6589999999999998</v>
      </c>
      <c r="AI197" s="39">
        <v>1.33634708931066E-2</v>
      </c>
      <c r="AJ197" s="39">
        <v>1.33634708931066E-2</v>
      </c>
      <c r="AK197" s="39">
        <v>1.33634708931066E-2</v>
      </c>
      <c r="AL197" s="39">
        <v>1.33634708931066E-2</v>
      </c>
      <c r="AM197" s="39">
        <v>1.33634708931066E-2</v>
      </c>
      <c r="AN197" s="39">
        <v>1.33634708931066E-2</v>
      </c>
      <c r="AO197" s="39">
        <v>1.33634708931066E-2</v>
      </c>
      <c r="AP197" s="39">
        <v>1.33634708931066E-2</v>
      </c>
      <c r="AQ197" s="39">
        <v>1.33634708931066E-2</v>
      </c>
      <c r="AR197" s="39">
        <v>1.33634708931066E-2</v>
      </c>
      <c r="AS197" s="39">
        <v>1.33634708931066E-2</v>
      </c>
      <c r="AT197" s="39">
        <v>1.33634708931066E-2</v>
      </c>
      <c r="AU197" s="39">
        <v>1.2392217523121999E-3</v>
      </c>
      <c r="AV197" s="39">
        <v>1.2392217523121999E-3</v>
      </c>
      <c r="AW197" s="39">
        <v>1.2392217523121999E-3</v>
      </c>
      <c r="AX197" s="39">
        <v>1.2392217523121999E-3</v>
      </c>
      <c r="AY197" s="39">
        <v>1.2392217523121999E-3</v>
      </c>
      <c r="AZ197" s="39">
        <v>1.2392217523121999E-3</v>
      </c>
      <c r="BA197" s="39">
        <v>1.2392217523121999E-3</v>
      </c>
      <c r="BB197" s="39">
        <v>1.2392217523121999E-3</v>
      </c>
      <c r="BC197" s="39">
        <v>1.2392217523121999E-3</v>
      </c>
      <c r="BD197" s="39">
        <v>1.2392217523121999E-3</v>
      </c>
      <c r="BE197" s="39">
        <v>1.2392217523121999E-3</v>
      </c>
      <c r="BF197" s="39">
        <v>1.2392217523121999E-3</v>
      </c>
      <c r="BH197" s="12">
        <f t="shared" si="118"/>
        <v>0</v>
      </c>
      <c r="BI197" s="12">
        <f t="shared" si="119"/>
        <v>0</v>
      </c>
      <c r="BJ197" s="12">
        <f t="shared" si="120"/>
        <v>0</v>
      </c>
      <c r="BK197" s="12">
        <f t="shared" si="121"/>
        <v>0</v>
      </c>
      <c r="BL197" s="12">
        <f t="shared" si="122"/>
        <v>0</v>
      </c>
      <c r="BM197" s="12">
        <f t="shared" si="123"/>
        <v>0</v>
      </c>
      <c r="BN197" s="12">
        <f t="shared" si="124"/>
        <v>0</v>
      </c>
      <c r="BO197" s="12">
        <f t="shared" si="125"/>
        <v>0</v>
      </c>
      <c r="BP197" s="12">
        <f t="shared" si="126"/>
        <v>0</v>
      </c>
      <c r="BQ197" s="12">
        <f t="shared" si="127"/>
        <v>0</v>
      </c>
      <c r="BR197" s="12">
        <f t="shared" si="131"/>
        <v>0</v>
      </c>
      <c r="BS197" s="12">
        <f t="shared" si="132"/>
        <v>0</v>
      </c>
      <c r="BU197" s="11">
        <f t="shared" si="133"/>
        <v>0</v>
      </c>
      <c r="BV197" s="11">
        <f t="shared" si="134"/>
        <v>0</v>
      </c>
      <c r="BW197" s="11">
        <f t="shared" si="135"/>
        <v>0</v>
      </c>
      <c r="BX197" s="11">
        <f t="shared" si="136"/>
        <v>0</v>
      </c>
      <c r="BY197" s="11">
        <f t="shared" si="137"/>
        <v>0</v>
      </c>
      <c r="BZ197" s="11">
        <f t="shared" si="138"/>
        <v>0</v>
      </c>
      <c r="CA197" s="11">
        <f t="shared" si="139"/>
        <v>0</v>
      </c>
      <c r="CB197" s="11">
        <f t="shared" si="140"/>
        <v>0</v>
      </c>
      <c r="CC197" s="11">
        <f t="shared" si="141"/>
        <v>0</v>
      </c>
      <c r="CD197" s="11">
        <f t="shared" si="142"/>
        <v>0</v>
      </c>
      <c r="CE197" s="11">
        <f t="shared" si="143"/>
        <v>0</v>
      </c>
      <c r="CF197" s="11">
        <f t="shared" si="144"/>
        <v>0</v>
      </c>
      <c r="CG197" s="11"/>
      <c r="CH197" s="41">
        <v>3.23</v>
      </c>
      <c r="CJ197" s="54">
        <f t="shared" si="145"/>
        <v>0</v>
      </c>
      <c r="CK197" s="54">
        <f t="shared" si="146"/>
        <v>0</v>
      </c>
      <c r="CL197" s="54">
        <f t="shared" si="147"/>
        <v>0</v>
      </c>
      <c r="CM197" s="54">
        <f t="shared" si="148"/>
        <v>0</v>
      </c>
      <c r="CN197" s="54">
        <f t="shared" si="149"/>
        <v>0</v>
      </c>
      <c r="CO197" s="54">
        <f t="shared" si="150"/>
        <v>0</v>
      </c>
      <c r="CP197" s="54">
        <f t="shared" si="151"/>
        <v>0</v>
      </c>
      <c r="CQ197" s="54">
        <f t="shared" si="152"/>
        <v>0</v>
      </c>
      <c r="CR197" s="54">
        <f t="shared" si="153"/>
        <v>0</v>
      </c>
      <c r="CS197" s="54">
        <f t="shared" si="154"/>
        <v>0</v>
      </c>
      <c r="CT197" s="54">
        <f t="shared" si="155"/>
        <v>0</v>
      </c>
      <c r="CU197" s="54">
        <f t="shared" si="156"/>
        <v>0</v>
      </c>
      <c r="CV197" s="52">
        <f t="shared" si="157"/>
        <v>0</v>
      </c>
    </row>
    <row r="198" spans="1:100" ht="15.75" x14ac:dyDescent="0.25">
      <c r="A198" s="17"/>
      <c r="B198" s="17"/>
      <c r="C198" s="17"/>
      <c r="D198" s="17"/>
      <c r="E198" s="17"/>
      <c r="F198" s="31" t="s">
        <v>21</v>
      </c>
      <c r="G198" s="76"/>
      <c r="H198" s="76"/>
      <c r="I198" s="76"/>
      <c r="J198" s="76"/>
      <c r="K198" s="76"/>
      <c r="L198" s="76"/>
      <c r="M198" s="76"/>
      <c r="N198" s="76"/>
      <c r="O198" s="76"/>
      <c r="P198" s="76"/>
      <c r="Q198" s="76"/>
      <c r="R198" s="76"/>
      <c r="S198" s="11">
        <f t="shared" si="158"/>
        <v>0</v>
      </c>
      <c r="T198" s="9"/>
      <c r="V198" s="46">
        <f t="shared" si="130"/>
        <v>0</v>
      </c>
      <c r="W198" s="36">
        <v>1.8500010816189674</v>
      </c>
      <c r="X198" s="36">
        <v>1.8500010816189674</v>
      </c>
      <c r="Y198" s="36">
        <v>1.8500010816189674</v>
      </c>
      <c r="Z198" s="36">
        <v>1.8500010816189674</v>
      </c>
      <c r="AA198" s="36">
        <v>1.8500010816189674</v>
      </c>
      <c r="AB198" s="36">
        <v>1.8500010816189674</v>
      </c>
      <c r="AC198" s="36">
        <v>1.8500010816189674</v>
      </c>
      <c r="AD198" s="36">
        <v>1.8500010816189674</v>
      </c>
      <c r="AE198" s="36">
        <v>1.8500010816189674</v>
      </c>
      <c r="AF198" s="36">
        <v>1.8500010816189674</v>
      </c>
      <c r="AG198" s="36">
        <v>1.8500010816189674</v>
      </c>
      <c r="AH198" s="36">
        <v>1.8500010816189674</v>
      </c>
      <c r="AI198" s="39">
        <v>0</v>
      </c>
      <c r="AJ198" s="39">
        <v>0</v>
      </c>
      <c r="AK198" s="39">
        <v>0</v>
      </c>
      <c r="AL198" s="39">
        <v>0</v>
      </c>
      <c r="AM198" s="39">
        <v>0</v>
      </c>
      <c r="AN198" s="39">
        <v>0</v>
      </c>
      <c r="AO198" s="39">
        <v>0</v>
      </c>
      <c r="AP198" s="39">
        <v>0</v>
      </c>
      <c r="AQ198" s="39">
        <v>0</v>
      </c>
      <c r="AR198" s="39">
        <v>0</v>
      </c>
      <c r="AS198" s="39">
        <v>0</v>
      </c>
      <c r="AT198" s="39">
        <v>0</v>
      </c>
      <c r="AU198" s="39">
        <v>0</v>
      </c>
      <c r="AV198" s="39">
        <v>0</v>
      </c>
      <c r="AW198" s="39">
        <v>0</v>
      </c>
      <c r="AX198" s="39">
        <v>0</v>
      </c>
      <c r="AY198" s="39">
        <v>0</v>
      </c>
      <c r="AZ198" s="39">
        <v>0</v>
      </c>
      <c r="BA198" s="39">
        <v>0</v>
      </c>
      <c r="BB198" s="39">
        <v>0</v>
      </c>
      <c r="BC198" s="39">
        <v>0</v>
      </c>
      <c r="BD198" s="39">
        <v>0</v>
      </c>
      <c r="BE198" s="39">
        <v>0</v>
      </c>
      <c r="BF198" s="39">
        <v>0</v>
      </c>
      <c r="BH198" s="12">
        <f t="shared" si="118"/>
        <v>0</v>
      </c>
      <c r="BI198" s="12">
        <f t="shared" si="119"/>
        <v>0</v>
      </c>
      <c r="BJ198" s="12">
        <f t="shared" si="120"/>
        <v>0</v>
      </c>
      <c r="BK198" s="12">
        <f t="shared" si="121"/>
        <v>0</v>
      </c>
      <c r="BL198" s="12">
        <f t="shared" si="122"/>
        <v>0</v>
      </c>
      <c r="BM198" s="12">
        <f t="shared" si="123"/>
        <v>0</v>
      </c>
      <c r="BN198" s="12">
        <f t="shared" si="124"/>
        <v>0</v>
      </c>
      <c r="BO198" s="12">
        <f t="shared" si="125"/>
        <v>0</v>
      </c>
      <c r="BP198" s="12">
        <f t="shared" si="126"/>
        <v>0</v>
      </c>
      <c r="BQ198" s="12">
        <f t="shared" si="127"/>
        <v>0</v>
      </c>
      <c r="BR198" s="12">
        <f t="shared" si="131"/>
        <v>0</v>
      </c>
      <c r="BS198" s="12">
        <f t="shared" si="132"/>
        <v>0</v>
      </c>
      <c r="BU198" s="11">
        <f t="shared" si="133"/>
        <v>0</v>
      </c>
      <c r="BV198" s="11">
        <f t="shared" si="134"/>
        <v>0</v>
      </c>
      <c r="BW198" s="11">
        <f t="shared" si="135"/>
        <v>0</v>
      </c>
      <c r="BX198" s="11">
        <f t="shared" si="136"/>
        <v>0</v>
      </c>
      <c r="BY198" s="11">
        <f t="shared" si="137"/>
        <v>0</v>
      </c>
      <c r="BZ198" s="11">
        <f t="shared" si="138"/>
        <v>0</v>
      </c>
      <c r="CA198" s="11">
        <f t="shared" si="139"/>
        <v>0</v>
      </c>
      <c r="CB198" s="11">
        <f t="shared" si="140"/>
        <v>0</v>
      </c>
      <c r="CC198" s="11">
        <f t="shared" si="141"/>
        <v>0</v>
      </c>
      <c r="CD198" s="11">
        <f t="shared" si="142"/>
        <v>0</v>
      </c>
      <c r="CE198" s="11">
        <f t="shared" si="143"/>
        <v>0</v>
      </c>
      <c r="CF198" s="11">
        <f t="shared" si="144"/>
        <v>0</v>
      </c>
      <c r="CG198" s="11"/>
      <c r="CH198" s="41">
        <v>1</v>
      </c>
      <c r="CJ198" s="54">
        <f t="shared" si="145"/>
        <v>0</v>
      </c>
      <c r="CK198" s="54">
        <f t="shared" si="146"/>
        <v>0</v>
      </c>
      <c r="CL198" s="54">
        <f t="shared" si="147"/>
        <v>0</v>
      </c>
      <c r="CM198" s="54">
        <f t="shared" si="148"/>
        <v>0</v>
      </c>
      <c r="CN198" s="54">
        <f t="shared" si="149"/>
        <v>0</v>
      </c>
      <c r="CO198" s="54">
        <f t="shared" si="150"/>
        <v>0</v>
      </c>
      <c r="CP198" s="54">
        <f t="shared" si="151"/>
        <v>0</v>
      </c>
      <c r="CQ198" s="54">
        <f t="shared" si="152"/>
        <v>0</v>
      </c>
      <c r="CR198" s="54">
        <f t="shared" si="153"/>
        <v>0</v>
      </c>
      <c r="CS198" s="54">
        <f t="shared" si="154"/>
        <v>0</v>
      </c>
      <c r="CT198" s="54">
        <f t="shared" si="155"/>
        <v>0</v>
      </c>
      <c r="CU198" s="54">
        <f t="shared" si="156"/>
        <v>0</v>
      </c>
      <c r="CV198" s="52">
        <f t="shared" si="157"/>
        <v>0</v>
      </c>
    </row>
    <row r="199" spans="1:100" ht="15.75" x14ac:dyDescent="0.25">
      <c r="A199" s="17"/>
      <c r="B199" s="17"/>
      <c r="C199" s="17"/>
      <c r="D199" s="17"/>
      <c r="E199" s="17"/>
      <c r="F199" s="31" t="s">
        <v>21</v>
      </c>
      <c r="G199" s="76"/>
      <c r="H199" s="76"/>
      <c r="I199" s="76"/>
      <c r="J199" s="76"/>
      <c r="K199" s="76"/>
      <c r="L199" s="76"/>
      <c r="M199" s="76"/>
      <c r="N199" s="76"/>
      <c r="O199" s="76"/>
      <c r="P199" s="76"/>
      <c r="Q199" s="76"/>
      <c r="R199" s="76"/>
      <c r="S199" s="11">
        <f t="shared" si="158"/>
        <v>0</v>
      </c>
      <c r="T199" s="9"/>
      <c r="V199" s="46">
        <f t="shared" si="130"/>
        <v>0</v>
      </c>
      <c r="W199" s="36">
        <v>3.17</v>
      </c>
      <c r="X199" s="36">
        <v>3.17</v>
      </c>
      <c r="Y199" s="36">
        <v>3.17</v>
      </c>
      <c r="Z199" s="36">
        <v>3.17</v>
      </c>
      <c r="AA199" s="36">
        <v>3.17</v>
      </c>
      <c r="AB199" s="36">
        <v>3.17</v>
      </c>
      <c r="AC199" s="36">
        <v>3.17</v>
      </c>
      <c r="AD199" s="36">
        <v>3.17</v>
      </c>
      <c r="AE199" s="36">
        <v>3.17</v>
      </c>
      <c r="AF199" s="36">
        <v>3.17</v>
      </c>
      <c r="AG199" s="36">
        <v>3.17</v>
      </c>
      <c r="AH199" s="36">
        <v>3.17</v>
      </c>
      <c r="AI199" s="39">
        <v>0</v>
      </c>
      <c r="AJ199" s="39">
        <v>0</v>
      </c>
      <c r="AK199" s="39">
        <v>0</v>
      </c>
      <c r="AL199" s="39">
        <v>0</v>
      </c>
      <c r="AM199" s="39">
        <v>0</v>
      </c>
      <c r="AN199" s="39">
        <v>0</v>
      </c>
      <c r="AO199" s="39">
        <v>0</v>
      </c>
      <c r="AP199" s="39">
        <v>0</v>
      </c>
      <c r="AQ199" s="39">
        <v>0</v>
      </c>
      <c r="AR199" s="39">
        <v>0</v>
      </c>
      <c r="AS199" s="39">
        <v>0</v>
      </c>
      <c r="AT199" s="39">
        <v>0</v>
      </c>
      <c r="AU199" s="39">
        <v>0</v>
      </c>
      <c r="AV199" s="39">
        <v>0</v>
      </c>
      <c r="AW199" s="39">
        <v>0</v>
      </c>
      <c r="AX199" s="39">
        <v>0</v>
      </c>
      <c r="AY199" s="39">
        <v>0</v>
      </c>
      <c r="AZ199" s="39">
        <v>0</v>
      </c>
      <c r="BA199" s="39">
        <v>0</v>
      </c>
      <c r="BB199" s="39">
        <v>0</v>
      </c>
      <c r="BC199" s="39">
        <v>0</v>
      </c>
      <c r="BD199" s="39">
        <v>0</v>
      </c>
      <c r="BE199" s="39">
        <v>0</v>
      </c>
      <c r="BF199" s="39">
        <v>0</v>
      </c>
      <c r="BH199" s="12">
        <f t="shared" si="118"/>
        <v>0</v>
      </c>
      <c r="BI199" s="12">
        <f t="shared" si="119"/>
        <v>0</v>
      </c>
      <c r="BJ199" s="12">
        <f t="shared" si="120"/>
        <v>0</v>
      </c>
      <c r="BK199" s="12">
        <f t="shared" si="121"/>
        <v>0</v>
      </c>
      <c r="BL199" s="12">
        <f t="shared" si="122"/>
        <v>0</v>
      </c>
      <c r="BM199" s="12">
        <f t="shared" si="123"/>
        <v>0</v>
      </c>
      <c r="BN199" s="12">
        <f t="shared" si="124"/>
        <v>0</v>
      </c>
      <c r="BO199" s="12">
        <f t="shared" si="125"/>
        <v>0</v>
      </c>
      <c r="BP199" s="12">
        <f t="shared" si="126"/>
        <v>0</v>
      </c>
      <c r="BQ199" s="12">
        <f t="shared" si="127"/>
        <v>0</v>
      </c>
      <c r="BR199" s="12">
        <f t="shared" si="131"/>
        <v>0</v>
      </c>
      <c r="BS199" s="12">
        <f t="shared" si="132"/>
        <v>0</v>
      </c>
      <c r="BU199" s="11">
        <f t="shared" si="133"/>
        <v>0</v>
      </c>
      <c r="BV199" s="11">
        <f t="shared" si="134"/>
        <v>0</v>
      </c>
      <c r="BW199" s="11">
        <f t="shared" si="135"/>
        <v>0</v>
      </c>
      <c r="BX199" s="11">
        <f t="shared" si="136"/>
        <v>0</v>
      </c>
      <c r="BY199" s="11">
        <f t="shared" si="137"/>
        <v>0</v>
      </c>
      <c r="BZ199" s="11">
        <f t="shared" si="138"/>
        <v>0</v>
      </c>
      <c r="CA199" s="11">
        <f t="shared" si="139"/>
        <v>0</v>
      </c>
      <c r="CB199" s="11">
        <f t="shared" si="140"/>
        <v>0</v>
      </c>
      <c r="CC199" s="11">
        <f t="shared" si="141"/>
        <v>0</v>
      </c>
      <c r="CD199" s="11">
        <f t="shared" si="142"/>
        <v>0</v>
      </c>
      <c r="CE199" s="11">
        <f t="shared" si="143"/>
        <v>0</v>
      </c>
      <c r="CF199" s="11">
        <f t="shared" si="144"/>
        <v>0</v>
      </c>
      <c r="CG199" s="11"/>
      <c r="CH199" s="41">
        <v>1</v>
      </c>
      <c r="CJ199" s="54">
        <f t="shared" si="145"/>
        <v>0</v>
      </c>
      <c r="CK199" s="54">
        <f t="shared" si="146"/>
        <v>0</v>
      </c>
      <c r="CL199" s="54">
        <f t="shared" si="147"/>
        <v>0</v>
      </c>
      <c r="CM199" s="54">
        <f t="shared" si="148"/>
        <v>0</v>
      </c>
      <c r="CN199" s="54">
        <f t="shared" si="149"/>
        <v>0</v>
      </c>
      <c r="CO199" s="54">
        <f t="shared" si="150"/>
        <v>0</v>
      </c>
      <c r="CP199" s="54">
        <f t="shared" si="151"/>
        <v>0</v>
      </c>
      <c r="CQ199" s="54">
        <f t="shared" si="152"/>
        <v>0</v>
      </c>
      <c r="CR199" s="54">
        <f t="shared" si="153"/>
        <v>0</v>
      </c>
      <c r="CS199" s="54">
        <f t="shared" si="154"/>
        <v>0</v>
      </c>
      <c r="CT199" s="54">
        <f t="shared" si="155"/>
        <v>0</v>
      </c>
      <c r="CU199" s="54">
        <f t="shared" si="156"/>
        <v>0</v>
      </c>
      <c r="CV199" s="52">
        <f t="shared" si="157"/>
        <v>0</v>
      </c>
    </row>
    <row r="200" spans="1:100" ht="15.75" x14ac:dyDescent="0.25">
      <c r="A200" s="17"/>
      <c r="B200" s="17"/>
      <c r="C200" s="17"/>
      <c r="D200" s="17"/>
      <c r="E200" s="17"/>
      <c r="F200" s="31" t="s">
        <v>21</v>
      </c>
      <c r="G200" s="76"/>
      <c r="H200" s="76"/>
      <c r="I200" s="76"/>
      <c r="J200" s="76"/>
      <c r="K200" s="76"/>
      <c r="L200" s="76"/>
      <c r="M200" s="76"/>
      <c r="N200" s="76"/>
      <c r="O200" s="76"/>
      <c r="P200" s="76"/>
      <c r="Q200" s="76"/>
      <c r="R200" s="76"/>
      <c r="S200" s="11">
        <f t="shared" si="158"/>
        <v>0</v>
      </c>
      <c r="T200" s="9"/>
      <c r="V200" s="46">
        <f t="shared" si="130"/>
        <v>0</v>
      </c>
      <c r="W200" s="36">
        <v>3.149</v>
      </c>
      <c r="X200" s="36">
        <v>3.149</v>
      </c>
      <c r="Y200" s="36">
        <v>3.149</v>
      </c>
      <c r="Z200" s="36">
        <v>3.149</v>
      </c>
      <c r="AA200" s="36">
        <v>3.149</v>
      </c>
      <c r="AB200" s="36">
        <v>3.149</v>
      </c>
      <c r="AC200" s="36">
        <v>3.149</v>
      </c>
      <c r="AD200" s="36">
        <v>3.149</v>
      </c>
      <c r="AE200" s="36">
        <v>3.149</v>
      </c>
      <c r="AF200" s="36">
        <v>3.149</v>
      </c>
      <c r="AG200" s="36">
        <v>3.149</v>
      </c>
      <c r="AH200" s="36">
        <v>3.149</v>
      </c>
      <c r="AI200" s="39">
        <v>1.33634708931066E-2</v>
      </c>
      <c r="AJ200" s="39">
        <v>1.33634708931066E-2</v>
      </c>
      <c r="AK200" s="39">
        <v>1.33634708931066E-2</v>
      </c>
      <c r="AL200" s="39">
        <v>1.33634708931066E-2</v>
      </c>
      <c r="AM200" s="39">
        <v>1.33634708931066E-2</v>
      </c>
      <c r="AN200" s="39">
        <v>1.33634708931066E-2</v>
      </c>
      <c r="AO200" s="39">
        <v>1.33634708931066E-2</v>
      </c>
      <c r="AP200" s="39">
        <v>1.33634708931066E-2</v>
      </c>
      <c r="AQ200" s="39">
        <v>1.33634708931066E-2</v>
      </c>
      <c r="AR200" s="39">
        <v>1.33634708931066E-2</v>
      </c>
      <c r="AS200" s="39">
        <v>1.33634708931066E-2</v>
      </c>
      <c r="AT200" s="39">
        <v>1.33634708931066E-2</v>
      </c>
      <c r="AU200" s="39">
        <v>1.2392217523121999E-3</v>
      </c>
      <c r="AV200" s="39">
        <v>1.2392217523121999E-3</v>
      </c>
      <c r="AW200" s="39">
        <v>1.2392217523121999E-3</v>
      </c>
      <c r="AX200" s="39">
        <v>1.2392217523121999E-3</v>
      </c>
      <c r="AY200" s="39">
        <v>1.2392217523121999E-3</v>
      </c>
      <c r="AZ200" s="39">
        <v>1.2392217523121999E-3</v>
      </c>
      <c r="BA200" s="39">
        <v>1.2392217523121999E-3</v>
      </c>
      <c r="BB200" s="39">
        <v>1.2392217523121999E-3</v>
      </c>
      <c r="BC200" s="39">
        <v>1.2392217523121999E-3</v>
      </c>
      <c r="BD200" s="39">
        <v>1.2392217523121999E-3</v>
      </c>
      <c r="BE200" s="39">
        <v>1.2392217523121999E-3</v>
      </c>
      <c r="BF200" s="39">
        <v>1.2392217523121999E-3</v>
      </c>
      <c r="BH200" s="12">
        <f t="shared" si="118"/>
        <v>0</v>
      </c>
      <c r="BI200" s="12">
        <f t="shared" si="119"/>
        <v>0</v>
      </c>
      <c r="BJ200" s="12">
        <f t="shared" si="120"/>
        <v>0</v>
      </c>
      <c r="BK200" s="12">
        <f t="shared" si="121"/>
        <v>0</v>
      </c>
      <c r="BL200" s="12">
        <f t="shared" si="122"/>
        <v>0</v>
      </c>
      <c r="BM200" s="12">
        <f t="shared" si="123"/>
        <v>0</v>
      </c>
      <c r="BN200" s="12">
        <f t="shared" si="124"/>
        <v>0</v>
      </c>
      <c r="BO200" s="12">
        <f t="shared" si="125"/>
        <v>0</v>
      </c>
      <c r="BP200" s="12">
        <f t="shared" si="126"/>
        <v>0</v>
      </c>
      <c r="BQ200" s="12">
        <f t="shared" si="127"/>
        <v>0</v>
      </c>
      <c r="BR200" s="12">
        <f t="shared" si="131"/>
        <v>0</v>
      </c>
      <c r="BS200" s="12">
        <f t="shared" si="132"/>
        <v>0</v>
      </c>
      <c r="BU200" s="11">
        <f t="shared" si="133"/>
        <v>0</v>
      </c>
      <c r="BV200" s="11">
        <f t="shared" si="134"/>
        <v>0</v>
      </c>
      <c r="BW200" s="11">
        <f t="shared" si="135"/>
        <v>0</v>
      </c>
      <c r="BX200" s="11">
        <f t="shared" si="136"/>
        <v>0</v>
      </c>
      <c r="BY200" s="11">
        <f t="shared" si="137"/>
        <v>0</v>
      </c>
      <c r="BZ200" s="11">
        <f t="shared" si="138"/>
        <v>0</v>
      </c>
      <c r="CA200" s="11">
        <f t="shared" si="139"/>
        <v>0</v>
      </c>
      <c r="CB200" s="11">
        <f t="shared" si="140"/>
        <v>0</v>
      </c>
      <c r="CC200" s="11">
        <f t="shared" si="141"/>
        <v>0</v>
      </c>
      <c r="CD200" s="11">
        <f t="shared" si="142"/>
        <v>0</v>
      </c>
      <c r="CE200" s="11">
        <f t="shared" si="143"/>
        <v>0</v>
      </c>
      <c r="CF200" s="11">
        <f t="shared" si="144"/>
        <v>0</v>
      </c>
      <c r="CG200" s="11"/>
      <c r="CH200" s="41">
        <v>3.23</v>
      </c>
      <c r="CJ200" s="54">
        <f t="shared" si="145"/>
        <v>0</v>
      </c>
      <c r="CK200" s="54">
        <f t="shared" si="146"/>
        <v>0</v>
      </c>
      <c r="CL200" s="54">
        <f t="shared" si="147"/>
        <v>0</v>
      </c>
      <c r="CM200" s="54">
        <f t="shared" si="148"/>
        <v>0</v>
      </c>
      <c r="CN200" s="54">
        <f t="shared" si="149"/>
        <v>0</v>
      </c>
      <c r="CO200" s="54">
        <f t="shared" si="150"/>
        <v>0</v>
      </c>
      <c r="CP200" s="54">
        <f t="shared" si="151"/>
        <v>0</v>
      </c>
      <c r="CQ200" s="54">
        <f t="shared" si="152"/>
        <v>0</v>
      </c>
      <c r="CR200" s="54">
        <f t="shared" si="153"/>
        <v>0</v>
      </c>
      <c r="CS200" s="54">
        <f t="shared" si="154"/>
        <v>0</v>
      </c>
      <c r="CT200" s="54">
        <f t="shared" si="155"/>
        <v>0</v>
      </c>
      <c r="CU200" s="54">
        <f t="shared" si="156"/>
        <v>0</v>
      </c>
      <c r="CV200" s="52">
        <f t="shared" si="157"/>
        <v>0</v>
      </c>
    </row>
    <row r="201" spans="1:100" ht="15.75" x14ac:dyDescent="0.25">
      <c r="A201" s="17"/>
      <c r="B201" s="17"/>
      <c r="C201" s="17"/>
      <c r="D201" s="17"/>
      <c r="E201" s="17"/>
      <c r="F201" s="31" t="s">
        <v>21</v>
      </c>
      <c r="G201" s="76"/>
      <c r="H201" s="76"/>
      <c r="I201" s="76"/>
      <c r="J201" s="76"/>
      <c r="K201" s="76"/>
      <c r="L201" s="76"/>
      <c r="M201" s="76"/>
      <c r="N201" s="76"/>
      <c r="O201" s="76"/>
      <c r="P201" s="76"/>
      <c r="Q201" s="76"/>
      <c r="R201" s="76"/>
      <c r="S201" s="11">
        <f t="shared" si="158"/>
        <v>0</v>
      </c>
      <c r="T201" s="9"/>
      <c r="V201" s="46">
        <f t="shared" si="130"/>
        <v>0</v>
      </c>
      <c r="W201" s="36">
        <v>1.4379999999999999</v>
      </c>
      <c r="X201" s="36">
        <v>1.4379999999999999</v>
      </c>
      <c r="Y201" s="36">
        <v>1.4379999999999999</v>
      </c>
      <c r="Z201" s="36">
        <v>1.4379999999999999</v>
      </c>
      <c r="AA201" s="36">
        <v>1.4379999999999999</v>
      </c>
      <c r="AB201" s="36">
        <v>1.4379999999999999</v>
      </c>
      <c r="AC201" s="36">
        <v>1.4379999999999999</v>
      </c>
      <c r="AD201" s="36">
        <v>1.4379999999999999</v>
      </c>
      <c r="AE201" s="36">
        <v>1.4379999999999999</v>
      </c>
      <c r="AF201" s="36">
        <v>1.4379999999999999</v>
      </c>
      <c r="AG201" s="36">
        <v>1.4379999999999999</v>
      </c>
      <c r="AH201" s="36">
        <v>1.4379999999999999</v>
      </c>
      <c r="AI201" s="39">
        <v>1.33634708931066E-2</v>
      </c>
      <c r="AJ201" s="39">
        <v>1.33634708931066E-2</v>
      </c>
      <c r="AK201" s="39">
        <v>1.33634708931066E-2</v>
      </c>
      <c r="AL201" s="39">
        <v>1.33634708931066E-2</v>
      </c>
      <c r="AM201" s="39">
        <v>1.33634708931066E-2</v>
      </c>
      <c r="AN201" s="39">
        <v>1.33634708931066E-2</v>
      </c>
      <c r="AO201" s="39">
        <v>1.33634708931066E-2</v>
      </c>
      <c r="AP201" s="39">
        <v>1.33634708931066E-2</v>
      </c>
      <c r="AQ201" s="39">
        <v>1.33634708931066E-2</v>
      </c>
      <c r="AR201" s="39">
        <v>1.33634708931066E-2</v>
      </c>
      <c r="AS201" s="39">
        <v>1.33634708931066E-2</v>
      </c>
      <c r="AT201" s="39">
        <v>1.33634708931066E-2</v>
      </c>
      <c r="AU201" s="39">
        <v>1.2392217523121999E-3</v>
      </c>
      <c r="AV201" s="39">
        <v>1.2392217523121999E-3</v>
      </c>
      <c r="AW201" s="39">
        <v>1.2392217523121999E-3</v>
      </c>
      <c r="AX201" s="39">
        <v>1.2392217523121999E-3</v>
      </c>
      <c r="AY201" s="39">
        <v>1.2392217523121999E-3</v>
      </c>
      <c r="AZ201" s="39">
        <v>1.2392217523121999E-3</v>
      </c>
      <c r="BA201" s="39">
        <v>1.2392217523121999E-3</v>
      </c>
      <c r="BB201" s="39">
        <v>1.2392217523121999E-3</v>
      </c>
      <c r="BC201" s="39">
        <v>1.2392217523121999E-3</v>
      </c>
      <c r="BD201" s="39">
        <v>1.2392217523121999E-3</v>
      </c>
      <c r="BE201" s="39">
        <v>1.2392217523121999E-3</v>
      </c>
      <c r="BF201" s="39">
        <v>1.2392217523121999E-3</v>
      </c>
      <c r="BH201" s="12">
        <f t="shared" si="118"/>
        <v>0</v>
      </c>
      <c r="BI201" s="12">
        <f t="shared" si="119"/>
        <v>0</v>
      </c>
      <c r="BJ201" s="12">
        <f t="shared" si="120"/>
        <v>0</v>
      </c>
      <c r="BK201" s="12">
        <f t="shared" si="121"/>
        <v>0</v>
      </c>
      <c r="BL201" s="12">
        <f t="shared" si="122"/>
        <v>0</v>
      </c>
      <c r="BM201" s="12">
        <f t="shared" si="123"/>
        <v>0</v>
      </c>
      <c r="BN201" s="12">
        <f t="shared" si="124"/>
        <v>0</v>
      </c>
      <c r="BO201" s="12">
        <f t="shared" si="125"/>
        <v>0</v>
      </c>
      <c r="BP201" s="12">
        <f t="shared" si="126"/>
        <v>0</v>
      </c>
      <c r="BQ201" s="12">
        <f t="shared" si="127"/>
        <v>0</v>
      </c>
      <c r="BR201" s="12">
        <f t="shared" si="131"/>
        <v>0</v>
      </c>
      <c r="BS201" s="12">
        <f t="shared" si="132"/>
        <v>0</v>
      </c>
      <c r="BU201" s="11">
        <f t="shared" si="133"/>
        <v>0</v>
      </c>
      <c r="BV201" s="11">
        <f t="shared" si="134"/>
        <v>0</v>
      </c>
      <c r="BW201" s="11">
        <f t="shared" si="135"/>
        <v>0</v>
      </c>
      <c r="BX201" s="11">
        <f t="shared" si="136"/>
        <v>0</v>
      </c>
      <c r="BY201" s="11">
        <f t="shared" si="137"/>
        <v>0</v>
      </c>
      <c r="BZ201" s="11">
        <f t="shared" si="138"/>
        <v>0</v>
      </c>
      <c r="CA201" s="11">
        <f t="shared" si="139"/>
        <v>0</v>
      </c>
      <c r="CB201" s="11">
        <f t="shared" si="140"/>
        <v>0</v>
      </c>
      <c r="CC201" s="11">
        <f t="shared" si="141"/>
        <v>0</v>
      </c>
      <c r="CD201" s="11">
        <f t="shared" si="142"/>
        <v>0</v>
      </c>
      <c r="CE201" s="11">
        <f t="shared" si="143"/>
        <v>0</v>
      </c>
      <c r="CF201" s="11">
        <f t="shared" si="144"/>
        <v>0</v>
      </c>
      <c r="CG201" s="11"/>
      <c r="CH201" s="41">
        <v>3.23</v>
      </c>
      <c r="CJ201" s="54">
        <f t="shared" si="145"/>
        <v>0</v>
      </c>
      <c r="CK201" s="54">
        <f t="shared" si="146"/>
        <v>0</v>
      </c>
      <c r="CL201" s="54">
        <f t="shared" si="147"/>
        <v>0</v>
      </c>
      <c r="CM201" s="54">
        <f t="shared" si="148"/>
        <v>0</v>
      </c>
      <c r="CN201" s="54">
        <f t="shared" si="149"/>
        <v>0</v>
      </c>
      <c r="CO201" s="54">
        <f t="shared" si="150"/>
        <v>0</v>
      </c>
      <c r="CP201" s="54">
        <f t="shared" si="151"/>
        <v>0</v>
      </c>
      <c r="CQ201" s="54">
        <f t="shared" si="152"/>
        <v>0</v>
      </c>
      <c r="CR201" s="54">
        <f t="shared" si="153"/>
        <v>0</v>
      </c>
      <c r="CS201" s="54">
        <f t="shared" si="154"/>
        <v>0</v>
      </c>
      <c r="CT201" s="54">
        <f t="shared" si="155"/>
        <v>0</v>
      </c>
      <c r="CU201" s="54">
        <f t="shared" si="156"/>
        <v>0</v>
      </c>
      <c r="CV201" s="52">
        <f t="shared" si="157"/>
        <v>0</v>
      </c>
    </row>
    <row r="202" spans="1:100" ht="15.75" x14ac:dyDescent="0.25">
      <c r="A202" s="17"/>
      <c r="B202" s="17"/>
      <c r="C202" s="17"/>
      <c r="D202" s="17"/>
      <c r="E202" s="17"/>
      <c r="F202" s="31" t="s">
        <v>21</v>
      </c>
      <c r="G202" s="76"/>
      <c r="H202" s="76"/>
      <c r="I202" s="76"/>
      <c r="J202" s="76"/>
      <c r="K202" s="76"/>
      <c r="L202" s="76"/>
      <c r="M202" s="76"/>
      <c r="N202" s="76"/>
      <c r="O202" s="76"/>
      <c r="P202" s="76"/>
      <c r="Q202" s="76"/>
      <c r="R202" s="76"/>
      <c r="S202" s="11">
        <f t="shared" si="158"/>
        <v>0</v>
      </c>
      <c r="T202" s="9"/>
      <c r="V202" s="46">
        <f t="shared" si="130"/>
        <v>0</v>
      </c>
      <c r="W202" s="36">
        <v>1.6339999999999999</v>
      </c>
      <c r="X202" s="36">
        <v>1.6339999999999999</v>
      </c>
      <c r="Y202" s="36">
        <v>1.6339999999999999</v>
      </c>
      <c r="Z202" s="36">
        <v>1.6339999999999999</v>
      </c>
      <c r="AA202" s="36">
        <v>1.6339999999999999</v>
      </c>
      <c r="AB202" s="36">
        <v>1.6339999999999999</v>
      </c>
      <c r="AC202" s="36">
        <v>1.6339999999999999</v>
      </c>
      <c r="AD202" s="36">
        <v>1.6339999999999999</v>
      </c>
      <c r="AE202" s="36">
        <v>1.6339999999999999</v>
      </c>
      <c r="AF202" s="36">
        <v>1.6339999999999999</v>
      </c>
      <c r="AG202" s="36">
        <v>1.6339999999999999</v>
      </c>
      <c r="AH202" s="36">
        <v>1.6339999999999999</v>
      </c>
      <c r="AI202" s="39">
        <v>1.33634708931066E-2</v>
      </c>
      <c r="AJ202" s="39">
        <v>1.33634708931066E-2</v>
      </c>
      <c r="AK202" s="39">
        <v>1.33634708931066E-2</v>
      </c>
      <c r="AL202" s="39">
        <v>1.33634708931066E-2</v>
      </c>
      <c r="AM202" s="39">
        <v>1.33634708931066E-2</v>
      </c>
      <c r="AN202" s="39">
        <v>1.33634708931066E-2</v>
      </c>
      <c r="AO202" s="39">
        <v>1.33634708931066E-2</v>
      </c>
      <c r="AP202" s="39">
        <v>1.33634708931066E-2</v>
      </c>
      <c r="AQ202" s="39">
        <v>1.33634708931066E-2</v>
      </c>
      <c r="AR202" s="39">
        <v>1.33634708931066E-2</v>
      </c>
      <c r="AS202" s="39">
        <v>1.33634708931066E-2</v>
      </c>
      <c r="AT202" s="39">
        <v>1.33634708931066E-2</v>
      </c>
      <c r="AU202" s="39">
        <v>1.2392217523121999E-3</v>
      </c>
      <c r="AV202" s="39">
        <v>1.2392217523121999E-3</v>
      </c>
      <c r="AW202" s="39">
        <v>1.2392217523121999E-3</v>
      </c>
      <c r="AX202" s="39">
        <v>1.2392217523121999E-3</v>
      </c>
      <c r="AY202" s="39">
        <v>1.2392217523121999E-3</v>
      </c>
      <c r="AZ202" s="39">
        <v>1.2392217523121999E-3</v>
      </c>
      <c r="BA202" s="39">
        <v>1.2392217523121999E-3</v>
      </c>
      <c r="BB202" s="39">
        <v>1.2392217523121999E-3</v>
      </c>
      <c r="BC202" s="39">
        <v>1.2392217523121999E-3</v>
      </c>
      <c r="BD202" s="39">
        <v>1.2392217523121999E-3</v>
      </c>
      <c r="BE202" s="39">
        <v>1.2392217523121999E-3</v>
      </c>
      <c r="BF202" s="39">
        <v>1.2392217523121999E-3</v>
      </c>
      <c r="BH202" s="12">
        <f t="shared" si="118"/>
        <v>0</v>
      </c>
      <c r="BI202" s="12">
        <f t="shared" si="119"/>
        <v>0</v>
      </c>
      <c r="BJ202" s="12">
        <f t="shared" si="120"/>
        <v>0</v>
      </c>
      <c r="BK202" s="12">
        <f t="shared" si="121"/>
        <v>0</v>
      </c>
      <c r="BL202" s="12">
        <f t="shared" si="122"/>
        <v>0</v>
      </c>
      <c r="BM202" s="12">
        <f t="shared" si="123"/>
        <v>0</v>
      </c>
      <c r="BN202" s="12">
        <f t="shared" si="124"/>
        <v>0</v>
      </c>
      <c r="BO202" s="12">
        <f t="shared" si="125"/>
        <v>0</v>
      </c>
      <c r="BP202" s="12">
        <f t="shared" si="126"/>
        <v>0</v>
      </c>
      <c r="BQ202" s="12">
        <f t="shared" si="127"/>
        <v>0</v>
      </c>
      <c r="BR202" s="12">
        <f t="shared" si="131"/>
        <v>0</v>
      </c>
      <c r="BS202" s="12">
        <f t="shared" si="132"/>
        <v>0</v>
      </c>
      <c r="BU202" s="11">
        <f t="shared" si="133"/>
        <v>0</v>
      </c>
      <c r="BV202" s="11">
        <f t="shared" si="134"/>
        <v>0</v>
      </c>
      <c r="BW202" s="11">
        <f t="shared" si="135"/>
        <v>0</v>
      </c>
      <c r="BX202" s="11">
        <f t="shared" si="136"/>
        <v>0</v>
      </c>
      <c r="BY202" s="11">
        <f t="shared" si="137"/>
        <v>0</v>
      </c>
      <c r="BZ202" s="11">
        <f t="shared" si="138"/>
        <v>0</v>
      </c>
      <c r="CA202" s="11">
        <f t="shared" si="139"/>
        <v>0</v>
      </c>
      <c r="CB202" s="11">
        <f t="shared" si="140"/>
        <v>0</v>
      </c>
      <c r="CC202" s="11">
        <f t="shared" si="141"/>
        <v>0</v>
      </c>
      <c r="CD202" s="11">
        <f t="shared" si="142"/>
        <v>0</v>
      </c>
      <c r="CE202" s="11">
        <f t="shared" si="143"/>
        <v>0</v>
      </c>
      <c r="CF202" s="11">
        <f t="shared" si="144"/>
        <v>0</v>
      </c>
      <c r="CG202" s="11"/>
      <c r="CH202" s="41">
        <v>3.23</v>
      </c>
      <c r="CJ202" s="54">
        <f t="shared" si="145"/>
        <v>0</v>
      </c>
      <c r="CK202" s="54">
        <f t="shared" si="146"/>
        <v>0</v>
      </c>
      <c r="CL202" s="54">
        <f t="shared" si="147"/>
        <v>0</v>
      </c>
      <c r="CM202" s="54">
        <f t="shared" si="148"/>
        <v>0</v>
      </c>
      <c r="CN202" s="54">
        <f t="shared" si="149"/>
        <v>0</v>
      </c>
      <c r="CO202" s="54">
        <f t="shared" si="150"/>
        <v>0</v>
      </c>
      <c r="CP202" s="54">
        <f t="shared" si="151"/>
        <v>0</v>
      </c>
      <c r="CQ202" s="54">
        <f t="shared" si="152"/>
        <v>0</v>
      </c>
      <c r="CR202" s="54">
        <f t="shared" si="153"/>
        <v>0</v>
      </c>
      <c r="CS202" s="54">
        <f t="shared" si="154"/>
        <v>0</v>
      </c>
      <c r="CT202" s="54">
        <f t="shared" si="155"/>
        <v>0</v>
      </c>
      <c r="CU202" s="54">
        <f t="shared" si="156"/>
        <v>0</v>
      </c>
      <c r="CV202" s="52">
        <f t="shared" si="157"/>
        <v>0</v>
      </c>
    </row>
    <row r="203" spans="1:100" ht="15.75" x14ac:dyDescent="0.25">
      <c r="A203" s="17"/>
      <c r="B203" s="17"/>
      <c r="C203" s="17"/>
      <c r="D203" s="17"/>
      <c r="E203" s="17"/>
      <c r="F203" s="31" t="s">
        <v>21</v>
      </c>
      <c r="G203" s="76"/>
      <c r="H203" s="76"/>
      <c r="I203" s="76"/>
      <c r="J203" s="76"/>
      <c r="K203" s="76"/>
      <c r="L203" s="76"/>
      <c r="M203" s="76"/>
      <c r="N203" s="76"/>
      <c r="O203" s="76"/>
      <c r="P203" s="76"/>
      <c r="Q203" s="76"/>
      <c r="R203" s="76"/>
      <c r="S203" s="11">
        <f t="shared" si="158"/>
        <v>0</v>
      </c>
      <c r="T203" s="9"/>
      <c r="V203" s="46">
        <f t="shared" si="130"/>
        <v>0</v>
      </c>
      <c r="W203" s="36">
        <v>2.6459999999999999</v>
      </c>
      <c r="X203" s="36">
        <v>2.6459999999999999</v>
      </c>
      <c r="Y203" s="36">
        <v>2.6459999999999999</v>
      </c>
      <c r="Z203" s="36">
        <v>2.6459999999999999</v>
      </c>
      <c r="AA203" s="36">
        <v>2.6459999999999999</v>
      </c>
      <c r="AB203" s="36">
        <v>2.6459999999999999</v>
      </c>
      <c r="AC203" s="36">
        <v>2.6459999999999999</v>
      </c>
      <c r="AD203" s="36">
        <v>2.6459999999999999</v>
      </c>
      <c r="AE203" s="36">
        <v>2.6459999999999999</v>
      </c>
      <c r="AF203" s="36">
        <v>2.6459999999999999</v>
      </c>
      <c r="AG203" s="36">
        <v>2.6459999999999999</v>
      </c>
      <c r="AH203" s="36">
        <v>2.6459999999999999</v>
      </c>
      <c r="AI203" s="39">
        <v>1.33634708931066E-2</v>
      </c>
      <c r="AJ203" s="39">
        <v>1.33634708931066E-2</v>
      </c>
      <c r="AK203" s="39">
        <v>1.33634708931066E-2</v>
      </c>
      <c r="AL203" s="39">
        <v>1.33634708931066E-2</v>
      </c>
      <c r="AM203" s="39">
        <v>1.33634708931066E-2</v>
      </c>
      <c r="AN203" s="39">
        <v>1.33634708931066E-2</v>
      </c>
      <c r="AO203" s="39">
        <v>1.33634708931066E-2</v>
      </c>
      <c r="AP203" s="39">
        <v>1.33634708931066E-2</v>
      </c>
      <c r="AQ203" s="39">
        <v>1.33634708931066E-2</v>
      </c>
      <c r="AR203" s="39">
        <v>1.33634708931066E-2</v>
      </c>
      <c r="AS203" s="39">
        <v>1.33634708931066E-2</v>
      </c>
      <c r="AT203" s="39">
        <v>1.33634708931066E-2</v>
      </c>
      <c r="AU203" s="39">
        <v>1.2392217523121999E-3</v>
      </c>
      <c r="AV203" s="39">
        <v>1.2392217523121999E-3</v>
      </c>
      <c r="AW203" s="39">
        <v>1.2392217523121999E-3</v>
      </c>
      <c r="AX203" s="39">
        <v>1.2392217523121999E-3</v>
      </c>
      <c r="AY203" s="39">
        <v>1.2392217523121999E-3</v>
      </c>
      <c r="AZ203" s="39">
        <v>1.2392217523121999E-3</v>
      </c>
      <c r="BA203" s="39">
        <v>1.2392217523121999E-3</v>
      </c>
      <c r="BB203" s="39">
        <v>1.2392217523121999E-3</v>
      </c>
      <c r="BC203" s="39">
        <v>1.2392217523121999E-3</v>
      </c>
      <c r="BD203" s="39">
        <v>1.2392217523121999E-3</v>
      </c>
      <c r="BE203" s="39">
        <v>1.2392217523121999E-3</v>
      </c>
      <c r="BF203" s="39">
        <v>1.2392217523121999E-3</v>
      </c>
      <c r="BH203" s="12">
        <f t="shared" si="118"/>
        <v>0</v>
      </c>
      <c r="BI203" s="12">
        <f t="shared" si="119"/>
        <v>0</v>
      </c>
      <c r="BJ203" s="12">
        <f t="shared" si="120"/>
        <v>0</v>
      </c>
      <c r="BK203" s="12">
        <f t="shared" si="121"/>
        <v>0</v>
      </c>
      <c r="BL203" s="12">
        <f t="shared" si="122"/>
        <v>0</v>
      </c>
      <c r="BM203" s="12">
        <f t="shared" si="123"/>
        <v>0</v>
      </c>
      <c r="BN203" s="12">
        <f t="shared" si="124"/>
        <v>0</v>
      </c>
      <c r="BO203" s="12">
        <f t="shared" si="125"/>
        <v>0</v>
      </c>
      <c r="BP203" s="12">
        <f t="shared" si="126"/>
        <v>0</v>
      </c>
      <c r="BQ203" s="12">
        <f t="shared" si="127"/>
        <v>0</v>
      </c>
      <c r="BR203" s="12">
        <f t="shared" si="131"/>
        <v>0</v>
      </c>
      <c r="BS203" s="12">
        <f t="shared" si="132"/>
        <v>0</v>
      </c>
      <c r="BU203" s="11">
        <f t="shared" si="133"/>
        <v>0</v>
      </c>
      <c r="BV203" s="11">
        <f t="shared" si="134"/>
        <v>0</v>
      </c>
      <c r="BW203" s="11">
        <f t="shared" si="135"/>
        <v>0</v>
      </c>
      <c r="BX203" s="11">
        <f t="shared" si="136"/>
        <v>0</v>
      </c>
      <c r="BY203" s="11">
        <f t="shared" si="137"/>
        <v>0</v>
      </c>
      <c r="BZ203" s="11">
        <f t="shared" si="138"/>
        <v>0</v>
      </c>
      <c r="CA203" s="11">
        <f t="shared" si="139"/>
        <v>0</v>
      </c>
      <c r="CB203" s="11">
        <f t="shared" si="140"/>
        <v>0</v>
      </c>
      <c r="CC203" s="11">
        <f t="shared" si="141"/>
        <v>0</v>
      </c>
      <c r="CD203" s="11">
        <f t="shared" si="142"/>
        <v>0</v>
      </c>
      <c r="CE203" s="11">
        <f t="shared" si="143"/>
        <v>0</v>
      </c>
      <c r="CF203" s="11">
        <f t="shared" si="144"/>
        <v>0</v>
      </c>
      <c r="CG203" s="11"/>
      <c r="CH203" s="41">
        <v>3.23</v>
      </c>
      <c r="CJ203" s="54">
        <f t="shared" si="145"/>
        <v>0</v>
      </c>
      <c r="CK203" s="54">
        <f t="shared" si="146"/>
        <v>0</v>
      </c>
      <c r="CL203" s="54">
        <f t="shared" si="147"/>
        <v>0</v>
      </c>
      <c r="CM203" s="54">
        <f t="shared" si="148"/>
        <v>0</v>
      </c>
      <c r="CN203" s="54">
        <f t="shared" si="149"/>
        <v>0</v>
      </c>
      <c r="CO203" s="54">
        <f t="shared" si="150"/>
        <v>0</v>
      </c>
      <c r="CP203" s="54">
        <f t="shared" si="151"/>
        <v>0</v>
      </c>
      <c r="CQ203" s="54">
        <f t="shared" si="152"/>
        <v>0</v>
      </c>
      <c r="CR203" s="54">
        <f t="shared" si="153"/>
        <v>0</v>
      </c>
      <c r="CS203" s="54">
        <f t="shared" si="154"/>
        <v>0</v>
      </c>
      <c r="CT203" s="54">
        <f t="shared" si="155"/>
        <v>0</v>
      </c>
      <c r="CU203" s="54">
        <f t="shared" si="156"/>
        <v>0</v>
      </c>
      <c r="CV203" s="52">
        <f t="shared" si="157"/>
        <v>0</v>
      </c>
    </row>
    <row r="204" spans="1:100" ht="15.75" x14ac:dyDescent="0.25">
      <c r="A204" s="17"/>
      <c r="B204" s="17"/>
      <c r="C204" s="17"/>
      <c r="D204" s="17"/>
      <c r="E204" s="17"/>
      <c r="F204" s="31" t="s">
        <v>21</v>
      </c>
      <c r="G204" s="76"/>
      <c r="H204" s="76"/>
      <c r="I204" s="76"/>
      <c r="J204" s="76"/>
      <c r="K204" s="76"/>
      <c r="L204" s="76"/>
      <c r="M204" s="76"/>
      <c r="N204" s="76"/>
      <c r="O204" s="76"/>
      <c r="P204" s="76"/>
      <c r="Q204" s="76"/>
      <c r="R204" s="76"/>
      <c r="S204" s="11">
        <f t="shared" si="158"/>
        <v>0</v>
      </c>
      <c r="T204" s="9"/>
      <c r="V204" s="46">
        <f t="shared" si="130"/>
        <v>0</v>
      </c>
      <c r="W204" s="36">
        <v>2.367</v>
      </c>
      <c r="X204" s="36">
        <v>2.367</v>
      </c>
      <c r="Y204" s="36">
        <v>2.367</v>
      </c>
      <c r="Z204" s="36">
        <v>2.367</v>
      </c>
      <c r="AA204" s="36">
        <v>2.367</v>
      </c>
      <c r="AB204" s="36">
        <v>2.367</v>
      </c>
      <c r="AC204" s="36">
        <v>2.367</v>
      </c>
      <c r="AD204" s="36">
        <v>2.367</v>
      </c>
      <c r="AE204" s="36">
        <v>2.367</v>
      </c>
      <c r="AF204" s="36">
        <v>2.367</v>
      </c>
      <c r="AG204" s="36">
        <v>2.367</v>
      </c>
      <c r="AH204" s="36">
        <v>2.367</v>
      </c>
      <c r="AI204" s="39">
        <v>1.33634708931066E-2</v>
      </c>
      <c r="AJ204" s="39">
        <v>1.33634708931066E-2</v>
      </c>
      <c r="AK204" s="39">
        <v>1.33634708931066E-2</v>
      </c>
      <c r="AL204" s="39">
        <v>1.33634708931066E-2</v>
      </c>
      <c r="AM204" s="39">
        <v>1.33634708931066E-2</v>
      </c>
      <c r="AN204" s="39">
        <v>1.33634708931066E-2</v>
      </c>
      <c r="AO204" s="39">
        <v>1.33634708931066E-2</v>
      </c>
      <c r="AP204" s="39">
        <v>1.33634708931066E-2</v>
      </c>
      <c r="AQ204" s="39">
        <v>1.33634708931066E-2</v>
      </c>
      <c r="AR204" s="39">
        <v>1.33634708931066E-2</v>
      </c>
      <c r="AS204" s="39">
        <v>1.33634708931066E-2</v>
      </c>
      <c r="AT204" s="39">
        <v>1.33634708931066E-2</v>
      </c>
      <c r="AU204" s="39">
        <v>1.2392217523121999E-3</v>
      </c>
      <c r="AV204" s="39">
        <v>1.2392217523121999E-3</v>
      </c>
      <c r="AW204" s="39">
        <v>1.2392217523121999E-3</v>
      </c>
      <c r="AX204" s="39">
        <v>1.2392217523121999E-3</v>
      </c>
      <c r="AY204" s="39">
        <v>1.2392217523121999E-3</v>
      </c>
      <c r="AZ204" s="39">
        <v>1.2392217523121999E-3</v>
      </c>
      <c r="BA204" s="39">
        <v>1.2392217523121999E-3</v>
      </c>
      <c r="BB204" s="39">
        <v>1.2392217523121999E-3</v>
      </c>
      <c r="BC204" s="39">
        <v>1.2392217523121999E-3</v>
      </c>
      <c r="BD204" s="39">
        <v>1.2392217523121999E-3</v>
      </c>
      <c r="BE204" s="39">
        <v>1.2392217523121999E-3</v>
      </c>
      <c r="BF204" s="39">
        <v>1.2392217523121999E-3</v>
      </c>
      <c r="BH204" s="12">
        <f t="shared" si="118"/>
        <v>0</v>
      </c>
      <c r="BI204" s="12">
        <f t="shared" si="119"/>
        <v>0</v>
      </c>
      <c r="BJ204" s="12">
        <f t="shared" si="120"/>
        <v>0</v>
      </c>
      <c r="BK204" s="12">
        <f t="shared" si="121"/>
        <v>0</v>
      </c>
      <c r="BL204" s="12">
        <f t="shared" si="122"/>
        <v>0</v>
      </c>
      <c r="BM204" s="12">
        <f t="shared" si="123"/>
        <v>0</v>
      </c>
      <c r="BN204" s="12">
        <f t="shared" si="124"/>
        <v>0</v>
      </c>
      <c r="BO204" s="12">
        <f t="shared" si="125"/>
        <v>0</v>
      </c>
      <c r="BP204" s="12">
        <f t="shared" si="126"/>
        <v>0</v>
      </c>
      <c r="BQ204" s="12">
        <f t="shared" si="127"/>
        <v>0</v>
      </c>
      <c r="BR204" s="12">
        <f t="shared" si="131"/>
        <v>0</v>
      </c>
      <c r="BS204" s="12">
        <f t="shared" si="132"/>
        <v>0</v>
      </c>
      <c r="BU204" s="11">
        <f t="shared" si="133"/>
        <v>0</v>
      </c>
      <c r="BV204" s="11">
        <f t="shared" si="134"/>
        <v>0</v>
      </c>
      <c r="BW204" s="11">
        <f t="shared" si="135"/>
        <v>0</v>
      </c>
      <c r="BX204" s="11">
        <f t="shared" si="136"/>
        <v>0</v>
      </c>
      <c r="BY204" s="11">
        <f t="shared" si="137"/>
        <v>0</v>
      </c>
      <c r="BZ204" s="11">
        <f t="shared" si="138"/>
        <v>0</v>
      </c>
      <c r="CA204" s="11">
        <f t="shared" si="139"/>
        <v>0</v>
      </c>
      <c r="CB204" s="11">
        <f t="shared" si="140"/>
        <v>0</v>
      </c>
      <c r="CC204" s="11">
        <f t="shared" si="141"/>
        <v>0</v>
      </c>
      <c r="CD204" s="11">
        <f t="shared" si="142"/>
        <v>0</v>
      </c>
      <c r="CE204" s="11">
        <f t="shared" si="143"/>
        <v>0</v>
      </c>
      <c r="CF204" s="11">
        <f t="shared" si="144"/>
        <v>0</v>
      </c>
      <c r="CG204" s="11"/>
      <c r="CH204" s="41">
        <v>3.23</v>
      </c>
      <c r="CJ204" s="54">
        <f t="shared" si="145"/>
        <v>0</v>
      </c>
      <c r="CK204" s="54">
        <f t="shared" si="146"/>
        <v>0</v>
      </c>
      <c r="CL204" s="54">
        <f t="shared" si="147"/>
        <v>0</v>
      </c>
      <c r="CM204" s="54">
        <f t="shared" si="148"/>
        <v>0</v>
      </c>
      <c r="CN204" s="54">
        <f t="shared" si="149"/>
        <v>0</v>
      </c>
      <c r="CO204" s="54">
        <f t="shared" si="150"/>
        <v>0</v>
      </c>
      <c r="CP204" s="54">
        <f t="shared" si="151"/>
        <v>0</v>
      </c>
      <c r="CQ204" s="54">
        <f t="shared" si="152"/>
        <v>0</v>
      </c>
      <c r="CR204" s="54">
        <f t="shared" si="153"/>
        <v>0</v>
      </c>
      <c r="CS204" s="54">
        <f t="shared" si="154"/>
        <v>0</v>
      </c>
      <c r="CT204" s="54">
        <f t="shared" si="155"/>
        <v>0</v>
      </c>
      <c r="CU204" s="54">
        <f t="shared" si="156"/>
        <v>0</v>
      </c>
      <c r="CV204" s="52">
        <f t="shared" si="157"/>
        <v>0</v>
      </c>
    </row>
    <row r="205" spans="1:100" ht="15.75" x14ac:dyDescent="0.25">
      <c r="A205" s="17"/>
      <c r="B205" s="17"/>
      <c r="C205" s="17"/>
      <c r="D205" s="17"/>
      <c r="E205" s="17"/>
      <c r="F205" s="31" t="s">
        <v>21</v>
      </c>
      <c r="G205" s="76"/>
      <c r="H205" s="76"/>
      <c r="I205" s="76"/>
      <c r="J205" s="76"/>
      <c r="K205" s="76"/>
      <c r="L205" s="76"/>
      <c r="M205" s="76"/>
      <c r="N205" s="76"/>
      <c r="O205" s="76"/>
      <c r="P205" s="76"/>
      <c r="Q205" s="76"/>
      <c r="R205" s="76"/>
      <c r="S205" s="11">
        <f t="shared" si="158"/>
        <v>0</v>
      </c>
      <c r="T205" s="9"/>
      <c r="V205" s="46">
        <f t="shared" si="130"/>
        <v>0</v>
      </c>
      <c r="W205" s="36">
        <v>3.0640000000000001</v>
      </c>
      <c r="X205" s="36">
        <v>3.0640000000000001</v>
      </c>
      <c r="Y205" s="36">
        <v>3.0640000000000001</v>
      </c>
      <c r="Z205" s="36">
        <v>3.0640000000000001</v>
      </c>
      <c r="AA205" s="36">
        <v>3.0640000000000001</v>
      </c>
      <c r="AB205" s="36">
        <v>3.0640000000000001</v>
      </c>
      <c r="AC205" s="36">
        <v>3.0640000000000001</v>
      </c>
      <c r="AD205" s="36">
        <v>3.0640000000000001</v>
      </c>
      <c r="AE205" s="36">
        <v>3.0640000000000001</v>
      </c>
      <c r="AF205" s="36">
        <v>3.0640000000000001</v>
      </c>
      <c r="AG205" s="36">
        <v>3.0640000000000001</v>
      </c>
      <c r="AH205" s="36">
        <v>3.0640000000000001</v>
      </c>
      <c r="AI205" s="39">
        <v>1.33634708931066E-2</v>
      </c>
      <c r="AJ205" s="39">
        <v>1.33634708931066E-2</v>
      </c>
      <c r="AK205" s="39">
        <v>1.33634708931066E-2</v>
      </c>
      <c r="AL205" s="39">
        <v>1.33634708931066E-2</v>
      </c>
      <c r="AM205" s="39">
        <v>1.33634708931066E-2</v>
      </c>
      <c r="AN205" s="39">
        <v>1.33634708931066E-2</v>
      </c>
      <c r="AO205" s="39">
        <v>1.33634708931066E-2</v>
      </c>
      <c r="AP205" s="39">
        <v>1.33634708931066E-2</v>
      </c>
      <c r="AQ205" s="39">
        <v>1.33634708931066E-2</v>
      </c>
      <c r="AR205" s="39">
        <v>1.33634708931066E-2</v>
      </c>
      <c r="AS205" s="39">
        <v>1.33634708931066E-2</v>
      </c>
      <c r="AT205" s="39">
        <v>1.33634708931066E-2</v>
      </c>
      <c r="AU205" s="39">
        <v>1.2392217523121999E-3</v>
      </c>
      <c r="AV205" s="39">
        <v>1.2392217523121999E-3</v>
      </c>
      <c r="AW205" s="39">
        <v>1.2392217523121999E-3</v>
      </c>
      <c r="AX205" s="39">
        <v>1.2392217523121999E-3</v>
      </c>
      <c r="AY205" s="39">
        <v>1.2392217523121999E-3</v>
      </c>
      <c r="AZ205" s="39">
        <v>1.2392217523121999E-3</v>
      </c>
      <c r="BA205" s="39">
        <v>1.2392217523121999E-3</v>
      </c>
      <c r="BB205" s="39">
        <v>1.2392217523121999E-3</v>
      </c>
      <c r="BC205" s="39">
        <v>1.2392217523121999E-3</v>
      </c>
      <c r="BD205" s="39">
        <v>1.2392217523121999E-3</v>
      </c>
      <c r="BE205" s="39">
        <v>1.2392217523121999E-3</v>
      </c>
      <c r="BF205" s="39">
        <v>1.2392217523121999E-3</v>
      </c>
      <c r="BH205" s="12">
        <f t="shared" si="118"/>
        <v>0</v>
      </c>
      <c r="BI205" s="12">
        <f t="shared" si="119"/>
        <v>0</v>
      </c>
      <c r="BJ205" s="12">
        <f t="shared" si="120"/>
        <v>0</v>
      </c>
      <c r="BK205" s="12">
        <f t="shared" si="121"/>
        <v>0</v>
      </c>
      <c r="BL205" s="12">
        <f t="shared" si="122"/>
        <v>0</v>
      </c>
      <c r="BM205" s="12">
        <f t="shared" si="123"/>
        <v>0</v>
      </c>
      <c r="BN205" s="12">
        <f t="shared" si="124"/>
        <v>0</v>
      </c>
      <c r="BO205" s="12">
        <f t="shared" si="125"/>
        <v>0</v>
      </c>
      <c r="BP205" s="12">
        <f t="shared" si="126"/>
        <v>0</v>
      </c>
      <c r="BQ205" s="12">
        <f t="shared" si="127"/>
        <v>0</v>
      </c>
      <c r="BR205" s="12">
        <f t="shared" si="131"/>
        <v>0</v>
      </c>
      <c r="BS205" s="12">
        <f t="shared" si="132"/>
        <v>0</v>
      </c>
      <c r="BU205" s="11">
        <f t="shared" si="133"/>
        <v>0</v>
      </c>
      <c r="BV205" s="11">
        <f t="shared" si="134"/>
        <v>0</v>
      </c>
      <c r="BW205" s="11">
        <f t="shared" si="135"/>
        <v>0</v>
      </c>
      <c r="BX205" s="11">
        <f t="shared" si="136"/>
        <v>0</v>
      </c>
      <c r="BY205" s="11">
        <f t="shared" si="137"/>
        <v>0</v>
      </c>
      <c r="BZ205" s="11">
        <f t="shared" si="138"/>
        <v>0</v>
      </c>
      <c r="CA205" s="11">
        <f t="shared" si="139"/>
        <v>0</v>
      </c>
      <c r="CB205" s="11">
        <f t="shared" si="140"/>
        <v>0</v>
      </c>
      <c r="CC205" s="11">
        <f t="shared" si="141"/>
        <v>0</v>
      </c>
      <c r="CD205" s="11">
        <f t="shared" si="142"/>
        <v>0</v>
      </c>
      <c r="CE205" s="11">
        <f t="shared" si="143"/>
        <v>0</v>
      </c>
      <c r="CF205" s="11">
        <f t="shared" si="144"/>
        <v>0</v>
      </c>
      <c r="CG205" s="11"/>
      <c r="CH205" s="41">
        <v>3.23</v>
      </c>
      <c r="CJ205" s="54">
        <f t="shared" si="145"/>
        <v>0</v>
      </c>
      <c r="CK205" s="54">
        <f t="shared" si="146"/>
        <v>0</v>
      </c>
      <c r="CL205" s="54">
        <f t="shared" si="147"/>
        <v>0</v>
      </c>
      <c r="CM205" s="54">
        <f t="shared" si="148"/>
        <v>0</v>
      </c>
      <c r="CN205" s="54">
        <f t="shared" si="149"/>
        <v>0</v>
      </c>
      <c r="CO205" s="54">
        <f t="shared" si="150"/>
        <v>0</v>
      </c>
      <c r="CP205" s="54">
        <f t="shared" si="151"/>
        <v>0</v>
      </c>
      <c r="CQ205" s="54">
        <f t="shared" si="152"/>
        <v>0</v>
      </c>
      <c r="CR205" s="54">
        <f t="shared" si="153"/>
        <v>0</v>
      </c>
      <c r="CS205" s="54">
        <f t="shared" si="154"/>
        <v>0</v>
      </c>
      <c r="CT205" s="54">
        <f t="shared" si="155"/>
        <v>0</v>
      </c>
      <c r="CU205" s="54">
        <f t="shared" si="156"/>
        <v>0</v>
      </c>
      <c r="CV205" s="52">
        <f t="shared" si="157"/>
        <v>0</v>
      </c>
    </row>
    <row r="206" spans="1:100" ht="15.75" x14ac:dyDescent="0.25">
      <c r="A206" s="17"/>
      <c r="B206" s="17"/>
      <c r="C206" s="17"/>
      <c r="D206" s="17"/>
      <c r="E206" s="17"/>
      <c r="F206" s="31" t="s">
        <v>21</v>
      </c>
      <c r="G206" s="76"/>
      <c r="H206" s="76"/>
      <c r="I206" s="76"/>
      <c r="J206" s="76"/>
      <c r="K206" s="76"/>
      <c r="L206" s="76"/>
      <c r="M206" s="76"/>
      <c r="N206" s="76"/>
      <c r="O206" s="76"/>
      <c r="P206" s="76"/>
      <c r="Q206" s="76"/>
      <c r="R206" s="76"/>
      <c r="S206" s="11">
        <f t="shared" si="158"/>
        <v>0</v>
      </c>
      <c r="T206" s="9"/>
      <c r="V206" s="46">
        <f t="shared" si="130"/>
        <v>0</v>
      </c>
      <c r="W206" s="36">
        <v>2.6280000000000001</v>
      </c>
      <c r="X206" s="36">
        <v>2.6280000000000001</v>
      </c>
      <c r="Y206" s="36">
        <v>2.6280000000000001</v>
      </c>
      <c r="Z206" s="36">
        <v>2.6280000000000001</v>
      </c>
      <c r="AA206" s="36">
        <v>2.6280000000000001</v>
      </c>
      <c r="AB206" s="36">
        <v>2.6280000000000001</v>
      </c>
      <c r="AC206" s="36">
        <v>2.6280000000000001</v>
      </c>
      <c r="AD206" s="36">
        <v>2.6280000000000001</v>
      </c>
      <c r="AE206" s="36">
        <v>2.6280000000000001</v>
      </c>
      <c r="AF206" s="36">
        <v>2.6280000000000001</v>
      </c>
      <c r="AG206" s="36">
        <v>2.6280000000000001</v>
      </c>
      <c r="AH206" s="36">
        <v>2.6280000000000001</v>
      </c>
      <c r="AI206" s="39">
        <v>1.33634708931066E-2</v>
      </c>
      <c r="AJ206" s="39">
        <v>1.33634708931066E-2</v>
      </c>
      <c r="AK206" s="39">
        <v>1.33634708931066E-2</v>
      </c>
      <c r="AL206" s="39">
        <v>1.33634708931066E-2</v>
      </c>
      <c r="AM206" s="39">
        <v>1.33634708931066E-2</v>
      </c>
      <c r="AN206" s="39">
        <v>1.33634708931066E-2</v>
      </c>
      <c r="AO206" s="39">
        <v>1.33634708931066E-2</v>
      </c>
      <c r="AP206" s="39">
        <v>1.33634708931066E-2</v>
      </c>
      <c r="AQ206" s="39">
        <v>1.33634708931066E-2</v>
      </c>
      <c r="AR206" s="39">
        <v>1.33634708931066E-2</v>
      </c>
      <c r="AS206" s="39">
        <v>1.33634708931066E-2</v>
      </c>
      <c r="AT206" s="39">
        <v>1.33634708931066E-2</v>
      </c>
      <c r="AU206" s="39">
        <v>1.2392217523121999E-3</v>
      </c>
      <c r="AV206" s="39">
        <v>1.2392217523121999E-3</v>
      </c>
      <c r="AW206" s="39">
        <v>1.2392217523121999E-3</v>
      </c>
      <c r="AX206" s="39">
        <v>1.2392217523121999E-3</v>
      </c>
      <c r="AY206" s="39">
        <v>1.2392217523121999E-3</v>
      </c>
      <c r="AZ206" s="39">
        <v>1.2392217523121999E-3</v>
      </c>
      <c r="BA206" s="39">
        <v>1.2392217523121999E-3</v>
      </c>
      <c r="BB206" s="39">
        <v>1.2392217523121999E-3</v>
      </c>
      <c r="BC206" s="39">
        <v>1.2392217523121999E-3</v>
      </c>
      <c r="BD206" s="39">
        <v>1.2392217523121999E-3</v>
      </c>
      <c r="BE206" s="39">
        <v>1.2392217523121999E-3</v>
      </c>
      <c r="BF206" s="39">
        <v>1.2392217523121999E-3</v>
      </c>
      <c r="BH206" s="12">
        <f t="shared" si="118"/>
        <v>0</v>
      </c>
      <c r="BI206" s="12">
        <f t="shared" si="119"/>
        <v>0</v>
      </c>
      <c r="BJ206" s="12">
        <f t="shared" si="120"/>
        <v>0</v>
      </c>
      <c r="BK206" s="12">
        <f t="shared" si="121"/>
        <v>0</v>
      </c>
      <c r="BL206" s="12">
        <f t="shared" si="122"/>
        <v>0</v>
      </c>
      <c r="BM206" s="12">
        <f t="shared" si="123"/>
        <v>0</v>
      </c>
      <c r="BN206" s="12">
        <f t="shared" si="124"/>
        <v>0</v>
      </c>
      <c r="BO206" s="12">
        <f t="shared" si="125"/>
        <v>0</v>
      </c>
      <c r="BP206" s="12">
        <f t="shared" si="126"/>
        <v>0</v>
      </c>
      <c r="BQ206" s="12">
        <f t="shared" si="127"/>
        <v>0</v>
      </c>
      <c r="BR206" s="12">
        <f t="shared" si="131"/>
        <v>0</v>
      </c>
      <c r="BS206" s="12">
        <f t="shared" si="132"/>
        <v>0</v>
      </c>
      <c r="BU206" s="11">
        <f t="shared" si="133"/>
        <v>0</v>
      </c>
      <c r="BV206" s="11">
        <f t="shared" si="134"/>
        <v>0</v>
      </c>
      <c r="BW206" s="11">
        <f t="shared" si="135"/>
        <v>0</v>
      </c>
      <c r="BX206" s="11">
        <f t="shared" si="136"/>
        <v>0</v>
      </c>
      <c r="BY206" s="11">
        <f t="shared" si="137"/>
        <v>0</v>
      </c>
      <c r="BZ206" s="11">
        <f t="shared" si="138"/>
        <v>0</v>
      </c>
      <c r="CA206" s="11">
        <f t="shared" si="139"/>
        <v>0</v>
      </c>
      <c r="CB206" s="11">
        <f t="shared" si="140"/>
        <v>0</v>
      </c>
      <c r="CC206" s="11">
        <f t="shared" si="141"/>
        <v>0</v>
      </c>
      <c r="CD206" s="11">
        <f t="shared" si="142"/>
        <v>0</v>
      </c>
      <c r="CE206" s="11">
        <f t="shared" si="143"/>
        <v>0</v>
      </c>
      <c r="CF206" s="11">
        <f t="shared" si="144"/>
        <v>0</v>
      </c>
      <c r="CG206" s="11"/>
      <c r="CH206" s="41">
        <v>3.23</v>
      </c>
      <c r="CJ206" s="54">
        <f t="shared" si="145"/>
        <v>0</v>
      </c>
      <c r="CK206" s="54">
        <f t="shared" si="146"/>
        <v>0</v>
      </c>
      <c r="CL206" s="54">
        <f t="shared" si="147"/>
        <v>0</v>
      </c>
      <c r="CM206" s="54">
        <f t="shared" si="148"/>
        <v>0</v>
      </c>
      <c r="CN206" s="54">
        <f t="shared" si="149"/>
        <v>0</v>
      </c>
      <c r="CO206" s="54">
        <f t="shared" si="150"/>
        <v>0</v>
      </c>
      <c r="CP206" s="54">
        <f t="shared" si="151"/>
        <v>0</v>
      </c>
      <c r="CQ206" s="54">
        <f t="shared" si="152"/>
        <v>0</v>
      </c>
      <c r="CR206" s="54">
        <f t="shared" si="153"/>
        <v>0</v>
      </c>
      <c r="CS206" s="54">
        <f t="shared" si="154"/>
        <v>0</v>
      </c>
      <c r="CT206" s="54">
        <f t="shared" si="155"/>
        <v>0</v>
      </c>
      <c r="CU206" s="54">
        <f t="shared" si="156"/>
        <v>0</v>
      </c>
      <c r="CV206" s="52">
        <f t="shared" si="157"/>
        <v>0</v>
      </c>
    </row>
    <row r="207" spans="1:100" ht="15.75" x14ac:dyDescent="0.25">
      <c r="A207" s="17"/>
      <c r="B207" s="17"/>
      <c r="C207" s="17"/>
      <c r="D207" s="17"/>
      <c r="E207" s="17"/>
      <c r="F207" s="31" t="s">
        <v>21</v>
      </c>
      <c r="G207" s="76"/>
      <c r="H207" s="76"/>
      <c r="I207" s="76"/>
      <c r="J207" s="76"/>
      <c r="K207" s="76"/>
      <c r="L207" s="76"/>
      <c r="M207" s="76"/>
      <c r="N207" s="76"/>
      <c r="O207" s="76"/>
      <c r="P207" s="76"/>
      <c r="Q207" s="76"/>
      <c r="R207" s="76"/>
      <c r="S207" s="11">
        <f t="shared" si="158"/>
        <v>0</v>
      </c>
      <c r="T207" s="9"/>
      <c r="V207" s="46">
        <f t="shared" si="130"/>
        <v>0</v>
      </c>
      <c r="W207" s="36">
        <v>5.1070000000000002</v>
      </c>
      <c r="X207" s="36">
        <v>5.1070000000000002</v>
      </c>
      <c r="Y207" s="36">
        <v>5.1070000000000002</v>
      </c>
      <c r="Z207" s="36">
        <v>5.1070000000000002</v>
      </c>
      <c r="AA207" s="36">
        <v>5.1070000000000002</v>
      </c>
      <c r="AB207" s="36">
        <v>5.1070000000000002</v>
      </c>
      <c r="AC207" s="36">
        <v>5.1070000000000002</v>
      </c>
      <c r="AD207" s="36">
        <v>5.1070000000000002</v>
      </c>
      <c r="AE207" s="36">
        <v>5.1070000000000002</v>
      </c>
      <c r="AF207" s="36">
        <v>5.1070000000000002</v>
      </c>
      <c r="AG207" s="36">
        <v>5.1070000000000002</v>
      </c>
      <c r="AH207" s="36">
        <v>5.1070000000000002</v>
      </c>
      <c r="AI207" s="39">
        <v>1.33634708931066E-2</v>
      </c>
      <c r="AJ207" s="39">
        <v>1.33634708931066E-2</v>
      </c>
      <c r="AK207" s="39">
        <v>1.33634708931066E-2</v>
      </c>
      <c r="AL207" s="39">
        <v>1.33634708931066E-2</v>
      </c>
      <c r="AM207" s="39">
        <v>1.33634708931066E-2</v>
      </c>
      <c r="AN207" s="39">
        <v>1.33634708931066E-2</v>
      </c>
      <c r="AO207" s="39">
        <v>1.33634708931066E-2</v>
      </c>
      <c r="AP207" s="39">
        <v>1.33634708931066E-2</v>
      </c>
      <c r="AQ207" s="39">
        <v>1.33634708931066E-2</v>
      </c>
      <c r="AR207" s="39">
        <v>1.33634708931066E-2</v>
      </c>
      <c r="AS207" s="39">
        <v>1.33634708931066E-2</v>
      </c>
      <c r="AT207" s="39">
        <v>1.33634708931066E-2</v>
      </c>
      <c r="AU207" s="39">
        <v>1.2392217523121999E-3</v>
      </c>
      <c r="AV207" s="39">
        <v>1.2392217523121999E-3</v>
      </c>
      <c r="AW207" s="39">
        <v>1.2392217523121999E-3</v>
      </c>
      <c r="AX207" s="39">
        <v>1.2392217523121999E-3</v>
      </c>
      <c r="AY207" s="39">
        <v>1.2392217523121999E-3</v>
      </c>
      <c r="AZ207" s="39">
        <v>1.2392217523121999E-3</v>
      </c>
      <c r="BA207" s="39">
        <v>1.2392217523121999E-3</v>
      </c>
      <c r="BB207" s="39">
        <v>1.2392217523121999E-3</v>
      </c>
      <c r="BC207" s="39">
        <v>1.2392217523121999E-3</v>
      </c>
      <c r="BD207" s="39">
        <v>1.2392217523121999E-3</v>
      </c>
      <c r="BE207" s="39">
        <v>1.2392217523121999E-3</v>
      </c>
      <c r="BF207" s="39">
        <v>1.2392217523121999E-3</v>
      </c>
      <c r="BH207" s="12">
        <f t="shared" si="118"/>
        <v>0</v>
      </c>
      <c r="BI207" s="12">
        <f t="shared" si="119"/>
        <v>0</v>
      </c>
      <c r="BJ207" s="12">
        <f t="shared" si="120"/>
        <v>0</v>
      </c>
      <c r="BK207" s="12">
        <f t="shared" si="121"/>
        <v>0</v>
      </c>
      <c r="BL207" s="12">
        <f t="shared" si="122"/>
        <v>0</v>
      </c>
      <c r="BM207" s="12">
        <f t="shared" si="123"/>
        <v>0</v>
      </c>
      <c r="BN207" s="12">
        <f t="shared" si="124"/>
        <v>0</v>
      </c>
      <c r="BO207" s="12">
        <f t="shared" si="125"/>
        <v>0</v>
      </c>
      <c r="BP207" s="12">
        <f t="shared" si="126"/>
        <v>0</v>
      </c>
      <c r="BQ207" s="12">
        <f t="shared" si="127"/>
        <v>0</v>
      </c>
      <c r="BR207" s="12">
        <f t="shared" si="131"/>
        <v>0</v>
      </c>
      <c r="BS207" s="12">
        <f t="shared" si="132"/>
        <v>0</v>
      </c>
      <c r="BU207" s="11">
        <f t="shared" si="133"/>
        <v>0</v>
      </c>
      <c r="BV207" s="11">
        <f t="shared" si="134"/>
        <v>0</v>
      </c>
      <c r="BW207" s="11">
        <f t="shared" si="135"/>
        <v>0</v>
      </c>
      <c r="BX207" s="11">
        <f t="shared" si="136"/>
        <v>0</v>
      </c>
      <c r="BY207" s="11">
        <f t="shared" si="137"/>
        <v>0</v>
      </c>
      <c r="BZ207" s="11">
        <f t="shared" si="138"/>
        <v>0</v>
      </c>
      <c r="CA207" s="11">
        <f t="shared" si="139"/>
        <v>0</v>
      </c>
      <c r="CB207" s="11">
        <f t="shared" si="140"/>
        <v>0</v>
      </c>
      <c r="CC207" s="11">
        <f t="shared" si="141"/>
        <v>0</v>
      </c>
      <c r="CD207" s="11">
        <f t="shared" si="142"/>
        <v>0</v>
      </c>
      <c r="CE207" s="11">
        <f t="shared" si="143"/>
        <v>0</v>
      </c>
      <c r="CF207" s="11">
        <f t="shared" si="144"/>
        <v>0</v>
      </c>
      <c r="CG207" s="11"/>
      <c r="CH207" s="41">
        <v>3.23</v>
      </c>
      <c r="CJ207" s="54">
        <f t="shared" si="145"/>
        <v>0</v>
      </c>
      <c r="CK207" s="54">
        <f t="shared" si="146"/>
        <v>0</v>
      </c>
      <c r="CL207" s="54">
        <f t="shared" si="147"/>
        <v>0</v>
      </c>
      <c r="CM207" s="54">
        <f t="shared" si="148"/>
        <v>0</v>
      </c>
      <c r="CN207" s="54">
        <f t="shared" si="149"/>
        <v>0</v>
      </c>
      <c r="CO207" s="54">
        <f t="shared" si="150"/>
        <v>0</v>
      </c>
      <c r="CP207" s="54">
        <f t="shared" si="151"/>
        <v>0</v>
      </c>
      <c r="CQ207" s="54">
        <f t="shared" si="152"/>
        <v>0</v>
      </c>
      <c r="CR207" s="54">
        <f t="shared" si="153"/>
        <v>0</v>
      </c>
      <c r="CS207" s="54">
        <f t="shared" si="154"/>
        <v>0</v>
      </c>
      <c r="CT207" s="54">
        <f t="shared" si="155"/>
        <v>0</v>
      </c>
      <c r="CU207" s="54">
        <f t="shared" si="156"/>
        <v>0</v>
      </c>
      <c r="CV207" s="52">
        <f t="shared" si="157"/>
        <v>0</v>
      </c>
    </row>
    <row r="208" spans="1:100" ht="15.75" x14ac:dyDescent="0.25">
      <c r="A208" s="17"/>
      <c r="B208" s="17"/>
      <c r="C208" s="17"/>
      <c r="D208" s="17"/>
      <c r="E208" s="17"/>
      <c r="F208" s="31" t="s">
        <v>21</v>
      </c>
      <c r="G208" s="76"/>
      <c r="H208" s="76"/>
      <c r="I208" s="76"/>
      <c r="J208" s="76"/>
      <c r="K208" s="76"/>
      <c r="L208" s="76"/>
      <c r="M208" s="76"/>
      <c r="N208" s="76"/>
      <c r="O208" s="76"/>
      <c r="P208" s="76"/>
      <c r="Q208" s="76"/>
      <c r="R208" s="76"/>
      <c r="S208" s="11">
        <f t="shared" si="158"/>
        <v>0</v>
      </c>
      <c r="T208" s="9"/>
      <c r="V208" s="46">
        <f t="shared" si="130"/>
        <v>0</v>
      </c>
      <c r="W208" s="36">
        <v>3.2559999999999998</v>
      </c>
      <c r="X208" s="36">
        <v>3.2559999999999998</v>
      </c>
      <c r="Y208" s="36">
        <v>3.2559999999999998</v>
      </c>
      <c r="Z208" s="36">
        <v>3.2559999999999998</v>
      </c>
      <c r="AA208" s="36">
        <v>3.2559999999999998</v>
      </c>
      <c r="AB208" s="36">
        <v>3.2559999999999998</v>
      </c>
      <c r="AC208" s="36">
        <v>3.2559999999999998</v>
      </c>
      <c r="AD208" s="36">
        <v>3.2559999999999998</v>
      </c>
      <c r="AE208" s="36">
        <v>3.2559999999999998</v>
      </c>
      <c r="AF208" s="36">
        <v>3.2559999999999998</v>
      </c>
      <c r="AG208" s="36">
        <v>3.2559999999999998</v>
      </c>
      <c r="AH208" s="36">
        <v>3.2559999999999998</v>
      </c>
      <c r="AI208" s="39">
        <v>1.33634708931066E-2</v>
      </c>
      <c r="AJ208" s="39">
        <v>1.33634708931066E-2</v>
      </c>
      <c r="AK208" s="39">
        <v>1.33634708931066E-2</v>
      </c>
      <c r="AL208" s="39">
        <v>1.33634708931066E-2</v>
      </c>
      <c r="AM208" s="39">
        <v>1.33634708931066E-2</v>
      </c>
      <c r="AN208" s="39">
        <v>1.33634708931066E-2</v>
      </c>
      <c r="AO208" s="39">
        <v>1.33634708931066E-2</v>
      </c>
      <c r="AP208" s="39">
        <v>1.33634708931066E-2</v>
      </c>
      <c r="AQ208" s="39">
        <v>1.33634708931066E-2</v>
      </c>
      <c r="AR208" s="39">
        <v>1.33634708931066E-2</v>
      </c>
      <c r="AS208" s="39">
        <v>1.33634708931066E-2</v>
      </c>
      <c r="AT208" s="39">
        <v>1.33634708931066E-2</v>
      </c>
      <c r="AU208" s="39">
        <v>1.2392217523121999E-3</v>
      </c>
      <c r="AV208" s="39">
        <v>1.2392217523121999E-3</v>
      </c>
      <c r="AW208" s="39">
        <v>1.2392217523121999E-3</v>
      </c>
      <c r="AX208" s="39">
        <v>1.2392217523121999E-3</v>
      </c>
      <c r="AY208" s="39">
        <v>1.2392217523121999E-3</v>
      </c>
      <c r="AZ208" s="39">
        <v>1.2392217523121999E-3</v>
      </c>
      <c r="BA208" s="39">
        <v>1.2392217523121999E-3</v>
      </c>
      <c r="BB208" s="39">
        <v>1.2392217523121999E-3</v>
      </c>
      <c r="BC208" s="39">
        <v>1.2392217523121999E-3</v>
      </c>
      <c r="BD208" s="39">
        <v>1.2392217523121999E-3</v>
      </c>
      <c r="BE208" s="39">
        <v>1.2392217523121999E-3</v>
      </c>
      <c r="BF208" s="39">
        <v>1.2392217523121999E-3</v>
      </c>
      <c r="BH208" s="12">
        <f t="shared" si="118"/>
        <v>0</v>
      </c>
      <c r="BI208" s="12">
        <f t="shared" si="119"/>
        <v>0</v>
      </c>
      <c r="BJ208" s="12">
        <f t="shared" si="120"/>
        <v>0</v>
      </c>
      <c r="BK208" s="12">
        <f t="shared" si="121"/>
        <v>0</v>
      </c>
      <c r="BL208" s="12">
        <f t="shared" si="122"/>
        <v>0</v>
      </c>
      <c r="BM208" s="12">
        <f t="shared" si="123"/>
        <v>0</v>
      </c>
      <c r="BN208" s="12">
        <f t="shared" si="124"/>
        <v>0</v>
      </c>
      <c r="BO208" s="12">
        <f t="shared" si="125"/>
        <v>0</v>
      </c>
      <c r="BP208" s="12">
        <f t="shared" si="126"/>
        <v>0</v>
      </c>
      <c r="BQ208" s="12">
        <f t="shared" si="127"/>
        <v>0</v>
      </c>
      <c r="BR208" s="12">
        <f t="shared" si="131"/>
        <v>0</v>
      </c>
      <c r="BS208" s="12">
        <f t="shared" si="132"/>
        <v>0</v>
      </c>
      <c r="BU208" s="11">
        <f t="shared" si="133"/>
        <v>0</v>
      </c>
      <c r="BV208" s="11">
        <f t="shared" si="134"/>
        <v>0</v>
      </c>
      <c r="BW208" s="11">
        <f t="shared" si="135"/>
        <v>0</v>
      </c>
      <c r="BX208" s="11">
        <f t="shared" si="136"/>
        <v>0</v>
      </c>
      <c r="BY208" s="11">
        <f t="shared" si="137"/>
        <v>0</v>
      </c>
      <c r="BZ208" s="11">
        <f t="shared" si="138"/>
        <v>0</v>
      </c>
      <c r="CA208" s="11">
        <f t="shared" si="139"/>
        <v>0</v>
      </c>
      <c r="CB208" s="11">
        <f t="shared" si="140"/>
        <v>0</v>
      </c>
      <c r="CC208" s="11">
        <f t="shared" si="141"/>
        <v>0</v>
      </c>
      <c r="CD208" s="11">
        <f t="shared" si="142"/>
        <v>0</v>
      </c>
      <c r="CE208" s="11">
        <f t="shared" si="143"/>
        <v>0</v>
      </c>
      <c r="CF208" s="11">
        <f t="shared" si="144"/>
        <v>0</v>
      </c>
      <c r="CG208" s="11"/>
      <c r="CH208" s="41">
        <v>3.23</v>
      </c>
      <c r="CJ208" s="54">
        <f t="shared" si="145"/>
        <v>0</v>
      </c>
      <c r="CK208" s="54">
        <f t="shared" si="146"/>
        <v>0</v>
      </c>
      <c r="CL208" s="54">
        <f t="shared" si="147"/>
        <v>0</v>
      </c>
      <c r="CM208" s="54">
        <f t="shared" si="148"/>
        <v>0</v>
      </c>
      <c r="CN208" s="54">
        <f t="shared" si="149"/>
        <v>0</v>
      </c>
      <c r="CO208" s="54">
        <f t="shared" si="150"/>
        <v>0</v>
      </c>
      <c r="CP208" s="54">
        <f t="shared" si="151"/>
        <v>0</v>
      </c>
      <c r="CQ208" s="54">
        <f t="shared" si="152"/>
        <v>0</v>
      </c>
      <c r="CR208" s="54">
        <f t="shared" si="153"/>
        <v>0</v>
      </c>
      <c r="CS208" s="54">
        <f t="shared" si="154"/>
        <v>0</v>
      </c>
      <c r="CT208" s="54">
        <f t="shared" si="155"/>
        <v>0</v>
      </c>
      <c r="CU208" s="54">
        <f t="shared" si="156"/>
        <v>0</v>
      </c>
      <c r="CV208" s="52">
        <f t="shared" si="157"/>
        <v>0</v>
      </c>
    </row>
    <row r="209" spans="1:100" ht="15.75" x14ac:dyDescent="0.25">
      <c r="A209" s="17"/>
      <c r="B209" s="17"/>
      <c r="C209" s="17"/>
      <c r="D209" s="17"/>
      <c r="E209" s="17"/>
      <c r="F209" s="31" t="s">
        <v>21</v>
      </c>
      <c r="G209" s="76"/>
      <c r="H209" s="76"/>
      <c r="I209" s="76"/>
      <c r="J209" s="76"/>
      <c r="K209" s="76"/>
      <c r="L209" s="76"/>
      <c r="M209" s="76"/>
      <c r="N209" s="76"/>
      <c r="O209" s="76"/>
      <c r="P209" s="76"/>
      <c r="Q209" s="76"/>
      <c r="R209" s="76"/>
      <c r="S209" s="11">
        <f t="shared" si="158"/>
        <v>0</v>
      </c>
      <c r="T209" s="9"/>
      <c r="V209" s="46">
        <f t="shared" si="130"/>
        <v>0</v>
      </c>
      <c r="W209" s="36">
        <v>1.4350000000000001</v>
      </c>
      <c r="X209" s="36">
        <v>1.4350000000000001</v>
      </c>
      <c r="Y209" s="36">
        <v>1.4350000000000001</v>
      </c>
      <c r="Z209" s="36">
        <v>1.4350000000000001</v>
      </c>
      <c r="AA209" s="36">
        <v>1.4350000000000001</v>
      </c>
      <c r="AB209" s="36">
        <v>1.4350000000000001</v>
      </c>
      <c r="AC209" s="36">
        <v>1.4350000000000001</v>
      </c>
      <c r="AD209" s="36">
        <v>1.4350000000000001</v>
      </c>
      <c r="AE209" s="36">
        <v>1.4350000000000001</v>
      </c>
      <c r="AF209" s="36">
        <v>1.4350000000000001</v>
      </c>
      <c r="AG209" s="36">
        <v>1.4350000000000001</v>
      </c>
      <c r="AH209" s="36">
        <v>1.4350000000000001</v>
      </c>
      <c r="AI209" s="39">
        <v>1.33634708931066E-2</v>
      </c>
      <c r="AJ209" s="39">
        <v>1.33634708931066E-2</v>
      </c>
      <c r="AK209" s="39">
        <v>1.33634708931066E-2</v>
      </c>
      <c r="AL209" s="39">
        <v>1.33634708931066E-2</v>
      </c>
      <c r="AM209" s="39">
        <v>1.33634708931066E-2</v>
      </c>
      <c r="AN209" s="39">
        <v>1.33634708931066E-2</v>
      </c>
      <c r="AO209" s="39">
        <v>1.33634708931066E-2</v>
      </c>
      <c r="AP209" s="39">
        <v>1.33634708931066E-2</v>
      </c>
      <c r="AQ209" s="39">
        <v>1.33634708931066E-2</v>
      </c>
      <c r="AR209" s="39">
        <v>1.33634708931066E-2</v>
      </c>
      <c r="AS209" s="39">
        <v>1.33634708931066E-2</v>
      </c>
      <c r="AT209" s="39">
        <v>1.33634708931066E-2</v>
      </c>
      <c r="AU209" s="39">
        <v>1.2392217523121999E-3</v>
      </c>
      <c r="AV209" s="39">
        <v>1.2392217523121999E-3</v>
      </c>
      <c r="AW209" s="39">
        <v>1.2392217523121999E-3</v>
      </c>
      <c r="AX209" s="39">
        <v>1.2392217523121999E-3</v>
      </c>
      <c r="AY209" s="39">
        <v>1.2392217523121999E-3</v>
      </c>
      <c r="AZ209" s="39">
        <v>1.2392217523121999E-3</v>
      </c>
      <c r="BA209" s="39">
        <v>1.2392217523121999E-3</v>
      </c>
      <c r="BB209" s="39">
        <v>1.2392217523121999E-3</v>
      </c>
      <c r="BC209" s="39">
        <v>1.2392217523121999E-3</v>
      </c>
      <c r="BD209" s="39">
        <v>1.2392217523121999E-3</v>
      </c>
      <c r="BE209" s="39">
        <v>1.2392217523121999E-3</v>
      </c>
      <c r="BF209" s="39">
        <v>1.2392217523121999E-3</v>
      </c>
      <c r="BH209" s="12">
        <f t="shared" ref="BH209:BH272" si="159">(W209*G209)</f>
        <v>0</v>
      </c>
      <c r="BI209" s="12">
        <f t="shared" ref="BI209:BI272" si="160">(X209*H209)</f>
        <v>0</v>
      </c>
      <c r="BJ209" s="12">
        <f t="shared" ref="BJ209:BJ272" si="161">(Y209*I209)</f>
        <v>0</v>
      </c>
      <c r="BK209" s="12">
        <f t="shared" ref="BK209:BK272" si="162">(Z209*J209)</f>
        <v>0</v>
      </c>
      <c r="BL209" s="12">
        <f t="shared" ref="BL209:BL272" si="163">(AA209*K209)</f>
        <v>0</v>
      </c>
      <c r="BM209" s="12">
        <f t="shared" ref="BM209:BM272" si="164">(AB209*L209)</f>
        <v>0</v>
      </c>
      <c r="BN209" s="12">
        <f t="shared" ref="BN209:BN272" si="165">(AC209*M209)</f>
        <v>0</v>
      </c>
      <c r="BO209" s="12">
        <f t="shared" ref="BO209:BO272" si="166">(AD209*N209)</f>
        <v>0</v>
      </c>
      <c r="BP209" s="12">
        <f t="shared" ref="BP209:BP272" si="167">(AE209*O209)</f>
        <v>0</v>
      </c>
      <c r="BQ209" s="12">
        <f t="shared" ref="BQ209:BQ272" si="168">(AF209*P209)</f>
        <v>0</v>
      </c>
      <c r="BR209" s="12">
        <f t="shared" si="131"/>
        <v>0</v>
      </c>
      <c r="BS209" s="12">
        <f t="shared" si="132"/>
        <v>0</v>
      </c>
      <c r="BU209" s="11">
        <f t="shared" si="133"/>
        <v>0</v>
      </c>
      <c r="BV209" s="11">
        <f t="shared" si="134"/>
        <v>0</v>
      </c>
      <c r="BW209" s="11">
        <f t="shared" si="135"/>
        <v>0</v>
      </c>
      <c r="BX209" s="11">
        <f t="shared" si="136"/>
        <v>0</v>
      </c>
      <c r="BY209" s="11">
        <f t="shared" si="137"/>
        <v>0</v>
      </c>
      <c r="BZ209" s="11">
        <f t="shared" si="138"/>
        <v>0</v>
      </c>
      <c r="CA209" s="11">
        <f t="shared" si="139"/>
        <v>0</v>
      </c>
      <c r="CB209" s="11">
        <f t="shared" si="140"/>
        <v>0</v>
      </c>
      <c r="CC209" s="11">
        <f t="shared" si="141"/>
        <v>0</v>
      </c>
      <c r="CD209" s="11">
        <f t="shared" si="142"/>
        <v>0</v>
      </c>
      <c r="CE209" s="11">
        <f t="shared" si="143"/>
        <v>0</v>
      </c>
      <c r="CF209" s="11">
        <f t="shared" si="144"/>
        <v>0</v>
      </c>
      <c r="CG209" s="11"/>
      <c r="CH209" s="41">
        <v>3.23</v>
      </c>
      <c r="CJ209" s="54">
        <f t="shared" si="145"/>
        <v>0</v>
      </c>
      <c r="CK209" s="54">
        <f t="shared" si="146"/>
        <v>0</v>
      </c>
      <c r="CL209" s="54">
        <f t="shared" si="147"/>
        <v>0</v>
      </c>
      <c r="CM209" s="54">
        <f t="shared" si="148"/>
        <v>0</v>
      </c>
      <c r="CN209" s="54">
        <f t="shared" si="149"/>
        <v>0</v>
      </c>
      <c r="CO209" s="54">
        <f t="shared" si="150"/>
        <v>0</v>
      </c>
      <c r="CP209" s="54">
        <f t="shared" si="151"/>
        <v>0</v>
      </c>
      <c r="CQ209" s="54">
        <f t="shared" si="152"/>
        <v>0</v>
      </c>
      <c r="CR209" s="54">
        <f t="shared" si="153"/>
        <v>0</v>
      </c>
      <c r="CS209" s="54">
        <f t="shared" si="154"/>
        <v>0</v>
      </c>
      <c r="CT209" s="54">
        <f t="shared" si="155"/>
        <v>0</v>
      </c>
      <c r="CU209" s="54">
        <f t="shared" si="156"/>
        <v>0</v>
      </c>
      <c r="CV209" s="52">
        <f t="shared" si="157"/>
        <v>0</v>
      </c>
    </row>
    <row r="210" spans="1:100" ht="15.75" x14ac:dyDescent="0.25">
      <c r="A210" s="17"/>
      <c r="B210" s="17"/>
      <c r="C210" s="17"/>
      <c r="D210" s="17"/>
      <c r="E210" s="17"/>
      <c r="F210" s="31" t="s">
        <v>21</v>
      </c>
      <c r="G210" s="76"/>
      <c r="H210" s="76"/>
      <c r="I210" s="76"/>
      <c r="J210" s="76"/>
      <c r="K210" s="76"/>
      <c r="L210" s="76"/>
      <c r="M210" s="76"/>
      <c r="N210" s="76"/>
      <c r="O210" s="76"/>
      <c r="P210" s="76"/>
      <c r="Q210" s="76"/>
      <c r="R210" s="76"/>
      <c r="S210" s="11">
        <f t="shared" si="158"/>
        <v>0</v>
      </c>
      <c r="T210" s="9"/>
      <c r="V210" s="46">
        <f t="shared" si="130"/>
        <v>0</v>
      </c>
      <c r="W210" s="36">
        <v>2.956</v>
      </c>
      <c r="X210" s="36">
        <v>2.956</v>
      </c>
      <c r="Y210" s="36">
        <v>2.956</v>
      </c>
      <c r="Z210" s="36">
        <v>2.956</v>
      </c>
      <c r="AA210" s="36">
        <v>2.956</v>
      </c>
      <c r="AB210" s="36">
        <v>2.956</v>
      </c>
      <c r="AC210" s="36">
        <v>2.956</v>
      </c>
      <c r="AD210" s="36">
        <v>2.956</v>
      </c>
      <c r="AE210" s="36">
        <v>2.956</v>
      </c>
      <c r="AF210" s="36">
        <v>2.956</v>
      </c>
      <c r="AG210" s="36">
        <v>2.956</v>
      </c>
      <c r="AH210" s="36">
        <v>2.956</v>
      </c>
      <c r="AI210" s="39">
        <v>1.33634708931066E-2</v>
      </c>
      <c r="AJ210" s="39">
        <v>1.33634708931066E-2</v>
      </c>
      <c r="AK210" s="39">
        <v>1.33634708931066E-2</v>
      </c>
      <c r="AL210" s="39">
        <v>1.33634708931066E-2</v>
      </c>
      <c r="AM210" s="39">
        <v>1.33634708931066E-2</v>
      </c>
      <c r="AN210" s="39">
        <v>1.33634708931066E-2</v>
      </c>
      <c r="AO210" s="39">
        <v>1.33634708931066E-2</v>
      </c>
      <c r="AP210" s="39">
        <v>1.33634708931066E-2</v>
      </c>
      <c r="AQ210" s="39">
        <v>1.33634708931066E-2</v>
      </c>
      <c r="AR210" s="39">
        <v>1.33634708931066E-2</v>
      </c>
      <c r="AS210" s="39">
        <v>1.33634708931066E-2</v>
      </c>
      <c r="AT210" s="39">
        <v>1.33634708931066E-2</v>
      </c>
      <c r="AU210" s="39">
        <v>1.2392217523121999E-3</v>
      </c>
      <c r="AV210" s="39">
        <v>1.2392217523121999E-3</v>
      </c>
      <c r="AW210" s="39">
        <v>1.2392217523121999E-3</v>
      </c>
      <c r="AX210" s="39">
        <v>1.2392217523121999E-3</v>
      </c>
      <c r="AY210" s="39">
        <v>1.2392217523121999E-3</v>
      </c>
      <c r="AZ210" s="39">
        <v>1.2392217523121999E-3</v>
      </c>
      <c r="BA210" s="39">
        <v>1.2392217523121999E-3</v>
      </c>
      <c r="BB210" s="39">
        <v>1.2392217523121999E-3</v>
      </c>
      <c r="BC210" s="39">
        <v>1.2392217523121999E-3</v>
      </c>
      <c r="BD210" s="39">
        <v>1.2392217523121999E-3</v>
      </c>
      <c r="BE210" s="39">
        <v>1.2392217523121999E-3</v>
      </c>
      <c r="BF210" s="39">
        <v>1.2392217523121999E-3</v>
      </c>
      <c r="BH210" s="12">
        <f t="shared" si="159"/>
        <v>0</v>
      </c>
      <c r="BI210" s="12">
        <f t="shared" si="160"/>
        <v>0</v>
      </c>
      <c r="BJ210" s="12">
        <f t="shared" si="161"/>
        <v>0</v>
      </c>
      <c r="BK210" s="12">
        <f t="shared" si="162"/>
        <v>0</v>
      </c>
      <c r="BL210" s="12">
        <f t="shared" si="163"/>
        <v>0</v>
      </c>
      <c r="BM210" s="12">
        <f t="shared" si="164"/>
        <v>0</v>
      </c>
      <c r="BN210" s="12">
        <f t="shared" si="165"/>
        <v>0</v>
      </c>
      <c r="BO210" s="12">
        <f t="shared" si="166"/>
        <v>0</v>
      </c>
      <c r="BP210" s="12">
        <f t="shared" si="167"/>
        <v>0</v>
      </c>
      <c r="BQ210" s="12">
        <f t="shared" si="168"/>
        <v>0</v>
      </c>
      <c r="BR210" s="12">
        <f t="shared" si="131"/>
        <v>0</v>
      </c>
      <c r="BS210" s="12">
        <f t="shared" si="132"/>
        <v>0</v>
      </c>
      <c r="BU210" s="11">
        <f t="shared" si="133"/>
        <v>0</v>
      </c>
      <c r="BV210" s="11">
        <f t="shared" si="134"/>
        <v>0</v>
      </c>
      <c r="BW210" s="11">
        <f t="shared" si="135"/>
        <v>0</v>
      </c>
      <c r="BX210" s="11">
        <f t="shared" si="136"/>
        <v>0</v>
      </c>
      <c r="BY210" s="11">
        <f t="shared" si="137"/>
        <v>0</v>
      </c>
      <c r="BZ210" s="11">
        <f t="shared" si="138"/>
        <v>0</v>
      </c>
      <c r="CA210" s="11">
        <f t="shared" si="139"/>
        <v>0</v>
      </c>
      <c r="CB210" s="11">
        <f t="shared" si="140"/>
        <v>0</v>
      </c>
      <c r="CC210" s="11">
        <f t="shared" si="141"/>
        <v>0</v>
      </c>
      <c r="CD210" s="11">
        <f t="shared" si="142"/>
        <v>0</v>
      </c>
      <c r="CE210" s="11">
        <f t="shared" si="143"/>
        <v>0</v>
      </c>
      <c r="CF210" s="11">
        <f t="shared" si="144"/>
        <v>0</v>
      </c>
      <c r="CG210" s="11"/>
      <c r="CH210" s="41">
        <v>3.23</v>
      </c>
      <c r="CJ210" s="54">
        <f t="shared" si="145"/>
        <v>0</v>
      </c>
      <c r="CK210" s="54">
        <f t="shared" si="146"/>
        <v>0</v>
      </c>
      <c r="CL210" s="54">
        <f t="shared" si="147"/>
        <v>0</v>
      </c>
      <c r="CM210" s="54">
        <f t="shared" si="148"/>
        <v>0</v>
      </c>
      <c r="CN210" s="54">
        <f t="shared" si="149"/>
        <v>0</v>
      </c>
      <c r="CO210" s="54">
        <f t="shared" si="150"/>
        <v>0</v>
      </c>
      <c r="CP210" s="54">
        <f t="shared" si="151"/>
        <v>0</v>
      </c>
      <c r="CQ210" s="54">
        <f t="shared" si="152"/>
        <v>0</v>
      </c>
      <c r="CR210" s="54">
        <f t="shared" si="153"/>
        <v>0</v>
      </c>
      <c r="CS210" s="54">
        <f t="shared" si="154"/>
        <v>0</v>
      </c>
      <c r="CT210" s="54">
        <f t="shared" si="155"/>
        <v>0</v>
      </c>
      <c r="CU210" s="54">
        <f t="shared" si="156"/>
        <v>0</v>
      </c>
      <c r="CV210" s="52">
        <f t="shared" si="157"/>
        <v>0</v>
      </c>
    </row>
    <row r="211" spans="1:100" ht="15.75" x14ac:dyDescent="0.25">
      <c r="A211" s="17"/>
      <c r="B211" s="17"/>
      <c r="C211" s="17"/>
      <c r="D211" s="17"/>
      <c r="E211" s="17"/>
      <c r="F211" s="31" t="s">
        <v>21</v>
      </c>
      <c r="G211" s="76"/>
      <c r="H211" s="76"/>
      <c r="I211" s="76"/>
      <c r="J211" s="76"/>
      <c r="K211" s="76"/>
      <c r="L211" s="76"/>
      <c r="M211" s="76"/>
      <c r="N211" s="76"/>
      <c r="O211" s="76"/>
      <c r="P211" s="76"/>
      <c r="Q211" s="76"/>
      <c r="R211" s="76"/>
      <c r="S211" s="11">
        <f t="shared" si="158"/>
        <v>0</v>
      </c>
      <c r="T211" s="9"/>
      <c r="V211" s="46">
        <f t="shared" si="130"/>
        <v>0</v>
      </c>
      <c r="W211" s="36">
        <v>3.476</v>
      </c>
      <c r="X211" s="36">
        <v>3.476</v>
      </c>
      <c r="Y211" s="36">
        <v>3.476</v>
      </c>
      <c r="Z211" s="36">
        <v>3.476</v>
      </c>
      <c r="AA211" s="36">
        <v>3.476</v>
      </c>
      <c r="AB211" s="36">
        <v>3.476</v>
      </c>
      <c r="AC211" s="36">
        <v>3.476</v>
      </c>
      <c r="AD211" s="36">
        <v>3.476</v>
      </c>
      <c r="AE211" s="36">
        <v>3.476</v>
      </c>
      <c r="AF211" s="36">
        <v>3.476</v>
      </c>
      <c r="AG211" s="36">
        <v>3.476</v>
      </c>
      <c r="AH211" s="36">
        <v>3.476</v>
      </c>
      <c r="AI211" s="39">
        <v>1.33634708931066E-2</v>
      </c>
      <c r="AJ211" s="39">
        <v>1.33634708931066E-2</v>
      </c>
      <c r="AK211" s="39">
        <v>1.33634708931066E-2</v>
      </c>
      <c r="AL211" s="39">
        <v>1.33634708931066E-2</v>
      </c>
      <c r="AM211" s="39">
        <v>1.33634708931066E-2</v>
      </c>
      <c r="AN211" s="39">
        <v>1.33634708931066E-2</v>
      </c>
      <c r="AO211" s="39">
        <v>1.33634708931066E-2</v>
      </c>
      <c r="AP211" s="39">
        <v>1.33634708931066E-2</v>
      </c>
      <c r="AQ211" s="39">
        <v>1.33634708931066E-2</v>
      </c>
      <c r="AR211" s="39">
        <v>1.33634708931066E-2</v>
      </c>
      <c r="AS211" s="39">
        <v>1.33634708931066E-2</v>
      </c>
      <c r="AT211" s="39">
        <v>1.33634708931066E-2</v>
      </c>
      <c r="AU211" s="39">
        <v>1.2392217523121999E-3</v>
      </c>
      <c r="AV211" s="39">
        <v>1.2392217523121999E-3</v>
      </c>
      <c r="AW211" s="39">
        <v>1.2392217523121999E-3</v>
      </c>
      <c r="AX211" s="39">
        <v>1.2392217523121999E-3</v>
      </c>
      <c r="AY211" s="39">
        <v>1.2392217523121999E-3</v>
      </c>
      <c r="AZ211" s="39">
        <v>1.2392217523121999E-3</v>
      </c>
      <c r="BA211" s="39">
        <v>1.2392217523121999E-3</v>
      </c>
      <c r="BB211" s="39">
        <v>1.2392217523121999E-3</v>
      </c>
      <c r="BC211" s="39">
        <v>1.2392217523121999E-3</v>
      </c>
      <c r="BD211" s="39">
        <v>1.2392217523121999E-3</v>
      </c>
      <c r="BE211" s="39">
        <v>1.2392217523121999E-3</v>
      </c>
      <c r="BF211" s="39">
        <v>1.2392217523121999E-3</v>
      </c>
      <c r="BH211" s="12">
        <f t="shared" si="159"/>
        <v>0</v>
      </c>
      <c r="BI211" s="12">
        <f t="shared" si="160"/>
        <v>0</v>
      </c>
      <c r="BJ211" s="12">
        <f t="shared" si="161"/>
        <v>0</v>
      </c>
      <c r="BK211" s="12">
        <f t="shared" si="162"/>
        <v>0</v>
      </c>
      <c r="BL211" s="12">
        <f t="shared" si="163"/>
        <v>0</v>
      </c>
      <c r="BM211" s="12">
        <f t="shared" si="164"/>
        <v>0</v>
      </c>
      <c r="BN211" s="12">
        <f t="shared" si="165"/>
        <v>0</v>
      </c>
      <c r="BO211" s="12">
        <f t="shared" si="166"/>
        <v>0</v>
      </c>
      <c r="BP211" s="12">
        <f t="shared" si="167"/>
        <v>0</v>
      </c>
      <c r="BQ211" s="12">
        <f t="shared" si="168"/>
        <v>0</v>
      </c>
      <c r="BR211" s="12">
        <f t="shared" si="131"/>
        <v>0</v>
      </c>
      <c r="BS211" s="12">
        <f t="shared" si="132"/>
        <v>0</v>
      </c>
      <c r="BU211" s="11">
        <f t="shared" si="133"/>
        <v>0</v>
      </c>
      <c r="BV211" s="11">
        <f t="shared" si="134"/>
        <v>0</v>
      </c>
      <c r="BW211" s="11">
        <f t="shared" si="135"/>
        <v>0</v>
      </c>
      <c r="BX211" s="11">
        <f t="shared" si="136"/>
        <v>0</v>
      </c>
      <c r="BY211" s="11">
        <f t="shared" si="137"/>
        <v>0</v>
      </c>
      <c r="BZ211" s="11">
        <f t="shared" si="138"/>
        <v>0</v>
      </c>
      <c r="CA211" s="11">
        <f t="shared" si="139"/>
        <v>0</v>
      </c>
      <c r="CB211" s="11">
        <f t="shared" si="140"/>
        <v>0</v>
      </c>
      <c r="CC211" s="11">
        <f t="shared" si="141"/>
        <v>0</v>
      </c>
      <c r="CD211" s="11">
        <f t="shared" si="142"/>
        <v>0</v>
      </c>
      <c r="CE211" s="11">
        <f t="shared" si="143"/>
        <v>0</v>
      </c>
      <c r="CF211" s="11">
        <f t="shared" si="144"/>
        <v>0</v>
      </c>
      <c r="CG211" s="11"/>
      <c r="CH211" s="41">
        <v>3.23</v>
      </c>
      <c r="CJ211" s="54">
        <f t="shared" si="145"/>
        <v>0</v>
      </c>
      <c r="CK211" s="54">
        <f t="shared" si="146"/>
        <v>0</v>
      </c>
      <c r="CL211" s="54">
        <f t="shared" si="147"/>
        <v>0</v>
      </c>
      <c r="CM211" s="54">
        <f t="shared" si="148"/>
        <v>0</v>
      </c>
      <c r="CN211" s="54">
        <f t="shared" si="149"/>
        <v>0</v>
      </c>
      <c r="CO211" s="54">
        <f t="shared" si="150"/>
        <v>0</v>
      </c>
      <c r="CP211" s="54">
        <f t="shared" si="151"/>
        <v>0</v>
      </c>
      <c r="CQ211" s="54">
        <f t="shared" si="152"/>
        <v>0</v>
      </c>
      <c r="CR211" s="54">
        <f t="shared" si="153"/>
        <v>0</v>
      </c>
      <c r="CS211" s="54">
        <f t="shared" si="154"/>
        <v>0</v>
      </c>
      <c r="CT211" s="54">
        <f t="shared" si="155"/>
        <v>0</v>
      </c>
      <c r="CU211" s="54">
        <f t="shared" si="156"/>
        <v>0</v>
      </c>
      <c r="CV211" s="52">
        <f t="shared" si="157"/>
        <v>0</v>
      </c>
    </row>
    <row r="212" spans="1:100" ht="15.75" x14ac:dyDescent="0.25">
      <c r="A212" s="17"/>
      <c r="B212" s="17"/>
      <c r="C212" s="17"/>
      <c r="D212" s="17"/>
      <c r="E212" s="17"/>
      <c r="F212" s="31" t="s">
        <v>21</v>
      </c>
      <c r="G212" s="76"/>
      <c r="H212" s="76"/>
      <c r="I212" s="76"/>
      <c r="J212" s="76"/>
      <c r="K212" s="76"/>
      <c r="L212" s="76"/>
      <c r="M212" s="76"/>
      <c r="N212" s="76"/>
      <c r="O212" s="76"/>
      <c r="P212" s="76"/>
      <c r="Q212" s="76"/>
      <c r="R212" s="76"/>
      <c r="S212" s="11">
        <f t="shared" si="158"/>
        <v>0</v>
      </c>
      <c r="T212" s="9"/>
      <c r="V212" s="46">
        <f t="shared" si="130"/>
        <v>0</v>
      </c>
      <c r="W212" s="36">
        <v>3.915</v>
      </c>
      <c r="X212" s="36">
        <v>3.915</v>
      </c>
      <c r="Y212" s="36">
        <v>3.915</v>
      </c>
      <c r="Z212" s="36">
        <v>3.915</v>
      </c>
      <c r="AA212" s="36">
        <v>3.915</v>
      </c>
      <c r="AB212" s="36">
        <v>3.915</v>
      </c>
      <c r="AC212" s="36">
        <v>3.915</v>
      </c>
      <c r="AD212" s="36">
        <v>3.915</v>
      </c>
      <c r="AE212" s="36">
        <v>3.915</v>
      </c>
      <c r="AF212" s="36">
        <v>3.915</v>
      </c>
      <c r="AG212" s="36">
        <v>3.915</v>
      </c>
      <c r="AH212" s="36">
        <v>3.915</v>
      </c>
      <c r="AI212" s="39">
        <v>1.33634708931066E-2</v>
      </c>
      <c r="AJ212" s="39">
        <v>1.33634708931066E-2</v>
      </c>
      <c r="AK212" s="39">
        <v>1.33634708931066E-2</v>
      </c>
      <c r="AL212" s="39">
        <v>1.33634708931066E-2</v>
      </c>
      <c r="AM212" s="39">
        <v>1.33634708931066E-2</v>
      </c>
      <c r="AN212" s="39">
        <v>1.33634708931066E-2</v>
      </c>
      <c r="AO212" s="39">
        <v>1.33634708931066E-2</v>
      </c>
      <c r="AP212" s="39">
        <v>1.33634708931066E-2</v>
      </c>
      <c r="AQ212" s="39">
        <v>1.33634708931066E-2</v>
      </c>
      <c r="AR212" s="39">
        <v>1.33634708931066E-2</v>
      </c>
      <c r="AS212" s="39">
        <v>1.33634708931066E-2</v>
      </c>
      <c r="AT212" s="39">
        <v>1.33634708931066E-2</v>
      </c>
      <c r="AU212" s="39">
        <v>1.2392217523121999E-3</v>
      </c>
      <c r="AV212" s="39">
        <v>1.2392217523121999E-3</v>
      </c>
      <c r="AW212" s="39">
        <v>1.2392217523121999E-3</v>
      </c>
      <c r="AX212" s="39">
        <v>1.2392217523121999E-3</v>
      </c>
      <c r="AY212" s="39">
        <v>1.2392217523121999E-3</v>
      </c>
      <c r="AZ212" s="39">
        <v>1.2392217523121999E-3</v>
      </c>
      <c r="BA212" s="39">
        <v>1.2392217523121999E-3</v>
      </c>
      <c r="BB212" s="39">
        <v>1.2392217523121999E-3</v>
      </c>
      <c r="BC212" s="39">
        <v>1.2392217523121999E-3</v>
      </c>
      <c r="BD212" s="39">
        <v>1.2392217523121999E-3</v>
      </c>
      <c r="BE212" s="39">
        <v>1.2392217523121999E-3</v>
      </c>
      <c r="BF212" s="39">
        <v>1.2392217523121999E-3</v>
      </c>
      <c r="BH212" s="12">
        <f t="shared" si="159"/>
        <v>0</v>
      </c>
      <c r="BI212" s="12">
        <f t="shared" si="160"/>
        <v>0</v>
      </c>
      <c r="BJ212" s="12">
        <f t="shared" si="161"/>
        <v>0</v>
      </c>
      <c r="BK212" s="12">
        <f t="shared" si="162"/>
        <v>0</v>
      </c>
      <c r="BL212" s="12">
        <f t="shared" si="163"/>
        <v>0</v>
      </c>
      <c r="BM212" s="12">
        <f t="shared" si="164"/>
        <v>0</v>
      </c>
      <c r="BN212" s="12">
        <f t="shared" si="165"/>
        <v>0</v>
      </c>
      <c r="BO212" s="12">
        <f t="shared" si="166"/>
        <v>0</v>
      </c>
      <c r="BP212" s="12">
        <f t="shared" si="167"/>
        <v>0</v>
      </c>
      <c r="BQ212" s="12">
        <f t="shared" si="168"/>
        <v>0</v>
      </c>
      <c r="BR212" s="12">
        <f t="shared" si="131"/>
        <v>0</v>
      </c>
      <c r="BS212" s="12">
        <f t="shared" si="132"/>
        <v>0</v>
      </c>
      <c r="BU212" s="11">
        <f t="shared" si="133"/>
        <v>0</v>
      </c>
      <c r="BV212" s="11">
        <f t="shared" si="134"/>
        <v>0</v>
      </c>
      <c r="BW212" s="11">
        <f t="shared" si="135"/>
        <v>0</v>
      </c>
      <c r="BX212" s="11">
        <f t="shared" si="136"/>
        <v>0</v>
      </c>
      <c r="BY212" s="11">
        <f t="shared" si="137"/>
        <v>0</v>
      </c>
      <c r="BZ212" s="11">
        <f t="shared" si="138"/>
        <v>0</v>
      </c>
      <c r="CA212" s="11">
        <f t="shared" si="139"/>
        <v>0</v>
      </c>
      <c r="CB212" s="11">
        <f t="shared" si="140"/>
        <v>0</v>
      </c>
      <c r="CC212" s="11">
        <f t="shared" si="141"/>
        <v>0</v>
      </c>
      <c r="CD212" s="11">
        <f t="shared" si="142"/>
        <v>0</v>
      </c>
      <c r="CE212" s="11">
        <f t="shared" si="143"/>
        <v>0</v>
      </c>
      <c r="CF212" s="11">
        <f t="shared" si="144"/>
        <v>0</v>
      </c>
      <c r="CG212" s="11"/>
      <c r="CH212" s="41">
        <v>3.23</v>
      </c>
      <c r="CJ212" s="54">
        <f t="shared" si="145"/>
        <v>0</v>
      </c>
      <c r="CK212" s="54">
        <f t="shared" si="146"/>
        <v>0</v>
      </c>
      <c r="CL212" s="54">
        <f t="shared" si="147"/>
        <v>0</v>
      </c>
      <c r="CM212" s="54">
        <f t="shared" si="148"/>
        <v>0</v>
      </c>
      <c r="CN212" s="54">
        <f t="shared" si="149"/>
        <v>0</v>
      </c>
      <c r="CO212" s="54">
        <f t="shared" si="150"/>
        <v>0</v>
      </c>
      <c r="CP212" s="54">
        <f t="shared" si="151"/>
        <v>0</v>
      </c>
      <c r="CQ212" s="54">
        <f t="shared" si="152"/>
        <v>0</v>
      </c>
      <c r="CR212" s="54">
        <f t="shared" si="153"/>
        <v>0</v>
      </c>
      <c r="CS212" s="54">
        <f t="shared" si="154"/>
        <v>0</v>
      </c>
      <c r="CT212" s="54">
        <f t="shared" si="155"/>
        <v>0</v>
      </c>
      <c r="CU212" s="54">
        <f t="shared" si="156"/>
        <v>0</v>
      </c>
      <c r="CV212" s="52">
        <f t="shared" si="157"/>
        <v>0</v>
      </c>
    </row>
    <row r="213" spans="1:100" ht="15.75" x14ac:dyDescent="0.25">
      <c r="A213" s="17"/>
      <c r="B213" s="17"/>
      <c r="C213" s="17"/>
      <c r="D213" s="17"/>
      <c r="E213" s="17"/>
      <c r="F213" s="31" t="s">
        <v>21</v>
      </c>
      <c r="G213" s="76"/>
      <c r="H213" s="76"/>
      <c r="I213" s="76"/>
      <c r="J213" s="76"/>
      <c r="K213" s="76"/>
      <c r="L213" s="76"/>
      <c r="M213" s="76"/>
      <c r="N213" s="76"/>
      <c r="O213" s="76"/>
      <c r="P213" s="76"/>
      <c r="Q213" s="76"/>
      <c r="R213" s="76"/>
      <c r="S213" s="11">
        <f t="shared" si="158"/>
        <v>0</v>
      </c>
      <c r="T213" s="9"/>
      <c r="V213" s="46">
        <f t="shared" si="130"/>
        <v>0</v>
      </c>
      <c r="W213" s="36">
        <v>9.06</v>
      </c>
      <c r="X213" s="36">
        <v>9.06</v>
      </c>
      <c r="Y213" s="36">
        <v>9.06</v>
      </c>
      <c r="Z213" s="36">
        <v>9.06</v>
      </c>
      <c r="AA213" s="36">
        <v>9.06</v>
      </c>
      <c r="AB213" s="36">
        <v>9.06</v>
      </c>
      <c r="AC213" s="36">
        <v>9.06</v>
      </c>
      <c r="AD213" s="36">
        <v>9.06</v>
      </c>
      <c r="AE213" s="36">
        <v>9.06</v>
      </c>
      <c r="AF213" s="36">
        <v>9.06</v>
      </c>
      <c r="AG213" s="36">
        <v>9.06</v>
      </c>
      <c r="AH213" s="36">
        <v>9.06</v>
      </c>
      <c r="AI213" s="39">
        <v>0</v>
      </c>
      <c r="AJ213" s="39">
        <v>0</v>
      </c>
      <c r="AK213" s="39">
        <v>0</v>
      </c>
      <c r="AL213" s="39">
        <v>0</v>
      </c>
      <c r="AM213" s="39">
        <v>0</v>
      </c>
      <c r="AN213" s="39">
        <v>0</v>
      </c>
      <c r="AO213" s="39">
        <v>0</v>
      </c>
      <c r="AP213" s="39">
        <v>0</v>
      </c>
      <c r="AQ213" s="39">
        <v>0</v>
      </c>
      <c r="AR213" s="39">
        <v>0</v>
      </c>
      <c r="AS213" s="39">
        <v>0</v>
      </c>
      <c r="AT213" s="39">
        <v>0</v>
      </c>
      <c r="AU213" s="39">
        <v>0</v>
      </c>
      <c r="AV213" s="39">
        <v>0</v>
      </c>
      <c r="AW213" s="39">
        <v>0</v>
      </c>
      <c r="AX213" s="39">
        <v>0</v>
      </c>
      <c r="AY213" s="39">
        <v>0</v>
      </c>
      <c r="AZ213" s="39">
        <v>0</v>
      </c>
      <c r="BA213" s="39">
        <v>0</v>
      </c>
      <c r="BB213" s="39">
        <v>0</v>
      </c>
      <c r="BC213" s="39">
        <v>0</v>
      </c>
      <c r="BD213" s="39">
        <v>0</v>
      </c>
      <c r="BE213" s="39">
        <v>0</v>
      </c>
      <c r="BF213" s="39">
        <v>0</v>
      </c>
      <c r="BH213" s="12">
        <f t="shared" si="159"/>
        <v>0</v>
      </c>
      <c r="BI213" s="12">
        <f t="shared" si="160"/>
        <v>0</v>
      </c>
      <c r="BJ213" s="12">
        <f t="shared" si="161"/>
        <v>0</v>
      </c>
      <c r="BK213" s="12">
        <f t="shared" si="162"/>
        <v>0</v>
      </c>
      <c r="BL213" s="12">
        <f t="shared" si="163"/>
        <v>0</v>
      </c>
      <c r="BM213" s="12">
        <f t="shared" si="164"/>
        <v>0</v>
      </c>
      <c r="BN213" s="12">
        <f t="shared" si="165"/>
        <v>0</v>
      </c>
      <c r="BO213" s="12">
        <f t="shared" si="166"/>
        <v>0</v>
      </c>
      <c r="BP213" s="12">
        <f t="shared" si="167"/>
        <v>0</v>
      </c>
      <c r="BQ213" s="12">
        <f t="shared" si="168"/>
        <v>0</v>
      </c>
      <c r="BR213" s="12">
        <f t="shared" si="131"/>
        <v>0</v>
      </c>
      <c r="BS213" s="12">
        <f t="shared" si="132"/>
        <v>0</v>
      </c>
      <c r="BU213" s="11">
        <f t="shared" si="133"/>
        <v>0</v>
      </c>
      <c r="BV213" s="11">
        <f t="shared" si="134"/>
        <v>0</v>
      </c>
      <c r="BW213" s="11">
        <f t="shared" si="135"/>
        <v>0</v>
      </c>
      <c r="BX213" s="11">
        <f t="shared" si="136"/>
        <v>0</v>
      </c>
      <c r="BY213" s="11">
        <f t="shared" si="137"/>
        <v>0</v>
      </c>
      <c r="BZ213" s="11">
        <f t="shared" si="138"/>
        <v>0</v>
      </c>
      <c r="CA213" s="11">
        <f t="shared" si="139"/>
        <v>0</v>
      </c>
      <c r="CB213" s="11">
        <f t="shared" si="140"/>
        <v>0</v>
      </c>
      <c r="CC213" s="11">
        <f t="shared" si="141"/>
        <v>0</v>
      </c>
      <c r="CD213" s="11">
        <f t="shared" si="142"/>
        <v>0</v>
      </c>
      <c r="CE213" s="11">
        <f t="shared" si="143"/>
        <v>0</v>
      </c>
      <c r="CF213" s="11">
        <f t="shared" si="144"/>
        <v>0</v>
      </c>
      <c r="CG213" s="11"/>
      <c r="CH213" s="41">
        <v>1</v>
      </c>
      <c r="CJ213" s="54">
        <f t="shared" si="145"/>
        <v>0</v>
      </c>
      <c r="CK213" s="54">
        <f t="shared" si="146"/>
        <v>0</v>
      </c>
      <c r="CL213" s="54">
        <f t="shared" si="147"/>
        <v>0</v>
      </c>
      <c r="CM213" s="54">
        <f t="shared" si="148"/>
        <v>0</v>
      </c>
      <c r="CN213" s="54">
        <f t="shared" si="149"/>
        <v>0</v>
      </c>
      <c r="CO213" s="54">
        <f t="shared" si="150"/>
        <v>0</v>
      </c>
      <c r="CP213" s="54">
        <f t="shared" si="151"/>
        <v>0</v>
      </c>
      <c r="CQ213" s="54">
        <f t="shared" si="152"/>
        <v>0</v>
      </c>
      <c r="CR213" s="54">
        <f t="shared" si="153"/>
        <v>0</v>
      </c>
      <c r="CS213" s="54">
        <f t="shared" si="154"/>
        <v>0</v>
      </c>
      <c r="CT213" s="54">
        <f t="shared" si="155"/>
        <v>0</v>
      </c>
      <c r="CU213" s="54">
        <f t="shared" si="156"/>
        <v>0</v>
      </c>
      <c r="CV213" s="52">
        <f t="shared" si="157"/>
        <v>0</v>
      </c>
    </row>
    <row r="214" spans="1:100" ht="15.75" x14ac:dyDescent="0.25">
      <c r="A214" s="17"/>
      <c r="B214" s="17"/>
      <c r="C214" s="17"/>
      <c r="D214" s="17"/>
      <c r="E214" s="17"/>
      <c r="F214" s="31" t="s">
        <v>21</v>
      </c>
      <c r="G214" s="76"/>
      <c r="H214" s="76"/>
      <c r="I214" s="76"/>
      <c r="J214" s="76"/>
      <c r="K214" s="76"/>
      <c r="L214" s="76"/>
      <c r="M214" s="76"/>
      <c r="N214" s="76"/>
      <c r="O214" s="76"/>
      <c r="P214" s="76"/>
      <c r="Q214" s="76"/>
      <c r="R214" s="76"/>
      <c r="S214" s="11">
        <f t="shared" si="158"/>
        <v>0</v>
      </c>
      <c r="T214" s="9"/>
      <c r="V214" s="46">
        <f t="shared" si="130"/>
        <v>0</v>
      </c>
      <c r="W214" s="36">
        <v>1.69</v>
      </c>
      <c r="X214" s="36">
        <v>1.69</v>
      </c>
      <c r="Y214" s="36">
        <v>1.69</v>
      </c>
      <c r="Z214" s="36">
        <v>1.69</v>
      </c>
      <c r="AA214" s="36">
        <v>1.69</v>
      </c>
      <c r="AB214" s="36">
        <v>1.69</v>
      </c>
      <c r="AC214" s="36">
        <v>1.69</v>
      </c>
      <c r="AD214" s="36">
        <v>1.69</v>
      </c>
      <c r="AE214" s="36">
        <v>1.69</v>
      </c>
      <c r="AF214" s="36">
        <v>1.69</v>
      </c>
      <c r="AG214" s="36">
        <v>1.69</v>
      </c>
      <c r="AH214" s="36">
        <v>1.69</v>
      </c>
      <c r="AI214" s="39">
        <v>0</v>
      </c>
      <c r="AJ214" s="39">
        <v>0</v>
      </c>
      <c r="AK214" s="39">
        <v>0</v>
      </c>
      <c r="AL214" s="39">
        <v>0</v>
      </c>
      <c r="AM214" s="39">
        <v>0</v>
      </c>
      <c r="AN214" s="39">
        <v>0</v>
      </c>
      <c r="AO214" s="39">
        <v>0</v>
      </c>
      <c r="AP214" s="39">
        <v>0</v>
      </c>
      <c r="AQ214" s="39">
        <v>0</v>
      </c>
      <c r="AR214" s="39">
        <v>0</v>
      </c>
      <c r="AS214" s="39">
        <v>0</v>
      </c>
      <c r="AT214" s="39">
        <v>0</v>
      </c>
      <c r="AU214" s="39">
        <v>0</v>
      </c>
      <c r="AV214" s="39">
        <v>0</v>
      </c>
      <c r="AW214" s="39">
        <v>0</v>
      </c>
      <c r="AX214" s="39">
        <v>0</v>
      </c>
      <c r="AY214" s="39">
        <v>0</v>
      </c>
      <c r="AZ214" s="39">
        <v>0</v>
      </c>
      <c r="BA214" s="39">
        <v>0</v>
      </c>
      <c r="BB214" s="39">
        <v>0</v>
      </c>
      <c r="BC214" s="39">
        <v>0</v>
      </c>
      <c r="BD214" s="39">
        <v>0</v>
      </c>
      <c r="BE214" s="39">
        <v>0</v>
      </c>
      <c r="BF214" s="39">
        <v>0</v>
      </c>
      <c r="BH214" s="12">
        <f t="shared" si="159"/>
        <v>0</v>
      </c>
      <c r="BI214" s="12">
        <f t="shared" si="160"/>
        <v>0</v>
      </c>
      <c r="BJ214" s="12">
        <f t="shared" si="161"/>
        <v>0</v>
      </c>
      <c r="BK214" s="12">
        <f t="shared" si="162"/>
        <v>0</v>
      </c>
      <c r="BL214" s="12">
        <f t="shared" si="163"/>
        <v>0</v>
      </c>
      <c r="BM214" s="12">
        <f t="shared" si="164"/>
        <v>0</v>
      </c>
      <c r="BN214" s="12">
        <f t="shared" si="165"/>
        <v>0</v>
      </c>
      <c r="BO214" s="12">
        <f t="shared" si="166"/>
        <v>0</v>
      </c>
      <c r="BP214" s="12">
        <f t="shared" si="167"/>
        <v>0</v>
      </c>
      <c r="BQ214" s="12">
        <f t="shared" si="168"/>
        <v>0</v>
      </c>
      <c r="BR214" s="12">
        <f t="shared" si="131"/>
        <v>0</v>
      </c>
      <c r="BS214" s="12">
        <f t="shared" si="132"/>
        <v>0</v>
      </c>
      <c r="BU214" s="11">
        <f t="shared" si="133"/>
        <v>0</v>
      </c>
      <c r="BV214" s="11">
        <f t="shared" si="134"/>
        <v>0</v>
      </c>
      <c r="BW214" s="11">
        <f t="shared" si="135"/>
        <v>0</v>
      </c>
      <c r="BX214" s="11">
        <f t="shared" si="136"/>
        <v>0</v>
      </c>
      <c r="BY214" s="11">
        <f t="shared" si="137"/>
        <v>0</v>
      </c>
      <c r="BZ214" s="11">
        <f t="shared" si="138"/>
        <v>0</v>
      </c>
      <c r="CA214" s="11">
        <f t="shared" si="139"/>
        <v>0</v>
      </c>
      <c r="CB214" s="11">
        <f t="shared" si="140"/>
        <v>0</v>
      </c>
      <c r="CC214" s="11">
        <f t="shared" si="141"/>
        <v>0</v>
      </c>
      <c r="CD214" s="11">
        <f t="shared" si="142"/>
        <v>0</v>
      </c>
      <c r="CE214" s="11">
        <f t="shared" si="143"/>
        <v>0</v>
      </c>
      <c r="CF214" s="11">
        <f t="shared" si="144"/>
        <v>0</v>
      </c>
      <c r="CG214" s="11"/>
      <c r="CH214" s="41">
        <v>1</v>
      </c>
      <c r="CJ214" s="54">
        <f t="shared" si="145"/>
        <v>0</v>
      </c>
      <c r="CK214" s="54">
        <f t="shared" si="146"/>
        <v>0</v>
      </c>
      <c r="CL214" s="54">
        <f t="shared" si="147"/>
        <v>0</v>
      </c>
      <c r="CM214" s="54">
        <f t="shared" si="148"/>
        <v>0</v>
      </c>
      <c r="CN214" s="54">
        <f t="shared" si="149"/>
        <v>0</v>
      </c>
      <c r="CO214" s="54">
        <f t="shared" si="150"/>
        <v>0</v>
      </c>
      <c r="CP214" s="54">
        <f t="shared" si="151"/>
        <v>0</v>
      </c>
      <c r="CQ214" s="54">
        <f t="shared" si="152"/>
        <v>0</v>
      </c>
      <c r="CR214" s="54">
        <f t="shared" si="153"/>
        <v>0</v>
      </c>
      <c r="CS214" s="54">
        <f t="shared" si="154"/>
        <v>0</v>
      </c>
      <c r="CT214" s="54">
        <f t="shared" si="155"/>
        <v>0</v>
      </c>
      <c r="CU214" s="54">
        <f t="shared" si="156"/>
        <v>0</v>
      </c>
      <c r="CV214" s="52">
        <f t="shared" si="157"/>
        <v>0</v>
      </c>
    </row>
    <row r="215" spans="1:100" ht="15.75" x14ac:dyDescent="0.25">
      <c r="A215" s="17"/>
      <c r="B215" s="17"/>
      <c r="C215" s="17"/>
      <c r="D215" s="17"/>
      <c r="E215" s="17"/>
      <c r="F215" s="31" t="s">
        <v>21</v>
      </c>
      <c r="G215" s="76"/>
      <c r="H215" s="76"/>
      <c r="I215" s="76"/>
      <c r="J215" s="76"/>
      <c r="K215" s="76"/>
      <c r="L215" s="76"/>
      <c r="M215" s="76"/>
      <c r="N215" s="76"/>
      <c r="O215" s="76"/>
      <c r="P215" s="76"/>
      <c r="Q215" s="76"/>
      <c r="R215" s="76"/>
      <c r="S215" s="11">
        <f t="shared" si="158"/>
        <v>0</v>
      </c>
      <c r="T215" s="9"/>
      <c r="V215" s="46">
        <f t="shared" si="130"/>
        <v>0</v>
      </c>
      <c r="W215" s="36">
        <v>1.8400042087542088</v>
      </c>
      <c r="X215" s="36">
        <v>1.8400042087542088</v>
      </c>
      <c r="Y215" s="36">
        <v>1.8400042087542088</v>
      </c>
      <c r="Z215" s="36">
        <v>1.8400042087542088</v>
      </c>
      <c r="AA215" s="36">
        <v>1.8400042087542088</v>
      </c>
      <c r="AB215" s="36">
        <v>1.8400042087542088</v>
      </c>
      <c r="AC215" s="36">
        <v>1.8400042087542088</v>
      </c>
      <c r="AD215" s="36">
        <v>1.8400042087542088</v>
      </c>
      <c r="AE215" s="36">
        <v>1.8400042087542088</v>
      </c>
      <c r="AF215" s="36">
        <v>1.8400042087542088</v>
      </c>
      <c r="AG215" s="36">
        <v>1.8400042087542088</v>
      </c>
      <c r="AH215" s="36">
        <v>1.8400042087542088</v>
      </c>
      <c r="AI215" s="39">
        <v>0</v>
      </c>
      <c r="AJ215" s="39">
        <v>0</v>
      </c>
      <c r="AK215" s="39">
        <v>0</v>
      </c>
      <c r="AL215" s="39">
        <v>0</v>
      </c>
      <c r="AM215" s="39">
        <v>0</v>
      </c>
      <c r="AN215" s="39">
        <v>0</v>
      </c>
      <c r="AO215" s="39">
        <v>0</v>
      </c>
      <c r="AP215" s="39">
        <v>0</v>
      </c>
      <c r="AQ215" s="39">
        <v>0</v>
      </c>
      <c r="AR215" s="39">
        <v>0</v>
      </c>
      <c r="AS215" s="39">
        <v>0</v>
      </c>
      <c r="AT215" s="39">
        <v>0</v>
      </c>
      <c r="AU215" s="39">
        <v>0</v>
      </c>
      <c r="AV215" s="39">
        <v>0</v>
      </c>
      <c r="AW215" s="39">
        <v>0</v>
      </c>
      <c r="AX215" s="39">
        <v>0</v>
      </c>
      <c r="AY215" s="39">
        <v>0</v>
      </c>
      <c r="AZ215" s="39">
        <v>0</v>
      </c>
      <c r="BA215" s="39">
        <v>0</v>
      </c>
      <c r="BB215" s="39">
        <v>0</v>
      </c>
      <c r="BC215" s="39">
        <v>0</v>
      </c>
      <c r="BD215" s="39">
        <v>0</v>
      </c>
      <c r="BE215" s="39">
        <v>0</v>
      </c>
      <c r="BF215" s="39">
        <v>0</v>
      </c>
      <c r="BH215" s="12">
        <f t="shared" si="159"/>
        <v>0</v>
      </c>
      <c r="BI215" s="12">
        <f t="shared" si="160"/>
        <v>0</v>
      </c>
      <c r="BJ215" s="12">
        <f t="shared" si="161"/>
        <v>0</v>
      </c>
      <c r="BK215" s="12">
        <f t="shared" si="162"/>
        <v>0</v>
      </c>
      <c r="BL215" s="12">
        <f t="shared" si="163"/>
        <v>0</v>
      </c>
      <c r="BM215" s="12">
        <f t="shared" si="164"/>
        <v>0</v>
      </c>
      <c r="BN215" s="12">
        <f t="shared" si="165"/>
        <v>0</v>
      </c>
      <c r="BO215" s="12">
        <f t="shared" si="166"/>
        <v>0</v>
      </c>
      <c r="BP215" s="12">
        <f t="shared" si="167"/>
        <v>0</v>
      </c>
      <c r="BQ215" s="12">
        <f t="shared" si="168"/>
        <v>0</v>
      </c>
      <c r="BR215" s="12">
        <f t="shared" si="131"/>
        <v>0</v>
      </c>
      <c r="BS215" s="12">
        <f t="shared" si="132"/>
        <v>0</v>
      </c>
      <c r="BU215" s="11">
        <f t="shared" si="133"/>
        <v>0</v>
      </c>
      <c r="BV215" s="11">
        <f t="shared" si="134"/>
        <v>0</v>
      </c>
      <c r="BW215" s="11">
        <f t="shared" si="135"/>
        <v>0</v>
      </c>
      <c r="BX215" s="11">
        <f t="shared" si="136"/>
        <v>0</v>
      </c>
      <c r="BY215" s="11">
        <f t="shared" si="137"/>
        <v>0</v>
      </c>
      <c r="BZ215" s="11">
        <f t="shared" si="138"/>
        <v>0</v>
      </c>
      <c r="CA215" s="11">
        <f t="shared" si="139"/>
        <v>0</v>
      </c>
      <c r="CB215" s="11">
        <f t="shared" si="140"/>
        <v>0</v>
      </c>
      <c r="CC215" s="11">
        <f t="shared" si="141"/>
        <v>0</v>
      </c>
      <c r="CD215" s="11">
        <f t="shared" si="142"/>
        <v>0</v>
      </c>
      <c r="CE215" s="11">
        <f t="shared" si="143"/>
        <v>0</v>
      </c>
      <c r="CF215" s="11">
        <f t="shared" si="144"/>
        <v>0</v>
      </c>
      <c r="CG215" s="11"/>
      <c r="CH215" s="41">
        <v>1</v>
      </c>
      <c r="CJ215" s="54">
        <f t="shared" si="145"/>
        <v>0</v>
      </c>
      <c r="CK215" s="54">
        <f t="shared" si="146"/>
        <v>0</v>
      </c>
      <c r="CL215" s="54">
        <f t="shared" si="147"/>
        <v>0</v>
      </c>
      <c r="CM215" s="54">
        <f t="shared" si="148"/>
        <v>0</v>
      </c>
      <c r="CN215" s="54">
        <f t="shared" si="149"/>
        <v>0</v>
      </c>
      <c r="CO215" s="54">
        <f t="shared" si="150"/>
        <v>0</v>
      </c>
      <c r="CP215" s="54">
        <f t="shared" si="151"/>
        <v>0</v>
      </c>
      <c r="CQ215" s="54">
        <f t="shared" si="152"/>
        <v>0</v>
      </c>
      <c r="CR215" s="54">
        <f t="shared" si="153"/>
        <v>0</v>
      </c>
      <c r="CS215" s="54">
        <f t="shared" si="154"/>
        <v>0</v>
      </c>
      <c r="CT215" s="54">
        <f t="shared" si="155"/>
        <v>0</v>
      </c>
      <c r="CU215" s="54">
        <f t="shared" si="156"/>
        <v>0</v>
      </c>
      <c r="CV215" s="52">
        <f t="shared" si="157"/>
        <v>0</v>
      </c>
    </row>
    <row r="216" spans="1:100" ht="15.75" x14ac:dyDescent="0.25">
      <c r="A216" s="17"/>
      <c r="B216" s="17"/>
      <c r="C216" s="17"/>
      <c r="D216" s="17"/>
      <c r="E216" s="17"/>
      <c r="F216" s="31" t="s">
        <v>21</v>
      </c>
      <c r="G216" s="76"/>
      <c r="H216" s="76"/>
      <c r="I216" s="76"/>
      <c r="J216" s="76"/>
      <c r="K216" s="76"/>
      <c r="L216" s="76"/>
      <c r="M216" s="76"/>
      <c r="N216" s="76"/>
      <c r="O216" s="76"/>
      <c r="P216" s="76"/>
      <c r="Q216" s="76"/>
      <c r="R216" s="76"/>
      <c r="S216" s="11">
        <f>SUM(G216:R216)</f>
        <v>0</v>
      </c>
      <c r="T216" s="9"/>
      <c r="V216" s="46">
        <f t="shared" si="130"/>
        <v>0</v>
      </c>
      <c r="W216" s="36">
        <v>11.423999999999999</v>
      </c>
      <c r="X216" s="36">
        <v>11.423999999999999</v>
      </c>
      <c r="Y216" s="36">
        <v>11.423999999999999</v>
      </c>
      <c r="Z216" s="36">
        <v>11.423999999999999</v>
      </c>
      <c r="AA216" s="36">
        <v>11.423999999999999</v>
      </c>
      <c r="AB216" s="36">
        <v>11.423999999999999</v>
      </c>
      <c r="AC216" s="36">
        <v>11.423999999999999</v>
      </c>
      <c r="AD216" s="36">
        <v>11.423999999999999</v>
      </c>
      <c r="AE216" s="36">
        <v>11.423999999999999</v>
      </c>
      <c r="AF216" s="36">
        <v>11.423999999999999</v>
      </c>
      <c r="AG216" s="36">
        <v>11.423999999999999</v>
      </c>
      <c r="AH216" s="36">
        <v>11.423999999999999</v>
      </c>
      <c r="AI216" s="39">
        <v>0.22999999999999998</v>
      </c>
      <c r="AJ216" s="39">
        <v>0.22999999999999998</v>
      </c>
      <c r="AK216" s="39">
        <v>0.22999999999999998</v>
      </c>
      <c r="AL216" s="39">
        <v>0.22999999999999998</v>
      </c>
      <c r="AM216" s="39">
        <v>0.22999999999999998</v>
      </c>
      <c r="AN216" s="39">
        <v>0.22999999999999998</v>
      </c>
      <c r="AO216" s="39">
        <v>0.22999999999999998</v>
      </c>
      <c r="AP216" s="39">
        <v>0.22999999999999998</v>
      </c>
      <c r="AQ216" s="39">
        <v>0.22999999999999998</v>
      </c>
      <c r="AR216" s="39">
        <v>0.22999999999999998</v>
      </c>
      <c r="AS216" s="39">
        <v>0.22999999999999998</v>
      </c>
      <c r="AT216" s="39">
        <v>0.22999999999999998</v>
      </c>
      <c r="AU216" s="39">
        <v>0</v>
      </c>
      <c r="AV216" s="39">
        <v>0</v>
      </c>
      <c r="AW216" s="39">
        <v>0</v>
      </c>
      <c r="AX216" s="39">
        <v>0</v>
      </c>
      <c r="AY216" s="39">
        <v>0</v>
      </c>
      <c r="AZ216" s="39">
        <v>0</v>
      </c>
      <c r="BA216" s="39">
        <v>0</v>
      </c>
      <c r="BB216" s="39">
        <v>0</v>
      </c>
      <c r="BC216" s="39">
        <v>0</v>
      </c>
      <c r="BD216" s="39">
        <v>0</v>
      </c>
      <c r="BE216" s="39">
        <v>0</v>
      </c>
      <c r="BF216" s="39">
        <v>0</v>
      </c>
      <c r="BH216" s="12">
        <f t="shared" si="159"/>
        <v>0</v>
      </c>
      <c r="BI216" s="12">
        <f t="shared" si="160"/>
        <v>0</v>
      </c>
      <c r="BJ216" s="12">
        <f t="shared" si="161"/>
        <v>0</v>
      </c>
      <c r="BK216" s="12">
        <f t="shared" si="162"/>
        <v>0</v>
      </c>
      <c r="BL216" s="12">
        <f t="shared" si="163"/>
        <v>0</v>
      </c>
      <c r="BM216" s="12">
        <f t="shared" si="164"/>
        <v>0</v>
      </c>
      <c r="BN216" s="12">
        <f t="shared" si="165"/>
        <v>0</v>
      </c>
      <c r="BO216" s="12">
        <f t="shared" si="166"/>
        <v>0</v>
      </c>
      <c r="BP216" s="12">
        <f t="shared" si="167"/>
        <v>0</v>
      </c>
      <c r="BQ216" s="12">
        <f t="shared" si="168"/>
        <v>0</v>
      </c>
      <c r="BR216" s="12">
        <f t="shared" si="131"/>
        <v>0</v>
      </c>
      <c r="BS216" s="12">
        <f t="shared" si="132"/>
        <v>0</v>
      </c>
      <c r="BU216" s="11">
        <f t="shared" si="133"/>
        <v>0</v>
      </c>
      <c r="BV216" s="11">
        <f t="shared" si="134"/>
        <v>0</v>
      </c>
      <c r="BW216" s="11">
        <f t="shared" si="135"/>
        <v>0</v>
      </c>
      <c r="BX216" s="11">
        <f t="shared" si="136"/>
        <v>0</v>
      </c>
      <c r="BY216" s="11">
        <f t="shared" si="137"/>
        <v>0</v>
      </c>
      <c r="BZ216" s="11">
        <f t="shared" si="138"/>
        <v>0</v>
      </c>
      <c r="CA216" s="11">
        <f t="shared" si="139"/>
        <v>0</v>
      </c>
      <c r="CB216" s="11">
        <f t="shared" si="140"/>
        <v>0</v>
      </c>
      <c r="CC216" s="11">
        <f t="shared" si="141"/>
        <v>0</v>
      </c>
      <c r="CD216" s="11">
        <f t="shared" si="142"/>
        <v>0</v>
      </c>
      <c r="CE216" s="11">
        <f t="shared" si="143"/>
        <v>0</v>
      </c>
      <c r="CF216" s="11">
        <f t="shared" si="144"/>
        <v>0</v>
      </c>
      <c r="CG216" s="11"/>
      <c r="CH216" s="41">
        <v>1</v>
      </c>
      <c r="CJ216" s="54">
        <f t="shared" si="145"/>
        <v>0</v>
      </c>
      <c r="CK216" s="54">
        <f t="shared" si="146"/>
        <v>0</v>
      </c>
      <c r="CL216" s="54">
        <f t="shared" si="147"/>
        <v>0</v>
      </c>
      <c r="CM216" s="54">
        <f t="shared" si="148"/>
        <v>0</v>
      </c>
      <c r="CN216" s="54">
        <f t="shared" si="149"/>
        <v>0</v>
      </c>
      <c r="CO216" s="54">
        <f t="shared" si="150"/>
        <v>0</v>
      </c>
      <c r="CP216" s="54">
        <f t="shared" si="151"/>
        <v>0</v>
      </c>
      <c r="CQ216" s="54">
        <f t="shared" si="152"/>
        <v>0</v>
      </c>
      <c r="CR216" s="54">
        <f t="shared" si="153"/>
        <v>0</v>
      </c>
      <c r="CS216" s="54">
        <f t="shared" si="154"/>
        <v>0</v>
      </c>
      <c r="CT216" s="54">
        <f t="shared" si="155"/>
        <v>0</v>
      </c>
      <c r="CU216" s="54">
        <f t="shared" si="156"/>
        <v>0</v>
      </c>
      <c r="CV216" s="52">
        <f t="shared" si="157"/>
        <v>0</v>
      </c>
    </row>
    <row r="217" spans="1:100" ht="15.75" x14ac:dyDescent="0.25">
      <c r="A217" s="17"/>
      <c r="B217" s="17"/>
      <c r="C217" s="17"/>
      <c r="D217" s="17"/>
      <c r="E217" s="17"/>
      <c r="F217" s="32" t="s">
        <v>2947</v>
      </c>
      <c r="G217" s="77"/>
      <c r="H217" s="77"/>
      <c r="I217" s="77"/>
      <c r="J217" s="77"/>
      <c r="K217" s="77"/>
      <c r="L217" s="77"/>
      <c r="M217" s="77"/>
      <c r="N217" s="77"/>
      <c r="O217" s="77"/>
      <c r="P217" s="77"/>
      <c r="Q217" s="77"/>
      <c r="R217" s="77"/>
      <c r="S217" s="11">
        <f t="shared" si="158"/>
        <v>0</v>
      </c>
      <c r="T217" s="5"/>
      <c r="V217" s="46">
        <f t="shared" si="130"/>
        <v>0</v>
      </c>
      <c r="W217" s="36">
        <v>3.766</v>
      </c>
      <c r="X217" s="36">
        <v>3.766</v>
      </c>
      <c r="Y217" s="36">
        <v>3.766</v>
      </c>
      <c r="Z217" s="36">
        <v>3.766</v>
      </c>
      <c r="AA217" s="36">
        <v>3.766</v>
      </c>
      <c r="AB217" s="36">
        <v>3.766</v>
      </c>
      <c r="AC217" s="36">
        <v>3.766</v>
      </c>
      <c r="AD217" s="36">
        <v>3.766</v>
      </c>
      <c r="AE217" s="36">
        <v>3.766</v>
      </c>
      <c r="AF217" s="36">
        <v>3.766</v>
      </c>
      <c r="AG217" s="36">
        <v>3.766</v>
      </c>
      <c r="AH217" s="36">
        <v>3.766</v>
      </c>
      <c r="AI217" s="39">
        <v>1.33634708931066E-2</v>
      </c>
      <c r="AJ217" s="39">
        <v>1.33634708931066E-2</v>
      </c>
      <c r="AK217" s="39">
        <v>1.33634708931066E-2</v>
      </c>
      <c r="AL217" s="39">
        <v>1.33634708931066E-2</v>
      </c>
      <c r="AM217" s="39">
        <v>1.33634708931066E-2</v>
      </c>
      <c r="AN217" s="39">
        <v>1.33634708931066E-2</v>
      </c>
      <c r="AO217" s="39">
        <v>1.33634708931066E-2</v>
      </c>
      <c r="AP217" s="39">
        <v>1.33634708931066E-2</v>
      </c>
      <c r="AQ217" s="39">
        <v>1.33634708931066E-2</v>
      </c>
      <c r="AR217" s="39">
        <v>1.33634708931066E-2</v>
      </c>
      <c r="AS217" s="39">
        <v>1.33634708931066E-2</v>
      </c>
      <c r="AT217" s="39">
        <v>1.33634708931066E-2</v>
      </c>
      <c r="AU217" s="39">
        <v>1.2392217523121999E-3</v>
      </c>
      <c r="AV217" s="39">
        <v>1.2392217523121999E-3</v>
      </c>
      <c r="AW217" s="39">
        <v>1.2392217523121999E-3</v>
      </c>
      <c r="AX217" s="39">
        <v>1.2392217523121999E-3</v>
      </c>
      <c r="AY217" s="39">
        <v>1.2392217523121999E-3</v>
      </c>
      <c r="AZ217" s="39">
        <v>1.2392217523121999E-3</v>
      </c>
      <c r="BA217" s="39">
        <v>1.2392217523121999E-3</v>
      </c>
      <c r="BB217" s="39">
        <v>1.2392217523121999E-3</v>
      </c>
      <c r="BC217" s="39">
        <v>1.2392217523121999E-3</v>
      </c>
      <c r="BD217" s="39">
        <v>1.2392217523121999E-3</v>
      </c>
      <c r="BE217" s="39">
        <v>1.2392217523121999E-3</v>
      </c>
      <c r="BF217" s="39">
        <v>1.2392217523121999E-3</v>
      </c>
      <c r="BH217" s="12">
        <f t="shared" si="159"/>
        <v>0</v>
      </c>
      <c r="BI217" s="12">
        <f t="shared" si="160"/>
        <v>0</v>
      </c>
      <c r="BJ217" s="12">
        <f t="shared" si="161"/>
        <v>0</v>
      </c>
      <c r="BK217" s="12">
        <f t="shared" si="162"/>
        <v>0</v>
      </c>
      <c r="BL217" s="12">
        <f t="shared" si="163"/>
        <v>0</v>
      </c>
      <c r="BM217" s="12">
        <f t="shared" si="164"/>
        <v>0</v>
      </c>
      <c r="BN217" s="12">
        <f t="shared" si="165"/>
        <v>0</v>
      </c>
      <c r="BO217" s="12">
        <f t="shared" si="166"/>
        <v>0</v>
      </c>
      <c r="BP217" s="12">
        <f t="shared" si="167"/>
        <v>0</v>
      </c>
      <c r="BQ217" s="12">
        <f t="shared" si="168"/>
        <v>0</v>
      </c>
      <c r="BR217" s="12">
        <f t="shared" si="131"/>
        <v>0</v>
      </c>
      <c r="BS217" s="12">
        <f t="shared" si="132"/>
        <v>0</v>
      </c>
      <c r="BU217" s="11">
        <f t="shared" si="133"/>
        <v>0</v>
      </c>
      <c r="BV217" s="11">
        <f t="shared" si="134"/>
        <v>0</v>
      </c>
      <c r="BW217" s="11">
        <f t="shared" si="135"/>
        <v>0</v>
      </c>
      <c r="BX217" s="11">
        <f t="shared" si="136"/>
        <v>0</v>
      </c>
      <c r="BY217" s="11">
        <f t="shared" si="137"/>
        <v>0</v>
      </c>
      <c r="BZ217" s="11">
        <f t="shared" si="138"/>
        <v>0</v>
      </c>
      <c r="CA217" s="11">
        <f t="shared" si="139"/>
        <v>0</v>
      </c>
      <c r="CB217" s="11">
        <f t="shared" si="140"/>
        <v>0</v>
      </c>
      <c r="CC217" s="11">
        <f t="shared" si="141"/>
        <v>0</v>
      </c>
      <c r="CD217" s="11">
        <f t="shared" si="142"/>
        <v>0</v>
      </c>
      <c r="CE217" s="11">
        <f t="shared" si="143"/>
        <v>0</v>
      </c>
      <c r="CF217" s="11">
        <f t="shared" si="144"/>
        <v>0</v>
      </c>
      <c r="CG217" s="11"/>
      <c r="CH217" s="41">
        <v>3.23</v>
      </c>
      <c r="CJ217" s="54">
        <f t="shared" si="145"/>
        <v>0</v>
      </c>
      <c r="CK217" s="54">
        <f t="shared" si="146"/>
        <v>0</v>
      </c>
      <c r="CL217" s="54">
        <f t="shared" si="147"/>
        <v>0</v>
      </c>
      <c r="CM217" s="54">
        <f t="shared" si="148"/>
        <v>0</v>
      </c>
      <c r="CN217" s="54">
        <f t="shared" si="149"/>
        <v>0</v>
      </c>
      <c r="CO217" s="54">
        <f t="shared" si="150"/>
        <v>0</v>
      </c>
      <c r="CP217" s="54">
        <f t="shared" si="151"/>
        <v>0</v>
      </c>
      <c r="CQ217" s="54">
        <f t="shared" si="152"/>
        <v>0</v>
      </c>
      <c r="CR217" s="54">
        <f t="shared" si="153"/>
        <v>0</v>
      </c>
      <c r="CS217" s="54">
        <f t="shared" si="154"/>
        <v>0</v>
      </c>
      <c r="CT217" s="54">
        <f t="shared" si="155"/>
        <v>0</v>
      </c>
      <c r="CU217" s="54">
        <f t="shared" si="156"/>
        <v>0</v>
      </c>
      <c r="CV217" s="52">
        <f t="shared" si="157"/>
        <v>0</v>
      </c>
    </row>
    <row r="218" spans="1:100" ht="15.75" x14ac:dyDescent="0.25">
      <c r="A218" s="17"/>
      <c r="B218" s="17"/>
      <c r="C218" s="17"/>
      <c r="D218" s="17"/>
      <c r="E218" s="17"/>
      <c r="F218" s="32" t="s">
        <v>2947</v>
      </c>
      <c r="G218" s="77"/>
      <c r="H218" s="77"/>
      <c r="I218" s="77"/>
      <c r="J218" s="77"/>
      <c r="K218" s="77"/>
      <c r="L218" s="77"/>
      <c r="M218" s="77"/>
      <c r="N218" s="77"/>
      <c r="O218" s="77"/>
      <c r="P218" s="77"/>
      <c r="Q218" s="77"/>
      <c r="R218" s="77"/>
      <c r="S218" s="11">
        <f t="shared" si="158"/>
        <v>0</v>
      </c>
      <c r="T218" s="5"/>
      <c r="V218" s="46">
        <f t="shared" si="130"/>
        <v>0</v>
      </c>
      <c r="W218" s="36">
        <v>0.94</v>
      </c>
      <c r="X218" s="36">
        <v>0.94</v>
      </c>
      <c r="Y218" s="36">
        <v>0.94</v>
      </c>
      <c r="Z218" s="36">
        <v>0.94</v>
      </c>
      <c r="AA218" s="36">
        <v>0.94</v>
      </c>
      <c r="AB218" s="36">
        <v>0.94</v>
      </c>
      <c r="AC218" s="36">
        <v>0.94</v>
      </c>
      <c r="AD218" s="36">
        <v>0.94</v>
      </c>
      <c r="AE218" s="36">
        <v>0.94</v>
      </c>
      <c r="AF218" s="36">
        <v>0.94</v>
      </c>
      <c r="AG218" s="36">
        <v>0.94</v>
      </c>
      <c r="AH218" s="36">
        <v>0.94</v>
      </c>
      <c r="AI218" s="39">
        <v>1.33634708931066E-2</v>
      </c>
      <c r="AJ218" s="39">
        <v>1.33634708931066E-2</v>
      </c>
      <c r="AK218" s="39">
        <v>1.33634708931066E-2</v>
      </c>
      <c r="AL218" s="39">
        <v>1.33634708931066E-2</v>
      </c>
      <c r="AM218" s="39">
        <v>1.33634708931066E-2</v>
      </c>
      <c r="AN218" s="39">
        <v>1.33634708931066E-2</v>
      </c>
      <c r="AO218" s="39">
        <v>1.33634708931066E-2</v>
      </c>
      <c r="AP218" s="39">
        <v>1.33634708931066E-2</v>
      </c>
      <c r="AQ218" s="39">
        <v>1.33634708931066E-2</v>
      </c>
      <c r="AR218" s="39">
        <v>1.33634708931066E-2</v>
      </c>
      <c r="AS218" s="39">
        <v>1.33634708931066E-2</v>
      </c>
      <c r="AT218" s="39">
        <v>1.33634708931066E-2</v>
      </c>
      <c r="AU218" s="39">
        <v>1.2392217523121999E-3</v>
      </c>
      <c r="AV218" s="39">
        <v>1.2392217523121999E-3</v>
      </c>
      <c r="AW218" s="39">
        <v>1.2392217523121999E-3</v>
      </c>
      <c r="AX218" s="39">
        <v>1.2392217523121999E-3</v>
      </c>
      <c r="AY218" s="39">
        <v>1.2392217523121999E-3</v>
      </c>
      <c r="AZ218" s="39">
        <v>1.2392217523121999E-3</v>
      </c>
      <c r="BA218" s="39">
        <v>1.2392217523121999E-3</v>
      </c>
      <c r="BB218" s="39">
        <v>1.2392217523121999E-3</v>
      </c>
      <c r="BC218" s="39">
        <v>1.2392217523121999E-3</v>
      </c>
      <c r="BD218" s="39">
        <v>1.2392217523121999E-3</v>
      </c>
      <c r="BE218" s="39">
        <v>1.2392217523121999E-3</v>
      </c>
      <c r="BF218" s="39">
        <v>1.2392217523121999E-3</v>
      </c>
      <c r="BH218" s="12">
        <f t="shared" si="159"/>
        <v>0</v>
      </c>
      <c r="BI218" s="12">
        <f t="shared" si="160"/>
        <v>0</v>
      </c>
      <c r="BJ218" s="12">
        <f t="shared" si="161"/>
        <v>0</v>
      </c>
      <c r="BK218" s="12">
        <f t="shared" si="162"/>
        <v>0</v>
      </c>
      <c r="BL218" s="12">
        <f t="shared" si="163"/>
        <v>0</v>
      </c>
      <c r="BM218" s="12">
        <f t="shared" si="164"/>
        <v>0</v>
      </c>
      <c r="BN218" s="12">
        <f t="shared" si="165"/>
        <v>0</v>
      </c>
      <c r="BO218" s="12">
        <f t="shared" si="166"/>
        <v>0</v>
      </c>
      <c r="BP218" s="12">
        <f t="shared" si="167"/>
        <v>0</v>
      </c>
      <c r="BQ218" s="12">
        <f t="shared" si="168"/>
        <v>0</v>
      </c>
      <c r="BR218" s="12">
        <f t="shared" si="131"/>
        <v>0</v>
      </c>
      <c r="BS218" s="12">
        <f t="shared" si="132"/>
        <v>0</v>
      </c>
      <c r="BU218" s="11">
        <f t="shared" si="133"/>
        <v>0</v>
      </c>
      <c r="BV218" s="11">
        <f t="shared" si="134"/>
        <v>0</v>
      </c>
      <c r="BW218" s="11">
        <f t="shared" si="135"/>
        <v>0</v>
      </c>
      <c r="BX218" s="11">
        <f t="shared" si="136"/>
        <v>0</v>
      </c>
      <c r="BY218" s="11">
        <f t="shared" si="137"/>
        <v>0</v>
      </c>
      <c r="BZ218" s="11">
        <f t="shared" si="138"/>
        <v>0</v>
      </c>
      <c r="CA218" s="11">
        <f t="shared" si="139"/>
        <v>0</v>
      </c>
      <c r="CB218" s="11">
        <f t="shared" si="140"/>
        <v>0</v>
      </c>
      <c r="CC218" s="11">
        <f t="shared" si="141"/>
        <v>0</v>
      </c>
      <c r="CD218" s="11">
        <f t="shared" si="142"/>
        <v>0</v>
      </c>
      <c r="CE218" s="11">
        <f t="shared" si="143"/>
        <v>0</v>
      </c>
      <c r="CF218" s="11">
        <f t="shared" si="144"/>
        <v>0</v>
      </c>
      <c r="CG218" s="11"/>
      <c r="CH218" s="41">
        <v>3.23</v>
      </c>
      <c r="CJ218" s="54">
        <f t="shared" si="145"/>
        <v>0</v>
      </c>
      <c r="CK218" s="54">
        <f t="shared" si="146"/>
        <v>0</v>
      </c>
      <c r="CL218" s="54">
        <f t="shared" si="147"/>
        <v>0</v>
      </c>
      <c r="CM218" s="54">
        <f t="shared" si="148"/>
        <v>0</v>
      </c>
      <c r="CN218" s="54">
        <f t="shared" si="149"/>
        <v>0</v>
      </c>
      <c r="CO218" s="54">
        <f t="shared" si="150"/>
        <v>0</v>
      </c>
      <c r="CP218" s="54">
        <f t="shared" si="151"/>
        <v>0</v>
      </c>
      <c r="CQ218" s="54">
        <f t="shared" si="152"/>
        <v>0</v>
      </c>
      <c r="CR218" s="54">
        <f t="shared" si="153"/>
        <v>0</v>
      </c>
      <c r="CS218" s="54">
        <f t="shared" si="154"/>
        <v>0</v>
      </c>
      <c r="CT218" s="54">
        <f t="shared" si="155"/>
        <v>0</v>
      </c>
      <c r="CU218" s="54">
        <f t="shared" si="156"/>
        <v>0</v>
      </c>
      <c r="CV218" s="52">
        <f t="shared" si="157"/>
        <v>0</v>
      </c>
    </row>
    <row r="219" spans="1:100" ht="15.75" x14ac:dyDescent="0.25">
      <c r="A219" s="17"/>
      <c r="B219" s="17"/>
      <c r="C219" s="17"/>
      <c r="D219" s="17"/>
      <c r="E219" s="17"/>
      <c r="F219" s="32" t="s">
        <v>2947</v>
      </c>
      <c r="G219" s="77"/>
      <c r="H219" s="77"/>
      <c r="I219" s="77"/>
      <c r="J219" s="77"/>
      <c r="K219" s="77"/>
      <c r="L219" s="77"/>
      <c r="M219" s="77"/>
      <c r="N219" s="77"/>
      <c r="O219" s="77"/>
      <c r="P219" s="77"/>
      <c r="Q219" s="77"/>
      <c r="R219" s="77"/>
      <c r="S219" s="11">
        <f t="shared" si="158"/>
        <v>0</v>
      </c>
      <c r="T219" s="5"/>
      <c r="V219" s="46">
        <f t="shared" si="130"/>
        <v>0</v>
      </c>
      <c r="W219" s="36">
        <v>1.75</v>
      </c>
      <c r="X219" s="36">
        <v>1.75</v>
      </c>
      <c r="Y219" s="36">
        <v>1.75</v>
      </c>
      <c r="Z219" s="36">
        <v>1.75</v>
      </c>
      <c r="AA219" s="36">
        <v>1.75</v>
      </c>
      <c r="AB219" s="36">
        <v>1.75</v>
      </c>
      <c r="AC219" s="36">
        <v>1.75</v>
      </c>
      <c r="AD219" s="36">
        <v>1.75</v>
      </c>
      <c r="AE219" s="36">
        <v>1.75</v>
      </c>
      <c r="AF219" s="36">
        <v>1.75</v>
      </c>
      <c r="AG219" s="36">
        <v>1.75</v>
      </c>
      <c r="AH219" s="36">
        <v>1.75</v>
      </c>
      <c r="AI219" s="39">
        <v>1.33634708931066E-2</v>
      </c>
      <c r="AJ219" s="39">
        <v>1.33634708931066E-2</v>
      </c>
      <c r="AK219" s="39">
        <v>1.33634708931066E-2</v>
      </c>
      <c r="AL219" s="39">
        <v>1.33634708931066E-2</v>
      </c>
      <c r="AM219" s="39">
        <v>1.33634708931066E-2</v>
      </c>
      <c r="AN219" s="39">
        <v>1.33634708931066E-2</v>
      </c>
      <c r="AO219" s="39">
        <v>1.33634708931066E-2</v>
      </c>
      <c r="AP219" s="39">
        <v>1.33634708931066E-2</v>
      </c>
      <c r="AQ219" s="39">
        <v>1.33634708931066E-2</v>
      </c>
      <c r="AR219" s="39">
        <v>1.33634708931066E-2</v>
      </c>
      <c r="AS219" s="39">
        <v>1.33634708931066E-2</v>
      </c>
      <c r="AT219" s="39">
        <v>1.33634708931066E-2</v>
      </c>
      <c r="AU219" s="39">
        <v>1.2392217523121999E-3</v>
      </c>
      <c r="AV219" s="39">
        <v>1.2392217523121999E-3</v>
      </c>
      <c r="AW219" s="39">
        <v>1.2392217523121999E-3</v>
      </c>
      <c r="AX219" s="39">
        <v>1.2392217523121999E-3</v>
      </c>
      <c r="AY219" s="39">
        <v>1.2392217523121999E-3</v>
      </c>
      <c r="AZ219" s="39">
        <v>1.2392217523121999E-3</v>
      </c>
      <c r="BA219" s="39">
        <v>1.2392217523121999E-3</v>
      </c>
      <c r="BB219" s="39">
        <v>1.2392217523121999E-3</v>
      </c>
      <c r="BC219" s="39">
        <v>1.2392217523121999E-3</v>
      </c>
      <c r="BD219" s="39">
        <v>1.2392217523121999E-3</v>
      </c>
      <c r="BE219" s="39">
        <v>1.2392217523121999E-3</v>
      </c>
      <c r="BF219" s="39">
        <v>1.2392217523121999E-3</v>
      </c>
      <c r="BH219" s="12">
        <f t="shared" si="159"/>
        <v>0</v>
      </c>
      <c r="BI219" s="12">
        <f t="shared" si="160"/>
        <v>0</v>
      </c>
      <c r="BJ219" s="12">
        <f t="shared" si="161"/>
        <v>0</v>
      </c>
      <c r="BK219" s="12">
        <f t="shared" si="162"/>
        <v>0</v>
      </c>
      <c r="BL219" s="12">
        <f t="shared" si="163"/>
        <v>0</v>
      </c>
      <c r="BM219" s="12">
        <f t="shared" si="164"/>
        <v>0</v>
      </c>
      <c r="BN219" s="12">
        <f t="shared" si="165"/>
        <v>0</v>
      </c>
      <c r="BO219" s="12">
        <f t="shared" si="166"/>
        <v>0</v>
      </c>
      <c r="BP219" s="12">
        <f t="shared" si="167"/>
        <v>0</v>
      </c>
      <c r="BQ219" s="12">
        <f t="shared" si="168"/>
        <v>0</v>
      </c>
      <c r="BR219" s="12">
        <f t="shared" si="131"/>
        <v>0</v>
      </c>
      <c r="BS219" s="12">
        <f t="shared" si="132"/>
        <v>0</v>
      </c>
      <c r="BU219" s="11">
        <f t="shared" si="133"/>
        <v>0</v>
      </c>
      <c r="BV219" s="11">
        <f t="shared" si="134"/>
        <v>0</v>
      </c>
      <c r="BW219" s="11">
        <f t="shared" si="135"/>
        <v>0</v>
      </c>
      <c r="BX219" s="11">
        <f t="shared" si="136"/>
        <v>0</v>
      </c>
      <c r="BY219" s="11">
        <f t="shared" si="137"/>
        <v>0</v>
      </c>
      <c r="BZ219" s="11">
        <f t="shared" si="138"/>
        <v>0</v>
      </c>
      <c r="CA219" s="11">
        <f t="shared" si="139"/>
        <v>0</v>
      </c>
      <c r="CB219" s="11">
        <f t="shared" si="140"/>
        <v>0</v>
      </c>
      <c r="CC219" s="11">
        <f t="shared" si="141"/>
        <v>0</v>
      </c>
      <c r="CD219" s="11">
        <f t="shared" si="142"/>
        <v>0</v>
      </c>
      <c r="CE219" s="11">
        <f t="shared" si="143"/>
        <v>0</v>
      </c>
      <c r="CF219" s="11">
        <f t="shared" si="144"/>
        <v>0</v>
      </c>
      <c r="CG219" s="11"/>
      <c r="CH219" s="41">
        <v>3.23</v>
      </c>
      <c r="CJ219" s="54">
        <f t="shared" si="145"/>
        <v>0</v>
      </c>
      <c r="CK219" s="54">
        <f t="shared" si="146"/>
        <v>0</v>
      </c>
      <c r="CL219" s="54">
        <f t="shared" si="147"/>
        <v>0</v>
      </c>
      <c r="CM219" s="54">
        <f t="shared" si="148"/>
        <v>0</v>
      </c>
      <c r="CN219" s="54">
        <f t="shared" si="149"/>
        <v>0</v>
      </c>
      <c r="CO219" s="54">
        <f t="shared" si="150"/>
        <v>0</v>
      </c>
      <c r="CP219" s="54">
        <f t="shared" si="151"/>
        <v>0</v>
      </c>
      <c r="CQ219" s="54">
        <f t="shared" si="152"/>
        <v>0</v>
      </c>
      <c r="CR219" s="54">
        <f t="shared" si="153"/>
        <v>0</v>
      </c>
      <c r="CS219" s="54">
        <f t="shared" si="154"/>
        <v>0</v>
      </c>
      <c r="CT219" s="54">
        <f t="shared" si="155"/>
        <v>0</v>
      </c>
      <c r="CU219" s="54">
        <f t="shared" si="156"/>
        <v>0</v>
      </c>
      <c r="CV219" s="52">
        <f t="shared" si="157"/>
        <v>0</v>
      </c>
    </row>
    <row r="220" spans="1:100" ht="15.75" x14ac:dyDescent="0.25">
      <c r="A220" s="17"/>
      <c r="B220" s="17"/>
      <c r="C220" s="17"/>
      <c r="D220" s="17"/>
      <c r="E220" s="17"/>
      <c r="F220" s="32" t="s">
        <v>2947</v>
      </c>
      <c r="G220" s="77"/>
      <c r="H220" s="77"/>
      <c r="I220" s="77"/>
      <c r="J220" s="77"/>
      <c r="K220" s="77"/>
      <c r="L220" s="77"/>
      <c r="M220" s="77"/>
      <c r="N220" s="77"/>
      <c r="O220" s="77"/>
      <c r="P220" s="77"/>
      <c r="Q220" s="77"/>
      <c r="R220" s="77"/>
      <c r="S220" s="11">
        <f t="shared" si="158"/>
        <v>0</v>
      </c>
      <c r="T220" s="5"/>
      <c r="V220" s="46">
        <f t="shared" si="130"/>
        <v>0</v>
      </c>
      <c r="W220" s="36">
        <v>2.367</v>
      </c>
      <c r="X220" s="36">
        <v>2.367</v>
      </c>
      <c r="Y220" s="36">
        <v>2.367</v>
      </c>
      <c r="Z220" s="36">
        <v>2.367</v>
      </c>
      <c r="AA220" s="36">
        <v>2.367</v>
      </c>
      <c r="AB220" s="36">
        <v>2.367</v>
      </c>
      <c r="AC220" s="36">
        <v>2.367</v>
      </c>
      <c r="AD220" s="36">
        <v>2.367</v>
      </c>
      <c r="AE220" s="36">
        <v>2.367</v>
      </c>
      <c r="AF220" s="36">
        <v>2.367</v>
      </c>
      <c r="AG220" s="36">
        <v>2.367</v>
      </c>
      <c r="AH220" s="36">
        <v>2.367</v>
      </c>
      <c r="AI220" s="39">
        <v>1.33634708931066E-2</v>
      </c>
      <c r="AJ220" s="39">
        <v>1.33634708931066E-2</v>
      </c>
      <c r="AK220" s="39">
        <v>1.33634708931066E-2</v>
      </c>
      <c r="AL220" s="39">
        <v>1.33634708931066E-2</v>
      </c>
      <c r="AM220" s="39">
        <v>1.33634708931066E-2</v>
      </c>
      <c r="AN220" s="39">
        <v>1.33634708931066E-2</v>
      </c>
      <c r="AO220" s="39">
        <v>1.33634708931066E-2</v>
      </c>
      <c r="AP220" s="39">
        <v>1.33634708931066E-2</v>
      </c>
      <c r="AQ220" s="39">
        <v>1.33634708931066E-2</v>
      </c>
      <c r="AR220" s="39">
        <v>1.33634708931066E-2</v>
      </c>
      <c r="AS220" s="39">
        <v>1.33634708931066E-2</v>
      </c>
      <c r="AT220" s="39">
        <v>1.33634708931066E-2</v>
      </c>
      <c r="AU220" s="39">
        <v>1.2392217523121999E-3</v>
      </c>
      <c r="AV220" s="39">
        <v>1.2392217523121999E-3</v>
      </c>
      <c r="AW220" s="39">
        <v>1.2392217523121999E-3</v>
      </c>
      <c r="AX220" s="39">
        <v>1.2392217523121999E-3</v>
      </c>
      <c r="AY220" s="39">
        <v>1.2392217523121999E-3</v>
      </c>
      <c r="AZ220" s="39">
        <v>1.2392217523121999E-3</v>
      </c>
      <c r="BA220" s="39">
        <v>1.2392217523121999E-3</v>
      </c>
      <c r="BB220" s="39">
        <v>1.2392217523121999E-3</v>
      </c>
      <c r="BC220" s="39">
        <v>1.2392217523121999E-3</v>
      </c>
      <c r="BD220" s="39">
        <v>1.2392217523121999E-3</v>
      </c>
      <c r="BE220" s="39">
        <v>1.2392217523121999E-3</v>
      </c>
      <c r="BF220" s="39">
        <v>1.2392217523121999E-3</v>
      </c>
      <c r="BH220" s="12">
        <f t="shared" si="159"/>
        <v>0</v>
      </c>
      <c r="BI220" s="12">
        <f t="shared" si="160"/>
        <v>0</v>
      </c>
      <c r="BJ220" s="12">
        <f t="shared" si="161"/>
        <v>0</v>
      </c>
      <c r="BK220" s="12">
        <f t="shared" si="162"/>
        <v>0</v>
      </c>
      <c r="BL220" s="12">
        <f t="shared" si="163"/>
        <v>0</v>
      </c>
      <c r="BM220" s="12">
        <f t="shared" si="164"/>
        <v>0</v>
      </c>
      <c r="BN220" s="12">
        <f t="shared" si="165"/>
        <v>0</v>
      </c>
      <c r="BO220" s="12">
        <f t="shared" si="166"/>
        <v>0</v>
      </c>
      <c r="BP220" s="12">
        <f t="shared" si="167"/>
        <v>0</v>
      </c>
      <c r="BQ220" s="12">
        <f t="shared" si="168"/>
        <v>0</v>
      </c>
      <c r="BR220" s="12">
        <f t="shared" si="131"/>
        <v>0</v>
      </c>
      <c r="BS220" s="12">
        <f t="shared" si="132"/>
        <v>0</v>
      </c>
      <c r="BU220" s="11">
        <f t="shared" si="133"/>
        <v>0</v>
      </c>
      <c r="BV220" s="11">
        <f t="shared" si="134"/>
        <v>0</v>
      </c>
      <c r="BW220" s="11">
        <f t="shared" si="135"/>
        <v>0</v>
      </c>
      <c r="BX220" s="11">
        <f t="shared" si="136"/>
        <v>0</v>
      </c>
      <c r="BY220" s="11">
        <f t="shared" si="137"/>
        <v>0</v>
      </c>
      <c r="BZ220" s="11">
        <f t="shared" si="138"/>
        <v>0</v>
      </c>
      <c r="CA220" s="11">
        <f t="shared" si="139"/>
        <v>0</v>
      </c>
      <c r="CB220" s="11">
        <f t="shared" si="140"/>
        <v>0</v>
      </c>
      <c r="CC220" s="11">
        <f t="shared" si="141"/>
        <v>0</v>
      </c>
      <c r="CD220" s="11">
        <f t="shared" si="142"/>
        <v>0</v>
      </c>
      <c r="CE220" s="11">
        <f t="shared" si="143"/>
        <v>0</v>
      </c>
      <c r="CF220" s="11">
        <f t="shared" si="144"/>
        <v>0</v>
      </c>
      <c r="CG220" s="11"/>
      <c r="CH220" s="41">
        <v>3.23</v>
      </c>
      <c r="CJ220" s="54">
        <f t="shared" si="145"/>
        <v>0</v>
      </c>
      <c r="CK220" s="54">
        <f t="shared" si="146"/>
        <v>0</v>
      </c>
      <c r="CL220" s="54">
        <f t="shared" si="147"/>
        <v>0</v>
      </c>
      <c r="CM220" s="54">
        <f t="shared" si="148"/>
        <v>0</v>
      </c>
      <c r="CN220" s="54">
        <f t="shared" si="149"/>
        <v>0</v>
      </c>
      <c r="CO220" s="54">
        <f t="shared" si="150"/>
        <v>0</v>
      </c>
      <c r="CP220" s="54">
        <f t="shared" si="151"/>
        <v>0</v>
      </c>
      <c r="CQ220" s="54">
        <f t="shared" si="152"/>
        <v>0</v>
      </c>
      <c r="CR220" s="54">
        <f t="shared" si="153"/>
        <v>0</v>
      </c>
      <c r="CS220" s="54">
        <f t="shared" si="154"/>
        <v>0</v>
      </c>
      <c r="CT220" s="54">
        <f t="shared" si="155"/>
        <v>0</v>
      </c>
      <c r="CU220" s="54">
        <f t="shared" si="156"/>
        <v>0</v>
      </c>
      <c r="CV220" s="52">
        <f t="shared" si="157"/>
        <v>0</v>
      </c>
    </row>
    <row r="221" spans="1:100" ht="15.75" x14ac:dyDescent="0.25">
      <c r="A221" s="17"/>
      <c r="B221" s="17"/>
      <c r="C221" s="17"/>
      <c r="D221" s="17"/>
      <c r="E221" s="17"/>
      <c r="F221" s="32" t="s">
        <v>2947</v>
      </c>
      <c r="G221" s="77"/>
      <c r="H221" s="77"/>
      <c r="I221" s="77"/>
      <c r="J221" s="77"/>
      <c r="K221" s="77"/>
      <c r="L221" s="77"/>
      <c r="M221" s="77"/>
      <c r="N221" s="77"/>
      <c r="O221" s="77"/>
      <c r="P221" s="77"/>
      <c r="Q221" s="77"/>
      <c r="R221" s="77"/>
      <c r="S221" s="11">
        <f t="shared" si="158"/>
        <v>0</v>
      </c>
      <c r="T221" s="5"/>
      <c r="V221" s="46">
        <f t="shared" si="130"/>
        <v>0</v>
      </c>
      <c r="W221" s="36">
        <v>1.9370000000000001</v>
      </c>
      <c r="X221" s="36">
        <v>1.9370000000000001</v>
      </c>
      <c r="Y221" s="36">
        <v>1.9370000000000001</v>
      </c>
      <c r="Z221" s="36">
        <v>1.9370000000000001</v>
      </c>
      <c r="AA221" s="36">
        <v>1.9370000000000001</v>
      </c>
      <c r="AB221" s="36">
        <v>1.9370000000000001</v>
      </c>
      <c r="AC221" s="36">
        <v>1.9370000000000001</v>
      </c>
      <c r="AD221" s="36">
        <v>1.9370000000000001</v>
      </c>
      <c r="AE221" s="36">
        <v>1.9370000000000001</v>
      </c>
      <c r="AF221" s="36">
        <v>1.9370000000000001</v>
      </c>
      <c r="AG221" s="36">
        <v>1.9370000000000001</v>
      </c>
      <c r="AH221" s="36">
        <v>1.9370000000000001</v>
      </c>
      <c r="AI221" s="39">
        <v>1.33634708931066E-2</v>
      </c>
      <c r="AJ221" s="39">
        <v>1.33634708931066E-2</v>
      </c>
      <c r="AK221" s="39">
        <v>1.33634708931066E-2</v>
      </c>
      <c r="AL221" s="39">
        <v>1.33634708931066E-2</v>
      </c>
      <c r="AM221" s="39">
        <v>1.33634708931066E-2</v>
      </c>
      <c r="AN221" s="39">
        <v>1.33634708931066E-2</v>
      </c>
      <c r="AO221" s="39">
        <v>1.33634708931066E-2</v>
      </c>
      <c r="AP221" s="39">
        <v>1.33634708931066E-2</v>
      </c>
      <c r="AQ221" s="39">
        <v>1.33634708931066E-2</v>
      </c>
      <c r="AR221" s="39">
        <v>1.33634708931066E-2</v>
      </c>
      <c r="AS221" s="39">
        <v>1.33634708931066E-2</v>
      </c>
      <c r="AT221" s="39">
        <v>1.33634708931066E-2</v>
      </c>
      <c r="AU221" s="39">
        <v>1.2392217523121999E-3</v>
      </c>
      <c r="AV221" s="39">
        <v>1.2392217523121999E-3</v>
      </c>
      <c r="AW221" s="39">
        <v>1.2392217523121999E-3</v>
      </c>
      <c r="AX221" s="39">
        <v>1.2392217523121999E-3</v>
      </c>
      <c r="AY221" s="39">
        <v>1.2392217523121999E-3</v>
      </c>
      <c r="AZ221" s="39">
        <v>1.2392217523121999E-3</v>
      </c>
      <c r="BA221" s="39">
        <v>1.2392217523121999E-3</v>
      </c>
      <c r="BB221" s="39">
        <v>1.2392217523121999E-3</v>
      </c>
      <c r="BC221" s="39">
        <v>1.2392217523121999E-3</v>
      </c>
      <c r="BD221" s="39">
        <v>1.2392217523121999E-3</v>
      </c>
      <c r="BE221" s="39">
        <v>1.2392217523121999E-3</v>
      </c>
      <c r="BF221" s="39">
        <v>1.2392217523121999E-3</v>
      </c>
      <c r="BH221" s="12">
        <f t="shared" si="159"/>
        <v>0</v>
      </c>
      <c r="BI221" s="12">
        <f t="shared" si="160"/>
        <v>0</v>
      </c>
      <c r="BJ221" s="12">
        <f t="shared" si="161"/>
        <v>0</v>
      </c>
      <c r="BK221" s="12">
        <f t="shared" si="162"/>
        <v>0</v>
      </c>
      <c r="BL221" s="12">
        <f t="shared" si="163"/>
        <v>0</v>
      </c>
      <c r="BM221" s="12">
        <f t="shared" si="164"/>
        <v>0</v>
      </c>
      <c r="BN221" s="12">
        <f t="shared" si="165"/>
        <v>0</v>
      </c>
      <c r="BO221" s="12">
        <f t="shared" si="166"/>
        <v>0</v>
      </c>
      <c r="BP221" s="12">
        <f t="shared" si="167"/>
        <v>0</v>
      </c>
      <c r="BQ221" s="12">
        <f t="shared" si="168"/>
        <v>0</v>
      </c>
      <c r="BR221" s="12">
        <f t="shared" si="131"/>
        <v>0</v>
      </c>
      <c r="BS221" s="12">
        <f t="shared" si="132"/>
        <v>0</v>
      </c>
      <c r="BU221" s="11">
        <f t="shared" si="133"/>
        <v>0</v>
      </c>
      <c r="BV221" s="11">
        <f t="shared" si="134"/>
        <v>0</v>
      </c>
      <c r="BW221" s="11">
        <f t="shared" si="135"/>
        <v>0</v>
      </c>
      <c r="BX221" s="11">
        <f t="shared" si="136"/>
        <v>0</v>
      </c>
      <c r="BY221" s="11">
        <f t="shared" si="137"/>
        <v>0</v>
      </c>
      <c r="BZ221" s="11">
        <f t="shared" si="138"/>
        <v>0</v>
      </c>
      <c r="CA221" s="11">
        <f t="shared" si="139"/>
        <v>0</v>
      </c>
      <c r="CB221" s="11">
        <f t="shared" si="140"/>
        <v>0</v>
      </c>
      <c r="CC221" s="11">
        <f t="shared" si="141"/>
        <v>0</v>
      </c>
      <c r="CD221" s="11">
        <f t="shared" si="142"/>
        <v>0</v>
      </c>
      <c r="CE221" s="11">
        <f t="shared" si="143"/>
        <v>0</v>
      </c>
      <c r="CF221" s="11">
        <f t="shared" si="144"/>
        <v>0</v>
      </c>
      <c r="CG221" s="11"/>
      <c r="CH221" s="41">
        <v>3.23</v>
      </c>
      <c r="CJ221" s="54">
        <f t="shared" si="145"/>
        <v>0</v>
      </c>
      <c r="CK221" s="54">
        <f t="shared" si="146"/>
        <v>0</v>
      </c>
      <c r="CL221" s="54">
        <f t="shared" si="147"/>
        <v>0</v>
      </c>
      <c r="CM221" s="54">
        <f t="shared" si="148"/>
        <v>0</v>
      </c>
      <c r="CN221" s="54">
        <f t="shared" si="149"/>
        <v>0</v>
      </c>
      <c r="CO221" s="54">
        <f t="shared" si="150"/>
        <v>0</v>
      </c>
      <c r="CP221" s="54">
        <f t="shared" si="151"/>
        <v>0</v>
      </c>
      <c r="CQ221" s="54">
        <f t="shared" si="152"/>
        <v>0</v>
      </c>
      <c r="CR221" s="54">
        <f t="shared" si="153"/>
        <v>0</v>
      </c>
      <c r="CS221" s="54">
        <f t="shared" si="154"/>
        <v>0</v>
      </c>
      <c r="CT221" s="54">
        <f t="shared" si="155"/>
        <v>0</v>
      </c>
      <c r="CU221" s="54">
        <f t="shared" si="156"/>
        <v>0</v>
      </c>
      <c r="CV221" s="52">
        <f t="shared" si="157"/>
        <v>0</v>
      </c>
    </row>
    <row r="222" spans="1:100" ht="15.75" x14ac:dyDescent="0.25">
      <c r="A222" s="17"/>
      <c r="B222" s="17"/>
      <c r="C222" s="17"/>
      <c r="D222" s="17"/>
      <c r="E222" s="17"/>
      <c r="F222" s="32" t="s">
        <v>2947</v>
      </c>
      <c r="G222" s="77"/>
      <c r="H222" s="77"/>
      <c r="I222" s="77"/>
      <c r="J222" s="77"/>
      <c r="K222" s="77"/>
      <c r="L222" s="77"/>
      <c r="M222" s="77"/>
      <c r="N222" s="77"/>
      <c r="O222" s="77"/>
      <c r="P222" s="77"/>
      <c r="Q222" s="77"/>
      <c r="R222" s="77"/>
      <c r="S222" s="11">
        <f t="shared" si="158"/>
        <v>0</v>
      </c>
      <c r="T222" s="5"/>
      <c r="V222" s="46">
        <f t="shared" si="130"/>
        <v>0</v>
      </c>
      <c r="W222" s="36">
        <v>2.6589999999999998</v>
      </c>
      <c r="X222" s="36">
        <v>2.6589999999999998</v>
      </c>
      <c r="Y222" s="36">
        <v>2.6589999999999998</v>
      </c>
      <c r="Z222" s="36">
        <v>2.6589999999999998</v>
      </c>
      <c r="AA222" s="36">
        <v>2.6589999999999998</v>
      </c>
      <c r="AB222" s="36">
        <v>2.6589999999999998</v>
      </c>
      <c r="AC222" s="36">
        <v>2.6589999999999998</v>
      </c>
      <c r="AD222" s="36">
        <v>2.6589999999999998</v>
      </c>
      <c r="AE222" s="36">
        <v>2.6589999999999998</v>
      </c>
      <c r="AF222" s="36">
        <v>2.6589999999999998</v>
      </c>
      <c r="AG222" s="36">
        <v>2.6589999999999998</v>
      </c>
      <c r="AH222" s="36">
        <v>2.6589999999999998</v>
      </c>
      <c r="AI222" s="39">
        <v>1.33634708931066E-2</v>
      </c>
      <c r="AJ222" s="39">
        <v>1.33634708931066E-2</v>
      </c>
      <c r="AK222" s="39">
        <v>1.33634708931066E-2</v>
      </c>
      <c r="AL222" s="39">
        <v>1.33634708931066E-2</v>
      </c>
      <c r="AM222" s="39">
        <v>1.33634708931066E-2</v>
      </c>
      <c r="AN222" s="39">
        <v>1.33634708931066E-2</v>
      </c>
      <c r="AO222" s="39">
        <v>1.33634708931066E-2</v>
      </c>
      <c r="AP222" s="39">
        <v>1.33634708931066E-2</v>
      </c>
      <c r="AQ222" s="39">
        <v>1.33634708931066E-2</v>
      </c>
      <c r="AR222" s="39">
        <v>1.33634708931066E-2</v>
      </c>
      <c r="AS222" s="39">
        <v>1.33634708931066E-2</v>
      </c>
      <c r="AT222" s="39">
        <v>1.33634708931066E-2</v>
      </c>
      <c r="AU222" s="39">
        <v>1.2392217523121999E-3</v>
      </c>
      <c r="AV222" s="39">
        <v>1.2392217523121999E-3</v>
      </c>
      <c r="AW222" s="39">
        <v>1.2392217523121999E-3</v>
      </c>
      <c r="AX222" s="39">
        <v>1.2392217523121999E-3</v>
      </c>
      <c r="AY222" s="39">
        <v>1.2392217523121999E-3</v>
      </c>
      <c r="AZ222" s="39">
        <v>1.2392217523121999E-3</v>
      </c>
      <c r="BA222" s="39">
        <v>1.2392217523121999E-3</v>
      </c>
      <c r="BB222" s="39">
        <v>1.2392217523121999E-3</v>
      </c>
      <c r="BC222" s="39">
        <v>1.2392217523121999E-3</v>
      </c>
      <c r="BD222" s="39">
        <v>1.2392217523121999E-3</v>
      </c>
      <c r="BE222" s="39">
        <v>1.2392217523121999E-3</v>
      </c>
      <c r="BF222" s="39">
        <v>1.2392217523121999E-3</v>
      </c>
      <c r="BH222" s="12">
        <f t="shared" si="159"/>
        <v>0</v>
      </c>
      <c r="BI222" s="12">
        <f t="shared" si="160"/>
        <v>0</v>
      </c>
      <c r="BJ222" s="12">
        <f t="shared" si="161"/>
        <v>0</v>
      </c>
      <c r="BK222" s="12">
        <f t="shared" si="162"/>
        <v>0</v>
      </c>
      <c r="BL222" s="12">
        <f t="shared" si="163"/>
        <v>0</v>
      </c>
      <c r="BM222" s="12">
        <f t="shared" si="164"/>
        <v>0</v>
      </c>
      <c r="BN222" s="12">
        <f t="shared" si="165"/>
        <v>0</v>
      </c>
      <c r="BO222" s="12">
        <f t="shared" si="166"/>
        <v>0</v>
      </c>
      <c r="BP222" s="12">
        <f t="shared" si="167"/>
        <v>0</v>
      </c>
      <c r="BQ222" s="12">
        <f t="shared" si="168"/>
        <v>0</v>
      </c>
      <c r="BR222" s="12">
        <f t="shared" si="131"/>
        <v>0</v>
      </c>
      <c r="BS222" s="12">
        <f t="shared" si="132"/>
        <v>0</v>
      </c>
      <c r="BU222" s="11">
        <f t="shared" si="133"/>
        <v>0</v>
      </c>
      <c r="BV222" s="11">
        <f t="shared" si="134"/>
        <v>0</v>
      </c>
      <c r="BW222" s="11">
        <f t="shared" si="135"/>
        <v>0</v>
      </c>
      <c r="BX222" s="11">
        <f t="shared" si="136"/>
        <v>0</v>
      </c>
      <c r="BY222" s="11">
        <f t="shared" si="137"/>
        <v>0</v>
      </c>
      <c r="BZ222" s="11">
        <f t="shared" si="138"/>
        <v>0</v>
      </c>
      <c r="CA222" s="11">
        <f t="shared" si="139"/>
        <v>0</v>
      </c>
      <c r="CB222" s="11">
        <f t="shared" si="140"/>
        <v>0</v>
      </c>
      <c r="CC222" s="11">
        <f t="shared" si="141"/>
        <v>0</v>
      </c>
      <c r="CD222" s="11">
        <f t="shared" si="142"/>
        <v>0</v>
      </c>
      <c r="CE222" s="11">
        <f t="shared" si="143"/>
        <v>0</v>
      </c>
      <c r="CF222" s="11">
        <f t="shared" si="144"/>
        <v>0</v>
      </c>
      <c r="CG222" s="11"/>
      <c r="CH222" s="41">
        <v>3.23</v>
      </c>
      <c r="CJ222" s="54">
        <f t="shared" si="145"/>
        <v>0</v>
      </c>
      <c r="CK222" s="54">
        <f t="shared" si="146"/>
        <v>0</v>
      </c>
      <c r="CL222" s="54">
        <f t="shared" si="147"/>
        <v>0</v>
      </c>
      <c r="CM222" s="54">
        <f t="shared" si="148"/>
        <v>0</v>
      </c>
      <c r="CN222" s="54">
        <f t="shared" si="149"/>
        <v>0</v>
      </c>
      <c r="CO222" s="54">
        <f t="shared" si="150"/>
        <v>0</v>
      </c>
      <c r="CP222" s="54">
        <f t="shared" si="151"/>
        <v>0</v>
      </c>
      <c r="CQ222" s="54">
        <f t="shared" si="152"/>
        <v>0</v>
      </c>
      <c r="CR222" s="54">
        <f t="shared" si="153"/>
        <v>0</v>
      </c>
      <c r="CS222" s="54">
        <f t="shared" si="154"/>
        <v>0</v>
      </c>
      <c r="CT222" s="54">
        <f t="shared" si="155"/>
        <v>0</v>
      </c>
      <c r="CU222" s="54">
        <f t="shared" si="156"/>
        <v>0</v>
      </c>
      <c r="CV222" s="52">
        <f t="shared" si="157"/>
        <v>0</v>
      </c>
    </row>
    <row r="223" spans="1:100" ht="15.75" x14ac:dyDescent="0.25">
      <c r="A223" s="17"/>
      <c r="B223" s="17"/>
      <c r="C223" s="17"/>
      <c r="D223" s="17"/>
      <c r="E223" s="17"/>
      <c r="F223" s="32" t="s">
        <v>2947</v>
      </c>
      <c r="G223" s="77"/>
      <c r="H223" s="77"/>
      <c r="I223" s="77"/>
      <c r="J223" s="77"/>
      <c r="K223" s="77"/>
      <c r="L223" s="77"/>
      <c r="M223" s="77"/>
      <c r="N223" s="77"/>
      <c r="O223" s="77"/>
      <c r="P223" s="77"/>
      <c r="Q223" s="77"/>
      <c r="R223" s="77"/>
      <c r="S223" s="11">
        <f t="shared" si="158"/>
        <v>0</v>
      </c>
      <c r="T223" s="5"/>
      <c r="V223" s="46">
        <f t="shared" si="130"/>
        <v>0</v>
      </c>
      <c r="W223" s="36">
        <v>1.8500010816189674</v>
      </c>
      <c r="X223" s="36">
        <v>1.8500010816189674</v>
      </c>
      <c r="Y223" s="36">
        <v>1.8500010816189674</v>
      </c>
      <c r="Z223" s="36">
        <v>1.8500010816189674</v>
      </c>
      <c r="AA223" s="36">
        <v>1.8500010816189674</v>
      </c>
      <c r="AB223" s="36">
        <v>1.8500010816189674</v>
      </c>
      <c r="AC223" s="36">
        <v>1.8500010816189674</v>
      </c>
      <c r="AD223" s="36">
        <v>1.8500010816189674</v>
      </c>
      <c r="AE223" s="36">
        <v>1.8500010816189674</v>
      </c>
      <c r="AF223" s="36">
        <v>1.8500010816189674</v>
      </c>
      <c r="AG223" s="36">
        <v>1.8500010816189674</v>
      </c>
      <c r="AH223" s="36">
        <v>1.8500010816189674</v>
      </c>
      <c r="AI223" s="39">
        <v>0</v>
      </c>
      <c r="AJ223" s="39">
        <v>0</v>
      </c>
      <c r="AK223" s="39">
        <v>0</v>
      </c>
      <c r="AL223" s="39">
        <v>0</v>
      </c>
      <c r="AM223" s="39">
        <v>0</v>
      </c>
      <c r="AN223" s="39">
        <v>0</v>
      </c>
      <c r="AO223" s="39">
        <v>0</v>
      </c>
      <c r="AP223" s="39">
        <v>0</v>
      </c>
      <c r="AQ223" s="39">
        <v>0</v>
      </c>
      <c r="AR223" s="39">
        <v>0</v>
      </c>
      <c r="AS223" s="39">
        <v>0</v>
      </c>
      <c r="AT223" s="39">
        <v>0</v>
      </c>
      <c r="AU223" s="39">
        <v>0</v>
      </c>
      <c r="AV223" s="39">
        <v>0</v>
      </c>
      <c r="AW223" s="39">
        <v>0</v>
      </c>
      <c r="AX223" s="39">
        <v>0</v>
      </c>
      <c r="AY223" s="39">
        <v>0</v>
      </c>
      <c r="AZ223" s="39">
        <v>0</v>
      </c>
      <c r="BA223" s="39">
        <v>0</v>
      </c>
      <c r="BB223" s="39">
        <v>0</v>
      </c>
      <c r="BC223" s="39">
        <v>0</v>
      </c>
      <c r="BD223" s="39">
        <v>0</v>
      </c>
      <c r="BE223" s="39">
        <v>0</v>
      </c>
      <c r="BF223" s="39">
        <v>0</v>
      </c>
      <c r="BH223" s="12">
        <f t="shared" si="159"/>
        <v>0</v>
      </c>
      <c r="BI223" s="12">
        <f t="shared" si="160"/>
        <v>0</v>
      </c>
      <c r="BJ223" s="12">
        <f t="shared" si="161"/>
        <v>0</v>
      </c>
      <c r="BK223" s="12">
        <f t="shared" si="162"/>
        <v>0</v>
      </c>
      <c r="BL223" s="12">
        <f t="shared" si="163"/>
        <v>0</v>
      </c>
      <c r="BM223" s="12">
        <f t="shared" si="164"/>
        <v>0</v>
      </c>
      <c r="BN223" s="12">
        <f t="shared" si="165"/>
        <v>0</v>
      </c>
      <c r="BO223" s="12">
        <f t="shared" si="166"/>
        <v>0</v>
      </c>
      <c r="BP223" s="12">
        <f t="shared" si="167"/>
        <v>0</v>
      </c>
      <c r="BQ223" s="12">
        <f t="shared" si="168"/>
        <v>0</v>
      </c>
      <c r="BR223" s="12">
        <f t="shared" si="131"/>
        <v>0</v>
      </c>
      <c r="BS223" s="12">
        <f t="shared" si="132"/>
        <v>0</v>
      </c>
      <c r="BU223" s="11">
        <f t="shared" si="133"/>
        <v>0</v>
      </c>
      <c r="BV223" s="11">
        <f t="shared" si="134"/>
        <v>0</v>
      </c>
      <c r="BW223" s="11">
        <f t="shared" si="135"/>
        <v>0</v>
      </c>
      <c r="BX223" s="11">
        <f t="shared" si="136"/>
        <v>0</v>
      </c>
      <c r="BY223" s="11">
        <f t="shared" si="137"/>
        <v>0</v>
      </c>
      <c r="BZ223" s="11">
        <f t="shared" si="138"/>
        <v>0</v>
      </c>
      <c r="CA223" s="11">
        <f t="shared" si="139"/>
        <v>0</v>
      </c>
      <c r="CB223" s="11">
        <f t="shared" si="140"/>
        <v>0</v>
      </c>
      <c r="CC223" s="11">
        <f t="shared" si="141"/>
        <v>0</v>
      </c>
      <c r="CD223" s="11">
        <f t="shared" si="142"/>
        <v>0</v>
      </c>
      <c r="CE223" s="11">
        <f t="shared" si="143"/>
        <v>0</v>
      </c>
      <c r="CF223" s="11">
        <f t="shared" si="144"/>
        <v>0</v>
      </c>
      <c r="CG223" s="11"/>
      <c r="CH223" s="41">
        <v>1</v>
      </c>
      <c r="CJ223" s="54">
        <f t="shared" si="145"/>
        <v>0</v>
      </c>
      <c r="CK223" s="54">
        <f t="shared" si="146"/>
        <v>0</v>
      </c>
      <c r="CL223" s="54">
        <f t="shared" si="147"/>
        <v>0</v>
      </c>
      <c r="CM223" s="54">
        <f t="shared" si="148"/>
        <v>0</v>
      </c>
      <c r="CN223" s="54">
        <f t="shared" si="149"/>
        <v>0</v>
      </c>
      <c r="CO223" s="54">
        <f t="shared" si="150"/>
        <v>0</v>
      </c>
      <c r="CP223" s="54">
        <f t="shared" si="151"/>
        <v>0</v>
      </c>
      <c r="CQ223" s="54">
        <f t="shared" si="152"/>
        <v>0</v>
      </c>
      <c r="CR223" s="54">
        <f t="shared" si="153"/>
        <v>0</v>
      </c>
      <c r="CS223" s="54">
        <f t="shared" si="154"/>
        <v>0</v>
      </c>
      <c r="CT223" s="54">
        <f t="shared" si="155"/>
        <v>0</v>
      </c>
      <c r="CU223" s="54">
        <f t="shared" si="156"/>
        <v>0</v>
      </c>
      <c r="CV223" s="52">
        <f t="shared" si="157"/>
        <v>0</v>
      </c>
    </row>
    <row r="224" spans="1:100" ht="15.75" x14ac:dyDescent="0.25">
      <c r="A224" s="17"/>
      <c r="B224" s="17"/>
      <c r="C224" s="17"/>
      <c r="D224" s="17"/>
      <c r="E224" s="17"/>
      <c r="F224" s="32" t="s">
        <v>2947</v>
      </c>
      <c r="G224" s="77"/>
      <c r="H224" s="77"/>
      <c r="I224" s="77"/>
      <c r="J224" s="77"/>
      <c r="K224" s="77"/>
      <c r="L224" s="77"/>
      <c r="M224" s="77"/>
      <c r="N224" s="77"/>
      <c r="O224" s="77"/>
      <c r="P224" s="77"/>
      <c r="Q224" s="77"/>
      <c r="R224" s="77"/>
      <c r="S224" s="11">
        <f t="shared" si="158"/>
        <v>0</v>
      </c>
      <c r="T224" s="5"/>
      <c r="V224" s="46">
        <f t="shared" si="130"/>
        <v>0</v>
      </c>
      <c r="W224" s="36">
        <v>3.17</v>
      </c>
      <c r="X224" s="36">
        <v>3.17</v>
      </c>
      <c r="Y224" s="36">
        <v>3.17</v>
      </c>
      <c r="Z224" s="36">
        <v>3.17</v>
      </c>
      <c r="AA224" s="36">
        <v>3.17</v>
      </c>
      <c r="AB224" s="36">
        <v>3.17</v>
      </c>
      <c r="AC224" s="36">
        <v>3.17</v>
      </c>
      <c r="AD224" s="36">
        <v>3.17</v>
      </c>
      <c r="AE224" s="36">
        <v>3.17</v>
      </c>
      <c r="AF224" s="36">
        <v>3.17</v>
      </c>
      <c r="AG224" s="36">
        <v>3.17</v>
      </c>
      <c r="AH224" s="36">
        <v>3.17</v>
      </c>
      <c r="AI224" s="39">
        <v>0</v>
      </c>
      <c r="AJ224" s="39">
        <v>0</v>
      </c>
      <c r="AK224" s="39">
        <v>0</v>
      </c>
      <c r="AL224" s="39">
        <v>0</v>
      </c>
      <c r="AM224" s="39">
        <v>0</v>
      </c>
      <c r="AN224" s="39">
        <v>0</v>
      </c>
      <c r="AO224" s="39">
        <v>0</v>
      </c>
      <c r="AP224" s="39">
        <v>0</v>
      </c>
      <c r="AQ224" s="39">
        <v>0</v>
      </c>
      <c r="AR224" s="39">
        <v>0</v>
      </c>
      <c r="AS224" s="39">
        <v>0</v>
      </c>
      <c r="AT224" s="39">
        <v>0</v>
      </c>
      <c r="AU224" s="39">
        <v>0</v>
      </c>
      <c r="AV224" s="39">
        <v>0</v>
      </c>
      <c r="AW224" s="39">
        <v>0</v>
      </c>
      <c r="AX224" s="39">
        <v>0</v>
      </c>
      <c r="AY224" s="39">
        <v>0</v>
      </c>
      <c r="AZ224" s="39">
        <v>0</v>
      </c>
      <c r="BA224" s="39">
        <v>0</v>
      </c>
      <c r="BB224" s="39">
        <v>0</v>
      </c>
      <c r="BC224" s="39">
        <v>0</v>
      </c>
      <c r="BD224" s="39">
        <v>0</v>
      </c>
      <c r="BE224" s="39">
        <v>0</v>
      </c>
      <c r="BF224" s="39">
        <v>0</v>
      </c>
      <c r="BH224" s="12">
        <f t="shared" si="159"/>
        <v>0</v>
      </c>
      <c r="BI224" s="12">
        <f t="shared" si="160"/>
        <v>0</v>
      </c>
      <c r="BJ224" s="12">
        <f t="shared" si="161"/>
        <v>0</v>
      </c>
      <c r="BK224" s="12">
        <f t="shared" si="162"/>
        <v>0</v>
      </c>
      <c r="BL224" s="12">
        <f t="shared" si="163"/>
        <v>0</v>
      </c>
      <c r="BM224" s="12">
        <f t="shared" si="164"/>
        <v>0</v>
      </c>
      <c r="BN224" s="12">
        <f t="shared" si="165"/>
        <v>0</v>
      </c>
      <c r="BO224" s="12">
        <f t="shared" si="166"/>
        <v>0</v>
      </c>
      <c r="BP224" s="12">
        <f t="shared" si="167"/>
        <v>0</v>
      </c>
      <c r="BQ224" s="12">
        <f t="shared" si="168"/>
        <v>0</v>
      </c>
      <c r="BR224" s="12">
        <f t="shared" si="131"/>
        <v>0</v>
      </c>
      <c r="BS224" s="12">
        <f t="shared" si="132"/>
        <v>0</v>
      </c>
      <c r="BU224" s="11">
        <f t="shared" si="133"/>
        <v>0</v>
      </c>
      <c r="BV224" s="11">
        <f t="shared" si="134"/>
        <v>0</v>
      </c>
      <c r="BW224" s="11">
        <f t="shared" si="135"/>
        <v>0</v>
      </c>
      <c r="BX224" s="11">
        <f t="shared" si="136"/>
        <v>0</v>
      </c>
      <c r="BY224" s="11">
        <f t="shared" si="137"/>
        <v>0</v>
      </c>
      <c r="BZ224" s="11">
        <f t="shared" si="138"/>
        <v>0</v>
      </c>
      <c r="CA224" s="11">
        <f t="shared" si="139"/>
        <v>0</v>
      </c>
      <c r="CB224" s="11">
        <f t="shared" si="140"/>
        <v>0</v>
      </c>
      <c r="CC224" s="11">
        <f t="shared" si="141"/>
        <v>0</v>
      </c>
      <c r="CD224" s="11">
        <f t="shared" si="142"/>
        <v>0</v>
      </c>
      <c r="CE224" s="11">
        <f t="shared" si="143"/>
        <v>0</v>
      </c>
      <c r="CF224" s="11">
        <f t="shared" si="144"/>
        <v>0</v>
      </c>
      <c r="CG224" s="11"/>
      <c r="CH224" s="41">
        <v>1</v>
      </c>
      <c r="CJ224" s="54">
        <f t="shared" si="145"/>
        <v>0</v>
      </c>
      <c r="CK224" s="54">
        <f t="shared" si="146"/>
        <v>0</v>
      </c>
      <c r="CL224" s="54">
        <f t="shared" si="147"/>
        <v>0</v>
      </c>
      <c r="CM224" s="54">
        <f t="shared" si="148"/>
        <v>0</v>
      </c>
      <c r="CN224" s="54">
        <f t="shared" si="149"/>
        <v>0</v>
      </c>
      <c r="CO224" s="54">
        <f t="shared" si="150"/>
        <v>0</v>
      </c>
      <c r="CP224" s="54">
        <f t="shared" si="151"/>
        <v>0</v>
      </c>
      <c r="CQ224" s="54">
        <f t="shared" si="152"/>
        <v>0</v>
      </c>
      <c r="CR224" s="54">
        <f t="shared" si="153"/>
        <v>0</v>
      </c>
      <c r="CS224" s="54">
        <f t="shared" si="154"/>
        <v>0</v>
      </c>
      <c r="CT224" s="54">
        <f t="shared" si="155"/>
        <v>0</v>
      </c>
      <c r="CU224" s="54">
        <f t="shared" si="156"/>
        <v>0</v>
      </c>
      <c r="CV224" s="52">
        <f t="shared" si="157"/>
        <v>0</v>
      </c>
    </row>
    <row r="225" spans="1:100" ht="15.75" x14ac:dyDescent="0.25">
      <c r="A225" s="17"/>
      <c r="B225" s="17"/>
      <c r="C225" s="17"/>
      <c r="D225" s="17"/>
      <c r="E225" s="17"/>
      <c r="F225" s="32" t="s">
        <v>2947</v>
      </c>
      <c r="G225" s="77"/>
      <c r="H225" s="77"/>
      <c r="I225" s="77"/>
      <c r="J225" s="77"/>
      <c r="K225" s="77"/>
      <c r="L225" s="77"/>
      <c r="M225" s="77"/>
      <c r="N225" s="77"/>
      <c r="O225" s="77"/>
      <c r="P225" s="77"/>
      <c r="Q225" s="77"/>
      <c r="R225" s="77"/>
      <c r="S225" s="11">
        <f t="shared" si="158"/>
        <v>0</v>
      </c>
      <c r="T225" s="5"/>
      <c r="V225" s="46">
        <f t="shared" si="130"/>
        <v>0</v>
      </c>
      <c r="W225" s="36">
        <v>3.149</v>
      </c>
      <c r="X225" s="36">
        <v>3.149</v>
      </c>
      <c r="Y225" s="36">
        <v>3.149</v>
      </c>
      <c r="Z225" s="36">
        <v>3.149</v>
      </c>
      <c r="AA225" s="36">
        <v>3.149</v>
      </c>
      <c r="AB225" s="36">
        <v>3.149</v>
      </c>
      <c r="AC225" s="36">
        <v>3.149</v>
      </c>
      <c r="AD225" s="36">
        <v>3.149</v>
      </c>
      <c r="AE225" s="36">
        <v>3.149</v>
      </c>
      <c r="AF225" s="36">
        <v>3.149</v>
      </c>
      <c r="AG225" s="36">
        <v>3.149</v>
      </c>
      <c r="AH225" s="36">
        <v>3.149</v>
      </c>
      <c r="AI225" s="39">
        <v>1.33634708931066E-2</v>
      </c>
      <c r="AJ225" s="39">
        <v>1.33634708931066E-2</v>
      </c>
      <c r="AK225" s="39">
        <v>1.33634708931066E-2</v>
      </c>
      <c r="AL225" s="39">
        <v>1.33634708931066E-2</v>
      </c>
      <c r="AM225" s="39">
        <v>1.33634708931066E-2</v>
      </c>
      <c r="AN225" s="39">
        <v>1.33634708931066E-2</v>
      </c>
      <c r="AO225" s="39">
        <v>1.33634708931066E-2</v>
      </c>
      <c r="AP225" s="39">
        <v>1.33634708931066E-2</v>
      </c>
      <c r="AQ225" s="39">
        <v>1.33634708931066E-2</v>
      </c>
      <c r="AR225" s="39">
        <v>1.33634708931066E-2</v>
      </c>
      <c r="AS225" s="39">
        <v>1.33634708931066E-2</v>
      </c>
      <c r="AT225" s="39">
        <v>1.33634708931066E-2</v>
      </c>
      <c r="AU225" s="39">
        <v>1.2392217523121999E-3</v>
      </c>
      <c r="AV225" s="39">
        <v>1.2392217523121999E-3</v>
      </c>
      <c r="AW225" s="39">
        <v>1.2392217523121999E-3</v>
      </c>
      <c r="AX225" s="39">
        <v>1.2392217523121999E-3</v>
      </c>
      <c r="AY225" s="39">
        <v>1.2392217523121999E-3</v>
      </c>
      <c r="AZ225" s="39">
        <v>1.2392217523121999E-3</v>
      </c>
      <c r="BA225" s="39">
        <v>1.2392217523121999E-3</v>
      </c>
      <c r="BB225" s="39">
        <v>1.2392217523121999E-3</v>
      </c>
      <c r="BC225" s="39">
        <v>1.2392217523121999E-3</v>
      </c>
      <c r="BD225" s="39">
        <v>1.2392217523121999E-3</v>
      </c>
      <c r="BE225" s="39">
        <v>1.2392217523121999E-3</v>
      </c>
      <c r="BF225" s="39">
        <v>1.2392217523121999E-3</v>
      </c>
      <c r="BH225" s="12">
        <f t="shared" si="159"/>
        <v>0</v>
      </c>
      <c r="BI225" s="12">
        <f t="shared" si="160"/>
        <v>0</v>
      </c>
      <c r="BJ225" s="12">
        <f t="shared" si="161"/>
        <v>0</v>
      </c>
      <c r="BK225" s="12">
        <f t="shared" si="162"/>
        <v>0</v>
      </c>
      <c r="BL225" s="12">
        <f t="shared" si="163"/>
        <v>0</v>
      </c>
      <c r="BM225" s="12">
        <f t="shared" si="164"/>
        <v>0</v>
      </c>
      <c r="BN225" s="12">
        <f t="shared" si="165"/>
        <v>0</v>
      </c>
      <c r="BO225" s="12">
        <f t="shared" si="166"/>
        <v>0</v>
      </c>
      <c r="BP225" s="12">
        <f t="shared" si="167"/>
        <v>0</v>
      </c>
      <c r="BQ225" s="12">
        <f t="shared" si="168"/>
        <v>0</v>
      </c>
      <c r="BR225" s="12">
        <f t="shared" si="131"/>
        <v>0</v>
      </c>
      <c r="BS225" s="12">
        <f t="shared" si="132"/>
        <v>0</v>
      </c>
      <c r="BU225" s="11">
        <f t="shared" si="133"/>
        <v>0</v>
      </c>
      <c r="BV225" s="11">
        <f t="shared" si="134"/>
        <v>0</v>
      </c>
      <c r="BW225" s="11">
        <f t="shared" si="135"/>
        <v>0</v>
      </c>
      <c r="BX225" s="11">
        <f t="shared" si="136"/>
        <v>0</v>
      </c>
      <c r="BY225" s="11">
        <f t="shared" si="137"/>
        <v>0</v>
      </c>
      <c r="BZ225" s="11">
        <f t="shared" si="138"/>
        <v>0</v>
      </c>
      <c r="CA225" s="11">
        <f t="shared" si="139"/>
        <v>0</v>
      </c>
      <c r="CB225" s="11">
        <f t="shared" si="140"/>
        <v>0</v>
      </c>
      <c r="CC225" s="11">
        <f t="shared" si="141"/>
        <v>0</v>
      </c>
      <c r="CD225" s="11">
        <f t="shared" si="142"/>
        <v>0</v>
      </c>
      <c r="CE225" s="11">
        <f t="shared" si="143"/>
        <v>0</v>
      </c>
      <c r="CF225" s="11">
        <f t="shared" si="144"/>
        <v>0</v>
      </c>
      <c r="CG225" s="11"/>
      <c r="CH225" s="41">
        <v>3.23</v>
      </c>
      <c r="CJ225" s="54">
        <f t="shared" si="145"/>
        <v>0</v>
      </c>
      <c r="CK225" s="54">
        <f t="shared" si="146"/>
        <v>0</v>
      </c>
      <c r="CL225" s="54">
        <f t="shared" si="147"/>
        <v>0</v>
      </c>
      <c r="CM225" s="54">
        <f t="shared" si="148"/>
        <v>0</v>
      </c>
      <c r="CN225" s="54">
        <f t="shared" si="149"/>
        <v>0</v>
      </c>
      <c r="CO225" s="54">
        <f t="shared" si="150"/>
        <v>0</v>
      </c>
      <c r="CP225" s="54">
        <f t="shared" si="151"/>
        <v>0</v>
      </c>
      <c r="CQ225" s="54">
        <f t="shared" si="152"/>
        <v>0</v>
      </c>
      <c r="CR225" s="54">
        <f t="shared" si="153"/>
        <v>0</v>
      </c>
      <c r="CS225" s="54">
        <f t="shared" si="154"/>
        <v>0</v>
      </c>
      <c r="CT225" s="54">
        <f t="shared" si="155"/>
        <v>0</v>
      </c>
      <c r="CU225" s="54">
        <f t="shared" si="156"/>
        <v>0</v>
      </c>
      <c r="CV225" s="52">
        <f t="shared" si="157"/>
        <v>0</v>
      </c>
    </row>
    <row r="226" spans="1:100" ht="15.75" x14ac:dyDescent="0.25">
      <c r="A226" s="17"/>
      <c r="B226" s="17"/>
      <c r="C226" s="17"/>
      <c r="D226" s="17"/>
      <c r="E226" s="17"/>
      <c r="F226" s="32" t="s">
        <v>2947</v>
      </c>
      <c r="G226" s="77"/>
      <c r="H226" s="77"/>
      <c r="I226" s="77"/>
      <c r="J226" s="77"/>
      <c r="K226" s="77"/>
      <c r="L226" s="77"/>
      <c r="M226" s="77"/>
      <c r="N226" s="77"/>
      <c r="O226" s="77"/>
      <c r="P226" s="77"/>
      <c r="Q226" s="77"/>
      <c r="R226" s="77"/>
      <c r="S226" s="11">
        <f t="shared" si="158"/>
        <v>0</v>
      </c>
      <c r="T226" s="5"/>
      <c r="V226" s="46">
        <f t="shared" si="130"/>
        <v>0</v>
      </c>
      <c r="W226" s="36">
        <v>1.4379999999999999</v>
      </c>
      <c r="X226" s="36">
        <v>1.4379999999999999</v>
      </c>
      <c r="Y226" s="36">
        <v>1.4379999999999999</v>
      </c>
      <c r="Z226" s="36">
        <v>1.4379999999999999</v>
      </c>
      <c r="AA226" s="36">
        <v>1.4379999999999999</v>
      </c>
      <c r="AB226" s="36">
        <v>1.4379999999999999</v>
      </c>
      <c r="AC226" s="36">
        <v>1.4379999999999999</v>
      </c>
      <c r="AD226" s="36">
        <v>1.4379999999999999</v>
      </c>
      <c r="AE226" s="36">
        <v>1.4379999999999999</v>
      </c>
      <c r="AF226" s="36">
        <v>1.4379999999999999</v>
      </c>
      <c r="AG226" s="36">
        <v>1.4379999999999999</v>
      </c>
      <c r="AH226" s="36">
        <v>1.4379999999999999</v>
      </c>
      <c r="AI226" s="39">
        <v>1.33634708931066E-2</v>
      </c>
      <c r="AJ226" s="39">
        <v>1.33634708931066E-2</v>
      </c>
      <c r="AK226" s="39">
        <v>1.33634708931066E-2</v>
      </c>
      <c r="AL226" s="39">
        <v>1.33634708931066E-2</v>
      </c>
      <c r="AM226" s="39">
        <v>1.33634708931066E-2</v>
      </c>
      <c r="AN226" s="39">
        <v>1.33634708931066E-2</v>
      </c>
      <c r="AO226" s="39">
        <v>1.33634708931066E-2</v>
      </c>
      <c r="AP226" s="39">
        <v>1.33634708931066E-2</v>
      </c>
      <c r="AQ226" s="39">
        <v>1.33634708931066E-2</v>
      </c>
      <c r="AR226" s="39">
        <v>1.33634708931066E-2</v>
      </c>
      <c r="AS226" s="39">
        <v>1.33634708931066E-2</v>
      </c>
      <c r="AT226" s="39">
        <v>1.33634708931066E-2</v>
      </c>
      <c r="AU226" s="39">
        <v>1.2392217523121999E-3</v>
      </c>
      <c r="AV226" s="39">
        <v>1.2392217523121999E-3</v>
      </c>
      <c r="AW226" s="39">
        <v>1.2392217523121999E-3</v>
      </c>
      <c r="AX226" s="39">
        <v>1.2392217523121999E-3</v>
      </c>
      <c r="AY226" s="39">
        <v>1.2392217523121999E-3</v>
      </c>
      <c r="AZ226" s="39">
        <v>1.2392217523121999E-3</v>
      </c>
      <c r="BA226" s="39">
        <v>1.2392217523121999E-3</v>
      </c>
      <c r="BB226" s="39">
        <v>1.2392217523121999E-3</v>
      </c>
      <c r="BC226" s="39">
        <v>1.2392217523121999E-3</v>
      </c>
      <c r="BD226" s="39">
        <v>1.2392217523121999E-3</v>
      </c>
      <c r="BE226" s="39">
        <v>1.2392217523121999E-3</v>
      </c>
      <c r="BF226" s="39">
        <v>1.2392217523121999E-3</v>
      </c>
      <c r="BH226" s="12">
        <f t="shared" si="159"/>
        <v>0</v>
      </c>
      <c r="BI226" s="12">
        <f t="shared" si="160"/>
        <v>0</v>
      </c>
      <c r="BJ226" s="12">
        <f t="shared" si="161"/>
        <v>0</v>
      </c>
      <c r="BK226" s="12">
        <f t="shared" si="162"/>
        <v>0</v>
      </c>
      <c r="BL226" s="12">
        <f t="shared" si="163"/>
        <v>0</v>
      </c>
      <c r="BM226" s="12">
        <f t="shared" si="164"/>
        <v>0</v>
      </c>
      <c r="BN226" s="12">
        <f t="shared" si="165"/>
        <v>0</v>
      </c>
      <c r="BO226" s="12">
        <f t="shared" si="166"/>
        <v>0</v>
      </c>
      <c r="BP226" s="12">
        <f t="shared" si="167"/>
        <v>0</v>
      </c>
      <c r="BQ226" s="12">
        <f t="shared" si="168"/>
        <v>0</v>
      </c>
      <c r="BR226" s="12">
        <f t="shared" si="131"/>
        <v>0</v>
      </c>
      <c r="BS226" s="12">
        <f t="shared" si="132"/>
        <v>0</v>
      </c>
      <c r="BU226" s="11">
        <f t="shared" si="133"/>
        <v>0</v>
      </c>
      <c r="BV226" s="11">
        <f t="shared" si="134"/>
        <v>0</v>
      </c>
      <c r="BW226" s="11">
        <f t="shared" si="135"/>
        <v>0</v>
      </c>
      <c r="BX226" s="11">
        <f t="shared" si="136"/>
        <v>0</v>
      </c>
      <c r="BY226" s="11">
        <f t="shared" si="137"/>
        <v>0</v>
      </c>
      <c r="BZ226" s="11">
        <f t="shared" si="138"/>
        <v>0</v>
      </c>
      <c r="CA226" s="11">
        <f t="shared" si="139"/>
        <v>0</v>
      </c>
      <c r="CB226" s="11">
        <f t="shared" si="140"/>
        <v>0</v>
      </c>
      <c r="CC226" s="11">
        <f t="shared" si="141"/>
        <v>0</v>
      </c>
      <c r="CD226" s="11">
        <f t="shared" si="142"/>
        <v>0</v>
      </c>
      <c r="CE226" s="11">
        <f t="shared" si="143"/>
        <v>0</v>
      </c>
      <c r="CF226" s="11">
        <f t="shared" si="144"/>
        <v>0</v>
      </c>
      <c r="CG226" s="11"/>
      <c r="CH226" s="41">
        <v>3.23</v>
      </c>
      <c r="CJ226" s="54">
        <f t="shared" si="145"/>
        <v>0</v>
      </c>
      <c r="CK226" s="54">
        <f t="shared" si="146"/>
        <v>0</v>
      </c>
      <c r="CL226" s="54">
        <f t="shared" si="147"/>
        <v>0</v>
      </c>
      <c r="CM226" s="54">
        <f t="shared" si="148"/>
        <v>0</v>
      </c>
      <c r="CN226" s="54">
        <f t="shared" si="149"/>
        <v>0</v>
      </c>
      <c r="CO226" s="54">
        <f t="shared" si="150"/>
        <v>0</v>
      </c>
      <c r="CP226" s="54">
        <f t="shared" si="151"/>
        <v>0</v>
      </c>
      <c r="CQ226" s="54">
        <f t="shared" si="152"/>
        <v>0</v>
      </c>
      <c r="CR226" s="54">
        <f t="shared" si="153"/>
        <v>0</v>
      </c>
      <c r="CS226" s="54">
        <f t="shared" si="154"/>
        <v>0</v>
      </c>
      <c r="CT226" s="54">
        <f t="shared" si="155"/>
        <v>0</v>
      </c>
      <c r="CU226" s="54">
        <f t="shared" si="156"/>
        <v>0</v>
      </c>
      <c r="CV226" s="52">
        <f t="shared" si="157"/>
        <v>0</v>
      </c>
    </row>
    <row r="227" spans="1:100" ht="15.75" x14ac:dyDescent="0.25">
      <c r="A227" s="17"/>
      <c r="B227" s="17"/>
      <c r="C227" s="17"/>
      <c r="D227" s="17"/>
      <c r="E227" s="17"/>
      <c r="F227" s="32" t="s">
        <v>2947</v>
      </c>
      <c r="G227" s="77"/>
      <c r="H227" s="77"/>
      <c r="I227" s="77"/>
      <c r="J227" s="77"/>
      <c r="K227" s="77"/>
      <c r="L227" s="77"/>
      <c r="M227" s="77"/>
      <c r="N227" s="77"/>
      <c r="O227" s="77"/>
      <c r="P227" s="77"/>
      <c r="Q227" s="77"/>
      <c r="R227" s="77"/>
      <c r="S227" s="11">
        <f t="shared" si="158"/>
        <v>0</v>
      </c>
      <c r="T227" s="5"/>
      <c r="V227" s="46">
        <f t="shared" si="130"/>
        <v>0</v>
      </c>
      <c r="W227" s="36">
        <v>1.6339999999999999</v>
      </c>
      <c r="X227" s="36">
        <v>1.6339999999999999</v>
      </c>
      <c r="Y227" s="36">
        <v>1.6339999999999999</v>
      </c>
      <c r="Z227" s="36">
        <v>1.6339999999999999</v>
      </c>
      <c r="AA227" s="36">
        <v>1.6339999999999999</v>
      </c>
      <c r="AB227" s="36">
        <v>1.6339999999999999</v>
      </c>
      <c r="AC227" s="36">
        <v>1.6339999999999999</v>
      </c>
      <c r="AD227" s="36">
        <v>1.6339999999999999</v>
      </c>
      <c r="AE227" s="36">
        <v>1.6339999999999999</v>
      </c>
      <c r="AF227" s="36">
        <v>1.6339999999999999</v>
      </c>
      <c r="AG227" s="36">
        <v>1.6339999999999999</v>
      </c>
      <c r="AH227" s="36">
        <v>1.6339999999999999</v>
      </c>
      <c r="AI227" s="39">
        <v>1.33634708931066E-2</v>
      </c>
      <c r="AJ227" s="39">
        <v>1.33634708931066E-2</v>
      </c>
      <c r="AK227" s="39">
        <v>1.33634708931066E-2</v>
      </c>
      <c r="AL227" s="39">
        <v>1.33634708931066E-2</v>
      </c>
      <c r="AM227" s="39">
        <v>1.33634708931066E-2</v>
      </c>
      <c r="AN227" s="39">
        <v>1.33634708931066E-2</v>
      </c>
      <c r="AO227" s="39">
        <v>1.33634708931066E-2</v>
      </c>
      <c r="AP227" s="39">
        <v>1.33634708931066E-2</v>
      </c>
      <c r="AQ227" s="39">
        <v>1.33634708931066E-2</v>
      </c>
      <c r="AR227" s="39">
        <v>1.33634708931066E-2</v>
      </c>
      <c r="AS227" s="39">
        <v>1.33634708931066E-2</v>
      </c>
      <c r="AT227" s="39">
        <v>1.33634708931066E-2</v>
      </c>
      <c r="AU227" s="39">
        <v>1.2392217523121999E-3</v>
      </c>
      <c r="AV227" s="39">
        <v>1.2392217523121999E-3</v>
      </c>
      <c r="AW227" s="39">
        <v>1.2392217523121999E-3</v>
      </c>
      <c r="AX227" s="39">
        <v>1.2392217523121999E-3</v>
      </c>
      <c r="AY227" s="39">
        <v>1.2392217523121999E-3</v>
      </c>
      <c r="AZ227" s="39">
        <v>1.2392217523121999E-3</v>
      </c>
      <c r="BA227" s="39">
        <v>1.2392217523121999E-3</v>
      </c>
      <c r="BB227" s="39">
        <v>1.2392217523121999E-3</v>
      </c>
      <c r="BC227" s="39">
        <v>1.2392217523121999E-3</v>
      </c>
      <c r="BD227" s="39">
        <v>1.2392217523121999E-3</v>
      </c>
      <c r="BE227" s="39">
        <v>1.2392217523121999E-3</v>
      </c>
      <c r="BF227" s="39">
        <v>1.2392217523121999E-3</v>
      </c>
      <c r="BH227" s="12">
        <f t="shared" si="159"/>
        <v>0</v>
      </c>
      <c r="BI227" s="12">
        <f t="shared" si="160"/>
        <v>0</v>
      </c>
      <c r="BJ227" s="12">
        <f t="shared" si="161"/>
        <v>0</v>
      </c>
      <c r="BK227" s="12">
        <f t="shared" si="162"/>
        <v>0</v>
      </c>
      <c r="BL227" s="12">
        <f t="shared" si="163"/>
        <v>0</v>
      </c>
      <c r="BM227" s="12">
        <f t="shared" si="164"/>
        <v>0</v>
      </c>
      <c r="BN227" s="12">
        <f t="shared" si="165"/>
        <v>0</v>
      </c>
      <c r="BO227" s="12">
        <f t="shared" si="166"/>
        <v>0</v>
      </c>
      <c r="BP227" s="12">
        <f t="shared" si="167"/>
        <v>0</v>
      </c>
      <c r="BQ227" s="12">
        <f t="shared" si="168"/>
        <v>0</v>
      </c>
      <c r="BR227" s="12">
        <f t="shared" si="131"/>
        <v>0</v>
      </c>
      <c r="BS227" s="12">
        <f t="shared" si="132"/>
        <v>0</v>
      </c>
      <c r="BU227" s="11">
        <f t="shared" si="133"/>
        <v>0</v>
      </c>
      <c r="BV227" s="11">
        <f t="shared" si="134"/>
        <v>0</v>
      </c>
      <c r="BW227" s="11">
        <f t="shared" si="135"/>
        <v>0</v>
      </c>
      <c r="BX227" s="11">
        <f t="shared" si="136"/>
        <v>0</v>
      </c>
      <c r="BY227" s="11">
        <f t="shared" si="137"/>
        <v>0</v>
      </c>
      <c r="BZ227" s="11">
        <f t="shared" si="138"/>
        <v>0</v>
      </c>
      <c r="CA227" s="11">
        <f t="shared" si="139"/>
        <v>0</v>
      </c>
      <c r="CB227" s="11">
        <f t="shared" si="140"/>
        <v>0</v>
      </c>
      <c r="CC227" s="11">
        <f t="shared" si="141"/>
        <v>0</v>
      </c>
      <c r="CD227" s="11">
        <f t="shared" si="142"/>
        <v>0</v>
      </c>
      <c r="CE227" s="11">
        <f t="shared" si="143"/>
        <v>0</v>
      </c>
      <c r="CF227" s="11">
        <f t="shared" si="144"/>
        <v>0</v>
      </c>
      <c r="CG227" s="11"/>
      <c r="CH227" s="41">
        <v>3.23</v>
      </c>
      <c r="CJ227" s="54">
        <f t="shared" si="145"/>
        <v>0</v>
      </c>
      <c r="CK227" s="54">
        <f t="shared" si="146"/>
        <v>0</v>
      </c>
      <c r="CL227" s="54">
        <f t="shared" si="147"/>
        <v>0</v>
      </c>
      <c r="CM227" s="54">
        <f t="shared" si="148"/>
        <v>0</v>
      </c>
      <c r="CN227" s="54">
        <f t="shared" si="149"/>
        <v>0</v>
      </c>
      <c r="CO227" s="54">
        <f t="shared" si="150"/>
        <v>0</v>
      </c>
      <c r="CP227" s="54">
        <f t="shared" si="151"/>
        <v>0</v>
      </c>
      <c r="CQ227" s="54">
        <f t="shared" si="152"/>
        <v>0</v>
      </c>
      <c r="CR227" s="54">
        <f t="shared" si="153"/>
        <v>0</v>
      </c>
      <c r="CS227" s="54">
        <f t="shared" si="154"/>
        <v>0</v>
      </c>
      <c r="CT227" s="54">
        <f t="shared" si="155"/>
        <v>0</v>
      </c>
      <c r="CU227" s="54">
        <f t="shared" si="156"/>
        <v>0</v>
      </c>
      <c r="CV227" s="52">
        <f t="shared" si="157"/>
        <v>0</v>
      </c>
    </row>
    <row r="228" spans="1:100" ht="15.75" x14ac:dyDescent="0.25">
      <c r="A228" s="17"/>
      <c r="B228" s="17"/>
      <c r="C228" s="17"/>
      <c r="D228" s="17"/>
      <c r="E228" s="17"/>
      <c r="F228" s="32" t="s">
        <v>2947</v>
      </c>
      <c r="G228" s="77"/>
      <c r="H228" s="77"/>
      <c r="I228" s="77"/>
      <c r="J228" s="77"/>
      <c r="K228" s="77"/>
      <c r="L228" s="77"/>
      <c r="M228" s="77"/>
      <c r="N228" s="77"/>
      <c r="O228" s="77"/>
      <c r="P228" s="77"/>
      <c r="Q228" s="77"/>
      <c r="R228" s="77"/>
      <c r="S228" s="11">
        <f t="shared" si="158"/>
        <v>0</v>
      </c>
      <c r="T228" s="5"/>
      <c r="V228" s="46">
        <f t="shared" si="130"/>
        <v>0</v>
      </c>
      <c r="W228" s="36">
        <v>2.6459999999999999</v>
      </c>
      <c r="X228" s="36">
        <v>2.6459999999999999</v>
      </c>
      <c r="Y228" s="36">
        <v>2.6459999999999999</v>
      </c>
      <c r="Z228" s="36">
        <v>2.6459999999999999</v>
      </c>
      <c r="AA228" s="36">
        <v>2.6459999999999999</v>
      </c>
      <c r="AB228" s="36">
        <v>2.6459999999999999</v>
      </c>
      <c r="AC228" s="36">
        <v>2.6459999999999999</v>
      </c>
      <c r="AD228" s="36">
        <v>2.6459999999999999</v>
      </c>
      <c r="AE228" s="36">
        <v>2.6459999999999999</v>
      </c>
      <c r="AF228" s="36">
        <v>2.6459999999999999</v>
      </c>
      <c r="AG228" s="36">
        <v>2.6459999999999999</v>
      </c>
      <c r="AH228" s="36">
        <v>2.6459999999999999</v>
      </c>
      <c r="AI228" s="39">
        <v>1.33634708931066E-2</v>
      </c>
      <c r="AJ228" s="39">
        <v>1.33634708931066E-2</v>
      </c>
      <c r="AK228" s="39">
        <v>1.33634708931066E-2</v>
      </c>
      <c r="AL228" s="39">
        <v>1.33634708931066E-2</v>
      </c>
      <c r="AM228" s="39">
        <v>1.33634708931066E-2</v>
      </c>
      <c r="AN228" s="39">
        <v>1.33634708931066E-2</v>
      </c>
      <c r="AO228" s="39">
        <v>1.33634708931066E-2</v>
      </c>
      <c r="AP228" s="39">
        <v>1.33634708931066E-2</v>
      </c>
      <c r="AQ228" s="39">
        <v>1.33634708931066E-2</v>
      </c>
      <c r="AR228" s="39">
        <v>1.33634708931066E-2</v>
      </c>
      <c r="AS228" s="39">
        <v>1.33634708931066E-2</v>
      </c>
      <c r="AT228" s="39">
        <v>1.33634708931066E-2</v>
      </c>
      <c r="AU228" s="39">
        <v>1.2392217523121999E-3</v>
      </c>
      <c r="AV228" s="39">
        <v>1.2392217523121999E-3</v>
      </c>
      <c r="AW228" s="39">
        <v>1.2392217523121999E-3</v>
      </c>
      <c r="AX228" s="39">
        <v>1.2392217523121999E-3</v>
      </c>
      <c r="AY228" s="39">
        <v>1.2392217523121999E-3</v>
      </c>
      <c r="AZ228" s="39">
        <v>1.2392217523121999E-3</v>
      </c>
      <c r="BA228" s="39">
        <v>1.2392217523121999E-3</v>
      </c>
      <c r="BB228" s="39">
        <v>1.2392217523121999E-3</v>
      </c>
      <c r="BC228" s="39">
        <v>1.2392217523121999E-3</v>
      </c>
      <c r="BD228" s="39">
        <v>1.2392217523121999E-3</v>
      </c>
      <c r="BE228" s="39">
        <v>1.2392217523121999E-3</v>
      </c>
      <c r="BF228" s="39">
        <v>1.2392217523121999E-3</v>
      </c>
      <c r="BH228" s="12">
        <f t="shared" si="159"/>
        <v>0</v>
      </c>
      <c r="BI228" s="12">
        <f t="shared" si="160"/>
        <v>0</v>
      </c>
      <c r="BJ228" s="12">
        <f t="shared" si="161"/>
        <v>0</v>
      </c>
      <c r="BK228" s="12">
        <f t="shared" si="162"/>
        <v>0</v>
      </c>
      <c r="BL228" s="12">
        <f t="shared" si="163"/>
        <v>0</v>
      </c>
      <c r="BM228" s="12">
        <f t="shared" si="164"/>
        <v>0</v>
      </c>
      <c r="BN228" s="12">
        <f t="shared" si="165"/>
        <v>0</v>
      </c>
      <c r="BO228" s="12">
        <f t="shared" si="166"/>
        <v>0</v>
      </c>
      <c r="BP228" s="12">
        <f t="shared" si="167"/>
        <v>0</v>
      </c>
      <c r="BQ228" s="12">
        <f t="shared" si="168"/>
        <v>0</v>
      </c>
      <c r="BR228" s="12">
        <f t="shared" si="131"/>
        <v>0</v>
      </c>
      <c r="BS228" s="12">
        <f t="shared" si="132"/>
        <v>0</v>
      </c>
      <c r="BU228" s="11">
        <f t="shared" si="133"/>
        <v>0</v>
      </c>
      <c r="BV228" s="11">
        <f t="shared" si="134"/>
        <v>0</v>
      </c>
      <c r="BW228" s="11">
        <f t="shared" si="135"/>
        <v>0</v>
      </c>
      <c r="BX228" s="11">
        <f t="shared" si="136"/>
        <v>0</v>
      </c>
      <c r="BY228" s="11">
        <f t="shared" si="137"/>
        <v>0</v>
      </c>
      <c r="BZ228" s="11">
        <f t="shared" si="138"/>
        <v>0</v>
      </c>
      <c r="CA228" s="11">
        <f t="shared" si="139"/>
        <v>0</v>
      </c>
      <c r="CB228" s="11">
        <f t="shared" si="140"/>
        <v>0</v>
      </c>
      <c r="CC228" s="11">
        <f t="shared" si="141"/>
        <v>0</v>
      </c>
      <c r="CD228" s="11">
        <f t="shared" si="142"/>
        <v>0</v>
      </c>
      <c r="CE228" s="11">
        <f t="shared" si="143"/>
        <v>0</v>
      </c>
      <c r="CF228" s="11">
        <f t="shared" si="144"/>
        <v>0</v>
      </c>
      <c r="CG228" s="11"/>
      <c r="CH228" s="41">
        <v>3.23</v>
      </c>
      <c r="CJ228" s="54">
        <f t="shared" si="145"/>
        <v>0</v>
      </c>
      <c r="CK228" s="54">
        <f t="shared" si="146"/>
        <v>0</v>
      </c>
      <c r="CL228" s="54">
        <f t="shared" si="147"/>
        <v>0</v>
      </c>
      <c r="CM228" s="54">
        <f t="shared" si="148"/>
        <v>0</v>
      </c>
      <c r="CN228" s="54">
        <f t="shared" si="149"/>
        <v>0</v>
      </c>
      <c r="CO228" s="54">
        <f t="shared" si="150"/>
        <v>0</v>
      </c>
      <c r="CP228" s="54">
        <f t="shared" si="151"/>
        <v>0</v>
      </c>
      <c r="CQ228" s="54">
        <f t="shared" si="152"/>
        <v>0</v>
      </c>
      <c r="CR228" s="54">
        <f t="shared" si="153"/>
        <v>0</v>
      </c>
      <c r="CS228" s="54">
        <f t="shared" si="154"/>
        <v>0</v>
      </c>
      <c r="CT228" s="54">
        <f t="shared" si="155"/>
        <v>0</v>
      </c>
      <c r="CU228" s="54">
        <f t="shared" si="156"/>
        <v>0</v>
      </c>
      <c r="CV228" s="52">
        <f t="shared" si="157"/>
        <v>0</v>
      </c>
    </row>
    <row r="229" spans="1:100" ht="15.75" x14ac:dyDescent="0.25">
      <c r="A229" s="17"/>
      <c r="B229" s="17"/>
      <c r="C229" s="17"/>
      <c r="D229" s="17"/>
      <c r="E229" s="17"/>
      <c r="F229" s="32" t="s">
        <v>2947</v>
      </c>
      <c r="G229" s="77"/>
      <c r="H229" s="77"/>
      <c r="I229" s="77"/>
      <c r="J229" s="77"/>
      <c r="K229" s="77"/>
      <c r="L229" s="77"/>
      <c r="M229" s="77"/>
      <c r="N229" s="77"/>
      <c r="O229" s="77"/>
      <c r="P229" s="77"/>
      <c r="Q229" s="77"/>
      <c r="R229" s="77"/>
      <c r="S229" s="11">
        <f t="shared" si="158"/>
        <v>0</v>
      </c>
      <c r="T229" s="5"/>
      <c r="V229" s="46">
        <f t="shared" si="130"/>
        <v>0</v>
      </c>
      <c r="W229" s="36">
        <v>2.367</v>
      </c>
      <c r="X229" s="36">
        <v>2.367</v>
      </c>
      <c r="Y229" s="36">
        <v>2.367</v>
      </c>
      <c r="Z229" s="36">
        <v>2.367</v>
      </c>
      <c r="AA229" s="36">
        <v>2.367</v>
      </c>
      <c r="AB229" s="36">
        <v>2.367</v>
      </c>
      <c r="AC229" s="36">
        <v>2.367</v>
      </c>
      <c r="AD229" s="36">
        <v>2.367</v>
      </c>
      <c r="AE229" s="36">
        <v>2.367</v>
      </c>
      <c r="AF229" s="36">
        <v>2.367</v>
      </c>
      <c r="AG229" s="36">
        <v>2.367</v>
      </c>
      <c r="AH229" s="36">
        <v>2.367</v>
      </c>
      <c r="AI229" s="39">
        <v>1.33634708931066E-2</v>
      </c>
      <c r="AJ229" s="39">
        <v>1.33634708931066E-2</v>
      </c>
      <c r="AK229" s="39">
        <v>1.33634708931066E-2</v>
      </c>
      <c r="AL229" s="39">
        <v>1.33634708931066E-2</v>
      </c>
      <c r="AM229" s="39">
        <v>1.33634708931066E-2</v>
      </c>
      <c r="AN229" s="39">
        <v>1.33634708931066E-2</v>
      </c>
      <c r="AO229" s="39">
        <v>1.33634708931066E-2</v>
      </c>
      <c r="AP229" s="39">
        <v>1.33634708931066E-2</v>
      </c>
      <c r="AQ229" s="39">
        <v>1.33634708931066E-2</v>
      </c>
      <c r="AR229" s="39">
        <v>1.33634708931066E-2</v>
      </c>
      <c r="AS229" s="39">
        <v>1.33634708931066E-2</v>
      </c>
      <c r="AT229" s="39">
        <v>1.33634708931066E-2</v>
      </c>
      <c r="AU229" s="39">
        <v>1.2392217523121999E-3</v>
      </c>
      <c r="AV229" s="39">
        <v>1.2392217523121999E-3</v>
      </c>
      <c r="AW229" s="39">
        <v>1.2392217523121999E-3</v>
      </c>
      <c r="AX229" s="39">
        <v>1.2392217523121999E-3</v>
      </c>
      <c r="AY229" s="39">
        <v>1.2392217523121999E-3</v>
      </c>
      <c r="AZ229" s="39">
        <v>1.2392217523121999E-3</v>
      </c>
      <c r="BA229" s="39">
        <v>1.2392217523121999E-3</v>
      </c>
      <c r="BB229" s="39">
        <v>1.2392217523121999E-3</v>
      </c>
      <c r="BC229" s="39">
        <v>1.2392217523121999E-3</v>
      </c>
      <c r="BD229" s="39">
        <v>1.2392217523121999E-3</v>
      </c>
      <c r="BE229" s="39">
        <v>1.2392217523121999E-3</v>
      </c>
      <c r="BF229" s="39">
        <v>1.2392217523121999E-3</v>
      </c>
      <c r="BH229" s="12">
        <f t="shared" si="159"/>
        <v>0</v>
      </c>
      <c r="BI229" s="12">
        <f t="shared" si="160"/>
        <v>0</v>
      </c>
      <c r="BJ229" s="12">
        <f t="shared" si="161"/>
        <v>0</v>
      </c>
      <c r="BK229" s="12">
        <f t="shared" si="162"/>
        <v>0</v>
      </c>
      <c r="BL229" s="12">
        <f t="shared" si="163"/>
        <v>0</v>
      </c>
      <c r="BM229" s="12">
        <f t="shared" si="164"/>
        <v>0</v>
      </c>
      <c r="BN229" s="12">
        <f t="shared" si="165"/>
        <v>0</v>
      </c>
      <c r="BO229" s="12">
        <f t="shared" si="166"/>
        <v>0</v>
      </c>
      <c r="BP229" s="12">
        <f t="shared" si="167"/>
        <v>0</v>
      </c>
      <c r="BQ229" s="12">
        <f t="shared" si="168"/>
        <v>0</v>
      </c>
      <c r="BR229" s="12">
        <f t="shared" si="131"/>
        <v>0</v>
      </c>
      <c r="BS229" s="12">
        <f t="shared" si="132"/>
        <v>0</v>
      </c>
      <c r="BU229" s="11">
        <f t="shared" si="133"/>
        <v>0</v>
      </c>
      <c r="BV229" s="11">
        <f t="shared" si="134"/>
        <v>0</v>
      </c>
      <c r="BW229" s="11">
        <f t="shared" si="135"/>
        <v>0</v>
      </c>
      <c r="BX229" s="11">
        <f t="shared" si="136"/>
        <v>0</v>
      </c>
      <c r="BY229" s="11">
        <f t="shared" si="137"/>
        <v>0</v>
      </c>
      <c r="BZ229" s="11">
        <f t="shared" si="138"/>
        <v>0</v>
      </c>
      <c r="CA229" s="11">
        <f t="shared" si="139"/>
        <v>0</v>
      </c>
      <c r="CB229" s="11">
        <f t="shared" si="140"/>
        <v>0</v>
      </c>
      <c r="CC229" s="11">
        <f t="shared" si="141"/>
        <v>0</v>
      </c>
      <c r="CD229" s="11">
        <f t="shared" si="142"/>
        <v>0</v>
      </c>
      <c r="CE229" s="11">
        <f t="shared" si="143"/>
        <v>0</v>
      </c>
      <c r="CF229" s="11">
        <f t="shared" si="144"/>
        <v>0</v>
      </c>
      <c r="CG229" s="11"/>
      <c r="CH229" s="41">
        <v>3.23</v>
      </c>
      <c r="CJ229" s="54">
        <f t="shared" si="145"/>
        <v>0</v>
      </c>
      <c r="CK229" s="54">
        <f t="shared" si="146"/>
        <v>0</v>
      </c>
      <c r="CL229" s="54">
        <f t="shared" si="147"/>
        <v>0</v>
      </c>
      <c r="CM229" s="54">
        <f t="shared" si="148"/>
        <v>0</v>
      </c>
      <c r="CN229" s="54">
        <f t="shared" si="149"/>
        <v>0</v>
      </c>
      <c r="CO229" s="54">
        <f t="shared" si="150"/>
        <v>0</v>
      </c>
      <c r="CP229" s="54">
        <f t="shared" si="151"/>
        <v>0</v>
      </c>
      <c r="CQ229" s="54">
        <f t="shared" si="152"/>
        <v>0</v>
      </c>
      <c r="CR229" s="54">
        <f t="shared" si="153"/>
        <v>0</v>
      </c>
      <c r="CS229" s="54">
        <f t="shared" si="154"/>
        <v>0</v>
      </c>
      <c r="CT229" s="54">
        <f t="shared" si="155"/>
        <v>0</v>
      </c>
      <c r="CU229" s="54">
        <f t="shared" si="156"/>
        <v>0</v>
      </c>
      <c r="CV229" s="52">
        <f t="shared" si="157"/>
        <v>0</v>
      </c>
    </row>
    <row r="230" spans="1:100" ht="15.75" x14ac:dyDescent="0.25">
      <c r="A230" s="17"/>
      <c r="B230" s="17"/>
      <c r="C230" s="17"/>
      <c r="D230" s="17"/>
      <c r="E230" s="17"/>
      <c r="F230" s="32" t="s">
        <v>2947</v>
      </c>
      <c r="G230" s="77"/>
      <c r="H230" s="77"/>
      <c r="I230" s="77"/>
      <c r="J230" s="77"/>
      <c r="K230" s="77"/>
      <c r="L230" s="77"/>
      <c r="M230" s="77"/>
      <c r="N230" s="77"/>
      <c r="O230" s="77"/>
      <c r="P230" s="77"/>
      <c r="Q230" s="77"/>
      <c r="R230" s="77"/>
      <c r="S230" s="11">
        <f t="shared" si="158"/>
        <v>0</v>
      </c>
      <c r="T230" s="5"/>
      <c r="V230" s="46">
        <f t="shared" si="130"/>
        <v>0</v>
      </c>
      <c r="W230" s="36">
        <v>3.0640000000000001</v>
      </c>
      <c r="X230" s="36">
        <v>3.0640000000000001</v>
      </c>
      <c r="Y230" s="36">
        <v>3.0640000000000001</v>
      </c>
      <c r="Z230" s="36">
        <v>3.0640000000000001</v>
      </c>
      <c r="AA230" s="36">
        <v>3.0640000000000001</v>
      </c>
      <c r="AB230" s="36">
        <v>3.0640000000000001</v>
      </c>
      <c r="AC230" s="36">
        <v>3.0640000000000001</v>
      </c>
      <c r="AD230" s="36">
        <v>3.0640000000000001</v>
      </c>
      <c r="AE230" s="36">
        <v>3.0640000000000001</v>
      </c>
      <c r="AF230" s="36">
        <v>3.0640000000000001</v>
      </c>
      <c r="AG230" s="36">
        <v>3.0640000000000001</v>
      </c>
      <c r="AH230" s="36">
        <v>3.0640000000000001</v>
      </c>
      <c r="AI230" s="39">
        <v>1.33634708931066E-2</v>
      </c>
      <c r="AJ230" s="39">
        <v>1.33634708931066E-2</v>
      </c>
      <c r="AK230" s="39">
        <v>1.33634708931066E-2</v>
      </c>
      <c r="AL230" s="39">
        <v>1.33634708931066E-2</v>
      </c>
      <c r="AM230" s="39">
        <v>1.33634708931066E-2</v>
      </c>
      <c r="AN230" s="39">
        <v>1.33634708931066E-2</v>
      </c>
      <c r="AO230" s="39">
        <v>1.33634708931066E-2</v>
      </c>
      <c r="AP230" s="39">
        <v>1.33634708931066E-2</v>
      </c>
      <c r="AQ230" s="39">
        <v>1.33634708931066E-2</v>
      </c>
      <c r="AR230" s="39">
        <v>1.33634708931066E-2</v>
      </c>
      <c r="AS230" s="39">
        <v>1.33634708931066E-2</v>
      </c>
      <c r="AT230" s="39">
        <v>1.33634708931066E-2</v>
      </c>
      <c r="AU230" s="39">
        <v>1.2392217523121999E-3</v>
      </c>
      <c r="AV230" s="39">
        <v>1.2392217523121999E-3</v>
      </c>
      <c r="AW230" s="39">
        <v>1.2392217523121999E-3</v>
      </c>
      <c r="AX230" s="39">
        <v>1.2392217523121999E-3</v>
      </c>
      <c r="AY230" s="39">
        <v>1.2392217523121999E-3</v>
      </c>
      <c r="AZ230" s="39">
        <v>1.2392217523121999E-3</v>
      </c>
      <c r="BA230" s="39">
        <v>1.2392217523121999E-3</v>
      </c>
      <c r="BB230" s="39">
        <v>1.2392217523121999E-3</v>
      </c>
      <c r="BC230" s="39">
        <v>1.2392217523121999E-3</v>
      </c>
      <c r="BD230" s="39">
        <v>1.2392217523121999E-3</v>
      </c>
      <c r="BE230" s="39">
        <v>1.2392217523121999E-3</v>
      </c>
      <c r="BF230" s="39">
        <v>1.2392217523121999E-3</v>
      </c>
      <c r="BH230" s="12">
        <f t="shared" si="159"/>
        <v>0</v>
      </c>
      <c r="BI230" s="12">
        <f t="shared" si="160"/>
        <v>0</v>
      </c>
      <c r="BJ230" s="12">
        <f t="shared" si="161"/>
        <v>0</v>
      </c>
      <c r="BK230" s="12">
        <f t="shared" si="162"/>
        <v>0</v>
      </c>
      <c r="BL230" s="12">
        <f t="shared" si="163"/>
        <v>0</v>
      </c>
      <c r="BM230" s="12">
        <f t="shared" si="164"/>
        <v>0</v>
      </c>
      <c r="BN230" s="12">
        <f t="shared" si="165"/>
        <v>0</v>
      </c>
      <c r="BO230" s="12">
        <f t="shared" si="166"/>
        <v>0</v>
      </c>
      <c r="BP230" s="12">
        <f t="shared" si="167"/>
        <v>0</v>
      </c>
      <c r="BQ230" s="12">
        <f t="shared" si="168"/>
        <v>0</v>
      </c>
      <c r="BR230" s="12">
        <f t="shared" si="131"/>
        <v>0</v>
      </c>
      <c r="BS230" s="12">
        <f t="shared" si="132"/>
        <v>0</v>
      </c>
      <c r="BU230" s="11">
        <f t="shared" si="133"/>
        <v>0</v>
      </c>
      <c r="BV230" s="11">
        <f t="shared" si="134"/>
        <v>0</v>
      </c>
      <c r="BW230" s="11">
        <f t="shared" si="135"/>
        <v>0</v>
      </c>
      <c r="BX230" s="11">
        <f t="shared" si="136"/>
        <v>0</v>
      </c>
      <c r="BY230" s="11">
        <f t="shared" si="137"/>
        <v>0</v>
      </c>
      <c r="BZ230" s="11">
        <f t="shared" si="138"/>
        <v>0</v>
      </c>
      <c r="CA230" s="11">
        <f t="shared" si="139"/>
        <v>0</v>
      </c>
      <c r="CB230" s="11">
        <f t="shared" si="140"/>
        <v>0</v>
      </c>
      <c r="CC230" s="11">
        <f t="shared" si="141"/>
        <v>0</v>
      </c>
      <c r="CD230" s="11">
        <f t="shared" si="142"/>
        <v>0</v>
      </c>
      <c r="CE230" s="11">
        <f t="shared" si="143"/>
        <v>0</v>
      </c>
      <c r="CF230" s="11">
        <f t="shared" si="144"/>
        <v>0</v>
      </c>
      <c r="CG230" s="11"/>
      <c r="CH230" s="41">
        <v>3.23</v>
      </c>
      <c r="CJ230" s="54">
        <f t="shared" si="145"/>
        <v>0</v>
      </c>
      <c r="CK230" s="54">
        <f t="shared" si="146"/>
        <v>0</v>
      </c>
      <c r="CL230" s="54">
        <f t="shared" si="147"/>
        <v>0</v>
      </c>
      <c r="CM230" s="54">
        <f t="shared" si="148"/>
        <v>0</v>
      </c>
      <c r="CN230" s="54">
        <f t="shared" si="149"/>
        <v>0</v>
      </c>
      <c r="CO230" s="54">
        <f t="shared" si="150"/>
        <v>0</v>
      </c>
      <c r="CP230" s="54">
        <f t="shared" si="151"/>
        <v>0</v>
      </c>
      <c r="CQ230" s="54">
        <f t="shared" si="152"/>
        <v>0</v>
      </c>
      <c r="CR230" s="54">
        <f t="shared" si="153"/>
        <v>0</v>
      </c>
      <c r="CS230" s="54">
        <f t="shared" si="154"/>
        <v>0</v>
      </c>
      <c r="CT230" s="54">
        <f t="shared" si="155"/>
        <v>0</v>
      </c>
      <c r="CU230" s="54">
        <f t="shared" si="156"/>
        <v>0</v>
      </c>
      <c r="CV230" s="52">
        <f t="shared" si="157"/>
        <v>0</v>
      </c>
    </row>
    <row r="231" spans="1:100" ht="15.75" x14ac:dyDescent="0.25">
      <c r="A231" s="17"/>
      <c r="B231" s="17"/>
      <c r="C231" s="17"/>
      <c r="D231" s="17"/>
      <c r="E231" s="17"/>
      <c r="F231" s="32" t="s">
        <v>2947</v>
      </c>
      <c r="G231" s="77"/>
      <c r="H231" s="77"/>
      <c r="I231" s="77"/>
      <c r="J231" s="77"/>
      <c r="K231" s="77"/>
      <c r="L231" s="77"/>
      <c r="M231" s="77"/>
      <c r="N231" s="77"/>
      <c r="O231" s="77"/>
      <c r="P231" s="77"/>
      <c r="Q231" s="77"/>
      <c r="R231" s="77"/>
      <c r="S231" s="11">
        <f t="shared" si="158"/>
        <v>0</v>
      </c>
      <c r="T231" s="5"/>
      <c r="V231" s="46">
        <f t="shared" si="130"/>
        <v>0</v>
      </c>
      <c r="W231" s="36">
        <v>2.6280000000000001</v>
      </c>
      <c r="X231" s="36">
        <v>2.6280000000000001</v>
      </c>
      <c r="Y231" s="36">
        <v>2.6280000000000001</v>
      </c>
      <c r="Z231" s="36">
        <v>2.6280000000000001</v>
      </c>
      <c r="AA231" s="36">
        <v>2.6280000000000001</v>
      </c>
      <c r="AB231" s="36">
        <v>2.6280000000000001</v>
      </c>
      <c r="AC231" s="36">
        <v>2.6280000000000001</v>
      </c>
      <c r="AD231" s="36">
        <v>2.6280000000000001</v>
      </c>
      <c r="AE231" s="36">
        <v>2.6280000000000001</v>
      </c>
      <c r="AF231" s="36">
        <v>2.6280000000000001</v>
      </c>
      <c r="AG231" s="36">
        <v>2.6280000000000001</v>
      </c>
      <c r="AH231" s="36">
        <v>2.6280000000000001</v>
      </c>
      <c r="AI231" s="39">
        <v>1.33634708931066E-2</v>
      </c>
      <c r="AJ231" s="39">
        <v>1.33634708931066E-2</v>
      </c>
      <c r="AK231" s="39">
        <v>1.33634708931066E-2</v>
      </c>
      <c r="AL231" s="39">
        <v>1.33634708931066E-2</v>
      </c>
      <c r="AM231" s="39">
        <v>1.33634708931066E-2</v>
      </c>
      <c r="AN231" s="39">
        <v>1.33634708931066E-2</v>
      </c>
      <c r="AO231" s="39">
        <v>1.33634708931066E-2</v>
      </c>
      <c r="AP231" s="39">
        <v>1.33634708931066E-2</v>
      </c>
      <c r="AQ231" s="39">
        <v>1.33634708931066E-2</v>
      </c>
      <c r="AR231" s="39">
        <v>1.33634708931066E-2</v>
      </c>
      <c r="AS231" s="39">
        <v>1.33634708931066E-2</v>
      </c>
      <c r="AT231" s="39">
        <v>1.33634708931066E-2</v>
      </c>
      <c r="AU231" s="39">
        <v>1.2392217523121999E-3</v>
      </c>
      <c r="AV231" s="39">
        <v>1.2392217523121999E-3</v>
      </c>
      <c r="AW231" s="39">
        <v>1.2392217523121999E-3</v>
      </c>
      <c r="AX231" s="39">
        <v>1.2392217523121999E-3</v>
      </c>
      <c r="AY231" s="39">
        <v>1.2392217523121999E-3</v>
      </c>
      <c r="AZ231" s="39">
        <v>1.2392217523121999E-3</v>
      </c>
      <c r="BA231" s="39">
        <v>1.2392217523121999E-3</v>
      </c>
      <c r="BB231" s="39">
        <v>1.2392217523121999E-3</v>
      </c>
      <c r="BC231" s="39">
        <v>1.2392217523121999E-3</v>
      </c>
      <c r="BD231" s="39">
        <v>1.2392217523121999E-3</v>
      </c>
      <c r="BE231" s="39">
        <v>1.2392217523121999E-3</v>
      </c>
      <c r="BF231" s="39">
        <v>1.2392217523121999E-3</v>
      </c>
      <c r="BH231" s="12">
        <f t="shared" si="159"/>
        <v>0</v>
      </c>
      <c r="BI231" s="12">
        <f t="shared" si="160"/>
        <v>0</v>
      </c>
      <c r="BJ231" s="12">
        <f t="shared" si="161"/>
        <v>0</v>
      </c>
      <c r="BK231" s="12">
        <f t="shared" si="162"/>
        <v>0</v>
      </c>
      <c r="BL231" s="12">
        <f t="shared" si="163"/>
        <v>0</v>
      </c>
      <c r="BM231" s="12">
        <f t="shared" si="164"/>
        <v>0</v>
      </c>
      <c r="BN231" s="12">
        <f t="shared" si="165"/>
        <v>0</v>
      </c>
      <c r="BO231" s="12">
        <f t="shared" si="166"/>
        <v>0</v>
      </c>
      <c r="BP231" s="12">
        <f t="shared" si="167"/>
        <v>0</v>
      </c>
      <c r="BQ231" s="12">
        <f t="shared" si="168"/>
        <v>0</v>
      </c>
      <c r="BR231" s="12">
        <f t="shared" si="131"/>
        <v>0</v>
      </c>
      <c r="BS231" s="12">
        <f t="shared" si="132"/>
        <v>0</v>
      </c>
      <c r="BU231" s="11">
        <f t="shared" si="133"/>
        <v>0</v>
      </c>
      <c r="BV231" s="11">
        <f t="shared" si="134"/>
        <v>0</v>
      </c>
      <c r="BW231" s="11">
        <f t="shared" si="135"/>
        <v>0</v>
      </c>
      <c r="BX231" s="11">
        <f t="shared" si="136"/>
        <v>0</v>
      </c>
      <c r="BY231" s="11">
        <f t="shared" si="137"/>
        <v>0</v>
      </c>
      <c r="BZ231" s="11">
        <f t="shared" si="138"/>
        <v>0</v>
      </c>
      <c r="CA231" s="11">
        <f t="shared" si="139"/>
        <v>0</v>
      </c>
      <c r="CB231" s="11">
        <f t="shared" si="140"/>
        <v>0</v>
      </c>
      <c r="CC231" s="11">
        <f t="shared" si="141"/>
        <v>0</v>
      </c>
      <c r="CD231" s="11">
        <f t="shared" si="142"/>
        <v>0</v>
      </c>
      <c r="CE231" s="11">
        <f t="shared" si="143"/>
        <v>0</v>
      </c>
      <c r="CF231" s="11">
        <f t="shared" si="144"/>
        <v>0</v>
      </c>
      <c r="CG231" s="11"/>
      <c r="CH231" s="41">
        <v>3.23</v>
      </c>
      <c r="CJ231" s="54">
        <f t="shared" si="145"/>
        <v>0</v>
      </c>
      <c r="CK231" s="54">
        <f t="shared" si="146"/>
        <v>0</v>
      </c>
      <c r="CL231" s="54">
        <f t="shared" si="147"/>
        <v>0</v>
      </c>
      <c r="CM231" s="54">
        <f t="shared" si="148"/>
        <v>0</v>
      </c>
      <c r="CN231" s="54">
        <f t="shared" si="149"/>
        <v>0</v>
      </c>
      <c r="CO231" s="54">
        <f t="shared" si="150"/>
        <v>0</v>
      </c>
      <c r="CP231" s="54">
        <f t="shared" si="151"/>
        <v>0</v>
      </c>
      <c r="CQ231" s="54">
        <f t="shared" si="152"/>
        <v>0</v>
      </c>
      <c r="CR231" s="54">
        <f t="shared" si="153"/>
        <v>0</v>
      </c>
      <c r="CS231" s="54">
        <f t="shared" si="154"/>
        <v>0</v>
      </c>
      <c r="CT231" s="54">
        <f t="shared" si="155"/>
        <v>0</v>
      </c>
      <c r="CU231" s="54">
        <f t="shared" si="156"/>
        <v>0</v>
      </c>
      <c r="CV231" s="52">
        <f t="shared" si="157"/>
        <v>0</v>
      </c>
    </row>
    <row r="232" spans="1:100" ht="15.75" x14ac:dyDescent="0.25">
      <c r="A232" s="17"/>
      <c r="B232" s="17"/>
      <c r="C232" s="17"/>
      <c r="D232" s="17"/>
      <c r="E232" s="17"/>
      <c r="F232" s="32" t="s">
        <v>2947</v>
      </c>
      <c r="G232" s="77"/>
      <c r="H232" s="77"/>
      <c r="I232" s="77"/>
      <c r="J232" s="77"/>
      <c r="K232" s="77"/>
      <c r="L232" s="77"/>
      <c r="M232" s="77"/>
      <c r="N232" s="77"/>
      <c r="O232" s="77"/>
      <c r="P232" s="77"/>
      <c r="Q232" s="77"/>
      <c r="R232" s="77"/>
      <c r="S232" s="11">
        <f t="shared" si="158"/>
        <v>0</v>
      </c>
      <c r="T232" s="5"/>
      <c r="V232" s="46">
        <f t="shared" si="130"/>
        <v>0</v>
      </c>
      <c r="W232" s="36">
        <v>5.1070000000000002</v>
      </c>
      <c r="X232" s="36">
        <v>5.1070000000000002</v>
      </c>
      <c r="Y232" s="36">
        <v>5.1070000000000002</v>
      </c>
      <c r="Z232" s="36">
        <v>5.1070000000000002</v>
      </c>
      <c r="AA232" s="36">
        <v>5.1070000000000002</v>
      </c>
      <c r="AB232" s="36">
        <v>5.1070000000000002</v>
      </c>
      <c r="AC232" s="36">
        <v>5.1070000000000002</v>
      </c>
      <c r="AD232" s="36">
        <v>5.1070000000000002</v>
      </c>
      <c r="AE232" s="36">
        <v>5.1070000000000002</v>
      </c>
      <c r="AF232" s="36">
        <v>5.1070000000000002</v>
      </c>
      <c r="AG232" s="36">
        <v>5.1070000000000002</v>
      </c>
      <c r="AH232" s="36">
        <v>5.1070000000000002</v>
      </c>
      <c r="AI232" s="39">
        <v>1.33634708931066E-2</v>
      </c>
      <c r="AJ232" s="39">
        <v>1.33634708931066E-2</v>
      </c>
      <c r="AK232" s="39">
        <v>1.33634708931066E-2</v>
      </c>
      <c r="AL232" s="39">
        <v>1.33634708931066E-2</v>
      </c>
      <c r="AM232" s="39">
        <v>1.33634708931066E-2</v>
      </c>
      <c r="AN232" s="39">
        <v>1.33634708931066E-2</v>
      </c>
      <c r="AO232" s="39">
        <v>1.33634708931066E-2</v>
      </c>
      <c r="AP232" s="39">
        <v>1.33634708931066E-2</v>
      </c>
      <c r="AQ232" s="39">
        <v>1.33634708931066E-2</v>
      </c>
      <c r="AR232" s="39">
        <v>1.33634708931066E-2</v>
      </c>
      <c r="AS232" s="39">
        <v>1.33634708931066E-2</v>
      </c>
      <c r="AT232" s="39">
        <v>1.33634708931066E-2</v>
      </c>
      <c r="AU232" s="39">
        <v>1.2392217523121999E-3</v>
      </c>
      <c r="AV232" s="39">
        <v>1.2392217523121999E-3</v>
      </c>
      <c r="AW232" s="39">
        <v>1.2392217523121999E-3</v>
      </c>
      <c r="AX232" s="39">
        <v>1.2392217523121999E-3</v>
      </c>
      <c r="AY232" s="39">
        <v>1.2392217523121999E-3</v>
      </c>
      <c r="AZ232" s="39">
        <v>1.2392217523121999E-3</v>
      </c>
      <c r="BA232" s="39">
        <v>1.2392217523121999E-3</v>
      </c>
      <c r="BB232" s="39">
        <v>1.2392217523121999E-3</v>
      </c>
      <c r="BC232" s="39">
        <v>1.2392217523121999E-3</v>
      </c>
      <c r="BD232" s="39">
        <v>1.2392217523121999E-3</v>
      </c>
      <c r="BE232" s="39">
        <v>1.2392217523121999E-3</v>
      </c>
      <c r="BF232" s="39">
        <v>1.2392217523121999E-3</v>
      </c>
      <c r="BH232" s="12">
        <f t="shared" si="159"/>
        <v>0</v>
      </c>
      <c r="BI232" s="12">
        <f t="shared" si="160"/>
        <v>0</v>
      </c>
      <c r="BJ232" s="12">
        <f t="shared" si="161"/>
        <v>0</v>
      </c>
      <c r="BK232" s="12">
        <f t="shared" si="162"/>
        <v>0</v>
      </c>
      <c r="BL232" s="12">
        <f t="shared" si="163"/>
        <v>0</v>
      </c>
      <c r="BM232" s="12">
        <f t="shared" si="164"/>
        <v>0</v>
      </c>
      <c r="BN232" s="12">
        <f t="shared" si="165"/>
        <v>0</v>
      </c>
      <c r="BO232" s="12">
        <f t="shared" si="166"/>
        <v>0</v>
      </c>
      <c r="BP232" s="12">
        <f t="shared" si="167"/>
        <v>0</v>
      </c>
      <c r="BQ232" s="12">
        <f t="shared" si="168"/>
        <v>0</v>
      </c>
      <c r="BR232" s="12">
        <f t="shared" si="131"/>
        <v>0</v>
      </c>
      <c r="BS232" s="12">
        <f t="shared" si="132"/>
        <v>0</v>
      </c>
      <c r="BU232" s="11">
        <f t="shared" si="133"/>
        <v>0</v>
      </c>
      <c r="BV232" s="11">
        <f t="shared" si="134"/>
        <v>0</v>
      </c>
      <c r="BW232" s="11">
        <f t="shared" si="135"/>
        <v>0</v>
      </c>
      <c r="BX232" s="11">
        <f t="shared" si="136"/>
        <v>0</v>
      </c>
      <c r="BY232" s="11">
        <f t="shared" si="137"/>
        <v>0</v>
      </c>
      <c r="BZ232" s="11">
        <f t="shared" si="138"/>
        <v>0</v>
      </c>
      <c r="CA232" s="11">
        <f t="shared" si="139"/>
        <v>0</v>
      </c>
      <c r="CB232" s="11">
        <f t="shared" si="140"/>
        <v>0</v>
      </c>
      <c r="CC232" s="11">
        <f t="shared" si="141"/>
        <v>0</v>
      </c>
      <c r="CD232" s="11">
        <f t="shared" si="142"/>
        <v>0</v>
      </c>
      <c r="CE232" s="11">
        <f t="shared" si="143"/>
        <v>0</v>
      </c>
      <c r="CF232" s="11">
        <f t="shared" si="144"/>
        <v>0</v>
      </c>
      <c r="CG232" s="11"/>
      <c r="CH232" s="41">
        <v>3.23</v>
      </c>
      <c r="CJ232" s="54">
        <f t="shared" si="145"/>
        <v>0</v>
      </c>
      <c r="CK232" s="54">
        <f t="shared" si="146"/>
        <v>0</v>
      </c>
      <c r="CL232" s="54">
        <f t="shared" si="147"/>
        <v>0</v>
      </c>
      <c r="CM232" s="54">
        <f t="shared" si="148"/>
        <v>0</v>
      </c>
      <c r="CN232" s="54">
        <f t="shared" si="149"/>
        <v>0</v>
      </c>
      <c r="CO232" s="54">
        <f t="shared" si="150"/>
        <v>0</v>
      </c>
      <c r="CP232" s="54">
        <f t="shared" si="151"/>
        <v>0</v>
      </c>
      <c r="CQ232" s="54">
        <f t="shared" si="152"/>
        <v>0</v>
      </c>
      <c r="CR232" s="54">
        <f t="shared" si="153"/>
        <v>0</v>
      </c>
      <c r="CS232" s="54">
        <f t="shared" si="154"/>
        <v>0</v>
      </c>
      <c r="CT232" s="54">
        <f t="shared" si="155"/>
        <v>0</v>
      </c>
      <c r="CU232" s="54">
        <f t="shared" si="156"/>
        <v>0</v>
      </c>
      <c r="CV232" s="52">
        <f t="shared" si="157"/>
        <v>0</v>
      </c>
    </row>
    <row r="233" spans="1:100" ht="15.75" x14ac:dyDescent="0.25">
      <c r="A233" s="17"/>
      <c r="B233" s="17"/>
      <c r="C233" s="17"/>
      <c r="D233" s="17"/>
      <c r="E233" s="17"/>
      <c r="F233" s="32" t="s">
        <v>2947</v>
      </c>
      <c r="G233" s="77"/>
      <c r="H233" s="77"/>
      <c r="I233" s="77"/>
      <c r="J233" s="77"/>
      <c r="K233" s="77"/>
      <c r="L233" s="77"/>
      <c r="M233" s="77"/>
      <c r="N233" s="77"/>
      <c r="O233" s="77"/>
      <c r="P233" s="77"/>
      <c r="Q233" s="77"/>
      <c r="R233" s="77"/>
      <c r="S233" s="11">
        <f t="shared" si="158"/>
        <v>0</v>
      </c>
      <c r="T233" s="5"/>
      <c r="V233" s="46">
        <f t="shared" si="130"/>
        <v>0</v>
      </c>
      <c r="W233" s="36">
        <v>3.2559999999999998</v>
      </c>
      <c r="X233" s="36">
        <v>3.2559999999999998</v>
      </c>
      <c r="Y233" s="36">
        <v>3.2559999999999998</v>
      </c>
      <c r="Z233" s="36">
        <v>3.2559999999999998</v>
      </c>
      <c r="AA233" s="36">
        <v>3.2559999999999998</v>
      </c>
      <c r="AB233" s="36">
        <v>3.2559999999999998</v>
      </c>
      <c r="AC233" s="36">
        <v>3.2559999999999998</v>
      </c>
      <c r="AD233" s="36">
        <v>3.2559999999999998</v>
      </c>
      <c r="AE233" s="36">
        <v>3.2559999999999998</v>
      </c>
      <c r="AF233" s="36">
        <v>3.2559999999999998</v>
      </c>
      <c r="AG233" s="36">
        <v>3.2559999999999998</v>
      </c>
      <c r="AH233" s="36">
        <v>3.2559999999999998</v>
      </c>
      <c r="AI233" s="39">
        <v>1.33634708931066E-2</v>
      </c>
      <c r="AJ233" s="39">
        <v>1.33634708931066E-2</v>
      </c>
      <c r="AK233" s="39">
        <v>1.33634708931066E-2</v>
      </c>
      <c r="AL233" s="39">
        <v>1.33634708931066E-2</v>
      </c>
      <c r="AM233" s="39">
        <v>1.33634708931066E-2</v>
      </c>
      <c r="AN233" s="39">
        <v>1.33634708931066E-2</v>
      </c>
      <c r="AO233" s="39">
        <v>1.33634708931066E-2</v>
      </c>
      <c r="AP233" s="39">
        <v>1.33634708931066E-2</v>
      </c>
      <c r="AQ233" s="39">
        <v>1.33634708931066E-2</v>
      </c>
      <c r="AR233" s="39">
        <v>1.33634708931066E-2</v>
      </c>
      <c r="AS233" s="39">
        <v>1.33634708931066E-2</v>
      </c>
      <c r="AT233" s="39">
        <v>1.33634708931066E-2</v>
      </c>
      <c r="AU233" s="39">
        <v>1.2392217523121999E-3</v>
      </c>
      <c r="AV233" s="39">
        <v>1.2392217523121999E-3</v>
      </c>
      <c r="AW233" s="39">
        <v>1.2392217523121999E-3</v>
      </c>
      <c r="AX233" s="39">
        <v>1.2392217523121999E-3</v>
      </c>
      <c r="AY233" s="39">
        <v>1.2392217523121999E-3</v>
      </c>
      <c r="AZ233" s="39">
        <v>1.2392217523121999E-3</v>
      </c>
      <c r="BA233" s="39">
        <v>1.2392217523121999E-3</v>
      </c>
      <c r="BB233" s="39">
        <v>1.2392217523121999E-3</v>
      </c>
      <c r="BC233" s="39">
        <v>1.2392217523121999E-3</v>
      </c>
      <c r="BD233" s="39">
        <v>1.2392217523121999E-3</v>
      </c>
      <c r="BE233" s="39">
        <v>1.2392217523121999E-3</v>
      </c>
      <c r="BF233" s="39">
        <v>1.2392217523121999E-3</v>
      </c>
      <c r="BH233" s="12">
        <f t="shared" si="159"/>
        <v>0</v>
      </c>
      <c r="BI233" s="12">
        <f t="shared" si="160"/>
        <v>0</v>
      </c>
      <c r="BJ233" s="12">
        <f t="shared" si="161"/>
        <v>0</v>
      </c>
      <c r="BK233" s="12">
        <f t="shared" si="162"/>
        <v>0</v>
      </c>
      <c r="BL233" s="12">
        <f t="shared" si="163"/>
        <v>0</v>
      </c>
      <c r="BM233" s="12">
        <f t="shared" si="164"/>
        <v>0</v>
      </c>
      <c r="BN233" s="12">
        <f t="shared" si="165"/>
        <v>0</v>
      </c>
      <c r="BO233" s="12">
        <f t="shared" si="166"/>
        <v>0</v>
      </c>
      <c r="BP233" s="12">
        <f t="shared" si="167"/>
        <v>0</v>
      </c>
      <c r="BQ233" s="12">
        <f t="shared" si="168"/>
        <v>0</v>
      </c>
      <c r="BR233" s="12">
        <f t="shared" si="131"/>
        <v>0</v>
      </c>
      <c r="BS233" s="12">
        <f t="shared" si="132"/>
        <v>0</v>
      </c>
      <c r="BU233" s="11">
        <f t="shared" si="133"/>
        <v>0</v>
      </c>
      <c r="BV233" s="11">
        <f t="shared" si="134"/>
        <v>0</v>
      </c>
      <c r="BW233" s="11">
        <f t="shared" si="135"/>
        <v>0</v>
      </c>
      <c r="BX233" s="11">
        <f t="shared" si="136"/>
        <v>0</v>
      </c>
      <c r="BY233" s="11">
        <f t="shared" si="137"/>
        <v>0</v>
      </c>
      <c r="BZ233" s="11">
        <f t="shared" si="138"/>
        <v>0</v>
      </c>
      <c r="CA233" s="11">
        <f t="shared" si="139"/>
        <v>0</v>
      </c>
      <c r="CB233" s="11">
        <f t="shared" si="140"/>
        <v>0</v>
      </c>
      <c r="CC233" s="11">
        <f t="shared" si="141"/>
        <v>0</v>
      </c>
      <c r="CD233" s="11">
        <f t="shared" si="142"/>
        <v>0</v>
      </c>
      <c r="CE233" s="11">
        <f t="shared" si="143"/>
        <v>0</v>
      </c>
      <c r="CF233" s="11">
        <f t="shared" si="144"/>
        <v>0</v>
      </c>
      <c r="CG233" s="11"/>
      <c r="CH233" s="41">
        <v>3.23</v>
      </c>
      <c r="CJ233" s="54">
        <f t="shared" si="145"/>
        <v>0</v>
      </c>
      <c r="CK233" s="54">
        <f t="shared" si="146"/>
        <v>0</v>
      </c>
      <c r="CL233" s="54">
        <f t="shared" si="147"/>
        <v>0</v>
      </c>
      <c r="CM233" s="54">
        <f t="shared" si="148"/>
        <v>0</v>
      </c>
      <c r="CN233" s="54">
        <f t="shared" si="149"/>
        <v>0</v>
      </c>
      <c r="CO233" s="54">
        <f t="shared" si="150"/>
        <v>0</v>
      </c>
      <c r="CP233" s="54">
        <f t="shared" si="151"/>
        <v>0</v>
      </c>
      <c r="CQ233" s="54">
        <f t="shared" si="152"/>
        <v>0</v>
      </c>
      <c r="CR233" s="54">
        <f t="shared" si="153"/>
        <v>0</v>
      </c>
      <c r="CS233" s="54">
        <f t="shared" si="154"/>
        <v>0</v>
      </c>
      <c r="CT233" s="54">
        <f t="shared" si="155"/>
        <v>0</v>
      </c>
      <c r="CU233" s="54">
        <f t="shared" si="156"/>
        <v>0</v>
      </c>
      <c r="CV233" s="52">
        <f t="shared" si="157"/>
        <v>0</v>
      </c>
    </row>
    <row r="234" spans="1:100" ht="15.75" x14ac:dyDescent="0.25">
      <c r="A234" s="17"/>
      <c r="B234" s="17"/>
      <c r="C234" s="17"/>
      <c r="D234" s="17"/>
      <c r="E234" s="17"/>
      <c r="F234" s="32" t="s">
        <v>2947</v>
      </c>
      <c r="G234" s="77"/>
      <c r="H234" s="77"/>
      <c r="I234" s="77"/>
      <c r="J234" s="77"/>
      <c r="K234" s="77"/>
      <c r="L234" s="77"/>
      <c r="M234" s="77"/>
      <c r="N234" s="77"/>
      <c r="O234" s="77"/>
      <c r="P234" s="77"/>
      <c r="Q234" s="77"/>
      <c r="R234" s="77"/>
      <c r="S234" s="11">
        <f t="shared" si="158"/>
        <v>0</v>
      </c>
      <c r="T234" s="5"/>
      <c r="V234" s="46">
        <f t="shared" si="130"/>
        <v>0</v>
      </c>
      <c r="W234" s="36">
        <v>1.4350000000000001</v>
      </c>
      <c r="X234" s="36">
        <v>1.4350000000000001</v>
      </c>
      <c r="Y234" s="36">
        <v>1.4350000000000001</v>
      </c>
      <c r="Z234" s="36">
        <v>1.4350000000000001</v>
      </c>
      <c r="AA234" s="36">
        <v>1.4350000000000001</v>
      </c>
      <c r="AB234" s="36">
        <v>1.4350000000000001</v>
      </c>
      <c r="AC234" s="36">
        <v>1.4350000000000001</v>
      </c>
      <c r="AD234" s="36">
        <v>1.4350000000000001</v>
      </c>
      <c r="AE234" s="36">
        <v>1.4350000000000001</v>
      </c>
      <c r="AF234" s="36">
        <v>1.4350000000000001</v>
      </c>
      <c r="AG234" s="36">
        <v>1.4350000000000001</v>
      </c>
      <c r="AH234" s="36">
        <v>1.4350000000000001</v>
      </c>
      <c r="AI234" s="39">
        <v>1.33634708931066E-2</v>
      </c>
      <c r="AJ234" s="39">
        <v>1.33634708931066E-2</v>
      </c>
      <c r="AK234" s="39">
        <v>1.33634708931066E-2</v>
      </c>
      <c r="AL234" s="39">
        <v>1.33634708931066E-2</v>
      </c>
      <c r="AM234" s="39">
        <v>1.33634708931066E-2</v>
      </c>
      <c r="AN234" s="39">
        <v>1.33634708931066E-2</v>
      </c>
      <c r="AO234" s="39">
        <v>1.33634708931066E-2</v>
      </c>
      <c r="AP234" s="39">
        <v>1.33634708931066E-2</v>
      </c>
      <c r="AQ234" s="39">
        <v>1.33634708931066E-2</v>
      </c>
      <c r="AR234" s="39">
        <v>1.33634708931066E-2</v>
      </c>
      <c r="AS234" s="39">
        <v>1.33634708931066E-2</v>
      </c>
      <c r="AT234" s="39">
        <v>1.33634708931066E-2</v>
      </c>
      <c r="AU234" s="39">
        <v>1.2392217523121999E-3</v>
      </c>
      <c r="AV234" s="39">
        <v>1.2392217523121999E-3</v>
      </c>
      <c r="AW234" s="39">
        <v>1.2392217523121999E-3</v>
      </c>
      <c r="AX234" s="39">
        <v>1.2392217523121999E-3</v>
      </c>
      <c r="AY234" s="39">
        <v>1.2392217523121999E-3</v>
      </c>
      <c r="AZ234" s="39">
        <v>1.2392217523121999E-3</v>
      </c>
      <c r="BA234" s="39">
        <v>1.2392217523121999E-3</v>
      </c>
      <c r="BB234" s="39">
        <v>1.2392217523121999E-3</v>
      </c>
      <c r="BC234" s="39">
        <v>1.2392217523121999E-3</v>
      </c>
      <c r="BD234" s="39">
        <v>1.2392217523121999E-3</v>
      </c>
      <c r="BE234" s="39">
        <v>1.2392217523121999E-3</v>
      </c>
      <c r="BF234" s="39">
        <v>1.2392217523121999E-3</v>
      </c>
      <c r="BH234" s="12">
        <f t="shared" si="159"/>
        <v>0</v>
      </c>
      <c r="BI234" s="12">
        <f t="shared" si="160"/>
        <v>0</v>
      </c>
      <c r="BJ234" s="12">
        <f t="shared" si="161"/>
        <v>0</v>
      </c>
      <c r="BK234" s="12">
        <f t="shared" si="162"/>
        <v>0</v>
      </c>
      <c r="BL234" s="12">
        <f t="shared" si="163"/>
        <v>0</v>
      </c>
      <c r="BM234" s="12">
        <f t="shared" si="164"/>
        <v>0</v>
      </c>
      <c r="BN234" s="12">
        <f t="shared" si="165"/>
        <v>0</v>
      </c>
      <c r="BO234" s="12">
        <f t="shared" si="166"/>
        <v>0</v>
      </c>
      <c r="BP234" s="12">
        <f t="shared" si="167"/>
        <v>0</v>
      </c>
      <c r="BQ234" s="12">
        <f t="shared" si="168"/>
        <v>0</v>
      </c>
      <c r="BR234" s="12">
        <f t="shared" si="131"/>
        <v>0</v>
      </c>
      <c r="BS234" s="12">
        <f t="shared" si="132"/>
        <v>0</v>
      </c>
      <c r="BU234" s="11">
        <f t="shared" si="133"/>
        <v>0</v>
      </c>
      <c r="BV234" s="11">
        <f t="shared" si="134"/>
        <v>0</v>
      </c>
      <c r="BW234" s="11">
        <f t="shared" si="135"/>
        <v>0</v>
      </c>
      <c r="BX234" s="11">
        <f t="shared" si="136"/>
        <v>0</v>
      </c>
      <c r="BY234" s="11">
        <f t="shared" si="137"/>
        <v>0</v>
      </c>
      <c r="BZ234" s="11">
        <f t="shared" si="138"/>
        <v>0</v>
      </c>
      <c r="CA234" s="11">
        <f t="shared" si="139"/>
        <v>0</v>
      </c>
      <c r="CB234" s="11">
        <f t="shared" si="140"/>
        <v>0</v>
      </c>
      <c r="CC234" s="11">
        <f t="shared" si="141"/>
        <v>0</v>
      </c>
      <c r="CD234" s="11">
        <f t="shared" si="142"/>
        <v>0</v>
      </c>
      <c r="CE234" s="11">
        <f t="shared" si="143"/>
        <v>0</v>
      </c>
      <c r="CF234" s="11">
        <f t="shared" si="144"/>
        <v>0</v>
      </c>
      <c r="CG234" s="11"/>
      <c r="CH234" s="41">
        <v>3.23</v>
      </c>
      <c r="CJ234" s="54">
        <f t="shared" si="145"/>
        <v>0</v>
      </c>
      <c r="CK234" s="54">
        <f t="shared" si="146"/>
        <v>0</v>
      </c>
      <c r="CL234" s="54">
        <f t="shared" si="147"/>
        <v>0</v>
      </c>
      <c r="CM234" s="54">
        <f t="shared" si="148"/>
        <v>0</v>
      </c>
      <c r="CN234" s="54">
        <f t="shared" si="149"/>
        <v>0</v>
      </c>
      <c r="CO234" s="54">
        <f t="shared" si="150"/>
        <v>0</v>
      </c>
      <c r="CP234" s="54">
        <f t="shared" si="151"/>
        <v>0</v>
      </c>
      <c r="CQ234" s="54">
        <f t="shared" si="152"/>
        <v>0</v>
      </c>
      <c r="CR234" s="54">
        <f t="shared" si="153"/>
        <v>0</v>
      </c>
      <c r="CS234" s="54">
        <f t="shared" si="154"/>
        <v>0</v>
      </c>
      <c r="CT234" s="54">
        <f t="shared" si="155"/>
        <v>0</v>
      </c>
      <c r="CU234" s="54">
        <f t="shared" si="156"/>
        <v>0</v>
      </c>
      <c r="CV234" s="52">
        <f t="shared" si="157"/>
        <v>0</v>
      </c>
    </row>
    <row r="235" spans="1:100" ht="15.75" x14ac:dyDescent="0.25">
      <c r="A235" s="17"/>
      <c r="B235" s="17"/>
      <c r="C235" s="17"/>
      <c r="D235" s="17"/>
      <c r="E235" s="17"/>
      <c r="F235" s="32" t="s">
        <v>2947</v>
      </c>
      <c r="G235" s="77"/>
      <c r="H235" s="77"/>
      <c r="I235" s="77"/>
      <c r="J235" s="77"/>
      <c r="K235" s="77"/>
      <c r="L235" s="77"/>
      <c r="M235" s="77"/>
      <c r="N235" s="77"/>
      <c r="O235" s="77"/>
      <c r="P235" s="77"/>
      <c r="Q235" s="77"/>
      <c r="R235" s="77"/>
      <c r="S235" s="11">
        <f t="shared" si="158"/>
        <v>0</v>
      </c>
      <c r="T235" s="5"/>
      <c r="V235" s="46">
        <f t="shared" ref="V235:V298" si="169">CV235</f>
        <v>0</v>
      </c>
      <c r="W235" s="36">
        <v>2.956</v>
      </c>
      <c r="X235" s="36">
        <v>2.956</v>
      </c>
      <c r="Y235" s="36">
        <v>2.956</v>
      </c>
      <c r="Z235" s="36">
        <v>2.956</v>
      </c>
      <c r="AA235" s="36">
        <v>2.956</v>
      </c>
      <c r="AB235" s="36">
        <v>2.956</v>
      </c>
      <c r="AC235" s="36">
        <v>2.956</v>
      </c>
      <c r="AD235" s="36">
        <v>2.956</v>
      </c>
      <c r="AE235" s="36">
        <v>2.956</v>
      </c>
      <c r="AF235" s="36">
        <v>2.956</v>
      </c>
      <c r="AG235" s="36">
        <v>2.956</v>
      </c>
      <c r="AH235" s="36">
        <v>2.956</v>
      </c>
      <c r="AI235" s="39">
        <v>1.33634708931066E-2</v>
      </c>
      <c r="AJ235" s="39">
        <v>1.33634708931066E-2</v>
      </c>
      <c r="AK235" s="39">
        <v>1.33634708931066E-2</v>
      </c>
      <c r="AL235" s="39">
        <v>1.33634708931066E-2</v>
      </c>
      <c r="AM235" s="39">
        <v>1.33634708931066E-2</v>
      </c>
      <c r="AN235" s="39">
        <v>1.33634708931066E-2</v>
      </c>
      <c r="AO235" s="39">
        <v>1.33634708931066E-2</v>
      </c>
      <c r="AP235" s="39">
        <v>1.33634708931066E-2</v>
      </c>
      <c r="AQ235" s="39">
        <v>1.33634708931066E-2</v>
      </c>
      <c r="AR235" s="39">
        <v>1.33634708931066E-2</v>
      </c>
      <c r="AS235" s="39">
        <v>1.33634708931066E-2</v>
      </c>
      <c r="AT235" s="39">
        <v>1.33634708931066E-2</v>
      </c>
      <c r="AU235" s="39">
        <v>1.2392217523121999E-3</v>
      </c>
      <c r="AV235" s="39">
        <v>1.2392217523121999E-3</v>
      </c>
      <c r="AW235" s="39">
        <v>1.2392217523121999E-3</v>
      </c>
      <c r="AX235" s="39">
        <v>1.2392217523121999E-3</v>
      </c>
      <c r="AY235" s="39">
        <v>1.2392217523121999E-3</v>
      </c>
      <c r="AZ235" s="39">
        <v>1.2392217523121999E-3</v>
      </c>
      <c r="BA235" s="39">
        <v>1.2392217523121999E-3</v>
      </c>
      <c r="BB235" s="39">
        <v>1.2392217523121999E-3</v>
      </c>
      <c r="BC235" s="39">
        <v>1.2392217523121999E-3</v>
      </c>
      <c r="BD235" s="39">
        <v>1.2392217523121999E-3</v>
      </c>
      <c r="BE235" s="39">
        <v>1.2392217523121999E-3</v>
      </c>
      <c r="BF235" s="39">
        <v>1.2392217523121999E-3</v>
      </c>
      <c r="BH235" s="12">
        <f t="shared" si="159"/>
        <v>0</v>
      </c>
      <c r="BI235" s="12">
        <f t="shared" si="160"/>
        <v>0</v>
      </c>
      <c r="BJ235" s="12">
        <f t="shared" si="161"/>
        <v>0</v>
      </c>
      <c r="BK235" s="12">
        <f t="shared" si="162"/>
        <v>0</v>
      </c>
      <c r="BL235" s="12">
        <f t="shared" si="163"/>
        <v>0</v>
      </c>
      <c r="BM235" s="12">
        <f t="shared" si="164"/>
        <v>0</v>
      </c>
      <c r="BN235" s="12">
        <f t="shared" si="165"/>
        <v>0</v>
      </c>
      <c r="BO235" s="12">
        <f t="shared" si="166"/>
        <v>0</v>
      </c>
      <c r="BP235" s="12">
        <f t="shared" si="167"/>
        <v>0</v>
      </c>
      <c r="BQ235" s="12">
        <f t="shared" si="168"/>
        <v>0</v>
      </c>
      <c r="BR235" s="12">
        <f t="shared" ref="BR235:BR298" si="170">(AG235*Q235)</f>
        <v>0</v>
      </c>
      <c r="BS235" s="12">
        <f t="shared" ref="BS235:BS298" si="171">(AH235*R235)</f>
        <v>0</v>
      </c>
      <c r="BU235" s="11">
        <f t="shared" ref="BU235:BU298" si="172">BH235*(1-(AI235+AU235))</f>
        <v>0</v>
      </c>
      <c r="BV235" s="11">
        <f t="shared" ref="BV235:BV298" si="173">BI235*(1-(AJ235+AV235))</f>
        <v>0</v>
      </c>
      <c r="BW235" s="11">
        <f t="shared" ref="BW235:BW298" si="174">BJ235*(1-(AK235+AW235))</f>
        <v>0</v>
      </c>
      <c r="BX235" s="11">
        <f t="shared" ref="BX235:BX298" si="175">BK235*(1-(AL235+AX235))</f>
        <v>0</v>
      </c>
      <c r="BY235" s="11">
        <f t="shared" ref="BY235:BY298" si="176">BL235*(1-(AM235+AY235))</f>
        <v>0</v>
      </c>
      <c r="BZ235" s="11">
        <f t="shared" ref="BZ235:BZ298" si="177">BM235*(1-(AN235+AZ235))</f>
        <v>0</v>
      </c>
      <c r="CA235" s="11">
        <f t="shared" ref="CA235:CA298" si="178">BN235*(1-(AO235+BA235))</f>
        <v>0</v>
      </c>
      <c r="CB235" s="11">
        <f t="shared" ref="CB235:CB298" si="179">BO235*(1-(AP235+BB235))</f>
        <v>0</v>
      </c>
      <c r="CC235" s="11">
        <f t="shared" ref="CC235:CC298" si="180">BP235*(1-(AQ235+BC235))</f>
        <v>0</v>
      </c>
      <c r="CD235" s="11">
        <f t="shared" ref="CD235:CD298" si="181">BQ235*(1-(AR235+BD235))</f>
        <v>0</v>
      </c>
      <c r="CE235" s="11">
        <f t="shared" ref="CE235:CE298" si="182">BR235*(1-(AS235+BE235))</f>
        <v>0</v>
      </c>
      <c r="CF235" s="11">
        <f t="shared" ref="CF235:CF298" si="183">BS235*(1-(AT235+BF235))</f>
        <v>0</v>
      </c>
      <c r="CG235" s="11"/>
      <c r="CH235" s="41">
        <v>3.23</v>
      </c>
      <c r="CJ235" s="54">
        <f t="shared" ref="CJ235:CJ298" si="184">((BU235/$CH235)/1000)</f>
        <v>0</v>
      </c>
      <c r="CK235" s="54">
        <f t="shared" ref="CK235:CK298" si="185">((BV235/$CH235)/1000)</f>
        <v>0</v>
      </c>
      <c r="CL235" s="54">
        <f t="shared" ref="CL235:CL298" si="186">((BW235/$CH235)/1000)</f>
        <v>0</v>
      </c>
      <c r="CM235" s="54">
        <f t="shared" ref="CM235:CM298" si="187">((BX235/$CH235)/1000)</f>
        <v>0</v>
      </c>
      <c r="CN235" s="54">
        <f t="shared" ref="CN235:CN298" si="188">((BY235/$CH235)/1000)</f>
        <v>0</v>
      </c>
      <c r="CO235" s="54">
        <f t="shared" ref="CO235:CO298" si="189">((BZ235/$CH235)/1000)</f>
        <v>0</v>
      </c>
      <c r="CP235" s="54">
        <f t="shared" ref="CP235:CP298" si="190">((CA235/$CH235)/1000)</f>
        <v>0</v>
      </c>
      <c r="CQ235" s="54">
        <f t="shared" ref="CQ235:CQ298" si="191">((CB235/$CH235)/1000)</f>
        <v>0</v>
      </c>
      <c r="CR235" s="54">
        <f t="shared" ref="CR235:CR298" si="192">((CC235/$CH235)/1000)</f>
        <v>0</v>
      </c>
      <c r="CS235" s="54">
        <f t="shared" ref="CS235:CS298" si="193">((CD235/$CH235)/1000)</f>
        <v>0</v>
      </c>
      <c r="CT235" s="54">
        <f t="shared" ref="CT235:CT298" si="194">((CE235/$CH235)/1000)</f>
        <v>0</v>
      </c>
      <c r="CU235" s="54">
        <f t="shared" ref="CU235:CU298" si="195">((CF235/$CH235)/1000)</f>
        <v>0</v>
      </c>
      <c r="CV235" s="52">
        <f t="shared" ref="CV235:CV298" si="196">ROUNDUP(SUM(CJ235:CU235),0)</f>
        <v>0</v>
      </c>
    </row>
    <row r="236" spans="1:100" ht="15.75" x14ac:dyDescent="0.25">
      <c r="A236" s="17"/>
      <c r="B236" s="17"/>
      <c r="C236" s="17"/>
      <c r="D236" s="17"/>
      <c r="E236" s="17"/>
      <c r="F236" s="32" t="s">
        <v>2947</v>
      </c>
      <c r="G236" s="77"/>
      <c r="H236" s="77"/>
      <c r="I236" s="77"/>
      <c r="J236" s="77"/>
      <c r="K236" s="77"/>
      <c r="L236" s="77"/>
      <c r="M236" s="77"/>
      <c r="N236" s="77"/>
      <c r="O236" s="77"/>
      <c r="P236" s="77"/>
      <c r="Q236" s="77"/>
      <c r="R236" s="77"/>
      <c r="S236" s="11">
        <f t="shared" si="158"/>
        <v>0</v>
      </c>
      <c r="T236" s="5"/>
      <c r="V236" s="46">
        <f t="shared" si="169"/>
        <v>0</v>
      </c>
      <c r="W236" s="36">
        <v>3.476</v>
      </c>
      <c r="X236" s="36">
        <v>3.476</v>
      </c>
      <c r="Y236" s="36">
        <v>3.476</v>
      </c>
      <c r="Z236" s="36">
        <v>3.476</v>
      </c>
      <c r="AA236" s="36">
        <v>3.476</v>
      </c>
      <c r="AB236" s="36">
        <v>3.476</v>
      </c>
      <c r="AC236" s="36">
        <v>3.476</v>
      </c>
      <c r="AD236" s="36">
        <v>3.476</v>
      </c>
      <c r="AE236" s="36">
        <v>3.476</v>
      </c>
      <c r="AF236" s="36">
        <v>3.476</v>
      </c>
      <c r="AG236" s="36">
        <v>3.476</v>
      </c>
      <c r="AH236" s="36">
        <v>3.476</v>
      </c>
      <c r="AI236" s="39">
        <v>1.33634708931066E-2</v>
      </c>
      <c r="AJ236" s="39">
        <v>1.33634708931066E-2</v>
      </c>
      <c r="AK236" s="39">
        <v>1.33634708931066E-2</v>
      </c>
      <c r="AL236" s="39">
        <v>1.33634708931066E-2</v>
      </c>
      <c r="AM236" s="39">
        <v>1.33634708931066E-2</v>
      </c>
      <c r="AN236" s="39">
        <v>1.33634708931066E-2</v>
      </c>
      <c r="AO236" s="39">
        <v>1.33634708931066E-2</v>
      </c>
      <c r="AP236" s="39">
        <v>1.33634708931066E-2</v>
      </c>
      <c r="AQ236" s="39">
        <v>1.33634708931066E-2</v>
      </c>
      <c r="AR236" s="39">
        <v>1.33634708931066E-2</v>
      </c>
      <c r="AS236" s="39">
        <v>1.33634708931066E-2</v>
      </c>
      <c r="AT236" s="39">
        <v>1.33634708931066E-2</v>
      </c>
      <c r="AU236" s="39">
        <v>1.2392217523121999E-3</v>
      </c>
      <c r="AV236" s="39">
        <v>1.2392217523121999E-3</v>
      </c>
      <c r="AW236" s="39">
        <v>1.2392217523121999E-3</v>
      </c>
      <c r="AX236" s="39">
        <v>1.2392217523121999E-3</v>
      </c>
      <c r="AY236" s="39">
        <v>1.2392217523121999E-3</v>
      </c>
      <c r="AZ236" s="39">
        <v>1.2392217523121999E-3</v>
      </c>
      <c r="BA236" s="39">
        <v>1.2392217523121999E-3</v>
      </c>
      <c r="BB236" s="39">
        <v>1.2392217523121999E-3</v>
      </c>
      <c r="BC236" s="39">
        <v>1.2392217523121999E-3</v>
      </c>
      <c r="BD236" s="39">
        <v>1.2392217523121999E-3</v>
      </c>
      <c r="BE236" s="39">
        <v>1.2392217523121999E-3</v>
      </c>
      <c r="BF236" s="39">
        <v>1.2392217523121999E-3</v>
      </c>
      <c r="BH236" s="12">
        <f t="shared" si="159"/>
        <v>0</v>
      </c>
      <c r="BI236" s="12">
        <f t="shared" si="160"/>
        <v>0</v>
      </c>
      <c r="BJ236" s="12">
        <f t="shared" si="161"/>
        <v>0</v>
      </c>
      <c r="BK236" s="12">
        <f t="shared" si="162"/>
        <v>0</v>
      </c>
      <c r="BL236" s="12">
        <f t="shared" si="163"/>
        <v>0</v>
      </c>
      <c r="BM236" s="12">
        <f t="shared" si="164"/>
        <v>0</v>
      </c>
      <c r="BN236" s="12">
        <f t="shared" si="165"/>
        <v>0</v>
      </c>
      <c r="BO236" s="12">
        <f t="shared" si="166"/>
        <v>0</v>
      </c>
      <c r="BP236" s="12">
        <f t="shared" si="167"/>
        <v>0</v>
      </c>
      <c r="BQ236" s="12">
        <f t="shared" si="168"/>
        <v>0</v>
      </c>
      <c r="BR236" s="12">
        <f t="shared" si="170"/>
        <v>0</v>
      </c>
      <c r="BS236" s="12">
        <f t="shared" si="171"/>
        <v>0</v>
      </c>
      <c r="BU236" s="11">
        <f t="shared" si="172"/>
        <v>0</v>
      </c>
      <c r="BV236" s="11">
        <f t="shared" si="173"/>
        <v>0</v>
      </c>
      <c r="BW236" s="11">
        <f t="shared" si="174"/>
        <v>0</v>
      </c>
      <c r="BX236" s="11">
        <f t="shared" si="175"/>
        <v>0</v>
      </c>
      <c r="BY236" s="11">
        <f t="shared" si="176"/>
        <v>0</v>
      </c>
      <c r="BZ236" s="11">
        <f t="shared" si="177"/>
        <v>0</v>
      </c>
      <c r="CA236" s="11">
        <f t="shared" si="178"/>
        <v>0</v>
      </c>
      <c r="CB236" s="11">
        <f t="shared" si="179"/>
        <v>0</v>
      </c>
      <c r="CC236" s="11">
        <f t="shared" si="180"/>
        <v>0</v>
      </c>
      <c r="CD236" s="11">
        <f t="shared" si="181"/>
        <v>0</v>
      </c>
      <c r="CE236" s="11">
        <f t="shared" si="182"/>
        <v>0</v>
      </c>
      <c r="CF236" s="11">
        <f t="shared" si="183"/>
        <v>0</v>
      </c>
      <c r="CG236" s="11"/>
      <c r="CH236" s="41">
        <v>3.23</v>
      </c>
      <c r="CJ236" s="54">
        <f t="shared" si="184"/>
        <v>0</v>
      </c>
      <c r="CK236" s="54">
        <f t="shared" si="185"/>
        <v>0</v>
      </c>
      <c r="CL236" s="54">
        <f t="shared" si="186"/>
        <v>0</v>
      </c>
      <c r="CM236" s="54">
        <f t="shared" si="187"/>
        <v>0</v>
      </c>
      <c r="CN236" s="54">
        <f t="shared" si="188"/>
        <v>0</v>
      </c>
      <c r="CO236" s="54">
        <f t="shared" si="189"/>
        <v>0</v>
      </c>
      <c r="CP236" s="54">
        <f t="shared" si="190"/>
        <v>0</v>
      </c>
      <c r="CQ236" s="54">
        <f t="shared" si="191"/>
        <v>0</v>
      </c>
      <c r="CR236" s="54">
        <f t="shared" si="192"/>
        <v>0</v>
      </c>
      <c r="CS236" s="54">
        <f t="shared" si="193"/>
        <v>0</v>
      </c>
      <c r="CT236" s="54">
        <f t="shared" si="194"/>
        <v>0</v>
      </c>
      <c r="CU236" s="54">
        <f t="shared" si="195"/>
        <v>0</v>
      </c>
      <c r="CV236" s="52">
        <f t="shared" si="196"/>
        <v>0</v>
      </c>
    </row>
    <row r="237" spans="1:100" ht="15.75" x14ac:dyDescent="0.25">
      <c r="A237" s="17"/>
      <c r="B237" s="17"/>
      <c r="C237" s="17"/>
      <c r="D237" s="17"/>
      <c r="E237" s="17"/>
      <c r="F237" s="32" t="s">
        <v>2947</v>
      </c>
      <c r="G237" s="77"/>
      <c r="H237" s="77"/>
      <c r="I237" s="77"/>
      <c r="J237" s="77"/>
      <c r="K237" s="77"/>
      <c r="L237" s="77"/>
      <c r="M237" s="77"/>
      <c r="N237" s="77"/>
      <c r="O237" s="77"/>
      <c r="P237" s="77"/>
      <c r="Q237" s="77"/>
      <c r="R237" s="77"/>
      <c r="S237" s="11">
        <f t="shared" si="158"/>
        <v>0</v>
      </c>
      <c r="T237" s="5"/>
      <c r="V237" s="46">
        <f t="shared" si="169"/>
        <v>0</v>
      </c>
      <c r="W237" s="36">
        <v>3.915</v>
      </c>
      <c r="X237" s="36">
        <v>3.915</v>
      </c>
      <c r="Y237" s="36">
        <v>3.915</v>
      </c>
      <c r="Z237" s="36">
        <v>3.915</v>
      </c>
      <c r="AA237" s="36">
        <v>3.915</v>
      </c>
      <c r="AB237" s="36">
        <v>3.915</v>
      </c>
      <c r="AC237" s="36">
        <v>3.915</v>
      </c>
      <c r="AD237" s="36">
        <v>3.915</v>
      </c>
      <c r="AE237" s="36">
        <v>3.915</v>
      </c>
      <c r="AF237" s="36">
        <v>3.915</v>
      </c>
      <c r="AG237" s="36">
        <v>3.915</v>
      </c>
      <c r="AH237" s="36">
        <v>3.915</v>
      </c>
      <c r="AI237" s="39">
        <v>1.33634708931066E-2</v>
      </c>
      <c r="AJ237" s="39">
        <v>1.33634708931066E-2</v>
      </c>
      <c r="AK237" s="39">
        <v>1.33634708931066E-2</v>
      </c>
      <c r="AL237" s="39">
        <v>1.33634708931066E-2</v>
      </c>
      <c r="AM237" s="39">
        <v>1.33634708931066E-2</v>
      </c>
      <c r="AN237" s="39">
        <v>1.33634708931066E-2</v>
      </c>
      <c r="AO237" s="39">
        <v>1.33634708931066E-2</v>
      </c>
      <c r="AP237" s="39">
        <v>1.33634708931066E-2</v>
      </c>
      <c r="AQ237" s="39">
        <v>1.33634708931066E-2</v>
      </c>
      <c r="AR237" s="39">
        <v>1.33634708931066E-2</v>
      </c>
      <c r="AS237" s="39">
        <v>1.33634708931066E-2</v>
      </c>
      <c r="AT237" s="39">
        <v>1.33634708931066E-2</v>
      </c>
      <c r="AU237" s="39">
        <v>1.2392217523121999E-3</v>
      </c>
      <c r="AV237" s="39">
        <v>1.2392217523121999E-3</v>
      </c>
      <c r="AW237" s="39">
        <v>1.2392217523121999E-3</v>
      </c>
      <c r="AX237" s="39">
        <v>1.2392217523121999E-3</v>
      </c>
      <c r="AY237" s="39">
        <v>1.2392217523121999E-3</v>
      </c>
      <c r="AZ237" s="39">
        <v>1.2392217523121999E-3</v>
      </c>
      <c r="BA237" s="39">
        <v>1.2392217523121999E-3</v>
      </c>
      <c r="BB237" s="39">
        <v>1.2392217523121999E-3</v>
      </c>
      <c r="BC237" s="39">
        <v>1.2392217523121999E-3</v>
      </c>
      <c r="BD237" s="39">
        <v>1.2392217523121999E-3</v>
      </c>
      <c r="BE237" s="39">
        <v>1.2392217523121999E-3</v>
      </c>
      <c r="BF237" s="39">
        <v>1.2392217523121999E-3</v>
      </c>
      <c r="BH237" s="12">
        <f t="shared" si="159"/>
        <v>0</v>
      </c>
      <c r="BI237" s="12">
        <f t="shared" si="160"/>
        <v>0</v>
      </c>
      <c r="BJ237" s="12">
        <f t="shared" si="161"/>
        <v>0</v>
      </c>
      <c r="BK237" s="12">
        <f t="shared" si="162"/>
        <v>0</v>
      </c>
      <c r="BL237" s="12">
        <f t="shared" si="163"/>
        <v>0</v>
      </c>
      <c r="BM237" s="12">
        <f t="shared" si="164"/>
        <v>0</v>
      </c>
      <c r="BN237" s="12">
        <f t="shared" si="165"/>
        <v>0</v>
      </c>
      <c r="BO237" s="12">
        <f t="shared" si="166"/>
        <v>0</v>
      </c>
      <c r="BP237" s="12">
        <f t="shared" si="167"/>
        <v>0</v>
      </c>
      <c r="BQ237" s="12">
        <f t="shared" si="168"/>
        <v>0</v>
      </c>
      <c r="BR237" s="12">
        <f t="shared" si="170"/>
        <v>0</v>
      </c>
      <c r="BS237" s="12">
        <f t="shared" si="171"/>
        <v>0</v>
      </c>
      <c r="BU237" s="11">
        <f t="shared" si="172"/>
        <v>0</v>
      </c>
      <c r="BV237" s="11">
        <f t="shared" si="173"/>
        <v>0</v>
      </c>
      <c r="BW237" s="11">
        <f t="shared" si="174"/>
        <v>0</v>
      </c>
      <c r="BX237" s="11">
        <f t="shared" si="175"/>
        <v>0</v>
      </c>
      <c r="BY237" s="11">
        <f t="shared" si="176"/>
        <v>0</v>
      </c>
      <c r="BZ237" s="11">
        <f t="shared" si="177"/>
        <v>0</v>
      </c>
      <c r="CA237" s="11">
        <f t="shared" si="178"/>
        <v>0</v>
      </c>
      <c r="CB237" s="11">
        <f t="shared" si="179"/>
        <v>0</v>
      </c>
      <c r="CC237" s="11">
        <f t="shared" si="180"/>
        <v>0</v>
      </c>
      <c r="CD237" s="11">
        <f t="shared" si="181"/>
        <v>0</v>
      </c>
      <c r="CE237" s="11">
        <f t="shared" si="182"/>
        <v>0</v>
      </c>
      <c r="CF237" s="11">
        <f t="shared" si="183"/>
        <v>0</v>
      </c>
      <c r="CG237" s="11"/>
      <c r="CH237" s="41">
        <v>3.23</v>
      </c>
      <c r="CJ237" s="54">
        <f t="shared" si="184"/>
        <v>0</v>
      </c>
      <c r="CK237" s="54">
        <f t="shared" si="185"/>
        <v>0</v>
      </c>
      <c r="CL237" s="54">
        <f t="shared" si="186"/>
        <v>0</v>
      </c>
      <c r="CM237" s="54">
        <f t="shared" si="187"/>
        <v>0</v>
      </c>
      <c r="CN237" s="54">
        <f t="shared" si="188"/>
        <v>0</v>
      </c>
      <c r="CO237" s="54">
        <f t="shared" si="189"/>
        <v>0</v>
      </c>
      <c r="CP237" s="54">
        <f t="shared" si="190"/>
        <v>0</v>
      </c>
      <c r="CQ237" s="54">
        <f t="shared" si="191"/>
        <v>0</v>
      </c>
      <c r="CR237" s="54">
        <f t="shared" si="192"/>
        <v>0</v>
      </c>
      <c r="CS237" s="54">
        <f t="shared" si="193"/>
        <v>0</v>
      </c>
      <c r="CT237" s="54">
        <f t="shared" si="194"/>
        <v>0</v>
      </c>
      <c r="CU237" s="54">
        <f t="shared" si="195"/>
        <v>0</v>
      </c>
      <c r="CV237" s="52">
        <f t="shared" si="196"/>
        <v>0</v>
      </c>
    </row>
    <row r="238" spans="1:100" ht="15.75" x14ac:dyDescent="0.25">
      <c r="A238" s="17"/>
      <c r="B238" s="17"/>
      <c r="C238" s="17"/>
      <c r="D238" s="17"/>
      <c r="E238" s="17"/>
      <c r="F238" s="32" t="s">
        <v>2947</v>
      </c>
      <c r="G238" s="77"/>
      <c r="H238" s="77"/>
      <c r="I238" s="77"/>
      <c r="J238" s="77"/>
      <c r="K238" s="77"/>
      <c r="L238" s="77"/>
      <c r="M238" s="77"/>
      <c r="N238" s="77"/>
      <c r="O238" s="77"/>
      <c r="P238" s="77"/>
      <c r="Q238" s="77"/>
      <c r="R238" s="77"/>
      <c r="S238" s="11">
        <f t="shared" si="158"/>
        <v>0</v>
      </c>
      <c r="T238" s="5"/>
      <c r="V238" s="46">
        <f t="shared" si="169"/>
        <v>0</v>
      </c>
      <c r="W238" s="36">
        <v>9.06</v>
      </c>
      <c r="X238" s="36">
        <v>9.06</v>
      </c>
      <c r="Y238" s="36">
        <v>9.06</v>
      </c>
      <c r="Z238" s="36">
        <v>9.06</v>
      </c>
      <c r="AA238" s="36">
        <v>9.06</v>
      </c>
      <c r="AB238" s="36">
        <v>9.06</v>
      </c>
      <c r="AC238" s="36">
        <v>9.06</v>
      </c>
      <c r="AD238" s="36">
        <v>9.06</v>
      </c>
      <c r="AE238" s="36">
        <v>9.06</v>
      </c>
      <c r="AF238" s="36">
        <v>9.06</v>
      </c>
      <c r="AG238" s="36">
        <v>9.06</v>
      </c>
      <c r="AH238" s="36">
        <v>9.06</v>
      </c>
      <c r="AI238" s="39">
        <v>0</v>
      </c>
      <c r="AJ238" s="39">
        <v>0</v>
      </c>
      <c r="AK238" s="39">
        <v>0</v>
      </c>
      <c r="AL238" s="39">
        <v>0</v>
      </c>
      <c r="AM238" s="39">
        <v>0</v>
      </c>
      <c r="AN238" s="39">
        <v>0</v>
      </c>
      <c r="AO238" s="39">
        <v>0</v>
      </c>
      <c r="AP238" s="39">
        <v>0</v>
      </c>
      <c r="AQ238" s="39">
        <v>0</v>
      </c>
      <c r="AR238" s="39">
        <v>0</v>
      </c>
      <c r="AS238" s="39">
        <v>0</v>
      </c>
      <c r="AT238" s="39">
        <v>0</v>
      </c>
      <c r="AU238" s="39">
        <v>0</v>
      </c>
      <c r="AV238" s="39">
        <v>0</v>
      </c>
      <c r="AW238" s="39">
        <v>0</v>
      </c>
      <c r="AX238" s="39">
        <v>0</v>
      </c>
      <c r="AY238" s="39">
        <v>0</v>
      </c>
      <c r="AZ238" s="39">
        <v>0</v>
      </c>
      <c r="BA238" s="39">
        <v>0</v>
      </c>
      <c r="BB238" s="39">
        <v>0</v>
      </c>
      <c r="BC238" s="39">
        <v>0</v>
      </c>
      <c r="BD238" s="39">
        <v>0</v>
      </c>
      <c r="BE238" s="39">
        <v>0</v>
      </c>
      <c r="BF238" s="39">
        <v>0</v>
      </c>
      <c r="BH238" s="12">
        <f t="shared" si="159"/>
        <v>0</v>
      </c>
      <c r="BI238" s="12">
        <f t="shared" si="160"/>
        <v>0</v>
      </c>
      <c r="BJ238" s="12">
        <f t="shared" si="161"/>
        <v>0</v>
      </c>
      <c r="BK238" s="12">
        <f t="shared" si="162"/>
        <v>0</v>
      </c>
      <c r="BL238" s="12">
        <f t="shared" si="163"/>
        <v>0</v>
      </c>
      <c r="BM238" s="12">
        <f t="shared" si="164"/>
        <v>0</v>
      </c>
      <c r="BN238" s="12">
        <f t="shared" si="165"/>
        <v>0</v>
      </c>
      <c r="BO238" s="12">
        <f t="shared" si="166"/>
        <v>0</v>
      </c>
      <c r="BP238" s="12">
        <f t="shared" si="167"/>
        <v>0</v>
      </c>
      <c r="BQ238" s="12">
        <f t="shared" si="168"/>
        <v>0</v>
      </c>
      <c r="BR238" s="12">
        <f t="shared" si="170"/>
        <v>0</v>
      </c>
      <c r="BS238" s="12">
        <f t="shared" si="171"/>
        <v>0</v>
      </c>
      <c r="BU238" s="11">
        <f t="shared" si="172"/>
        <v>0</v>
      </c>
      <c r="BV238" s="11">
        <f t="shared" si="173"/>
        <v>0</v>
      </c>
      <c r="BW238" s="11">
        <f t="shared" si="174"/>
        <v>0</v>
      </c>
      <c r="BX238" s="11">
        <f t="shared" si="175"/>
        <v>0</v>
      </c>
      <c r="BY238" s="11">
        <f t="shared" si="176"/>
        <v>0</v>
      </c>
      <c r="BZ238" s="11">
        <f t="shared" si="177"/>
        <v>0</v>
      </c>
      <c r="CA238" s="11">
        <f t="shared" si="178"/>
        <v>0</v>
      </c>
      <c r="CB238" s="11">
        <f t="shared" si="179"/>
        <v>0</v>
      </c>
      <c r="CC238" s="11">
        <f t="shared" si="180"/>
        <v>0</v>
      </c>
      <c r="CD238" s="11">
        <f t="shared" si="181"/>
        <v>0</v>
      </c>
      <c r="CE238" s="11">
        <f t="shared" si="182"/>
        <v>0</v>
      </c>
      <c r="CF238" s="11">
        <f t="shared" si="183"/>
        <v>0</v>
      </c>
      <c r="CG238" s="11"/>
      <c r="CH238" s="41">
        <v>1</v>
      </c>
      <c r="CJ238" s="54">
        <f t="shared" si="184"/>
        <v>0</v>
      </c>
      <c r="CK238" s="54">
        <f t="shared" si="185"/>
        <v>0</v>
      </c>
      <c r="CL238" s="54">
        <f t="shared" si="186"/>
        <v>0</v>
      </c>
      <c r="CM238" s="54">
        <f t="shared" si="187"/>
        <v>0</v>
      </c>
      <c r="CN238" s="54">
        <f t="shared" si="188"/>
        <v>0</v>
      </c>
      <c r="CO238" s="54">
        <f t="shared" si="189"/>
        <v>0</v>
      </c>
      <c r="CP238" s="54">
        <f t="shared" si="190"/>
        <v>0</v>
      </c>
      <c r="CQ238" s="54">
        <f t="shared" si="191"/>
        <v>0</v>
      </c>
      <c r="CR238" s="54">
        <f t="shared" si="192"/>
        <v>0</v>
      </c>
      <c r="CS238" s="54">
        <f t="shared" si="193"/>
        <v>0</v>
      </c>
      <c r="CT238" s="54">
        <f t="shared" si="194"/>
        <v>0</v>
      </c>
      <c r="CU238" s="54">
        <f t="shared" si="195"/>
        <v>0</v>
      </c>
      <c r="CV238" s="52">
        <f t="shared" si="196"/>
        <v>0</v>
      </c>
    </row>
    <row r="239" spans="1:100" ht="15.75" x14ac:dyDescent="0.25">
      <c r="A239" s="17"/>
      <c r="B239" s="17"/>
      <c r="C239" s="17"/>
      <c r="D239" s="17"/>
      <c r="E239" s="17"/>
      <c r="F239" s="32" t="s">
        <v>2947</v>
      </c>
      <c r="G239" s="77"/>
      <c r="H239" s="77"/>
      <c r="I239" s="77"/>
      <c r="J239" s="77"/>
      <c r="K239" s="77"/>
      <c r="L239" s="77"/>
      <c r="M239" s="77"/>
      <c r="N239" s="77"/>
      <c r="O239" s="77"/>
      <c r="P239" s="77"/>
      <c r="Q239" s="77"/>
      <c r="R239" s="77"/>
      <c r="S239" s="11">
        <f t="shared" si="158"/>
        <v>0</v>
      </c>
      <c r="T239" s="5"/>
      <c r="V239" s="46">
        <f t="shared" si="169"/>
        <v>0</v>
      </c>
      <c r="W239" s="36">
        <v>1.69</v>
      </c>
      <c r="X239" s="36">
        <v>1.69</v>
      </c>
      <c r="Y239" s="36">
        <v>1.69</v>
      </c>
      <c r="Z239" s="36">
        <v>1.69</v>
      </c>
      <c r="AA239" s="36">
        <v>1.69</v>
      </c>
      <c r="AB239" s="36">
        <v>1.69</v>
      </c>
      <c r="AC239" s="36">
        <v>1.69</v>
      </c>
      <c r="AD239" s="36">
        <v>1.69</v>
      </c>
      <c r="AE239" s="36">
        <v>1.69</v>
      </c>
      <c r="AF239" s="36">
        <v>1.69</v>
      </c>
      <c r="AG239" s="36">
        <v>1.69</v>
      </c>
      <c r="AH239" s="36">
        <v>1.69</v>
      </c>
      <c r="AI239" s="39">
        <v>0</v>
      </c>
      <c r="AJ239" s="39">
        <v>0</v>
      </c>
      <c r="AK239" s="39">
        <v>0</v>
      </c>
      <c r="AL239" s="39">
        <v>0</v>
      </c>
      <c r="AM239" s="39">
        <v>0</v>
      </c>
      <c r="AN239" s="39">
        <v>0</v>
      </c>
      <c r="AO239" s="39">
        <v>0</v>
      </c>
      <c r="AP239" s="39">
        <v>0</v>
      </c>
      <c r="AQ239" s="39">
        <v>0</v>
      </c>
      <c r="AR239" s="39">
        <v>0</v>
      </c>
      <c r="AS239" s="39">
        <v>0</v>
      </c>
      <c r="AT239" s="39">
        <v>0</v>
      </c>
      <c r="AU239" s="39">
        <v>0</v>
      </c>
      <c r="AV239" s="39">
        <v>0</v>
      </c>
      <c r="AW239" s="39">
        <v>0</v>
      </c>
      <c r="AX239" s="39">
        <v>0</v>
      </c>
      <c r="AY239" s="39">
        <v>0</v>
      </c>
      <c r="AZ239" s="39">
        <v>0</v>
      </c>
      <c r="BA239" s="39">
        <v>0</v>
      </c>
      <c r="BB239" s="39">
        <v>0</v>
      </c>
      <c r="BC239" s="39">
        <v>0</v>
      </c>
      <c r="BD239" s="39">
        <v>0</v>
      </c>
      <c r="BE239" s="39">
        <v>0</v>
      </c>
      <c r="BF239" s="39">
        <v>0</v>
      </c>
      <c r="BH239" s="12">
        <f t="shared" si="159"/>
        <v>0</v>
      </c>
      <c r="BI239" s="12">
        <f t="shared" si="160"/>
        <v>0</v>
      </c>
      <c r="BJ239" s="12">
        <f t="shared" si="161"/>
        <v>0</v>
      </c>
      <c r="BK239" s="12">
        <f t="shared" si="162"/>
        <v>0</v>
      </c>
      <c r="BL239" s="12">
        <f t="shared" si="163"/>
        <v>0</v>
      </c>
      <c r="BM239" s="12">
        <f t="shared" si="164"/>
        <v>0</v>
      </c>
      <c r="BN239" s="12">
        <f t="shared" si="165"/>
        <v>0</v>
      </c>
      <c r="BO239" s="12">
        <f t="shared" si="166"/>
        <v>0</v>
      </c>
      <c r="BP239" s="12">
        <f t="shared" si="167"/>
        <v>0</v>
      </c>
      <c r="BQ239" s="12">
        <f t="shared" si="168"/>
        <v>0</v>
      </c>
      <c r="BR239" s="12">
        <f t="shared" si="170"/>
        <v>0</v>
      </c>
      <c r="BS239" s="12">
        <f t="shared" si="171"/>
        <v>0</v>
      </c>
      <c r="BU239" s="11">
        <f t="shared" si="172"/>
        <v>0</v>
      </c>
      <c r="BV239" s="11">
        <f t="shared" si="173"/>
        <v>0</v>
      </c>
      <c r="BW239" s="11">
        <f t="shared" si="174"/>
        <v>0</v>
      </c>
      <c r="BX239" s="11">
        <f t="shared" si="175"/>
        <v>0</v>
      </c>
      <c r="BY239" s="11">
        <f t="shared" si="176"/>
        <v>0</v>
      </c>
      <c r="BZ239" s="11">
        <f t="shared" si="177"/>
        <v>0</v>
      </c>
      <c r="CA239" s="11">
        <f t="shared" si="178"/>
        <v>0</v>
      </c>
      <c r="CB239" s="11">
        <f t="shared" si="179"/>
        <v>0</v>
      </c>
      <c r="CC239" s="11">
        <f t="shared" si="180"/>
        <v>0</v>
      </c>
      <c r="CD239" s="11">
        <f t="shared" si="181"/>
        <v>0</v>
      </c>
      <c r="CE239" s="11">
        <f t="shared" si="182"/>
        <v>0</v>
      </c>
      <c r="CF239" s="11">
        <f t="shared" si="183"/>
        <v>0</v>
      </c>
      <c r="CG239" s="11"/>
      <c r="CH239" s="41">
        <v>1</v>
      </c>
      <c r="CJ239" s="54">
        <f t="shared" si="184"/>
        <v>0</v>
      </c>
      <c r="CK239" s="54">
        <f t="shared" si="185"/>
        <v>0</v>
      </c>
      <c r="CL239" s="54">
        <f t="shared" si="186"/>
        <v>0</v>
      </c>
      <c r="CM239" s="54">
        <f t="shared" si="187"/>
        <v>0</v>
      </c>
      <c r="CN239" s="54">
        <f t="shared" si="188"/>
        <v>0</v>
      </c>
      <c r="CO239" s="54">
        <f t="shared" si="189"/>
        <v>0</v>
      </c>
      <c r="CP239" s="54">
        <f t="shared" si="190"/>
        <v>0</v>
      </c>
      <c r="CQ239" s="54">
        <f t="shared" si="191"/>
        <v>0</v>
      </c>
      <c r="CR239" s="54">
        <f t="shared" si="192"/>
        <v>0</v>
      </c>
      <c r="CS239" s="54">
        <f t="shared" si="193"/>
        <v>0</v>
      </c>
      <c r="CT239" s="54">
        <f t="shared" si="194"/>
        <v>0</v>
      </c>
      <c r="CU239" s="54">
        <f t="shared" si="195"/>
        <v>0</v>
      </c>
      <c r="CV239" s="52">
        <f t="shared" si="196"/>
        <v>0</v>
      </c>
    </row>
    <row r="240" spans="1:100" ht="15.75" x14ac:dyDescent="0.25">
      <c r="A240" s="17"/>
      <c r="B240" s="17"/>
      <c r="C240" s="17"/>
      <c r="D240" s="17"/>
      <c r="E240" s="17"/>
      <c r="F240" s="32" t="s">
        <v>2947</v>
      </c>
      <c r="G240" s="77"/>
      <c r="H240" s="77"/>
      <c r="I240" s="77"/>
      <c r="J240" s="77"/>
      <c r="K240" s="77"/>
      <c r="L240" s="77"/>
      <c r="M240" s="77"/>
      <c r="N240" s="77"/>
      <c r="O240" s="77"/>
      <c r="P240" s="77"/>
      <c r="Q240" s="77"/>
      <c r="R240" s="77"/>
      <c r="S240" s="11">
        <f t="shared" si="158"/>
        <v>0</v>
      </c>
      <c r="T240" s="5"/>
      <c r="V240" s="46">
        <f t="shared" si="169"/>
        <v>0</v>
      </c>
      <c r="W240" s="36">
        <v>1.8400042087542088</v>
      </c>
      <c r="X240" s="36">
        <v>1.8400042087542088</v>
      </c>
      <c r="Y240" s="36">
        <v>1.8400042087542088</v>
      </c>
      <c r="Z240" s="36">
        <v>1.8400042087542088</v>
      </c>
      <c r="AA240" s="36">
        <v>1.8400042087542088</v>
      </c>
      <c r="AB240" s="36">
        <v>1.8400042087542088</v>
      </c>
      <c r="AC240" s="36">
        <v>1.8400042087542088</v>
      </c>
      <c r="AD240" s="36">
        <v>1.8400042087542088</v>
      </c>
      <c r="AE240" s="36">
        <v>1.8400042087542088</v>
      </c>
      <c r="AF240" s="36">
        <v>1.8400042087542088</v>
      </c>
      <c r="AG240" s="36">
        <v>1.8400042087542088</v>
      </c>
      <c r="AH240" s="36">
        <v>1.8400042087542088</v>
      </c>
      <c r="AI240" s="39">
        <v>0</v>
      </c>
      <c r="AJ240" s="39">
        <v>0</v>
      </c>
      <c r="AK240" s="39">
        <v>0</v>
      </c>
      <c r="AL240" s="39">
        <v>0</v>
      </c>
      <c r="AM240" s="39">
        <v>0</v>
      </c>
      <c r="AN240" s="39">
        <v>0</v>
      </c>
      <c r="AO240" s="39">
        <v>0</v>
      </c>
      <c r="AP240" s="39">
        <v>0</v>
      </c>
      <c r="AQ240" s="39">
        <v>0</v>
      </c>
      <c r="AR240" s="39">
        <v>0</v>
      </c>
      <c r="AS240" s="39">
        <v>0</v>
      </c>
      <c r="AT240" s="39">
        <v>0</v>
      </c>
      <c r="AU240" s="39">
        <v>0</v>
      </c>
      <c r="AV240" s="39">
        <v>0</v>
      </c>
      <c r="AW240" s="39">
        <v>0</v>
      </c>
      <c r="AX240" s="39">
        <v>0</v>
      </c>
      <c r="AY240" s="39">
        <v>0</v>
      </c>
      <c r="AZ240" s="39">
        <v>0</v>
      </c>
      <c r="BA240" s="39">
        <v>0</v>
      </c>
      <c r="BB240" s="39">
        <v>0</v>
      </c>
      <c r="BC240" s="39">
        <v>0</v>
      </c>
      <c r="BD240" s="39">
        <v>0</v>
      </c>
      <c r="BE240" s="39">
        <v>0</v>
      </c>
      <c r="BF240" s="39">
        <v>0</v>
      </c>
      <c r="BH240" s="12">
        <f t="shared" si="159"/>
        <v>0</v>
      </c>
      <c r="BI240" s="12">
        <f t="shared" si="160"/>
        <v>0</v>
      </c>
      <c r="BJ240" s="12">
        <f t="shared" si="161"/>
        <v>0</v>
      </c>
      <c r="BK240" s="12">
        <f t="shared" si="162"/>
        <v>0</v>
      </c>
      <c r="BL240" s="12">
        <f t="shared" si="163"/>
        <v>0</v>
      </c>
      <c r="BM240" s="12">
        <f t="shared" si="164"/>
        <v>0</v>
      </c>
      <c r="BN240" s="12">
        <f t="shared" si="165"/>
        <v>0</v>
      </c>
      <c r="BO240" s="12">
        <f t="shared" si="166"/>
        <v>0</v>
      </c>
      <c r="BP240" s="12">
        <f t="shared" si="167"/>
        <v>0</v>
      </c>
      <c r="BQ240" s="12">
        <f t="shared" si="168"/>
        <v>0</v>
      </c>
      <c r="BR240" s="12">
        <f t="shared" si="170"/>
        <v>0</v>
      </c>
      <c r="BS240" s="12">
        <f t="shared" si="171"/>
        <v>0</v>
      </c>
      <c r="BU240" s="11">
        <f t="shared" si="172"/>
        <v>0</v>
      </c>
      <c r="BV240" s="11">
        <f t="shared" si="173"/>
        <v>0</v>
      </c>
      <c r="BW240" s="11">
        <f t="shared" si="174"/>
        <v>0</v>
      </c>
      <c r="BX240" s="11">
        <f t="shared" si="175"/>
        <v>0</v>
      </c>
      <c r="BY240" s="11">
        <f t="shared" si="176"/>
        <v>0</v>
      </c>
      <c r="BZ240" s="11">
        <f t="shared" si="177"/>
        <v>0</v>
      </c>
      <c r="CA240" s="11">
        <f t="shared" si="178"/>
        <v>0</v>
      </c>
      <c r="CB240" s="11">
        <f t="shared" si="179"/>
        <v>0</v>
      </c>
      <c r="CC240" s="11">
        <f t="shared" si="180"/>
        <v>0</v>
      </c>
      <c r="CD240" s="11">
        <f t="shared" si="181"/>
        <v>0</v>
      </c>
      <c r="CE240" s="11">
        <f t="shared" si="182"/>
        <v>0</v>
      </c>
      <c r="CF240" s="11">
        <f t="shared" si="183"/>
        <v>0</v>
      </c>
      <c r="CG240" s="11"/>
      <c r="CH240" s="41">
        <v>1</v>
      </c>
      <c r="CJ240" s="54">
        <f t="shared" si="184"/>
        <v>0</v>
      </c>
      <c r="CK240" s="54">
        <f t="shared" si="185"/>
        <v>0</v>
      </c>
      <c r="CL240" s="54">
        <f t="shared" si="186"/>
        <v>0</v>
      </c>
      <c r="CM240" s="54">
        <f t="shared" si="187"/>
        <v>0</v>
      </c>
      <c r="CN240" s="54">
        <f t="shared" si="188"/>
        <v>0</v>
      </c>
      <c r="CO240" s="54">
        <f t="shared" si="189"/>
        <v>0</v>
      </c>
      <c r="CP240" s="54">
        <f t="shared" si="190"/>
        <v>0</v>
      </c>
      <c r="CQ240" s="54">
        <f t="shared" si="191"/>
        <v>0</v>
      </c>
      <c r="CR240" s="54">
        <f t="shared" si="192"/>
        <v>0</v>
      </c>
      <c r="CS240" s="54">
        <f t="shared" si="193"/>
        <v>0</v>
      </c>
      <c r="CT240" s="54">
        <f t="shared" si="194"/>
        <v>0</v>
      </c>
      <c r="CU240" s="54">
        <f t="shared" si="195"/>
        <v>0</v>
      </c>
      <c r="CV240" s="52">
        <f t="shared" si="196"/>
        <v>0</v>
      </c>
    </row>
    <row r="241" spans="1:100" ht="15.75" x14ac:dyDescent="0.25">
      <c r="A241" s="17"/>
      <c r="B241" s="17"/>
      <c r="C241" s="17"/>
      <c r="D241" s="17"/>
      <c r="E241" s="17"/>
      <c r="F241" s="32" t="s">
        <v>2947</v>
      </c>
      <c r="G241" s="77"/>
      <c r="H241" s="77"/>
      <c r="I241" s="77"/>
      <c r="J241" s="77"/>
      <c r="K241" s="77"/>
      <c r="L241" s="77"/>
      <c r="M241" s="77"/>
      <c r="N241" s="77"/>
      <c r="O241" s="77"/>
      <c r="P241" s="77"/>
      <c r="Q241" s="77"/>
      <c r="R241" s="77"/>
      <c r="S241" s="11">
        <f>SUM(G241:R241)</f>
        <v>0</v>
      </c>
      <c r="T241" s="5"/>
      <c r="V241" s="46">
        <f t="shared" si="169"/>
        <v>0</v>
      </c>
      <c r="W241" s="36">
        <v>11.423999999999999</v>
      </c>
      <c r="X241" s="36">
        <v>11.423999999999999</v>
      </c>
      <c r="Y241" s="36">
        <v>11.423999999999999</v>
      </c>
      <c r="Z241" s="36">
        <v>11.423999999999999</v>
      </c>
      <c r="AA241" s="36">
        <v>11.423999999999999</v>
      </c>
      <c r="AB241" s="36">
        <v>11.423999999999999</v>
      </c>
      <c r="AC241" s="36">
        <v>11.423999999999999</v>
      </c>
      <c r="AD241" s="36">
        <v>11.423999999999999</v>
      </c>
      <c r="AE241" s="36">
        <v>11.423999999999999</v>
      </c>
      <c r="AF241" s="36">
        <v>11.423999999999999</v>
      </c>
      <c r="AG241" s="36">
        <v>11.423999999999999</v>
      </c>
      <c r="AH241" s="36">
        <v>11.423999999999999</v>
      </c>
      <c r="AI241" s="39">
        <v>0.22999999999999998</v>
      </c>
      <c r="AJ241" s="39">
        <v>0.22999999999999998</v>
      </c>
      <c r="AK241" s="39">
        <v>0.22999999999999998</v>
      </c>
      <c r="AL241" s="39">
        <v>0.22999999999999998</v>
      </c>
      <c r="AM241" s="39">
        <v>0.22999999999999998</v>
      </c>
      <c r="AN241" s="39">
        <v>0.22999999999999998</v>
      </c>
      <c r="AO241" s="39">
        <v>0.22999999999999998</v>
      </c>
      <c r="AP241" s="39">
        <v>0.22999999999999998</v>
      </c>
      <c r="AQ241" s="39">
        <v>0.22999999999999998</v>
      </c>
      <c r="AR241" s="39">
        <v>0.22999999999999998</v>
      </c>
      <c r="AS241" s="39">
        <v>0.22999999999999998</v>
      </c>
      <c r="AT241" s="39">
        <v>0.22999999999999998</v>
      </c>
      <c r="AU241" s="39">
        <v>0</v>
      </c>
      <c r="AV241" s="39">
        <v>0</v>
      </c>
      <c r="AW241" s="39">
        <v>0</v>
      </c>
      <c r="AX241" s="39">
        <v>0</v>
      </c>
      <c r="AY241" s="39">
        <v>0</v>
      </c>
      <c r="AZ241" s="39">
        <v>0</v>
      </c>
      <c r="BA241" s="39">
        <v>0</v>
      </c>
      <c r="BB241" s="39">
        <v>0</v>
      </c>
      <c r="BC241" s="39">
        <v>0</v>
      </c>
      <c r="BD241" s="39">
        <v>0</v>
      </c>
      <c r="BE241" s="39">
        <v>0</v>
      </c>
      <c r="BF241" s="39">
        <v>0</v>
      </c>
      <c r="BH241" s="12">
        <f t="shared" si="159"/>
        <v>0</v>
      </c>
      <c r="BI241" s="12">
        <f t="shared" si="160"/>
        <v>0</v>
      </c>
      <c r="BJ241" s="12">
        <f t="shared" si="161"/>
        <v>0</v>
      </c>
      <c r="BK241" s="12">
        <f t="shared" si="162"/>
        <v>0</v>
      </c>
      <c r="BL241" s="12">
        <f t="shared" si="163"/>
        <v>0</v>
      </c>
      <c r="BM241" s="12">
        <f t="shared" si="164"/>
        <v>0</v>
      </c>
      <c r="BN241" s="12">
        <f t="shared" si="165"/>
        <v>0</v>
      </c>
      <c r="BO241" s="12">
        <f t="shared" si="166"/>
        <v>0</v>
      </c>
      <c r="BP241" s="12">
        <f t="shared" si="167"/>
        <v>0</v>
      </c>
      <c r="BQ241" s="12">
        <f t="shared" si="168"/>
        <v>0</v>
      </c>
      <c r="BR241" s="12">
        <f t="shared" si="170"/>
        <v>0</v>
      </c>
      <c r="BS241" s="12">
        <f t="shared" si="171"/>
        <v>0</v>
      </c>
      <c r="BU241" s="11">
        <f t="shared" si="172"/>
        <v>0</v>
      </c>
      <c r="BV241" s="11">
        <f t="shared" si="173"/>
        <v>0</v>
      </c>
      <c r="BW241" s="11">
        <f t="shared" si="174"/>
        <v>0</v>
      </c>
      <c r="BX241" s="11">
        <f t="shared" si="175"/>
        <v>0</v>
      </c>
      <c r="BY241" s="11">
        <f t="shared" si="176"/>
        <v>0</v>
      </c>
      <c r="BZ241" s="11">
        <f t="shared" si="177"/>
        <v>0</v>
      </c>
      <c r="CA241" s="11">
        <f t="shared" si="178"/>
        <v>0</v>
      </c>
      <c r="CB241" s="11">
        <f t="shared" si="179"/>
        <v>0</v>
      </c>
      <c r="CC241" s="11">
        <f t="shared" si="180"/>
        <v>0</v>
      </c>
      <c r="CD241" s="11">
        <f t="shared" si="181"/>
        <v>0</v>
      </c>
      <c r="CE241" s="11">
        <f t="shared" si="182"/>
        <v>0</v>
      </c>
      <c r="CF241" s="11">
        <f t="shared" si="183"/>
        <v>0</v>
      </c>
      <c r="CG241" s="11"/>
      <c r="CH241" s="41">
        <v>1</v>
      </c>
      <c r="CJ241" s="54">
        <f t="shared" si="184"/>
        <v>0</v>
      </c>
      <c r="CK241" s="54">
        <f t="shared" si="185"/>
        <v>0</v>
      </c>
      <c r="CL241" s="54">
        <f t="shared" si="186"/>
        <v>0</v>
      </c>
      <c r="CM241" s="54">
        <f t="shared" si="187"/>
        <v>0</v>
      </c>
      <c r="CN241" s="54">
        <f t="shared" si="188"/>
        <v>0</v>
      </c>
      <c r="CO241" s="54">
        <f t="shared" si="189"/>
        <v>0</v>
      </c>
      <c r="CP241" s="54">
        <f t="shared" si="190"/>
        <v>0</v>
      </c>
      <c r="CQ241" s="54">
        <f t="shared" si="191"/>
        <v>0</v>
      </c>
      <c r="CR241" s="54">
        <f t="shared" si="192"/>
        <v>0</v>
      </c>
      <c r="CS241" s="54">
        <f t="shared" si="193"/>
        <v>0</v>
      </c>
      <c r="CT241" s="54">
        <f t="shared" si="194"/>
        <v>0</v>
      </c>
      <c r="CU241" s="54">
        <f t="shared" si="195"/>
        <v>0</v>
      </c>
      <c r="CV241" s="52">
        <f t="shared" si="196"/>
        <v>0</v>
      </c>
    </row>
    <row r="242" spans="1:100" ht="15.75" x14ac:dyDescent="0.25">
      <c r="A242" s="17"/>
      <c r="B242" s="17"/>
      <c r="C242" s="17"/>
      <c r="D242" s="17"/>
      <c r="E242" s="17"/>
      <c r="F242" s="18" t="s">
        <v>32</v>
      </c>
      <c r="G242" s="78"/>
      <c r="H242" s="78"/>
      <c r="I242" s="78"/>
      <c r="J242" s="78"/>
      <c r="K242" s="78"/>
      <c r="L242" s="78"/>
      <c r="M242" s="78"/>
      <c r="N242" s="78"/>
      <c r="O242" s="78"/>
      <c r="P242" s="78"/>
      <c r="Q242" s="78"/>
      <c r="R242" s="78"/>
      <c r="S242" s="11">
        <f t="shared" si="158"/>
        <v>0</v>
      </c>
      <c r="V242" s="46">
        <f t="shared" si="169"/>
        <v>0</v>
      </c>
      <c r="W242" s="36">
        <v>3.766</v>
      </c>
      <c r="X242" s="36">
        <v>3.766</v>
      </c>
      <c r="Y242" s="36">
        <v>3.766</v>
      </c>
      <c r="Z242" s="36">
        <v>3.766</v>
      </c>
      <c r="AA242" s="36">
        <v>3.766</v>
      </c>
      <c r="AB242" s="36">
        <v>3.766</v>
      </c>
      <c r="AC242" s="36">
        <v>3.766</v>
      </c>
      <c r="AD242" s="36">
        <v>3.766</v>
      </c>
      <c r="AE242" s="36">
        <v>3.766</v>
      </c>
      <c r="AF242" s="36">
        <v>3.766</v>
      </c>
      <c r="AG242" s="36">
        <v>3.766</v>
      </c>
      <c r="AH242" s="36">
        <v>3.766</v>
      </c>
      <c r="AI242" s="39">
        <v>1.33634708931066E-2</v>
      </c>
      <c r="AJ242" s="39">
        <v>1.33634708931066E-2</v>
      </c>
      <c r="AK242" s="39">
        <v>1.33634708931066E-2</v>
      </c>
      <c r="AL242" s="39">
        <v>1.33634708931066E-2</v>
      </c>
      <c r="AM242" s="39">
        <v>1.33634708931066E-2</v>
      </c>
      <c r="AN242" s="39">
        <v>1.33634708931066E-2</v>
      </c>
      <c r="AO242" s="39">
        <v>1.33634708931066E-2</v>
      </c>
      <c r="AP242" s="39">
        <v>1.33634708931066E-2</v>
      </c>
      <c r="AQ242" s="39">
        <v>1.33634708931066E-2</v>
      </c>
      <c r="AR242" s="39">
        <v>1.33634708931066E-2</v>
      </c>
      <c r="AS242" s="39">
        <v>1.33634708931066E-2</v>
      </c>
      <c r="AT242" s="39">
        <v>1.33634708931066E-2</v>
      </c>
      <c r="AU242" s="39">
        <v>1.2392217523121999E-3</v>
      </c>
      <c r="AV242" s="39">
        <v>1.2392217523121999E-3</v>
      </c>
      <c r="AW242" s="39">
        <v>1.2392217523121999E-3</v>
      </c>
      <c r="AX242" s="39">
        <v>1.2392217523121999E-3</v>
      </c>
      <c r="AY242" s="39">
        <v>1.2392217523121999E-3</v>
      </c>
      <c r="AZ242" s="39">
        <v>1.2392217523121999E-3</v>
      </c>
      <c r="BA242" s="39">
        <v>1.2392217523121999E-3</v>
      </c>
      <c r="BB242" s="39">
        <v>1.2392217523121999E-3</v>
      </c>
      <c r="BC242" s="39">
        <v>1.2392217523121999E-3</v>
      </c>
      <c r="BD242" s="39">
        <v>1.2392217523121999E-3</v>
      </c>
      <c r="BE242" s="39">
        <v>1.2392217523121999E-3</v>
      </c>
      <c r="BF242" s="39">
        <v>1.2392217523121999E-3</v>
      </c>
      <c r="BH242" s="12">
        <f t="shared" si="159"/>
        <v>0</v>
      </c>
      <c r="BI242" s="12">
        <f t="shared" si="160"/>
        <v>0</v>
      </c>
      <c r="BJ242" s="12">
        <f t="shared" si="161"/>
        <v>0</v>
      </c>
      <c r="BK242" s="12">
        <f t="shared" si="162"/>
        <v>0</v>
      </c>
      <c r="BL242" s="12">
        <f t="shared" si="163"/>
        <v>0</v>
      </c>
      <c r="BM242" s="12">
        <f t="shared" si="164"/>
        <v>0</v>
      </c>
      <c r="BN242" s="12">
        <f t="shared" si="165"/>
        <v>0</v>
      </c>
      <c r="BO242" s="12">
        <f t="shared" si="166"/>
        <v>0</v>
      </c>
      <c r="BP242" s="12">
        <f t="shared" si="167"/>
        <v>0</v>
      </c>
      <c r="BQ242" s="12">
        <f t="shared" si="168"/>
        <v>0</v>
      </c>
      <c r="BR242" s="12">
        <f t="shared" si="170"/>
        <v>0</v>
      </c>
      <c r="BS242" s="12">
        <f t="shared" si="171"/>
        <v>0</v>
      </c>
      <c r="BU242" s="11">
        <f t="shared" si="172"/>
        <v>0</v>
      </c>
      <c r="BV242" s="11">
        <f t="shared" si="173"/>
        <v>0</v>
      </c>
      <c r="BW242" s="11">
        <f t="shared" si="174"/>
        <v>0</v>
      </c>
      <c r="BX242" s="11">
        <f t="shared" si="175"/>
        <v>0</v>
      </c>
      <c r="BY242" s="11">
        <f t="shared" si="176"/>
        <v>0</v>
      </c>
      <c r="BZ242" s="11">
        <f t="shared" si="177"/>
        <v>0</v>
      </c>
      <c r="CA242" s="11">
        <f t="shared" si="178"/>
        <v>0</v>
      </c>
      <c r="CB242" s="11">
        <f t="shared" si="179"/>
        <v>0</v>
      </c>
      <c r="CC242" s="11">
        <f t="shared" si="180"/>
        <v>0</v>
      </c>
      <c r="CD242" s="11">
        <f t="shared" si="181"/>
        <v>0</v>
      </c>
      <c r="CE242" s="11">
        <f t="shared" si="182"/>
        <v>0</v>
      </c>
      <c r="CF242" s="11">
        <f t="shared" si="183"/>
        <v>0</v>
      </c>
      <c r="CG242" s="11"/>
      <c r="CH242" s="41">
        <v>3.23</v>
      </c>
      <c r="CJ242" s="54">
        <f t="shared" si="184"/>
        <v>0</v>
      </c>
      <c r="CK242" s="54">
        <f t="shared" si="185"/>
        <v>0</v>
      </c>
      <c r="CL242" s="54">
        <f t="shared" si="186"/>
        <v>0</v>
      </c>
      <c r="CM242" s="54">
        <f t="shared" si="187"/>
        <v>0</v>
      </c>
      <c r="CN242" s="54">
        <f t="shared" si="188"/>
        <v>0</v>
      </c>
      <c r="CO242" s="54">
        <f t="shared" si="189"/>
        <v>0</v>
      </c>
      <c r="CP242" s="54">
        <f t="shared" si="190"/>
        <v>0</v>
      </c>
      <c r="CQ242" s="54">
        <f t="shared" si="191"/>
        <v>0</v>
      </c>
      <c r="CR242" s="54">
        <f t="shared" si="192"/>
        <v>0</v>
      </c>
      <c r="CS242" s="54">
        <f t="shared" si="193"/>
        <v>0</v>
      </c>
      <c r="CT242" s="54">
        <f t="shared" si="194"/>
        <v>0</v>
      </c>
      <c r="CU242" s="54">
        <f t="shared" si="195"/>
        <v>0</v>
      </c>
      <c r="CV242" s="52">
        <f t="shared" si="196"/>
        <v>0</v>
      </c>
    </row>
    <row r="243" spans="1:100" ht="15.75" x14ac:dyDescent="0.25">
      <c r="A243" s="17"/>
      <c r="B243" s="17"/>
      <c r="C243" s="17"/>
      <c r="D243" s="17"/>
      <c r="E243" s="17"/>
      <c r="F243" s="18" t="s">
        <v>32</v>
      </c>
      <c r="G243" s="78"/>
      <c r="H243" s="78"/>
      <c r="I243" s="78"/>
      <c r="J243" s="78"/>
      <c r="K243" s="78"/>
      <c r="L243" s="78"/>
      <c r="M243" s="78"/>
      <c r="N243" s="78"/>
      <c r="O243" s="78"/>
      <c r="P243" s="78"/>
      <c r="Q243" s="78"/>
      <c r="R243" s="78"/>
      <c r="S243" s="11">
        <f t="shared" ref="S243:S308" si="197">SUM(G243:R243)</f>
        <v>0</v>
      </c>
      <c r="V243" s="46">
        <f t="shared" si="169"/>
        <v>0</v>
      </c>
      <c r="W243" s="36">
        <v>0.94</v>
      </c>
      <c r="X243" s="36">
        <v>0.94</v>
      </c>
      <c r="Y243" s="36">
        <v>0.94</v>
      </c>
      <c r="Z243" s="36">
        <v>0.94</v>
      </c>
      <c r="AA243" s="36">
        <v>0.94</v>
      </c>
      <c r="AB243" s="36">
        <v>0.94</v>
      </c>
      <c r="AC243" s="36">
        <v>0.94</v>
      </c>
      <c r="AD243" s="36">
        <v>0.94</v>
      </c>
      <c r="AE243" s="36">
        <v>0.94</v>
      </c>
      <c r="AF243" s="36">
        <v>0.94</v>
      </c>
      <c r="AG243" s="36">
        <v>0.94</v>
      </c>
      <c r="AH243" s="36">
        <v>0.94</v>
      </c>
      <c r="AI243" s="39">
        <v>1.33634708931066E-2</v>
      </c>
      <c r="AJ243" s="39">
        <v>1.33634708931066E-2</v>
      </c>
      <c r="AK243" s="39">
        <v>1.33634708931066E-2</v>
      </c>
      <c r="AL243" s="39">
        <v>1.33634708931066E-2</v>
      </c>
      <c r="AM243" s="39">
        <v>1.33634708931066E-2</v>
      </c>
      <c r="AN243" s="39">
        <v>1.33634708931066E-2</v>
      </c>
      <c r="AO243" s="39">
        <v>1.33634708931066E-2</v>
      </c>
      <c r="AP243" s="39">
        <v>1.33634708931066E-2</v>
      </c>
      <c r="AQ243" s="39">
        <v>1.33634708931066E-2</v>
      </c>
      <c r="AR243" s="39">
        <v>1.33634708931066E-2</v>
      </c>
      <c r="AS243" s="39">
        <v>1.33634708931066E-2</v>
      </c>
      <c r="AT243" s="39">
        <v>1.33634708931066E-2</v>
      </c>
      <c r="AU243" s="39">
        <v>1.2392217523121999E-3</v>
      </c>
      <c r="AV243" s="39">
        <v>1.2392217523121999E-3</v>
      </c>
      <c r="AW243" s="39">
        <v>1.2392217523121999E-3</v>
      </c>
      <c r="AX243" s="39">
        <v>1.2392217523121999E-3</v>
      </c>
      <c r="AY243" s="39">
        <v>1.2392217523121999E-3</v>
      </c>
      <c r="AZ243" s="39">
        <v>1.2392217523121999E-3</v>
      </c>
      <c r="BA243" s="39">
        <v>1.2392217523121999E-3</v>
      </c>
      <c r="BB243" s="39">
        <v>1.2392217523121999E-3</v>
      </c>
      <c r="BC243" s="39">
        <v>1.2392217523121999E-3</v>
      </c>
      <c r="BD243" s="39">
        <v>1.2392217523121999E-3</v>
      </c>
      <c r="BE243" s="39">
        <v>1.2392217523121999E-3</v>
      </c>
      <c r="BF243" s="39">
        <v>1.2392217523121999E-3</v>
      </c>
      <c r="BH243" s="12">
        <f t="shared" si="159"/>
        <v>0</v>
      </c>
      <c r="BI243" s="12">
        <f t="shared" si="160"/>
        <v>0</v>
      </c>
      <c r="BJ243" s="12">
        <f t="shared" si="161"/>
        <v>0</v>
      </c>
      <c r="BK243" s="12">
        <f t="shared" si="162"/>
        <v>0</v>
      </c>
      <c r="BL243" s="12">
        <f t="shared" si="163"/>
        <v>0</v>
      </c>
      <c r="BM243" s="12">
        <f t="shared" si="164"/>
        <v>0</v>
      </c>
      <c r="BN243" s="12">
        <f t="shared" si="165"/>
        <v>0</v>
      </c>
      <c r="BO243" s="12">
        <f t="shared" si="166"/>
        <v>0</v>
      </c>
      <c r="BP243" s="12">
        <f t="shared" si="167"/>
        <v>0</v>
      </c>
      <c r="BQ243" s="12">
        <f t="shared" si="168"/>
        <v>0</v>
      </c>
      <c r="BR243" s="12">
        <f t="shared" si="170"/>
        <v>0</v>
      </c>
      <c r="BS243" s="12">
        <f t="shared" si="171"/>
        <v>0</v>
      </c>
      <c r="BU243" s="11">
        <f t="shared" si="172"/>
        <v>0</v>
      </c>
      <c r="BV243" s="11">
        <f t="shared" si="173"/>
        <v>0</v>
      </c>
      <c r="BW243" s="11">
        <f t="shared" si="174"/>
        <v>0</v>
      </c>
      <c r="BX243" s="11">
        <f t="shared" si="175"/>
        <v>0</v>
      </c>
      <c r="BY243" s="11">
        <f t="shared" si="176"/>
        <v>0</v>
      </c>
      <c r="BZ243" s="11">
        <f t="shared" si="177"/>
        <v>0</v>
      </c>
      <c r="CA243" s="11">
        <f t="shared" si="178"/>
        <v>0</v>
      </c>
      <c r="CB243" s="11">
        <f t="shared" si="179"/>
        <v>0</v>
      </c>
      <c r="CC243" s="11">
        <f t="shared" si="180"/>
        <v>0</v>
      </c>
      <c r="CD243" s="11">
        <f t="shared" si="181"/>
        <v>0</v>
      </c>
      <c r="CE243" s="11">
        <f t="shared" si="182"/>
        <v>0</v>
      </c>
      <c r="CF243" s="11">
        <f t="shared" si="183"/>
        <v>0</v>
      </c>
      <c r="CG243" s="11"/>
      <c r="CH243" s="41">
        <v>3.23</v>
      </c>
      <c r="CJ243" s="54">
        <f t="shared" si="184"/>
        <v>0</v>
      </c>
      <c r="CK243" s="54">
        <f t="shared" si="185"/>
        <v>0</v>
      </c>
      <c r="CL243" s="54">
        <f t="shared" si="186"/>
        <v>0</v>
      </c>
      <c r="CM243" s="54">
        <f t="shared" si="187"/>
        <v>0</v>
      </c>
      <c r="CN243" s="54">
        <f t="shared" si="188"/>
        <v>0</v>
      </c>
      <c r="CO243" s="54">
        <f t="shared" si="189"/>
        <v>0</v>
      </c>
      <c r="CP243" s="54">
        <f t="shared" si="190"/>
        <v>0</v>
      </c>
      <c r="CQ243" s="54">
        <f t="shared" si="191"/>
        <v>0</v>
      </c>
      <c r="CR243" s="54">
        <f t="shared" si="192"/>
        <v>0</v>
      </c>
      <c r="CS243" s="54">
        <f t="shared" si="193"/>
        <v>0</v>
      </c>
      <c r="CT243" s="54">
        <f t="shared" si="194"/>
        <v>0</v>
      </c>
      <c r="CU243" s="54">
        <f t="shared" si="195"/>
        <v>0</v>
      </c>
      <c r="CV243" s="52">
        <f t="shared" si="196"/>
        <v>0</v>
      </c>
    </row>
    <row r="244" spans="1:100" ht="15.75" x14ac:dyDescent="0.25">
      <c r="A244" s="17"/>
      <c r="B244" s="17"/>
      <c r="C244" s="17"/>
      <c r="D244" s="17"/>
      <c r="E244" s="17"/>
      <c r="F244" s="18" t="s">
        <v>32</v>
      </c>
      <c r="G244" s="78"/>
      <c r="H244" s="78"/>
      <c r="I244" s="78"/>
      <c r="J244" s="78"/>
      <c r="K244" s="78"/>
      <c r="L244" s="78"/>
      <c r="M244" s="78"/>
      <c r="N244" s="78"/>
      <c r="O244" s="78"/>
      <c r="P244" s="78"/>
      <c r="Q244" s="78"/>
      <c r="R244" s="78"/>
      <c r="S244" s="11">
        <f t="shared" si="197"/>
        <v>0</v>
      </c>
      <c r="V244" s="46">
        <f t="shared" si="169"/>
        <v>0</v>
      </c>
      <c r="W244" s="36">
        <v>1.75</v>
      </c>
      <c r="X244" s="36">
        <v>1.75</v>
      </c>
      <c r="Y244" s="36">
        <v>1.75</v>
      </c>
      <c r="Z244" s="36">
        <v>1.75</v>
      </c>
      <c r="AA244" s="36">
        <v>1.75</v>
      </c>
      <c r="AB244" s="36">
        <v>1.75</v>
      </c>
      <c r="AC244" s="36">
        <v>1.75</v>
      </c>
      <c r="AD244" s="36">
        <v>1.75</v>
      </c>
      <c r="AE244" s="36">
        <v>1.75</v>
      </c>
      <c r="AF244" s="36">
        <v>1.75</v>
      </c>
      <c r="AG244" s="36">
        <v>1.75</v>
      </c>
      <c r="AH244" s="36">
        <v>1.75</v>
      </c>
      <c r="AI244" s="39">
        <v>1.33634708931066E-2</v>
      </c>
      <c r="AJ244" s="39">
        <v>1.33634708931066E-2</v>
      </c>
      <c r="AK244" s="39">
        <v>1.33634708931066E-2</v>
      </c>
      <c r="AL244" s="39">
        <v>1.33634708931066E-2</v>
      </c>
      <c r="AM244" s="39">
        <v>1.33634708931066E-2</v>
      </c>
      <c r="AN244" s="39">
        <v>1.33634708931066E-2</v>
      </c>
      <c r="AO244" s="39">
        <v>1.33634708931066E-2</v>
      </c>
      <c r="AP244" s="39">
        <v>1.33634708931066E-2</v>
      </c>
      <c r="AQ244" s="39">
        <v>1.33634708931066E-2</v>
      </c>
      <c r="AR244" s="39">
        <v>1.33634708931066E-2</v>
      </c>
      <c r="AS244" s="39">
        <v>1.33634708931066E-2</v>
      </c>
      <c r="AT244" s="39">
        <v>1.33634708931066E-2</v>
      </c>
      <c r="AU244" s="39">
        <v>1.2392217523121999E-3</v>
      </c>
      <c r="AV244" s="39">
        <v>1.2392217523121999E-3</v>
      </c>
      <c r="AW244" s="39">
        <v>1.2392217523121999E-3</v>
      </c>
      <c r="AX244" s="39">
        <v>1.2392217523121999E-3</v>
      </c>
      <c r="AY244" s="39">
        <v>1.2392217523121999E-3</v>
      </c>
      <c r="AZ244" s="39">
        <v>1.2392217523121999E-3</v>
      </c>
      <c r="BA244" s="39">
        <v>1.2392217523121999E-3</v>
      </c>
      <c r="BB244" s="39">
        <v>1.2392217523121999E-3</v>
      </c>
      <c r="BC244" s="39">
        <v>1.2392217523121999E-3</v>
      </c>
      <c r="BD244" s="39">
        <v>1.2392217523121999E-3</v>
      </c>
      <c r="BE244" s="39">
        <v>1.2392217523121999E-3</v>
      </c>
      <c r="BF244" s="39">
        <v>1.2392217523121999E-3</v>
      </c>
      <c r="BH244" s="12">
        <f t="shared" si="159"/>
        <v>0</v>
      </c>
      <c r="BI244" s="12">
        <f t="shared" si="160"/>
        <v>0</v>
      </c>
      <c r="BJ244" s="12">
        <f t="shared" si="161"/>
        <v>0</v>
      </c>
      <c r="BK244" s="12">
        <f t="shared" si="162"/>
        <v>0</v>
      </c>
      <c r="BL244" s="12">
        <f t="shared" si="163"/>
        <v>0</v>
      </c>
      <c r="BM244" s="12">
        <f t="shared" si="164"/>
        <v>0</v>
      </c>
      <c r="BN244" s="12">
        <f t="shared" si="165"/>
        <v>0</v>
      </c>
      <c r="BO244" s="12">
        <f t="shared" si="166"/>
        <v>0</v>
      </c>
      <c r="BP244" s="12">
        <f t="shared" si="167"/>
        <v>0</v>
      </c>
      <c r="BQ244" s="12">
        <f t="shared" si="168"/>
        <v>0</v>
      </c>
      <c r="BR244" s="12">
        <f t="shared" si="170"/>
        <v>0</v>
      </c>
      <c r="BS244" s="12">
        <f t="shared" si="171"/>
        <v>0</v>
      </c>
      <c r="BU244" s="11">
        <f t="shared" si="172"/>
        <v>0</v>
      </c>
      <c r="BV244" s="11">
        <f t="shared" si="173"/>
        <v>0</v>
      </c>
      <c r="BW244" s="11">
        <f t="shared" si="174"/>
        <v>0</v>
      </c>
      <c r="BX244" s="11">
        <f t="shared" si="175"/>
        <v>0</v>
      </c>
      <c r="BY244" s="11">
        <f t="shared" si="176"/>
        <v>0</v>
      </c>
      <c r="BZ244" s="11">
        <f t="shared" si="177"/>
        <v>0</v>
      </c>
      <c r="CA244" s="11">
        <f t="shared" si="178"/>
        <v>0</v>
      </c>
      <c r="CB244" s="11">
        <f t="shared" si="179"/>
        <v>0</v>
      </c>
      <c r="CC244" s="11">
        <f t="shared" si="180"/>
        <v>0</v>
      </c>
      <c r="CD244" s="11">
        <f t="shared" si="181"/>
        <v>0</v>
      </c>
      <c r="CE244" s="11">
        <f t="shared" si="182"/>
        <v>0</v>
      </c>
      <c r="CF244" s="11">
        <f t="shared" si="183"/>
        <v>0</v>
      </c>
      <c r="CG244" s="11"/>
      <c r="CH244" s="41">
        <v>3.23</v>
      </c>
      <c r="CJ244" s="54">
        <f t="shared" si="184"/>
        <v>0</v>
      </c>
      <c r="CK244" s="54">
        <f t="shared" si="185"/>
        <v>0</v>
      </c>
      <c r="CL244" s="54">
        <f t="shared" si="186"/>
        <v>0</v>
      </c>
      <c r="CM244" s="54">
        <f t="shared" si="187"/>
        <v>0</v>
      </c>
      <c r="CN244" s="54">
        <f t="shared" si="188"/>
        <v>0</v>
      </c>
      <c r="CO244" s="54">
        <f t="shared" si="189"/>
        <v>0</v>
      </c>
      <c r="CP244" s="54">
        <f t="shared" si="190"/>
        <v>0</v>
      </c>
      <c r="CQ244" s="54">
        <f t="shared" si="191"/>
        <v>0</v>
      </c>
      <c r="CR244" s="54">
        <f t="shared" si="192"/>
        <v>0</v>
      </c>
      <c r="CS244" s="54">
        <f t="shared" si="193"/>
        <v>0</v>
      </c>
      <c r="CT244" s="54">
        <f t="shared" si="194"/>
        <v>0</v>
      </c>
      <c r="CU244" s="54">
        <f t="shared" si="195"/>
        <v>0</v>
      </c>
      <c r="CV244" s="52">
        <f t="shared" si="196"/>
        <v>0</v>
      </c>
    </row>
    <row r="245" spans="1:100" ht="15.75" x14ac:dyDescent="0.25">
      <c r="A245" s="17"/>
      <c r="B245" s="17"/>
      <c r="C245" s="17"/>
      <c r="D245" s="17"/>
      <c r="E245" s="17"/>
      <c r="F245" s="18" t="s">
        <v>32</v>
      </c>
      <c r="G245" s="78"/>
      <c r="H245" s="78"/>
      <c r="I245" s="78"/>
      <c r="J245" s="78"/>
      <c r="K245" s="78"/>
      <c r="L245" s="78"/>
      <c r="M245" s="78"/>
      <c r="N245" s="78"/>
      <c r="O245" s="78"/>
      <c r="P245" s="78"/>
      <c r="Q245" s="78"/>
      <c r="R245" s="78"/>
      <c r="S245" s="11">
        <f t="shared" si="197"/>
        <v>0</v>
      </c>
      <c r="V245" s="46">
        <f t="shared" si="169"/>
        <v>0</v>
      </c>
      <c r="W245" s="36">
        <v>2.367</v>
      </c>
      <c r="X245" s="36">
        <v>2.367</v>
      </c>
      <c r="Y245" s="36">
        <v>2.367</v>
      </c>
      <c r="Z245" s="36">
        <v>2.367</v>
      </c>
      <c r="AA245" s="36">
        <v>2.367</v>
      </c>
      <c r="AB245" s="36">
        <v>2.367</v>
      </c>
      <c r="AC245" s="36">
        <v>2.367</v>
      </c>
      <c r="AD245" s="36">
        <v>2.367</v>
      </c>
      <c r="AE245" s="36">
        <v>2.367</v>
      </c>
      <c r="AF245" s="36">
        <v>2.367</v>
      </c>
      <c r="AG245" s="36">
        <v>2.367</v>
      </c>
      <c r="AH245" s="36">
        <v>2.367</v>
      </c>
      <c r="AI245" s="39">
        <v>1.33634708931066E-2</v>
      </c>
      <c r="AJ245" s="39">
        <v>1.33634708931066E-2</v>
      </c>
      <c r="AK245" s="39">
        <v>1.33634708931066E-2</v>
      </c>
      <c r="AL245" s="39">
        <v>1.33634708931066E-2</v>
      </c>
      <c r="AM245" s="39">
        <v>1.33634708931066E-2</v>
      </c>
      <c r="AN245" s="39">
        <v>1.33634708931066E-2</v>
      </c>
      <c r="AO245" s="39">
        <v>1.33634708931066E-2</v>
      </c>
      <c r="AP245" s="39">
        <v>1.33634708931066E-2</v>
      </c>
      <c r="AQ245" s="39">
        <v>1.33634708931066E-2</v>
      </c>
      <c r="AR245" s="39">
        <v>1.33634708931066E-2</v>
      </c>
      <c r="AS245" s="39">
        <v>1.33634708931066E-2</v>
      </c>
      <c r="AT245" s="39">
        <v>1.33634708931066E-2</v>
      </c>
      <c r="AU245" s="39">
        <v>1.2392217523121999E-3</v>
      </c>
      <c r="AV245" s="39">
        <v>1.2392217523121999E-3</v>
      </c>
      <c r="AW245" s="39">
        <v>1.2392217523121999E-3</v>
      </c>
      <c r="AX245" s="39">
        <v>1.2392217523121999E-3</v>
      </c>
      <c r="AY245" s="39">
        <v>1.2392217523121999E-3</v>
      </c>
      <c r="AZ245" s="39">
        <v>1.2392217523121999E-3</v>
      </c>
      <c r="BA245" s="39">
        <v>1.2392217523121999E-3</v>
      </c>
      <c r="BB245" s="39">
        <v>1.2392217523121999E-3</v>
      </c>
      <c r="BC245" s="39">
        <v>1.2392217523121999E-3</v>
      </c>
      <c r="BD245" s="39">
        <v>1.2392217523121999E-3</v>
      </c>
      <c r="BE245" s="39">
        <v>1.2392217523121999E-3</v>
      </c>
      <c r="BF245" s="39">
        <v>1.2392217523121999E-3</v>
      </c>
      <c r="BH245" s="12">
        <f t="shared" si="159"/>
        <v>0</v>
      </c>
      <c r="BI245" s="12">
        <f t="shared" si="160"/>
        <v>0</v>
      </c>
      <c r="BJ245" s="12">
        <f t="shared" si="161"/>
        <v>0</v>
      </c>
      <c r="BK245" s="12">
        <f t="shared" si="162"/>
        <v>0</v>
      </c>
      <c r="BL245" s="12">
        <f t="shared" si="163"/>
        <v>0</v>
      </c>
      <c r="BM245" s="12">
        <f t="shared" si="164"/>
        <v>0</v>
      </c>
      <c r="BN245" s="12">
        <f t="shared" si="165"/>
        <v>0</v>
      </c>
      <c r="BO245" s="12">
        <f t="shared" si="166"/>
        <v>0</v>
      </c>
      <c r="BP245" s="12">
        <f t="shared" si="167"/>
        <v>0</v>
      </c>
      <c r="BQ245" s="12">
        <f t="shared" si="168"/>
        <v>0</v>
      </c>
      <c r="BR245" s="12">
        <f t="shared" si="170"/>
        <v>0</v>
      </c>
      <c r="BS245" s="12">
        <f t="shared" si="171"/>
        <v>0</v>
      </c>
      <c r="BU245" s="11">
        <f t="shared" si="172"/>
        <v>0</v>
      </c>
      <c r="BV245" s="11">
        <f t="shared" si="173"/>
        <v>0</v>
      </c>
      <c r="BW245" s="11">
        <f t="shared" si="174"/>
        <v>0</v>
      </c>
      <c r="BX245" s="11">
        <f t="shared" si="175"/>
        <v>0</v>
      </c>
      <c r="BY245" s="11">
        <f t="shared" si="176"/>
        <v>0</v>
      </c>
      <c r="BZ245" s="11">
        <f t="shared" si="177"/>
        <v>0</v>
      </c>
      <c r="CA245" s="11">
        <f t="shared" si="178"/>
        <v>0</v>
      </c>
      <c r="CB245" s="11">
        <f t="shared" si="179"/>
        <v>0</v>
      </c>
      <c r="CC245" s="11">
        <f t="shared" si="180"/>
        <v>0</v>
      </c>
      <c r="CD245" s="11">
        <f t="shared" si="181"/>
        <v>0</v>
      </c>
      <c r="CE245" s="11">
        <f t="shared" si="182"/>
        <v>0</v>
      </c>
      <c r="CF245" s="11">
        <f t="shared" si="183"/>
        <v>0</v>
      </c>
      <c r="CG245" s="11"/>
      <c r="CH245" s="41">
        <v>3.23</v>
      </c>
      <c r="CJ245" s="54">
        <f t="shared" si="184"/>
        <v>0</v>
      </c>
      <c r="CK245" s="54">
        <f t="shared" si="185"/>
        <v>0</v>
      </c>
      <c r="CL245" s="54">
        <f t="shared" si="186"/>
        <v>0</v>
      </c>
      <c r="CM245" s="54">
        <f t="shared" si="187"/>
        <v>0</v>
      </c>
      <c r="CN245" s="54">
        <f t="shared" si="188"/>
        <v>0</v>
      </c>
      <c r="CO245" s="54">
        <f t="shared" si="189"/>
        <v>0</v>
      </c>
      <c r="CP245" s="54">
        <f t="shared" si="190"/>
        <v>0</v>
      </c>
      <c r="CQ245" s="54">
        <f t="shared" si="191"/>
        <v>0</v>
      </c>
      <c r="CR245" s="54">
        <f t="shared" si="192"/>
        <v>0</v>
      </c>
      <c r="CS245" s="54">
        <f t="shared" si="193"/>
        <v>0</v>
      </c>
      <c r="CT245" s="54">
        <f t="shared" si="194"/>
        <v>0</v>
      </c>
      <c r="CU245" s="54">
        <f t="shared" si="195"/>
        <v>0</v>
      </c>
      <c r="CV245" s="52">
        <f t="shared" si="196"/>
        <v>0</v>
      </c>
    </row>
    <row r="246" spans="1:100" ht="15.75" x14ac:dyDescent="0.25">
      <c r="A246" s="17"/>
      <c r="B246" s="17"/>
      <c r="C246" s="17"/>
      <c r="D246" s="17"/>
      <c r="E246" s="17"/>
      <c r="F246" s="18" t="s">
        <v>32</v>
      </c>
      <c r="G246" s="78"/>
      <c r="H246" s="78"/>
      <c r="I246" s="78"/>
      <c r="J246" s="78"/>
      <c r="K246" s="78"/>
      <c r="L246" s="78"/>
      <c r="M246" s="78"/>
      <c r="N246" s="78"/>
      <c r="O246" s="78"/>
      <c r="P246" s="78"/>
      <c r="Q246" s="78"/>
      <c r="R246" s="78"/>
      <c r="S246" s="11">
        <f t="shared" si="197"/>
        <v>0</v>
      </c>
      <c r="V246" s="46">
        <f t="shared" si="169"/>
        <v>0</v>
      </c>
      <c r="W246" s="36">
        <v>1.9370000000000001</v>
      </c>
      <c r="X246" s="36">
        <v>1.9370000000000001</v>
      </c>
      <c r="Y246" s="36">
        <v>1.9370000000000001</v>
      </c>
      <c r="Z246" s="36">
        <v>1.9370000000000001</v>
      </c>
      <c r="AA246" s="36">
        <v>1.9370000000000001</v>
      </c>
      <c r="AB246" s="36">
        <v>1.9370000000000001</v>
      </c>
      <c r="AC246" s="36">
        <v>1.9370000000000001</v>
      </c>
      <c r="AD246" s="36">
        <v>1.9370000000000001</v>
      </c>
      <c r="AE246" s="36">
        <v>1.9370000000000001</v>
      </c>
      <c r="AF246" s="36">
        <v>1.9370000000000001</v>
      </c>
      <c r="AG246" s="36">
        <v>1.9370000000000001</v>
      </c>
      <c r="AH246" s="36">
        <v>1.9370000000000001</v>
      </c>
      <c r="AI246" s="39">
        <v>1.33634708931066E-2</v>
      </c>
      <c r="AJ246" s="39">
        <v>1.33634708931066E-2</v>
      </c>
      <c r="AK246" s="39">
        <v>1.33634708931066E-2</v>
      </c>
      <c r="AL246" s="39">
        <v>1.33634708931066E-2</v>
      </c>
      <c r="AM246" s="39">
        <v>1.33634708931066E-2</v>
      </c>
      <c r="AN246" s="39">
        <v>1.33634708931066E-2</v>
      </c>
      <c r="AO246" s="39">
        <v>1.33634708931066E-2</v>
      </c>
      <c r="AP246" s="39">
        <v>1.33634708931066E-2</v>
      </c>
      <c r="AQ246" s="39">
        <v>1.33634708931066E-2</v>
      </c>
      <c r="AR246" s="39">
        <v>1.33634708931066E-2</v>
      </c>
      <c r="AS246" s="39">
        <v>1.33634708931066E-2</v>
      </c>
      <c r="AT246" s="39">
        <v>1.33634708931066E-2</v>
      </c>
      <c r="AU246" s="39">
        <v>1.2392217523121999E-3</v>
      </c>
      <c r="AV246" s="39">
        <v>1.2392217523121999E-3</v>
      </c>
      <c r="AW246" s="39">
        <v>1.2392217523121999E-3</v>
      </c>
      <c r="AX246" s="39">
        <v>1.2392217523121999E-3</v>
      </c>
      <c r="AY246" s="39">
        <v>1.2392217523121999E-3</v>
      </c>
      <c r="AZ246" s="39">
        <v>1.2392217523121999E-3</v>
      </c>
      <c r="BA246" s="39">
        <v>1.2392217523121999E-3</v>
      </c>
      <c r="BB246" s="39">
        <v>1.2392217523121999E-3</v>
      </c>
      <c r="BC246" s="39">
        <v>1.2392217523121999E-3</v>
      </c>
      <c r="BD246" s="39">
        <v>1.2392217523121999E-3</v>
      </c>
      <c r="BE246" s="39">
        <v>1.2392217523121999E-3</v>
      </c>
      <c r="BF246" s="39">
        <v>1.2392217523121999E-3</v>
      </c>
      <c r="BH246" s="12">
        <f t="shared" si="159"/>
        <v>0</v>
      </c>
      <c r="BI246" s="12">
        <f t="shared" si="160"/>
        <v>0</v>
      </c>
      <c r="BJ246" s="12">
        <f t="shared" si="161"/>
        <v>0</v>
      </c>
      <c r="BK246" s="12">
        <f t="shared" si="162"/>
        <v>0</v>
      </c>
      <c r="BL246" s="12">
        <f t="shared" si="163"/>
        <v>0</v>
      </c>
      <c r="BM246" s="12">
        <f t="shared" si="164"/>
        <v>0</v>
      </c>
      <c r="BN246" s="12">
        <f t="shared" si="165"/>
        <v>0</v>
      </c>
      <c r="BO246" s="12">
        <f t="shared" si="166"/>
        <v>0</v>
      </c>
      <c r="BP246" s="12">
        <f t="shared" si="167"/>
        <v>0</v>
      </c>
      <c r="BQ246" s="12">
        <f t="shared" si="168"/>
        <v>0</v>
      </c>
      <c r="BR246" s="12">
        <f t="shared" si="170"/>
        <v>0</v>
      </c>
      <c r="BS246" s="12">
        <f t="shared" si="171"/>
        <v>0</v>
      </c>
      <c r="BU246" s="11">
        <f t="shared" si="172"/>
        <v>0</v>
      </c>
      <c r="BV246" s="11">
        <f t="shared" si="173"/>
        <v>0</v>
      </c>
      <c r="BW246" s="11">
        <f t="shared" si="174"/>
        <v>0</v>
      </c>
      <c r="BX246" s="11">
        <f t="shared" si="175"/>
        <v>0</v>
      </c>
      <c r="BY246" s="11">
        <f t="shared" si="176"/>
        <v>0</v>
      </c>
      <c r="BZ246" s="11">
        <f t="shared" si="177"/>
        <v>0</v>
      </c>
      <c r="CA246" s="11">
        <f t="shared" si="178"/>
        <v>0</v>
      </c>
      <c r="CB246" s="11">
        <f t="shared" si="179"/>
        <v>0</v>
      </c>
      <c r="CC246" s="11">
        <f t="shared" si="180"/>
        <v>0</v>
      </c>
      <c r="CD246" s="11">
        <f t="shared" si="181"/>
        <v>0</v>
      </c>
      <c r="CE246" s="11">
        <f t="shared" si="182"/>
        <v>0</v>
      </c>
      <c r="CF246" s="11">
        <f t="shared" si="183"/>
        <v>0</v>
      </c>
      <c r="CG246" s="11"/>
      <c r="CH246" s="41">
        <v>3.23</v>
      </c>
      <c r="CJ246" s="54">
        <f t="shared" si="184"/>
        <v>0</v>
      </c>
      <c r="CK246" s="54">
        <f t="shared" si="185"/>
        <v>0</v>
      </c>
      <c r="CL246" s="54">
        <f t="shared" si="186"/>
        <v>0</v>
      </c>
      <c r="CM246" s="54">
        <f t="shared" si="187"/>
        <v>0</v>
      </c>
      <c r="CN246" s="54">
        <f t="shared" si="188"/>
        <v>0</v>
      </c>
      <c r="CO246" s="54">
        <f t="shared" si="189"/>
        <v>0</v>
      </c>
      <c r="CP246" s="54">
        <f t="shared" si="190"/>
        <v>0</v>
      </c>
      <c r="CQ246" s="54">
        <f t="shared" si="191"/>
        <v>0</v>
      </c>
      <c r="CR246" s="54">
        <f t="shared" si="192"/>
        <v>0</v>
      </c>
      <c r="CS246" s="54">
        <f t="shared" si="193"/>
        <v>0</v>
      </c>
      <c r="CT246" s="54">
        <f t="shared" si="194"/>
        <v>0</v>
      </c>
      <c r="CU246" s="54">
        <f t="shared" si="195"/>
        <v>0</v>
      </c>
      <c r="CV246" s="52">
        <f t="shared" si="196"/>
        <v>0</v>
      </c>
    </row>
    <row r="247" spans="1:100" ht="15.75" x14ac:dyDescent="0.25">
      <c r="A247" s="17"/>
      <c r="B247" s="17"/>
      <c r="C247" s="17"/>
      <c r="D247" s="17"/>
      <c r="E247" s="17"/>
      <c r="F247" s="18" t="s">
        <v>32</v>
      </c>
      <c r="G247" s="78"/>
      <c r="H247" s="78"/>
      <c r="I247" s="78"/>
      <c r="J247" s="78"/>
      <c r="K247" s="78"/>
      <c r="L247" s="78"/>
      <c r="M247" s="78"/>
      <c r="N247" s="78"/>
      <c r="O247" s="78"/>
      <c r="P247" s="78"/>
      <c r="Q247" s="78"/>
      <c r="R247" s="78"/>
      <c r="S247" s="11">
        <f t="shared" si="197"/>
        <v>0</v>
      </c>
      <c r="V247" s="46">
        <f t="shared" si="169"/>
        <v>0</v>
      </c>
      <c r="W247" s="36">
        <v>2.6589999999999998</v>
      </c>
      <c r="X247" s="36">
        <v>2.6589999999999998</v>
      </c>
      <c r="Y247" s="36">
        <v>2.6589999999999998</v>
      </c>
      <c r="Z247" s="36">
        <v>2.6589999999999998</v>
      </c>
      <c r="AA247" s="36">
        <v>2.6589999999999998</v>
      </c>
      <c r="AB247" s="36">
        <v>2.6589999999999998</v>
      </c>
      <c r="AC247" s="36">
        <v>2.6589999999999998</v>
      </c>
      <c r="AD247" s="36">
        <v>2.6589999999999998</v>
      </c>
      <c r="AE247" s="36">
        <v>2.6589999999999998</v>
      </c>
      <c r="AF247" s="36">
        <v>2.6589999999999998</v>
      </c>
      <c r="AG247" s="36">
        <v>2.6589999999999998</v>
      </c>
      <c r="AH247" s="36">
        <v>2.6589999999999998</v>
      </c>
      <c r="AI247" s="39">
        <v>1.33634708931066E-2</v>
      </c>
      <c r="AJ247" s="39">
        <v>1.33634708931066E-2</v>
      </c>
      <c r="AK247" s="39">
        <v>1.33634708931066E-2</v>
      </c>
      <c r="AL247" s="39">
        <v>1.33634708931066E-2</v>
      </c>
      <c r="AM247" s="39">
        <v>1.33634708931066E-2</v>
      </c>
      <c r="AN247" s="39">
        <v>1.33634708931066E-2</v>
      </c>
      <c r="AO247" s="39">
        <v>1.33634708931066E-2</v>
      </c>
      <c r="AP247" s="39">
        <v>1.33634708931066E-2</v>
      </c>
      <c r="AQ247" s="39">
        <v>1.33634708931066E-2</v>
      </c>
      <c r="AR247" s="39">
        <v>1.33634708931066E-2</v>
      </c>
      <c r="AS247" s="39">
        <v>1.33634708931066E-2</v>
      </c>
      <c r="AT247" s="39">
        <v>1.33634708931066E-2</v>
      </c>
      <c r="AU247" s="39">
        <v>1.2392217523121999E-3</v>
      </c>
      <c r="AV247" s="39">
        <v>1.2392217523121999E-3</v>
      </c>
      <c r="AW247" s="39">
        <v>1.2392217523121999E-3</v>
      </c>
      <c r="AX247" s="39">
        <v>1.2392217523121999E-3</v>
      </c>
      <c r="AY247" s="39">
        <v>1.2392217523121999E-3</v>
      </c>
      <c r="AZ247" s="39">
        <v>1.2392217523121999E-3</v>
      </c>
      <c r="BA247" s="39">
        <v>1.2392217523121999E-3</v>
      </c>
      <c r="BB247" s="39">
        <v>1.2392217523121999E-3</v>
      </c>
      <c r="BC247" s="39">
        <v>1.2392217523121999E-3</v>
      </c>
      <c r="BD247" s="39">
        <v>1.2392217523121999E-3</v>
      </c>
      <c r="BE247" s="39">
        <v>1.2392217523121999E-3</v>
      </c>
      <c r="BF247" s="39">
        <v>1.2392217523121999E-3</v>
      </c>
      <c r="BH247" s="12">
        <f t="shared" si="159"/>
        <v>0</v>
      </c>
      <c r="BI247" s="12">
        <f t="shared" si="160"/>
        <v>0</v>
      </c>
      <c r="BJ247" s="12">
        <f t="shared" si="161"/>
        <v>0</v>
      </c>
      <c r="BK247" s="12">
        <f t="shared" si="162"/>
        <v>0</v>
      </c>
      <c r="BL247" s="12">
        <f t="shared" si="163"/>
        <v>0</v>
      </c>
      <c r="BM247" s="12">
        <f t="shared" si="164"/>
        <v>0</v>
      </c>
      <c r="BN247" s="12">
        <f t="shared" si="165"/>
        <v>0</v>
      </c>
      <c r="BO247" s="12">
        <f t="shared" si="166"/>
        <v>0</v>
      </c>
      <c r="BP247" s="12">
        <f t="shared" si="167"/>
        <v>0</v>
      </c>
      <c r="BQ247" s="12">
        <f t="shared" si="168"/>
        <v>0</v>
      </c>
      <c r="BR247" s="12">
        <f t="shared" si="170"/>
        <v>0</v>
      </c>
      <c r="BS247" s="12">
        <f t="shared" si="171"/>
        <v>0</v>
      </c>
      <c r="BU247" s="11">
        <f t="shared" si="172"/>
        <v>0</v>
      </c>
      <c r="BV247" s="11">
        <f t="shared" si="173"/>
        <v>0</v>
      </c>
      <c r="BW247" s="11">
        <f t="shared" si="174"/>
        <v>0</v>
      </c>
      <c r="BX247" s="11">
        <f t="shared" si="175"/>
        <v>0</v>
      </c>
      <c r="BY247" s="11">
        <f t="shared" si="176"/>
        <v>0</v>
      </c>
      <c r="BZ247" s="11">
        <f t="shared" si="177"/>
        <v>0</v>
      </c>
      <c r="CA247" s="11">
        <f t="shared" si="178"/>
        <v>0</v>
      </c>
      <c r="CB247" s="11">
        <f t="shared" si="179"/>
        <v>0</v>
      </c>
      <c r="CC247" s="11">
        <f t="shared" si="180"/>
        <v>0</v>
      </c>
      <c r="CD247" s="11">
        <f t="shared" si="181"/>
        <v>0</v>
      </c>
      <c r="CE247" s="11">
        <f t="shared" si="182"/>
        <v>0</v>
      </c>
      <c r="CF247" s="11">
        <f t="shared" si="183"/>
        <v>0</v>
      </c>
      <c r="CG247" s="11"/>
      <c r="CH247" s="41">
        <v>3.23</v>
      </c>
      <c r="CJ247" s="54">
        <f t="shared" si="184"/>
        <v>0</v>
      </c>
      <c r="CK247" s="54">
        <f t="shared" si="185"/>
        <v>0</v>
      </c>
      <c r="CL247" s="54">
        <f t="shared" si="186"/>
        <v>0</v>
      </c>
      <c r="CM247" s="54">
        <f t="shared" si="187"/>
        <v>0</v>
      </c>
      <c r="CN247" s="54">
        <f t="shared" si="188"/>
        <v>0</v>
      </c>
      <c r="CO247" s="54">
        <f t="shared" si="189"/>
        <v>0</v>
      </c>
      <c r="CP247" s="54">
        <f t="shared" si="190"/>
        <v>0</v>
      </c>
      <c r="CQ247" s="54">
        <f t="shared" si="191"/>
        <v>0</v>
      </c>
      <c r="CR247" s="54">
        <f t="shared" si="192"/>
        <v>0</v>
      </c>
      <c r="CS247" s="54">
        <f t="shared" si="193"/>
        <v>0</v>
      </c>
      <c r="CT247" s="54">
        <f t="shared" si="194"/>
        <v>0</v>
      </c>
      <c r="CU247" s="54">
        <f t="shared" si="195"/>
        <v>0</v>
      </c>
      <c r="CV247" s="52">
        <f t="shared" si="196"/>
        <v>0</v>
      </c>
    </row>
    <row r="248" spans="1:100" ht="15.75" x14ac:dyDescent="0.25">
      <c r="A248" s="17"/>
      <c r="B248" s="17"/>
      <c r="C248" s="17"/>
      <c r="D248" s="17"/>
      <c r="E248" s="17"/>
      <c r="F248" s="18" t="s">
        <v>32</v>
      </c>
      <c r="G248" s="78"/>
      <c r="H248" s="78"/>
      <c r="I248" s="78"/>
      <c r="J248" s="78"/>
      <c r="K248" s="78"/>
      <c r="L248" s="78"/>
      <c r="M248" s="78"/>
      <c r="N248" s="78"/>
      <c r="O248" s="78"/>
      <c r="P248" s="78"/>
      <c r="Q248" s="78"/>
      <c r="R248" s="78"/>
      <c r="S248" s="11">
        <f t="shared" si="197"/>
        <v>0</v>
      </c>
      <c r="V248" s="46">
        <f t="shared" si="169"/>
        <v>0</v>
      </c>
      <c r="W248" s="36">
        <v>1.8500010816189674</v>
      </c>
      <c r="X248" s="36">
        <v>1.8500010816189674</v>
      </c>
      <c r="Y248" s="36">
        <v>1.8500010816189674</v>
      </c>
      <c r="Z248" s="36">
        <v>1.8500010816189674</v>
      </c>
      <c r="AA248" s="36">
        <v>1.8500010816189674</v>
      </c>
      <c r="AB248" s="36">
        <v>1.8500010816189674</v>
      </c>
      <c r="AC248" s="36">
        <v>1.8500010816189674</v>
      </c>
      <c r="AD248" s="36">
        <v>1.8500010816189674</v>
      </c>
      <c r="AE248" s="36">
        <v>1.8500010816189674</v>
      </c>
      <c r="AF248" s="36">
        <v>1.8500010816189674</v>
      </c>
      <c r="AG248" s="36">
        <v>1.8500010816189674</v>
      </c>
      <c r="AH248" s="36">
        <v>1.8500010816189674</v>
      </c>
      <c r="AI248" s="39">
        <v>0</v>
      </c>
      <c r="AJ248" s="39">
        <v>0</v>
      </c>
      <c r="AK248" s="39">
        <v>0</v>
      </c>
      <c r="AL248" s="39">
        <v>0</v>
      </c>
      <c r="AM248" s="39">
        <v>0</v>
      </c>
      <c r="AN248" s="39">
        <v>0</v>
      </c>
      <c r="AO248" s="39">
        <v>0</v>
      </c>
      <c r="AP248" s="39">
        <v>0</v>
      </c>
      <c r="AQ248" s="39">
        <v>0</v>
      </c>
      <c r="AR248" s="39">
        <v>0</v>
      </c>
      <c r="AS248" s="39">
        <v>0</v>
      </c>
      <c r="AT248" s="39">
        <v>0</v>
      </c>
      <c r="AU248" s="39">
        <v>0</v>
      </c>
      <c r="AV248" s="39">
        <v>0</v>
      </c>
      <c r="AW248" s="39">
        <v>0</v>
      </c>
      <c r="AX248" s="39">
        <v>0</v>
      </c>
      <c r="AY248" s="39">
        <v>0</v>
      </c>
      <c r="AZ248" s="39">
        <v>0</v>
      </c>
      <c r="BA248" s="39">
        <v>0</v>
      </c>
      <c r="BB248" s="39">
        <v>0</v>
      </c>
      <c r="BC248" s="39">
        <v>0</v>
      </c>
      <c r="BD248" s="39">
        <v>0</v>
      </c>
      <c r="BE248" s="39">
        <v>0</v>
      </c>
      <c r="BF248" s="39">
        <v>0</v>
      </c>
      <c r="BH248" s="12">
        <f t="shared" si="159"/>
        <v>0</v>
      </c>
      <c r="BI248" s="12">
        <f t="shared" si="160"/>
        <v>0</v>
      </c>
      <c r="BJ248" s="12">
        <f t="shared" si="161"/>
        <v>0</v>
      </c>
      <c r="BK248" s="12">
        <f t="shared" si="162"/>
        <v>0</v>
      </c>
      <c r="BL248" s="12">
        <f t="shared" si="163"/>
        <v>0</v>
      </c>
      <c r="BM248" s="12">
        <f t="shared" si="164"/>
        <v>0</v>
      </c>
      <c r="BN248" s="12">
        <f t="shared" si="165"/>
        <v>0</v>
      </c>
      <c r="BO248" s="12">
        <f t="shared" si="166"/>
        <v>0</v>
      </c>
      <c r="BP248" s="12">
        <f t="shared" si="167"/>
        <v>0</v>
      </c>
      <c r="BQ248" s="12">
        <f t="shared" si="168"/>
        <v>0</v>
      </c>
      <c r="BR248" s="12">
        <f t="shared" si="170"/>
        <v>0</v>
      </c>
      <c r="BS248" s="12">
        <f t="shared" si="171"/>
        <v>0</v>
      </c>
      <c r="BU248" s="11">
        <f t="shared" si="172"/>
        <v>0</v>
      </c>
      <c r="BV248" s="11">
        <f t="shared" si="173"/>
        <v>0</v>
      </c>
      <c r="BW248" s="11">
        <f t="shared" si="174"/>
        <v>0</v>
      </c>
      <c r="BX248" s="11">
        <f t="shared" si="175"/>
        <v>0</v>
      </c>
      <c r="BY248" s="11">
        <f t="shared" si="176"/>
        <v>0</v>
      </c>
      <c r="BZ248" s="11">
        <f t="shared" si="177"/>
        <v>0</v>
      </c>
      <c r="CA248" s="11">
        <f t="shared" si="178"/>
        <v>0</v>
      </c>
      <c r="CB248" s="11">
        <f t="shared" si="179"/>
        <v>0</v>
      </c>
      <c r="CC248" s="11">
        <f t="shared" si="180"/>
        <v>0</v>
      </c>
      <c r="CD248" s="11">
        <f t="shared" si="181"/>
        <v>0</v>
      </c>
      <c r="CE248" s="11">
        <f t="shared" si="182"/>
        <v>0</v>
      </c>
      <c r="CF248" s="11">
        <f t="shared" si="183"/>
        <v>0</v>
      </c>
      <c r="CG248" s="11"/>
      <c r="CH248" s="41">
        <v>1</v>
      </c>
      <c r="CJ248" s="54">
        <f t="shared" si="184"/>
        <v>0</v>
      </c>
      <c r="CK248" s="54">
        <f t="shared" si="185"/>
        <v>0</v>
      </c>
      <c r="CL248" s="54">
        <f t="shared" si="186"/>
        <v>0</v>
      </c>
      <c r="CM248" s="54">
        <f t="shared" si="187"/>
        <v>0</v>
      </c>
      <c r="CN248" s="54">
        <f t="shared" si="188"/>
        <v>0</v>
      </c>
      <c r="CO248" s="54">
        <f t="shared" si="189"/>
        <v>0</v>
      </c>
      <c r="CP248" s="54">
        <f t="shared" si="190"/>
        <v>0</v>
      </c>
      <c r="CQ248" s="54">
        <f t="shared" si="191"/>
        <v>0</v>
      </c>
      <c r="CR248" s="54">
        <f t="shared" si="192"/>
        <v>0</v>
      </c>
      <c r="CS248" s="54">
        <f t="shared" si="193"/>
        <v>0</v>
      </c>
      <c r="CT248" s="54">
        <f t="shared" si="194"/>
        <v>0</v>
      </c>
      <c r="CU248" s="54">
        <f t="shared" si="195"/>
        <v>0</v>
      </c>
      <c r="CV248" s="52">
        <f t="shared" si="196"/>
        <v>0</v>
      </c>
    </row>
    <row r="249" spans="1:100" ht="15.75" x14ac:dyDescent="0.25">
      <c r="A249" s="17"/>
      <c r="B249" s="17"/>
      <c r="C249" s="17"/>
      <c r="D249" s="17"/>
      <c r="E249" s="17"/>
      <c r="F249" s="18" t="s">
        <v>32</v>
      </c>
      <c r="G249" s="78"/>
      <c r="H249" s="78"/>
      <c r="I249" s="78"/>
      <c r="J249" s="78"/>
      <c r="K249" s="78"/>
      <c r="L249" s="78"/>
      <c r="M249" s="78"/>
      <c r="N249" s="78"/>
      <c r="O249" s="78"/>
      <c r="P249" s="78"/>
      <c r="Q249" s="78"/>
      <c r="R249" s="78"/>
      <c r="S249" s="11">
        <f t="shared" si="197"/>
        <v>0</v>
      </c>
      <c r="V249" s="46">
        <f t="shared" si="169"/>
        <v>0</v>
      </c>
      <c r="W249" s="36">
        <v>3.17</v>
      </c>
      <c r="X249" s="36">
        <v>3.17</v>
      </c>
      <c r="Y249" s="36">
        <v>3.17</v>
      </c>
      <c r="Z249" s="36">
        <v>3.17</v>
      </c>
      <c r="AA249" s="36">
        <v>3.17</v>
      </c>
      <c r="AB249" s="36">
        <v>3.17</v>
      </c>
      <c r="AC249" s="36">
        <v>3.17</v>
      </c>
      <c r="AD249" s="36">
        <v>3.17</v>
      </c>
      <c r="AE249" s="36">
        <v>3.17</v>
      </c>
      <c r="AF249" s="36">
        <v>3.17</v>
      </c>
      <c r="AG249" s="36">
        <v>3.17</v>
      </c>
      <c r="AH249" s="36">
        <v>3.17</v>
      </c>
      <c r="AI249" s="39">
        <v>0</v>
      </c>
      <c r="AJ249" s="39">
        <v>0</v>
      </c>
      <c r="AK249" s="39">
        <v>0</v>
      </c>
      <c r="AL249" s="39">
        <v>0</v>
      </c>
      <c r="AM249" s="39">
        <v>0</v>
      </c>
      <c r="AN249" s="39">
        <v>0</v>
      </c>
      <c r="AO249" s="39">
        <v>0</v>
      </c>
      <c r="AP249" s="39">
        <v>0</v>
      </c>
      <c r="AQ249" s="39">
        <v>0</v>
      </c>
      <c r="AR249" s="39">
        <v>0</v>
      </c>
      <c r="AS249" s="39">
        <v>0</v>
      </c>
      <c r="AT249" s="39">
        <v>0</v>
      </c>
      <c r="AU249" s="39">
        <v>0</v>
      </c>
      <c r="AV249" s="39">
        <v>0</v>
      </c>
      <c r="AW249" s="39">
        <v>0</v>
      </c>
      <c r="AX249" s="39">
        <v>0</v>
      </c>
      <c r="AY249" s="39">
        <v>0</v>
      </c>
      <c r="AZ249" s="39">
        <v>0</v>
      </c>
      <c r="BA249" s="39">
        <v>0</v>
      </c>
      <c r="BB249" s="39">
        <v>0</v>
      </c>
      <c r="BC249" s="39">
        <v>0</v>
      </c>
      <c r="BD249" s="39">
        <v>0</v>
      </c>
      <c r="BE249" s="39">
        <v>0</v>
      </c>
      <c r="BF249" s="39">
        <v>0</v>
      </c>
      <c r="BH249" s="12">
        <f t="shared" si="159"/>
        <v>0</v>
      </c>
      <c r="BI249" s="12">
        <f t="shared" si="160"/>
        <v>0</v>
      </c>
      <c r="BJ249" s="12">
        <f t="shared" si="161"/>
        <v>0</v>
      </c>
      <c r="BK249" s="12">
        <f t="shared" si="162"/>
        <v>0</v>
      </c>
      <c r="BL249" s="12">
        <f t="shared" si="163"/>
        <v>0</v>
      </c>
      <c r="BM249" s="12">
        <f t="shared" si="164"/>
        <v>0</v>
      </c>
      <c r="BN249" s="12">
        <f t="shared" si="165"/>
        <v>0</v>
      </c>
      <c r="BO249" s="12">
        <f t="shared" si="166"/>
        <v>0</v>
      </c>
      <c r="BP249" s="12">
        <f t="shared" si="167"/>
        <v>0</v>
      </c>
      <c r="BQ249" s="12">
        <f t="shared" si="168"/>
        <v>0</v>
      </c>
      <c r="BR249" s="12">
        <f t="shared" si="170"/>
        <v>0</v>
      </c>
      <c r="BS249" s="12">
        <f t="shared" si="171"/>
        <v>0</v>
      </c>
      <c r="BU249" s="11">
        <f t="shared" si="172"/>
        <v>0</v>
      </c>
      <c r="BV249" s="11">
        <f t="shared" si="173"/>
        <v>0</v>
      </c>
      <c r="BW249" s="11">
        <f t="shared" si="174"/>
        <v>0</v>
      </c>
      <c r="BX249" s="11">
        <f t="shared" si="175"/>
        <v>0</v>
      </c>
      <c r="BY249" s="11">
        <f t="shared" si="176"/>
        <v>0</v>
      </c>
      <c r="BZ249" s="11">
        <f t="shared" si="177"/>
        <v>0</v>
      </c>
      <c r="CA249" s="11">
        <f t="shared" si="178"/>
        <v>0</v>
      </c>
      <c r="CB249" s="11">
        <f t="shared" si="179"/>
        <v>0</v>
      </c>
      <c r="CC249" s="11">
        <f t="shared" si="180"/>
        <v>0</v>
      </c>
      <c r="CD249" s="11">
        <f t="shared" si="181"/>
        <v>0</v>
      </c>
      <c r="CE249" s="11">
        <f t="shared" si="182"/>
        <v>0</v>
      </c>
      <c r="CF249" s="11">
        <f t="shared" si="183"/>
        <v>0</v>
      </c>
      <c r="CG249" s="11"/>
      <c r="CH249" s="41">
        <v>1</v>
      </c>
      <c r="CJ249" s="54">
        <f t="shared" si="184"/>
        <v>0</v>
      </c>
      <c r="CK249" s="54">
        <f t="shared" si="185"/>
        <v>0</v>
      </c>
      <c r="CL249" s="54">
        <f t="shared" si="186"/>
        <v>0</v>
      </c>
      <c r="CM249" s="54">
        <f t="shared" si="187"/>
        <v>0</v>
      </c>
      <c r="CN249" s="54">
        <f t="shared" si="188"/>
        <v>0</v>
      </c>
      <c r="CO249" s="54">
        <f t="shared" si="189"/>
        <v>0</v>
      </c>
      <c r="CP249" s="54">
        <f t="shared" si="190"/>
        <v>0</v>
      </c>
      <c r="CQ249" s="54">
        <f t="shared" si="191"/>
        <v>0</v>
      </c>
      <c r="CR249" s="54">
        <f t="shared" si="192"/>
        <v>0</v>
      </c>
      <c r="CS249" s="54">
        <f t="shared" si="193"/>
        <v>0</v>
      </c>
      <c r="CT249" s="54">
        <f t="shared" si="194"/>
        <v>0</v>
      </c>
      <c r="CU249" s="54">
        <f t="shared" si="195"/>
        <v>0</v>
      </c>
      <c r="CV249" s="52">
        <f t="shared" si="196"/>
        <v>0</v>
      </c>
    </row>
    <row r="250" spans="1:100" ht="15.75" x14ac:dyDescent="0.25">
      <c r="A250" s="17"/>
      <c r="B250" s="17"/>
      <c r="C250" s="17"/>
      <c r="D250" s="17"/>
      <c r="E250" s="17"/>
      <c r="F250" s="18" t="s">
        <v>32</v>
      </c>
      <c r="G250" s="78"/>
      <c r="H250" s="78"/>
      <c r="I250" s="78"/>
      <c r="J250" s="78"/>
      <c r="K250" s="78"/>
      <c r="L250" s="78"/>
      <c r="M250" s="78"/>
      <c r="N250" s="78"/>
      <c r="O250" s="78"/>
      <c r="P250" s="78"/>
      <c r="Q250" s="78"/>
      <c r="R250" s="78"/>
      <c r="S250" s="11">
        <f t="shared" si="197"/>
        <v>0</v>
      </c>
      <c r="V250" s="46">
        <f t="shared" si="169"/>
        <v>0</v>
      </c>
      <c r="W250" s="36">
        <v>3.149</v>
      </c>
      <c r="X250" s="36">
        <v>3.149</v>
      </c>
      <c r="Y250" s="36">
        <v>3.149</v>
      </c>
      <c r="Z250" s="36">
        <v>3.149</v>
      </c>
      <c r="AA250" s="36">
        <v>3.149</v>
      </c>
      <c r="AB250" s="36">
        <v>3.149</v>
      </c>
      <c r="AC250" s="36">
        <v>3.149</v>
      </c>
      <c r="AD250" s="36">
        <v>3.149</v>
      </c>
      <c r="AE250" s="36">
        <v>3.149</v>
      </c>
      <c r="AF250" s="36">
        <v>3.149</v>
      </c>
      <c r="AG250" s="36">
        <v>3.149</v>
      </c>
      <c r="AH250" s="36">
        <v>3.149</v>
      </c>
      <c r="AI250" s="39">
        <v>1.33634708931066E-2</v>
      </c>
      <c r="AJ250" s="39">
        <v>1.33634708931066E-2</v>
      </c>
      <c r="AK250" s="39">
        <v>1.33634708931066E-2</v>
      </c>
      <c r="AL250" s="39">
        <v>1.33634708931066E-2</v>
      </c>
      <c r="AM250" s="39">
        <v>1.33634708931066E-2</v>
      </c>
      <c r="AN250" s="39">
        <v>1.33634708931066E-2</v>
      </c>
      <c r="AO250" s="39">
        <v>1.33634708931066E-2</v>
      </c>
      <c r="AP250" s="39">
        <v>1.33634708931066E-2</v>
      </c>
      <c r="AQ250" s="39">
        <v>1.33634708931066E-2</v>
      </c>
      <c r="AR250" s="39">
        <v>1.33634708931066E-2</v>
      </c>
      <c r="AS250" s="39">
        <v>1.33634708931066E-2</v>
      </c>
      <c r="AT250" s="39">
        <v>1.33634708931066E-2</v>
      </c>
      <c r="AU250" s="39">
        <v>1.2392217523121999E-3</v>
      </c>
      <c r="AV250" s="39">
        <v>1.2392217523121999E-3</v>
      </c>
      <c r="AW250" s="39">
        <v>1.2392217523121999E-3</v>
      </c>
      <c r="AX250" s="39">
        <v>1.2392217523121999E-3</v>
      </c>
      <c r="AY250" s="39">
        <v>1.2392217523121999E-3</v>
      </c>
      <c r="AZ250" s="39">
        <v>1.2392217523121999E-3</v>
      </c>
      <c r="BA250" s="39">
        <v>1.2392217523121999E-3</v>
      </c>
      <c r="BB250" s="39">
        <v>1.2392217523121999E-3</v>
      </c>
      <c r="BC250" s="39">
        <v>1.2392217523121999E-3</v>
      </c>
      <c r="BD250" s="39">
        <v>1.2392217523121999E-3</v>
      </c>
      <c r="BE250" s="39">
        <v>1.2392217523121999E-3</v>
      </c>
      <c r="BF250" s="39">
        <v>1.2392217523121999E-3</v>
      </c>
      <c r="BH250" s="12">
        <f t="shared" si="159"/>
        <v>0</v>
      </c>
      <c r="BI250" s="12">
        <f t="shared" si="160"/>
        <v>0</v>
      </c>
      <c r="BJ250" s="12">
        <f t="shared" si="161"/>
        <v>0</v>
      </c>
      <c r="BK250" s="12">
        <f t="shared" si="162"/>
        <v>0</v>
      </c>
      <c r="BL250" s="12">
        <f t="shared" si="163"/>
        <v>0</v>
      </c>
      <c r="BM250" s="12">
        <f t="shared" si="164"/>
        <v>0</v>
      </c>
      <c r="BN250" s="12">
        <f t="shared" si="165"/>
        <v>0</v>
      </c>
      <c r="BO250" s="12">
        <f t="shared" si="166"/>
        <v>0</v>
      </c>
      <c r="BP250" s="12">
        <f t="shared" si="167"/>
        <v>0</v>
      </c>
      <c r="BQ250" s="12">
        <f t="shared" si="168"/>
        <v>0</v>
      </c>
      <c r="BR250" s="12">
        <f t="shared" si="170"/>
        <v>0</v>
      </c>
      <c r="BS250" s="12">
        <f t="shared" si="171"/>
        <v>0</v>
      </c>
      <c r="BU250" s="11">
        <f t="shared" si="172"/>
        <v>0</v>
      </c>
      <c r="BV250" s="11">
        <f t="shared" si="173"/>
        <v>0</v>
      </c>
      <c r="BW250" s="11">
        <f t="shared" si="174"/>
        <v>0</v>
      </c>
      <c r="BX250" s="11">
        <f t="shared" si="175"/>
        <v>0</v>
      </c>
      <c r="BY250" s="11">
        <f t="shared" si="176"/>
        <v>0</v>
      </c>
      <c r="BZ250" s="11">
        <f t="shared" si="177"/>
        <v>0</v>
      </c>
      <c r="CA250" s="11">
        <f t="shared" si="178"/>
        <v>0</v>
      </c>
      <c r="CB250" s="11">
        <f t="shared" si="179"/>
        <v>0</v>
      </c>
      <c r="CC250" s="11">
        <f t="shared" si="180"/>
        <v>0</v>
      </c>
      <c r="CD250" s="11">
        <f t="shared" si="181"/>
        <v>0</v>
      </c>
      <c r="CE250" s="11">
        <f t="shared" si="182"/>
        <v>0</v>
      </c>
      <c r="CF250" s="11">
        <f t="shared" si="183"/>
        <v>0</v>
      </c>
      <c r="CG250" s="11"/>
      <c r="CH250" s="41">
        <v>3.23</v>
      </c>
      <c r="CJ250" s="54">
        <f t="shared" si="184"/>
        <v>0</v>
      </c>
      <c r="CK250" s="54">
        <f t="shared" si="185"/>
        <v>0</v>
      </c>
      <c r="CL250" s="54">
        <f t="shared" si="186"/>
        <v>0</v>
      </c>
      <c r="CM250" s="54">
        <f t="shared" si="187"/>
        <v>0</v>
      </c>
      <c r="CN250" s="54">
        <f t="shared" si="188"/>
        <v>0</v>
      </c>
      <c r="CO250" s="54">
        <f t="shared" si="189"/>
        <v>0</v>
      </c>
      <c r="CP250" s="54">
        <f t="shared" si="190"/>
        <v>0</v>
      </c>
      <c r="CQ250" s="54">
        <f t="shared" si="191"/>
        <v>0</v>
      </c>
      <c r="CR250" s="54">
        <f t="shared" si="192"/>
        <v>0</v>
      </c>
      <c r="CS250" s="54">
        <f t="shared" si="193"/>
        <v>0</v>
      </c>
      <c r="CT250" s="54">
        <f t="shared" si="194"/>
        <v>0</v>
      </c>
      <c r="CU250" s="54">
        <f t="shared" si="195"/>
        <v>0</v>
      </c>
      <c r="CV250" s="52">
        <f t="shared" si="196"/>
        <v>0</v>
      </c>
    </row>
    <row r="251" spans="1:100" ht="15.75" x14ac:dyDescent="0.25">
      <c r="A251" s="17"/>
      <c r="B251" s="17"/>
      <c r="C251" s="17"/>
      <c r="D251" s="17"/>
      <c r="E251" s="17"/>
      <c r="F251" s="18" t="s">
        <v>32</v>
      </c>
      <c r="G251" s="78"/>
      <c r="H251" s="78"/>
      <c r="I251" s="78"/>
      <c r="J251" s="78"/>
      <c r="K251" s="78"/>
      <c r="L251" s="78"/>
      <c r="M251" s="78"/>
      <c r="N251" s="78"/>
      <c r="O251" s="78"/>
      <c r="P251" s="78"/>
      <c r="Q251" s="78"/>
      <c r="R251" s="78"/>
      <c r="S251" s="11">
        <f t="shared" si="197"/>
        <v>0</v>
      </c>
      <c r="V251" s="46">
        <f t="shared" si="169"/>
        <v>0</v>
      </c>
      <c r="W251" s="36">
        <v>1.4379999999999999</v>
      </c>
      <c r="X251" s="36">
        <v>1.4379999999999999</v>
      </c>
      <c r="Y251" s="36">
        <v>1.4379999999999999</v>
      </c>
      <c r="Z251" s="36">
        <v>1.4379999999999999</v>
      </c>
      <c r="AA251" s="36">
        <v>1.4379999999999999</v>
      </c>
      <c r="AB251" s="36">
        <v>1.4379999999999999</v>
      </c>
      <c r="AC251" s="36">
        <v>1.4379999999999999</v>
      </c>
      <c r="AD251" s="36">
        <v>1.4379999999999999</v>
      </c>
      <c r="AE251" s="36">
        <v>1.4379999999999999</v>
      </c>
      <c r="AF251" s="36">
        <v>1.4379999999999999</v>
      </c>
      <c r="AG251" s="36">
        <v>1.4379999999999999</v>
      </c>
      <c r="AH251" s="36">
        <v>1.4379999999999999</v>
      </c>
      <c r="AI251" s="39">
        <v>1.33634708931066E-2</v>
      </c>
      <c r="AJ251" s="39">
        <v>1.33634708931066E-2</v>
      </c>
      <c r="AK251" s="39">
        <v>1.33634708931066E-2</v>
      </c>
      <c r="AL251" s="39">
        <v>1.33634708931066E-2</v>
      </c>
      <c r="AM251" s="39">
        <v>1.33634708931066E-2</v>
      </c>
      <c r="AN251" s="39">
        <v>1.33634708931066E-2</v>
      </c>
      <c r="AO251" s="39">
        <v>1.33634708931066E-2</v>
      </c>
      <c r="AP251" s="39">
        <v>1.33634708931066E-2</v>
      </c>
      <c r="AQ251" s="39">
        <v>1.33634708931066E-2</v>
      </c>
      <c r="AR251" s="39">
        <v>1.33634708931066E-2</v>
      </c>
      <c r="AS251" s="39">
        <v>1.33634708931066E-2</v>
      </c>
      <c r="AT251" s="39">
        <v>1.33634708931066E-2</v>
      </c>
      <c r="AU251" s="39">
        <v>1.2392217523121999E-3</v>
      </c>
      <c r="AV251" s="39">
        <v>1.2392217523121999E-3</v>
      </c>
      <c r="AW251" s="39">
        <v>1.2392217523121999E-3</v>
      </c>
      <c r="AX251" s="39">
        <v>1.2392217523121999E-3</v>
      </c>
      <c r="AY251" s="39">
        <v>1.2392217523121999E-3</v>
      </c>
      <c r="AZ251" s="39">
        <v>1.2392217523121999E-3</v>
      </c>
      <c r="BA251" s="39">
        <v>1.2392217523121999E-3</v>
      </c>
      <c r="BB251" s="39">
        <v>1.2392217523121999E-3</v>
      </c>
      <c r="BC251" s="39">
        <v>1.2392217523121999E-3</v>
      </c>
      <c r="BD251" s="39">
        <v>1.2392217523121999E-3</v>
      </c>
      <c r="BE251" s="39">
        <v>1.2392217523121999E-3</v>
      </c>
      <c r="BF251" s="39">
        <v>1.2392217523121999E-3</v>
      </c>
      <c r="BH251" s="12">
        <f t="shared" si="159"/>
        <v>0</v>
      </c>
      <c r="BI251" s="12">
        <f t="shared" si="160"/>
        <v>0</v>
      </c>
      <c r="BJ251" s="12">
        <f t="shared" si="161"/>
        <v>0</v>
      </c>
      <c r="BK251" s="12">
        <f t="shared" si="162"/>
        <v>0</v>
      </c>
      <c r="BL251" s="12">
        <f t="shared" si="163"/>
        <v>0</v>
      </c>
      <c r="BM251" s="12">
        <f t="shared" si="164"/>
        <v>0</v>
      </c>
      <c r="BN251" s="12">
        <f t="shared" si="165"/>
        <v>0</v>
      </c>
      <c r="BO251" s="12">
        <f t="shared" si="166"/>
        <v>0</v>
      </c>
      <c r="BP251" s="12">
        <f t="shared" si="167"/>
        <v>0</v>
      </c>
      <c r="BQ251" s="12">
        <f t="shared" si="168"/>
        <v>0</v>
      </c>
      <c r="BR251" s="12">
        <f t="shared" si="170"/>
        <v>0</v>
      </c>
      <c r="BS251" s="12">
        <f t="shared" si="171"/>
        <v>0</v>
      </c>
      <c r="BU251" s="11">
        <f t="shared" si="172"/>
        <v>0</v>
      </c>
      <c r="BV251" s="11">
        <f t="shared" si="173"/>
        <v>0</v>
      </c>
      <c r="BW251" s="11">
        <f t="shared" si="174"/>
        <v>0</v>
      </c>
      <c r="BX251" s="11">
        <f t="shared" si="175"/>
        <v>0</v>
      </c>
      <c r="BY251" s="11">
        <f t="shared" si="176"/>
        <v>0</v>
      </c>
      <c r="BZ251" s="11">
        <f t="shared" si="177"/>
        <v>0</v>
      </c>
      <c r="CA251" s="11">
        <f t="shared" si="178"/>
        <v>0</v>
      </c>
      <c r="CB251" s="11">
        <f t="shared" si="179"/>
        <v>0</v>
      </c>
      <c r="CC251" s="11">
        <f t="shared" si="180"/>
        <v>0</v>
      </c>
      <c r="CD251" s="11">
        <f t="shared" si="181"/>
        <v>0</v>
      </c>
      <c r="CE251" s="11">
        <f t="shared" si="182"/>
        <v>0</v>
      </c>
      <c r="CF251" s="11">
        <f t="shared" si="183"/>
        <v>0</v>
      </c>
      <c r="CG251" s="11"/>
      <c r="CH251" s="41">
        <v>3.23</v>
      </c>
      <c r="CJ251" s="54">
        <f t="shared" si="184"/>
        <v>0</v>
      </c>
      <c r="CK251" s="54">
        <f t="shared" si="185"/>
        <v>0</v>
      </c>
      <c r="CL251" s="54">
        <f t="shared" si="186"/>
        <v>0</v>
      </c>
      <c r="CM251" s="54">
        <f t="shared" si="187"/>
        <v>0</v>
      </c>
      <c r="CN251" s="54">
        <f t="shared" si="188"/>
        <v>0</v>
      </c>
      <c r="CO251" s="54">
        <f t="shared" si="189"/>
        <v>0</v>
      </c>
      <c r="CP251" s="54">
        <f t="shared" si="190"/>
        <v>0</v>
      </c>
      <c r="CQ251" s="54">
        <f t="shared" si="191"/>
        <v>0</v>
      </c>
      <c r="CR251" s="54">
        <f t="shared" si="192"/>
        <v>0</v>
      </c>
      <c r="CS251" s="54">
        <f t="shared" si="193"/>
        <v>0</v>
      </c>
      <c r="CT251" s="54">
        <f t="shared" si="194"/>
        <v>0</v>
      </c>
      <c r="CU251" s="54">
        <f t="shared" si="195"/>
        <v>0</v>
      </c>
      <c r="CV251" s="52">
        <f t="shared" si="196"/>
        <v>0</v>
      </c>
    </row>
    <row r="252" spans="1:100" ht="15.75" x14ac:dyDescent="0.25">
      <c r="A252" s="17"/>
      <c r="B252" s="17"/>
      <c r="C252" s="17"/>
      <c r="D252" s="17"/>
      <c r="E252" s="17"/>
      <c r="F252" s="18" t="s">
        <v>32</v>
      </c>
      <c r="G252" s="78"/>
      <c r="H252" s="78"/>
      <c r="I252" s="78"/>
      <c r="J252" s="78"/>
      <c r="K252" s="78"/>
      <c r="L252" s="78"/>
      <c r="M252" s="78"/>
      <c r="N252" s="78"/>
      <c r="O252" s="78"/>
      <c r="P252" s="78"/>
      <c r="Q252" s="78"/>
      <c r="R252" s="78"/>
      <c r="S252" s="11">
        <f t="shared" si="197"/>
        <v>0</v>
      </c>
      <c r="V252" s="46">
        <f t="shared" si="169"/>
        <v>0</v>
      </c>
      <c r="W252" s="36">
        <v>1.6339999999999999</v>
      </c>
      <c r="X252" s="36">
        <v>1.6339999999999999</v>
      </c>
      <c r="Y252" s="36">
        <v>1.6339999999999999</v>
      </c>
      <c r="Z252" s="36">
        <v>1.6339999999999999</v>
      </c>
      <c r="AA252" s="36">
        <v>1.6339999999999999</v>
      </c>
      <c r="AB252" s="36">
        <v>1.6339999999999999</v>
      </c>
      <c r="AC252" s="36">
        <v>1.6339999999999999</v>
      </c>
      <c r="AD252" s="36">
        <v>1.6339999999999999</v>
      </c>
      <c r="AE252" s="36">
        <v>1.6339999999999999</v>
      </c>
      <c r="AF252" s="36">
        <v>1.6339999999999999</v>
      </c>
      <c r="AG252" s="36">
        <v>1.6339999999999999</v>
      </c>
      <c r="AH252" s="36">
        <v>1.6339999999999999</v>
      </c>
      <c r="AI252" s="39">
        <v>1.33634708931066E-2</v>
      </c>
      <c r="AJ252" s="39">
        <v>1.33634708931066E-2</v>
      </c>
      <c r="AK252" s="39">
        <v>1.33634708931066E-2</v>
      </c>
      <c r="AL252" s="39">
        <v>1.33634708931066E-2</v>
      </c>
      <c r="AM252" s="39">
        <v>1.33634708931066E-2</v>
      </c>
      <c r="AN252" s="39">
        <v>1.33634708931066E-2</v>
      </c>
      <c r="AO252" s="39">
        <v>1.33634708931066E-2</v>
      </c>
      <c r="AP252" s="39">
        <v>1.33634708931066E-2</v>
      </c>
      <c r="AQ252" s="39">
        <v>1.33634708931066E-2</v>
      </c>
      <c r="AR252" s="39">
        <v>1.33634708931066E-2</v>
      </c>
      <c r="AS252" s="39">
        <v>1.33634708931066E-2</v>
      </c>
      <c r="AT252" s="39">
        <v>1.33634708931066E-2</v>
      </c>
      <c r="AU252" s="39">
        <v>1.2392217523121999E-3</v>
      </c>
      <c r="AV252" s="39">
        <v>1.2392217523121999E-3</v>
      </c>
      <c r="AW252" s="39">
        <v>1.2392217523121999E-3</v>
      </c>
      <c r="AX252" s="39">
        <v>1.2392217523121999E-3</v>
      </c>
      <c r="AY252" s="39">
        <v>1.2392217523121999E-3</v>
      </c>
      <c r="AZ252" s="39">
        <v>1.2392217523121999E-3</v>
      </c>
      <c r="BA252" s="39">
        <v>1.2392217523121999E-3</v>
      </c>
      <c r="BB252" s="39">
        <v>1.2392217523121999E-3</v>
      </c>
      <c r="BC252" s="39">
        <v>1.2392217523121999E-3</v>
      </c>
      <c r="BD252" s="39">
        <v>1.2392217523121999E-3</v>
      </c>
      <c r="BE252" s="39">
        <v>1.2392217523121999E-3</v>
      </c>
      <c r="BF252" s="39">
        <v>1.2392217523121999E-3</v>
      </c>
      <c r="BH252" s="12">
        <f t="shared" si="159"/>
        <v>0</v>
      </c>
      <c r="BI252" s="12">
        <f t="shared" si="160"/>
        <v>0</v>
      </c>
      <c r="BJ252" s="12">
        <f t="shared" si="161"/>
        <v>0</v>
      </c>
      <c r="BK252" s="12">
        <f t="shared" si="162"/>
        <v>0</v>
      </c>
      <c r="BL252" s="12">
        <f t="shared" si="163"/>
        <v>0</v>
      </c>
      <c r="BM252" s="12">
        <f t="shared" si="164"/>
        <v>0</v>
      </c>
      <c r="BN252" s="12">
        <f t="shared" si="165"/>
        <v>0</v>
      </c>
      <c r="BO252" s="12">
        <f t="shared" si="166"/>
        <v>0</v>
      </c>
      <c r="BP252" s="12">
        <f t="shared" si="167"/>
        <v>0</v>
      </c>
      <c r="BQ252" s="12">
        <f t="shared" si="168"/>
        <v>0</v>
      </c>
      <c r="BR252" s="12">
        <f t="shared" si="170"/>
        <v>0</v>
      </c>
      <c r="BS252" s="12">
        <f t="shared" si="171"/>
        <v>0</v>
      </c>
      <c r="BU252" s="11">
        <f t="shared" si="172"/>
        <v>0</v>
      </c>
      <c r="BV252" s="11">
        <f t="shared" si="173"/>
        <v>0</v>
      </c>
      <c r="BW252" s="11">
        <f t="shared" si="174"/>
        <v>0</v>
      </c>
      <c r="BX252" s="11">
        <f t="shared" si="175"/>
        <v>0</v>
      </c>
      <c r="BY252" s="11">
        <f t="shared" si="176"/>
        <v>0</v>
      </c>
      <c r="BZ252" s="11">
        <f t="shared" si="177"/>
        <v>0</v>
      </c>
      <c r="CA252" s="11">
        <f t="shared" si="178"/>
        <v>0</v>
      </c>
      <c r="CB252" s="11">
        <f t="shared" si="179"/>
        <v>0</v>
      </c>
      <c r="CC252" s="11">
        <f t="shared" si="180"/>
        <v>0</v>
      </c>
      <c r="CD252" s="11">
        <f t="shared" si="181"/>
        <v>0</v>
      </c>
      <c r="CE252" s="11">
        <f t="shared" si="182"/>
        <v>0</v>
      </c>
      <c r="CF252" s="11">
        <f t="shared" si="183"/>
        <v>0</v>
      </c>
      <c r="CG252" s="11"/>
      <c r="CH252" s="41">
        <v>3.23</v>
      </c>
      <c r="CJ252" s="54">
        <f t="shared" si="184"/>
        <v>0</v>
      </c>
      <c r="CK252" s="54">
        <f t="shared" si="185"/>
        <v>0</v>
      </c>
      <c r="CL252" s="54">
        <f t="shared" si="186"/>
        <v>0</v>
      </c>
      <c r="CM252" s="54">
        <f t="shared" si="187"/>
        <v>0</v>
      </c>
      <c r="CN252" s="54">
        <f t="shared" si="188"/>
        <v>0</v>
      </c>
      <c r="CO252" s="54">
        <f t="shared" si="189"/>
        <v>0</v>
      </c>
      <c r="CP252" s="54">
        <f t="shared" si="190"/>
        <v>0</v>
      </c>
      <c r="CQ252" s="54">
        <f t="shared" si="191"/>
        <v>0</v>
      </c>
      <c r="CR252" s="54">
        <f t="shared" si="192"/>
        <v>0</v>
      </c>
      <c r="CS252" s="54">
        <f t="shared" si="193"/>
        <v>0</v>
      </c>
      <c r="CT252" s="54">
        <f t="shared" si="194"/>
        <v>0</v>
      </c>
      <c r="CU252" s="54">
        <f t="shared" si="195"/>
        <v>0</v>
      </c>
      <c r="CV252" s="52">
        <f t="shared" si="196"/>
        <v>0</v>
      </c>
    </row>
    <row r="253" spans="1:100" ht="15.75" x14ac:dyDescent="0.25">
      <c r="A253" s="17"/>
      <c r="B253" s="17"/>
      <c r="C253" s="17"/>
      <c r="D253" s="17"/>
      <c r="E253" s="17"/>
      <c r="F253" s="18" t="s">
        <v>32</v>
      </c>
      <c r="G253" s="78"/>
      <c r="H253" s="78"/>
      <c r="I253" s="78"/>
      <c r="J253" s="78"/>
      <c r="K253" s="78"/>
      <c r="L253" s="78"/>
      <c r="M253" s="78"/>
      <c r="N253" s="78"/>
      <c r="O253" s="78"/>
      <c r="P253" s="78"/>
      <c r="Q253" s="78"/>
      <c r="R253" s="78"/>
      <c r="S253" s="11">
        <f t="shared" si="197"/>
        <v>0</v>
      </c>
      <c r="V253" s="46">
        <f t="shared" si="169"/>
        <v>0</v>
      </c>
      <c r="W253" s="36">
        <v>2.6459999999999999</v>
      </c>
      <c r="X253" s="36">
        <v>2.6459999999999999</v>
      </c>
      <c r="Y253" s="36">
        <v>2.6459999999999999</v>
      </c>
      <c r="Z253" s="36">
        <v>2.6459999999999999</v>
      </c>
      <c r="AA253" s="36">
        <v>2.6459999999999999</v>
      </c>
      <c r="AB253" s="36">
        <v>2.6459999999999999</v>
      </c>
      <c r="AC253" s="36">
        <v>2.6459999999999999</v>
      </c>
      <c r="AD253" s="36">
        <v>2.6459999999999999</v>
      </c>
      <c r="AE253" s="36">
        <v>2.6459999999999999</v>
      </c>
      <c r="AF253" s="36">
        <v>2.6459999999999999</v>
      </c>
      <c r="AG253" s="36">
        <v>2.6459999999999999</v>
      </c>
      <c r="AH253" s="36">
        <v>2.6459999999999999</v>
      </c>
      <c r="AI253" s="39">
        <v>1.33634708931066E-2</v>
      </c>
      <c r="AJ253" s="39">
        <v>1.33634708931066E-2</v>
      </c>
      <c r="AK253" s="39">
        <v>1.33634708931066E-2</v>
      </c>
      <c r="AL253" s="39">
        <v>1.33634708931066E-2</v>
      </c>
      <c r="AM253" s="39">
        <v>1.33634708931066E-2</v>
      </c>
      <c r="AN253" s="39">
        <v>1.33634708931066E-2</v>
      </c>
      <c r="AO253" s="39">
        <v>1.33634708931066E-2</v>
      </c>
      <c r="AP253" s="39">
        <v>1.33634708931066E-2</v>
      </c>
      <c r="AQ253" s="39">
        <v>1.33634708931066E-2</v>
      </c>
      <c r="AR253" s="39">
        <v>1.33634708931066E-2</v>
      </c>
      <c r="AS253" s="39">
        <v>1.33634708931066E-2</v>
      </c>
      <c r="AT253" s="39">
        <v>1.33634708931066E-2</v>
      </c>
      <c r="AU253" s="39">
        <v>1.2392217523121999E-3</v>
      </c>
      <c r="AV253" s="39">
        <v>1.2392217523121999E-3</v>
      </c>
      <c r="AW253" s="39">
        <v>1.2392217523121999E-3</v>
      </c>
      <c r="AX253" s="39">
        <v>1.2392217523121999E-3</v>
      </c>
      <c r="AY253" s="39">
        <v>1.2392217523121999E-3</v>
      </c>
      <c r="AZ253" s="39">
        <v>1.2392217523121999E-3</v>
      </c>
      <c r="BA253" s="39">
        <v>1.2392217523121999E-3</v>
      </c>
      <c r="BB253" s="39">
        <v>1.2392217523121999E-3</v>
      </c>
      <c r="BC253" s="39">
        <v>1.2392217523121999E-3</v>
      </c>
      <c r="BD253" s="39">
        <v>1.2392217523121999E-3</v>
      </c>
      <c r="BE253" s="39">
        <v>1.2392217523121999E-3</v>
      </c>
      <c r="BF253" s="39">
        <v>1.2392217523121999E-3</v>
      </c>
      <c r="BH253" s="12">
        <f t="shared" si="159"/>
        <v>0</v>
      </c>
      <c r="BI253" s="12">
        <f t="shared" si="160"/>
        <v>0</v>
      </c>
      <c r="BJ253" s="12">
        <f t="shared" si="161"/>
        <v>0</v>
      </c>
      <c r="BK253" s="12">
        <f t="shared" si="162"/>
        <v>0</v>
      </c>
      <c r="BL253" s="12">
        <f t="shared" si="163"/>
        <v>0</v>
      </c>
      <c r="BM253" s="12">
        <f t="shared" si="164"/>
        <v>0</v>
      </c>
      <c r="BN253" s="12">
        <f t="shared" si="165"/>
        <v>0</v>
      </c>
      <c r="BO253" s="12">
        <f t="shared" si="166"/>
        <v>0</v>
      </c>
      <c r="BP253" s="12">
        <f t="shared" si="167"/>
        <v>0</v>
      </c>
      <c r="BQ253" s="12">
        <f t="shared" si="168"/>
        <v>0</v>
      </c>
      <c r="BR253" s="12">
        <f t="shared" si="170"/>
        <v>0</v>
      </c>
      <c r="BS253" s="12">
        <f t="shared" si="171"/>
        <v>0</v>
      </c>
      <c r="BU253" s="11">
        <f t="shared" si="172"/>
        <v>0</v>
      </c>
      <c r="BV253" s="11">
        <f t="shared" si="173"/>
        <v>0</v>
      </c>
      <c r="BW253" s="11">
        <f t="shared" si="174"/>
        <v>0</v>
      </c>
      <c r="BX253" s="11">
        <f t="shared" si="175"/>
        <v>0</v>
      </c>
      <c r="BY253" s="11">
        <f t="shared" si="176"/>
        <v>0</v>
      </c>
      <c r="BZ253" s="11">
        <f t="shared" si="177"/>
        <v>0</v>
      </c>
      <c r="CA253" s="11">
        <f t="shared" si="178"/>
        <v>0</v>
      </c>
      <c r="CB253" s="11">
        <f t="shared" si="179"/>
        <v>0</v>
      </c>
      <c r="CC253" s="11">
        <f t="shared" si="180"/>
        <v>0</v>
      </c>
      <c r="CD253" s="11">
        <f t="shared" si="181"/>
        <v>0</v>
      </c>
      <c r="CE253" s="11">
        <f t="shared" si="182"/>
        <v>0</v>
      </c>
      <c r="CF253" s="11">
        <f t="shared" si="183"/>
        <v>0</v>
      </c>
      <c r="CG253" s="11"/>
      <c r="CH253" s="41">
        <v>3.23</v>
      </c>
      <c r="CJ253" s="54">
        <f t="shared" si="184"/>
        <v>0</v>
      </c>
      <c r="CK253" s="54">
        <f t="shared" si="185"/>
        <v>0</v>
      </c>
      <c r="CL253" s="54">
        <f t="shared" si="186"/>
        <v>0</v>
      </c>
      <c r="CM253" s="54">
        <f t="shared" si="187"/>
        <v>0</v>
      </c>
      <c r="CN253" s="54">
        <f t="shared" si="188"/>
        <v>0</v>
      </c>
      <c r="CO253" s="54">
        <f t="shared" si="189"/>
        <v>0</v>
      </c>
      <c r="CP253" s="54">
        <f t="shared" si="190"/>
        <v>0</v>
      </c>
      <c r="CQ253" s="54">
        <f t="shared" si="191"/>
        <v>0</v>
      </c>
      <c r="CR253" s="54">
        <f t="shared" si="192"/>
        <v>0</v>
      </c>
      <c r="CS253" s="54">
        <f t="shared" si="193"/>
        <v>0</v>
      </c>
      <c r="CT253" s="54">
        <f t="shared" si="194"/>
        <v>0</v>
      </c>
      <c r="CU253" s="54">
        <f t="shared" si="195"/>
        <v>0</v>
      </c>
      <c r="CV253" s="52">
        <f t="shared" si="196"/>
        <v>0</v>
      </c>
    </row>
    <row r="254" spans="1:100" ht="15.75" x14ac:dyDescent="0.25">
      <c r="A254" s="17"/>
      <c r="B254" s="17"/>
      <c r="C254" s="17"/>
      <c r="D254" s="17"/>
      <c r="E254" s="17"/>
      <c r="F254" s="18" t="s">
        <v>32</v>
      </c>
      <c r="G254" s="78"/>
      <c r="H254" s="78"/>
      <c r="I254" s="78"/>
      <c r="J254" s="78"/>
      <c r="K254" s="78"/>
      <c r="L254" s="78"/>
      <c r="M254" s="78"/>
      <c r="N254" s="78"/>
      <c r="O254" s="78"/>
      <c r="P254" s="78"/>
      <c r="Q254" s="78"/>
      <c r="R254" s="78"/>
      <c r="S254" s="11">
        <f t="shared" si="197"/>
        <v>0</v>
      </c>
      <c r="V254" s="46">
        <f t="shared" si="169"/>
        <v>0</v>
      </c>
      <c r="W254" s="36">
        <v>2.367</v>
      </c>
      <c r="X254" s="36">
        <v>2.367</v>
      </c>
      <c r="Y254" s="36">
        <v>2.367</v>
      </c>
      <c r="Z254" s="36">
        <v>2.367</v>
      </c>
      <c r="AA254" s="36">
        <v>2.367</v>
      </c>
      <c r="AB254" s="36">
        <v>2.367</v>
      </c>
      <c r="AC254" s="36">
        <v>2.367</v>
      </c>
      <c r="AD254" s="36">
        <v>2.367</v>
      </c>
      <c r="AE254" s="36">
        <v>2.367</v>
      </c>
      <c r="AF254" s="36">
        <v>2.367</v>
      </c>
      <c r="AG254" s="36">
        <v>2.367</v>
      </c>
      <c r="AH254" s="36">
        <v>2.367</v>
      </c>
      <c r="AI254" s="39">
        <v>1.33634708931066E-2</v>
      </c>
      <c r="AJ254" s="39">
        <v>1.33634708931066E-2</v>
      </c>
      <c r="AK254" s="39">
        <v>1.33634708931066E-2</v>
      </c>
      <c r="AL254" s="39">
        <v>1.33634708931066E-2</v>
      </c>
      <c r="AM254" s="39">
        <v>1.33634708931066E-2</v>
      </c>
      <c r="AN254" s="39">
        <v>1.33634708931066E-2</v>
      </c>
      <c r="AO254" s="39">
        <v>1.33634708931066E-2</v>
      </c>
      <c r="AP254" s="39">
        <v>1.33634708931066E-2</v>
      </c>
      <c r="AQ254" s="39">
        <v>1.33634708931066E-2</v>
      </c>
      <c r="AR254" s="39">
        <v>1.33634708931066E-2</v>
      </c>
      <c r="AS254" s="39">
        <v>1.33634708931066E-2</v>
      </c>
      <c r="AT254" s="39">
        <v>1.33634708931066E-2</v>
      </c>
      <c r="AU254" s="39">
        <v>1.2392217523121999E-3</v>
      </c>
      <c r="AV254" s="39">
        <v>1.2392217523121999E-3</v>
      </c>
      <c r="AW254" s="39">
        <v>1.2392217523121999E-3</v>
      </c>
      <c r="AX254" s="39">
        <v>1.2392217523121999E-3</v>
      </c>
      <c r="AY254" s="39">
        <v>1.2392217523121999E-3</v>
      </c>
      <c r="AZ254" s="39">
        <v>1.2392217523121999E-3</v>
      </c>
      <c r="BA254" s="39">
        <v>1.2392217523121999E-3</v>
      </c>
      <c r="BB254" s="39">
        <v>1.2392217523121999E-3</v>
      </c>
      <c r="BC254" s="39">
        <v>1.2392217523121999E-3</v>
      </c>
      <c r="BD254" s="39">
        <v>1.2392217523121999E-3</v>
      </c>
      <c r="BE254" s="39">
        <v>1.2392217523121999E-3</v>
      </c>
      <c r="BF254" s="39">
        <v>1.2392217523121999E-3</v>
      </c>
      <c r="BH254" s="12">
        <f t="shared" si="159"/>
        <v>0</v>
      </c>
      <c r="BI254" s="12">
        <f t="shared" si="160"/>
        <v>0</v>
      </c>
      <c r="BJ254" s="12">
        <f t="shared" si="161"/>
        <v>0</v>
      </c>
      <c r="BK254" s="12">
        <f t="shared" si="162"/>
        <v>0</v>
      </c>
      <c r="BL254" s="12">
        <f t="shared" si="163"/>
        <v>0</v>
      </c>
      <c r="BM254" s="12">
        <f t="shared" si="164"/>
        <v>0</v>
      </c>
      <c r="BN254" s="12">
        <f t="shared" si="165"/>
        <v>0</v>
      </c>
      <c r="BO254" s="12">
        <f t="shared" si="166"/>
        <v>0</v>
      </c>
      <c r="BP254" s="12">
        <f t="shared" si="167"/>
        <v>0</v>
      </c>
      <c r="BQ254" s="12">
        <f t="shared" si="168"/>
        <v>0</v>
      </c>
      <c r="BR254" s="12">
        <f t="shared" si="170"/>
        <v>0</v>
      </c>
      <c r="BS254" s="12">
        <f t="shared" si="171"/>
        <v>0</v>
      </c>
      <c r="BU254" s="11">
        <f t="shared" si="172"/>
        <v>0</v>
      </c>
      <c r="BV254" s="11">
        <f t="shared" si="173"/>
        <v>0</v>
      </c>
      <c r="BW254" s="11">
        <f t="shared" si="174"/>
        <v>0</v>
      </c>
      <c r="BX254" s="11">
        <f t="shared" si="175"/>
        <v>0</v>
      </c>
      <c r="BY254" s="11">
        <f t="shared" si="176"/>
        <v>0</v>
      </c>
      <c r="BZ254" s="11">
        <f t="shared" si="177"/>
        <v>0</v>
      </c>
      <c r="CA254" s="11">
        <f t="shared" si="178"/>
        <v>0</v>
      </c>
      <c r="CB254" s="11">
        <f t="shared" si="179"/>
        <v>0</v>
      </c>
      <c r="CC254" s="11">
        <f t="shared" si="180"/>
        <v>0</v>
      </c>
      <c r="CD254" s="11">
        <f t="shared" si="181"/>
        <v>0</v>
      </c>
      <c r="CE254" s="11">
        <f t="shared" si="182"/>
        <v>0</v>
      </c>
      <c r="CF254" s="11">
        <f t="shared" si="183"/>
        <v>0</v>
      </c>
      <c r="CG254" s="11"/>
      <c r="CH254" s="41">
        <v>3.23</v>
      </c>
      <c r="CJ254" s="54">
        <f t="shared" si="184"/>
        <v>0</v>
      </c>
      <c r="CK254" s="54">
        <f t="shared" si="185"/>
        <v>0</v>
      </c>
      <c r="CL254" s="54">
        <f t="shared" si="186"/>
        <v>0</v>
      </c>
      <c r="CM254" s="54">
        <f t="shared" si="187"/>
        <v>0</v>
      </c>
      <c r="CN254" s="54">
        <f t="shared" si="188"/>
        <v>0</v>
      </c>
      <c r="CO254" s="54">
        <f t="shared" si="189"/>
        <v>0</v>
      </c>
      <c r="CP254" s="54">
        <f t="shared" si="190"/>
        <v>0</v>
      </c>
      <c r="CQ254" s="54">
        <f t="shared" si="191"/>
        <v>0</v>
      </c>
      <c r="CR254" s="54">
        <f t="shared" si="192"/>
        <v>0</v>
      </c>
      <c r="CS254" s="54">
        <f t="shared" si="193"/>
        <v>0</v>
      </c>
      <c r="CT254" s="54">
        <f t="shared" si="194"/>
        <v>0</v>
      </c>
      <c r="CU254" s="54">
        <f t="shared" si="195"/>
        <v>0</v>
      </c>
      <c r="CV254" s="52">
        <f t="shared" si="196"/>
        <v>0</v>
      </c>
    </row>
    <row r="255" spans="1:100" ht="15.75" x14ac:dyDescent="0.25">
      <c r="A255" s="17"/>
      <c r="B255" s="17"/>
      <c r="C255" s="17"/>
      <c r="D255" s="17"/>
      <c r="E255" s="17"/>
      <c r="F255" s="18" t="s">
        <v>32</v>
      </c>
      <c r="G255" s="78"/>
      <c r="H255" s="78"/>
      <c r="I255" s="78"/>
      <c r="J255" s="78"/>
      <c r="K255" s="78"/>
      <c r="L255" s="78"/>
      <c r="M255" s="78"/>
      <c r="N255" s="78"/>
      <c r="O255" s="78"/>
      <c r="P255" s="78"/>
      <c r="Q255" s="78"/>
      <c r="R255" s="78"/>
      <c r="S255" s="11">
        <f t="shared" si="197"/>
        <v>0</v>
      </c>
      <c r="V255" s="46">
        <f t="shared" si="169"/>
        <v>0</v>
      </c>
      <c r="W255" s="36">
        <v>3.0640000000000001</v>
      </c>
      <c r="X255" s="36">
        <v>3.0640000000000001</v>
      </c>
      <c r="Y255" s="36">
        <v>3.0640000000000001</v>
      </c>
      <c r="Z255" s="36">
        <v>3.0640000000000001</v>
      </c>
      <c r="AA255" s="36">
        <v>3.0640000000000001</v>
      </c>
      <c r="AB255" s="36">
        <v>3.0640000000000001</v>
      </c>
      <c r="AC255" s="36">
        <v>3.0640000000000001</v>
      </c>
      <c r="AD255" s="36">
        <v>3.0640000000000001</v>
      </c>
      <c r="AE255" s="36">
        <v>3.0640000000000001</v>
      </c>
      <c r="AF255" s="36">
        <v>3.0640000000000001</v>
      </c>
      <c r="AG255" s="36">
        <v>3.0640000000000001</v>
      </c>
      <c r="AH255" s="36">
        <v>3.0640000000000001</v>
      </c>
      <c r="AI255" s="39">
        <v>1.33634708931066E-2</v>
      </c>
      <c r="AJ255" s="39">
        <v>1.33634708931066E-2</v>
      </c>
      <c r="AK255" s="39">
        <v>1.33634708931066E-2</v>
      </c>
      <c r="AL255" s="39">
        <v>1.33634708931066E-2</v>
      </c>
      <c r="AM255" s="39">
        <v>1.33634708931066E-2</v>
      </c>
      <c r="AN255" s="39">
        <v>1.33634708931066E-2</v>
      </c>
      <c r="AO255" s="39">
        <v>1.33634708931066E-2</v>
      </c>
      <c r="AP255" s="39">
        <v>1.33634708931066E-2</v>
      </c>
      <c r="AQ255" s="39">
        <v>1.33634708931066E-2</v>
      </c>
      <c r="AR255" s="39">
        <v>1.33634708931066E-2</v>
      </c>
      <c r="AS255" s="39">
        <v>1.33634708931066E-2</v>
      </c>
      <c r="AT255" s="39">
        <v>1.33634708931066E-2</v>
      </c>
      <c r="AU255" s="39">
        <v>1.2392217523121999E-3</v>
      </c>
      <c r="AV255" s="39">
        <v>1.2392217523121999E-3</v>
      </c>
      <c r="AW255" s="39">
        <v>1.2392217523121999E-3</v>
      </c>
      <c r="AX255" s="39">
        <v>1.2392217523121999E-3</v>
      </c>
      <c r="AY255" s="39">
        <v>1.2392217523121999E-3</v>
      </c>
      <c r="AZ255" s="39">
        <v>1.2392217523121999E-3</v>
      </c>
      <c r="BA255" s="39">
        <v>1.2392217523121999E-3</v>
      </c>
      <c r="BB255" s="39">
        <v>1.2392217523121999E-3</v>
      </c>
      <c r="BC255" s="39">
        <v>1.2392217523121999E-3</v>
      </c>
      <c r="BD255" s="39">
        <v>1.2392217523121999E-3</v>
      </c>
      <c r="BE255" s="39">
        <v>1.2392217523121999E-3</v>
      </c>
      <c r="BF255" s="39">
        <v>1.2392217523121999E-3</v>
      </c>
      <c r="BH255" s="12">
        <f t="shared" si="159"/>
        <v>0</v>
      </c>
      <c r="BI255" s="12">
        <f t="shared" si="160"/>
        <v>0</v>
      </c>
      <c r="BJ255" s="12">
        <f t="shared" si="161"/>
        <v>0</v>
      </c>
      <c r="BK255" s="12">
        <f t="shared" si="162"/>
        <v>0</v>
      </c>
      <c r="BL255" s="12">
        <f t="shared" si="163"/>
        <v>0</v>
      </c>
      <c r="BM255" s="12">
        <f t="shared" si="164"/>
        <v>0</v>
      </c>
      <c r="BN255" s="12">
        <f t="shared" si="165"/>
        <v>0</v>
      </c>
      <c r="BO255" s="12">
        <f t="shared" si="166"/>
        <v>0</v>
      </c>
      <c r="BP255" s="12">
        <f t="shared" si="167"/>
        <v>0</v>
      </c>
      <c r="BQ255" s="12">
        <f t="shared" si="168"/>
        <v>0</v>
      </c>
      <c r="BR255" s="12">
        <f t="shared" si="170"/>
        <v>0</v>
      </c>
      <c r="BS255" s="12">
        <f t="shared" si="171"/>
        <v>0</v>
      </c>
      <c r="BU255" s="11">
        <f t="shared" si="172"/>
        <v>0</v>
      </c>
      <c r="BV255" s="11">
        <f t="shared" si="173"/>
        <v>0</v>
      </c>
      <c r="BW255" s="11">
        <f t="shared" si="174"/>
        <v>0</v>
      </c>
      <c r="BX255" s="11">
        <f t="shared" si="175"/>
        <v>0</v>
      </c>
      <c r="BY255" s="11">
        <f t="shared" si="176"/>
        <v>0</v>
      </c>
      <c r="BZ255" s="11">
        <f t="shared" si="177"/>
        <v>0</v>
      </c>
      <c r="CA255" s="11">
        <f t="shared" si="178"/>
        <v>0</v>
      </c>
      <c r="CB255" s="11">
        <f t="shared" si="179"/>
        <v>0</v>
      </c>
      <c r="CC255" s="11">
        <f t="shared" si="180"/>
        <v>0</v>
      </c>
      <c r="CD255" s="11">
        <f t="shared" si="181"/>
        <v>0</v>
      </c>
      <c r="CE255" s="11">
        <f t="shared" si="182"/>
        <v>0</v>
      </c>
      <c r="CF255" s="11">
        <f t="shared" si="183"/>
        <v>0</v>
      </c>
      <c r="CG255" s="11"/>
      <c r="CH255" s="41">
        <v>3.23</v>
      </c>
      <c r="CJ255" s="54">
        <f t="shared" si="184"/>
        <v>0</v>
      </c>
      <c r="CK255" s="54">
        <f t="shared" si="185"/>
        <v>0</v>
      </c>
      <c r="CL255" s="54">
        <f t="shared" si="186"/>
        <v>0</v>
      </c>
      <c r="CM255" s="54">
        <f t="shared" si="187"/>
        <v>0</v>
      </c>
      <c r="CN255" s="54">
        <f t="shared" si="188"/>
        <v>0</v>
      </c>
      <c r="CO255" s="54">
        <f t="shared" si="189"/>
        <v>0</v>
      </c>
      <c r="CP255" s="54">
        <f t="shared" si="190"/>
        <v>0</v>
      </c>
      <c r="CQ255" s="54">
        <f t="shared" si="191"/>
        <v>0</v>
      </c>
      <c r="CR255" s="54">
        <f t="shared" si="192"/>
        <v>0</v>
      </c>
      <c r="CS255" s="54">
        <f t="shared" si="193"/>
        <v>0</v>
      </c>
      <c r="CT255" s="54">
        <f t="shared" si="194"/>
        <v>0</v>
      </c>
      <c r="CU255" s="54">
        <f t="shared" si="195"/>
        <v>0</v>
      </c>
      <c r="CV255" s="52">
        <f t="shared" si="196"/>
        <v>0</v>
      </c>
    </row>
    <row r="256" spans="1:100" ht="15.75" x14ac:dyDescent="0.25">
      <c r="A256" s="17"/>
      <c r="B256" s="17"/>
      <c r="C256" s="17"/>
      <c r="D256" s="17"/>
      <c r="E256" s="17"/>
      <c r="F256" s="18" t="s">
        <v>32</v>
      </c>
      <c r="G256" s="78"/>
      <c r="H256" s="78"/>
      <c r="I256" s="78"/>
      <c r="J256" s="78"/>
      <c r="K256" s="78"/>
      <c r="L256" s="78"/>
      <c r="M256" s="78"/>
      <c r="N256" s="78"/>
      <c r="O256" s="78"/>
      <c r="P256" s="78"/>
      <c r="Q256" s="78"/>
      <c r="R256" s="78"/>
      <c r="S256" s="11">
        <f t="shared" si="197"/>
        <v>0</v>
      </c>
      <c r="V256" s="46">
        <f t="shared" si="169"/>
        <v>0</v>
      </c>
      <c r="W256" s="36">
        <v>2.6280000000000001</v>
      </c>
      <c r="X256" s="36">
        <v>2.6280000000000001</v>
      </c>
      <c r="Y256" s="36">
        <v>2.6280000000000001</v>
      </c>
      <c r="Z256" s="36">
        <v>2.6280000000000001</v>
      </c>
      <c r="AA256" s="36">
        <v>2.6280000000000001</v>
      </c>
      <c r="AB256" s="36">
        <v>2.6280000000000001</v>
      </c>
      <c r="AC256" s="36">
        <v>2.6280000000000001</v>
      </c>
      <c r="AD256" s="36">
        <v>2.6280000000000001</v>
      </c>
      <c r="AE256" s="36">
        <v>2.6280000000000001</v>
      </c>
      <c r="AF256" s="36">
        <v>2.6280000000000001</v>
      </c>
      <c r="AG256" s="36">
        <v>2.6280000000000001</v>
      </c>
      <c r="AH256" s="36">
        <v>2.6280000000000001</v>
      </c>
      <c r="AI256" s="39">
        <v>1.33634708931066E-2</v>
      </c>
      <c r="AJ256" s="39">
        <v>1.33634708931066E-2</v>
      </c>
      <c r="AK256" s="39">
        <v>1.33634708931066E-2</v>
      </c>
      <c r="AL256" s="39">
        <v>1.33634708931066E-2</v>
      </c>
      <c r="AM256" s="39">
        <v>1.33634708931066E-2</v>
      </c>
      <c r="AN256" s="39">
        <v>1.33634708931066E-2</v>
      </c>
      <c r="AO256" s="39">
        <v>1.33634708931066E-2</v>
      </c>
      <c r="AP256" s="39">
        <v>1.33634708931066E-2</v>
      </c>
      <c r="AQ256" s="39">
        <v>1.33634708931066E-2</v>
      </c>
      <c r="AR256" s="39">
        <v>1.33634708931066E-2</v>
      </c>
      <c r="AS256" s="39">
        <v>1.33634708931066E-2</v>
      </c>
      <c r="AT256" s="39">
        <v>1.33634708931066E-2</v>
      </c>
      <c r="AU256" s="39">
        <v>1.2392217523121999E-3</v>
      </c>
      <c r="AV256" s="39">
        <v>1.2392217523121999E-3</v>
      </c>
      <c r="AW256" s="39">
        <v>1.2392217523121999E-3</v>
      </c>
      <c r="AX256" s="39">
        <v>1.2392217523121999E-3</v>
      </c>
      <c r="AY256" s="39">
        <v>1.2392217523121999E-3</v>
      </c>
      <c r="AZ256" s="39">
        <v>1.2392217523121999E-3</v>
      </c>
      <c r="BA256" s="39">
        <v>1.2392217523121999E-3</v>
      </c>
      <c r="BB256" s="39">
        <v>1.2392217523121999E-3</v>
      </c>
      <c r="BC256" s="39">
        <v>1.2392217523121999E-3</v>
      </c>
      <c r="BD256" s="39">
        <v>1.2392217523121999E-3</v>
      </c>
      <c r="BE256" s="39">
        <v>1.2392217523121999E-3</v>
      </c>
      <c r="BF256" s="39">
        <v>1.2392217523121999E-3</v>
      </c>
      <c r="BH256" s="12">
        <f t="shared" si="159"/>
        <v>0</v>
      </c>
      <c r="BI256" s="12">
        <f t="shared" si="160"/>
        <v>0</v>
      </c>
      <c r="BJ256" s="12">
        <f t="shared" si="161"/>
        <v>0</v>
      </c>
      <c r="BK256" s="12">
        <f t="shared" si="162"/>
        <v>0</v>
      </c>
      <c r="BL256" s="12">
        <f t="shared" si="163"/>
        <v>0</v>
      </c>
      <c r="BM256" s="12">
        <f t="shared" si="164"/>
        <v>0</v>
      </c>
      <c r="BN256" s="12">
        <f t="shared" si="165"/>
        <v>0</v>
      </c>
      <c r="BO256" s="12">
        <f t="shared" si="166"/>
        <v>0</v>
      </c>
      <c r="BP256" s="12">
        <f t="shared" si="167"/>
        <v>0</v>
      </c>
      <c r="BQ256" s="12">
        <f t="shared" si="168"/>
        <v>0</v>
      </c>
      <c r="BR256" s="12">
        <f t="shared" si="170"/>
        <v>0</v>
      </c>
      <c r="BS256" s="12">
        <f t="shared" si="171"/>
        <v>0</v>
      </c>
      <c r="BU256" s="11">
        <f t="shared" si="172"/>
        <v>0</v>
      </c>
      <c r="BV256" s="11">
        <f t="shared" si="173"/>
        <v>0</v>
      </c>
      <c r="BW256" s="11">
        <f t="shared" si="174"/>
        <v>0</v>
      </c>
      <c r="BX256" s="11">
        <f t="shared" si="175"/>
        <v>0</v>
      </c>
      <c r="BY256" s="11">
        <f t="shared" si="176"/>
        <v>0</v>
      </c>
      <c r="BZ256" s="11">
        <f t="shared" si="177"/>
        <v>0</v>
      </c>
      <c r="CA256" s="11">
        <f t="shared" si="178"/>
        <v>0</v>
      </c>
      <c r="CB256" s="11">
        <f t="shared" si="179"/>
        <v>0</v>
      </c>
      <c r="CC256" s="11">
        <f t="shared" si="180"/>
        <v>0</v>
      </c>
      <c r="CD256" s="11">
        <f t="shared" si="181"/>
        <v>0</v>
      </c>
      <c r="CE256" s="11">
        <f t="shared" si="182"/>
        <v>0</v>
      </c>
      <c r="CF256" s="11">
        <f t="shared" si="183"/>
        <v>0</v>
      </c>
      <c r="CG256" s="11"/>
      <c r="CH256" s="41">
        <v>3.23</v>
      </c>
      <c r="CJ256" s="54">
        <f t="shared" si="184"/>
        <v>0</v>
      </c>
      <c r="CK256" s="54">
        <f t="shared" si="185"/>
        <v>0</v>
      </c>
      <c r="CL256" s="54">
        <f t="shared" si="186"/>
        <v>0</v>
      </c>
      <c r="CM256" s="54">
        <f t="shared" si="187"/>
        <v>0</v>
      </c>
      <c r="CN256" s="54">
        <f t="shared" si="188"/>
        <v>0</v>
      </c>
      <c r="CO256" s="54">
        <f t="shared" si="189"/>
        <v>0</v>
      </c>
      <c r="CP256" s="54">
        <f t="shared" si="190"/>
        <v>0</v>
      </c>
      <c r="CQ256" s="54">
        <f t="shared" si="191"/>
        <v>0</v>
      </c>
      <c r="CR256" s="54">
        <f t="shared" si="192"/>
        <v>0</v>
      </c>
      <c r="CS256" s="54">
        <f t="shared" si="193"/>
        <v>0</v>
      </c>
      <c r="CT256" s="54">
        <f t="shared" si="194"/>
        <v>0</v>
      </c>
      <c r="CU256" s="54">
        <f t="shared" si="195"/>
        <v>0</v>
      </c>
      <c r="CV256" s="52">
        <f t="shared" si="196"/>
        <v>0</v>
      </c>
    </row>
    <row r="257" spans="1:100" ht="15.75" x14ac:dyDescent="0.25">
      <c r="A257" s="17"/>
      <c r="B257" s="17"/>
      <c r="C257" s="17"/>
      <c r="D257" s="17"/>
      <c r="E257" s="17"/>
      <c r="F257" s="18" t="s">
        <v>32</v>
      </c>
      <c r="G257" s="78"/>
      <c r="H257" s="78"/>
      <c r="I257" s="78"/>
      <c r="J257" s="78"/>
      <c r="K257" s="78"/>
      <c r="L257" s="78"/>
      <c r="M257" s="78"/>
      <c r="N257" s="78"/>
      <c r="O257" s="78"/>
      <c r="P257" s="78"/>
      <c r="Q257" s="78"/>
      <c r="R257" s="78"/>
      <c r="S257" s="11">
        <f t="shared" si="197"/>
        <v>0</v>
      </c>
      <c r="V257" s="46">
        <f t="shared" si="169"/>
        <v>0</v>
      </c>
      <c r="W257" s="36">
        <v>5.1070000000000002</v>
      </c>
      <c r="X257" s="36">
        <v>5.1070000000000002</v>
      </c>
      <c r="Y257" s="36">
        <v>5.1070000000000002</v>
      </c>
      <c r="Z257" s="36">
        <v>5.1070000000000002</v>
      </c>
      <c r="AA257" s="36">
        <v>5.1070000000000002</v>
      </c>
      <c r="AB257" s="36">
        <v>5.1070000000000002</v>
      </c>
      <c r="AC257" s="36">
        <v>5.1070000000000002</v>
      </c>
      <c r="AD257" s="36">
        <v>5.1070000000000002</v>
      </c>
      <c r="AE257" s="36">
        <v>5.1070000000000002</v>
      </c>
      <c r="AF257" s="36">
        <v>5.1070000000000002</v>
      </c>
      <c r="AG257" s="36">
        <v>5.1070000000000002</v>
      </c>
      <c r="AH257" s="36">
        <v>5.1070000000000002</v>
      </c>
      <c r="AI257" s="39">
        <v>1.33634708931066E-2</v>
      </c>
      <c r="AJ257" s="39">
        <v>1.33634708931066E-2</v>
      </c>
      <c r="AK257" s="39">
        <v>1.33634708931066E-2</v>
      </c>
      <c r="AL257" s="39">
        <v>1.33634708931066E-2</v>
      </c>
      <c r="AM257" s="39">
        <v>1.33634708931066E-2</v>
      </c>
      <c r="AN257" s="39">
        <v>1.33634708931066E-2</v>
      </c>
      <c r="AO257" s="39">
        <v>1.33634708931066E-2</v>
      </c>
      <c r="AP257" s="39">
        <v>1.33634708931066E-2</v>
      </c>
      <c r="AQ257" s="39">
        <v>1.33634708931066E-2</v>
      </c>
      <c r="AR257" s="39">
        <v>1.33634708931066E-2</v>
      </c>
      <c r="AS257" s="39">
        <v>1.33634708931066E-2</v>
      </c>
      <c r="AT257" s="39">
        <v>1.33634708931066E-2</v>
      </c>
      <c r="AU257" s="39">
        <v>1.2392217523121999E-3</v>
      </c>
      <c r="AV257" s="39">
        <v>1.2392217523121999E-3</v>
      </c>
      <c r="AW257" s="39">
        <v>1.2392217523121999E-3</v>
      </c>
      <c r="AX257" s="39">
        <v>1.2392217523121999E-3</v>
      </c>
      <c r="AY257" s="39">
        <v>1.2392217523121999E-3</v>
      </c>
      <c r="AZ257" s="39">
        <v>1.2392217523121999E-3</v>
      </c>
      <c r="BA257" s="39">
        <v>1.2392217523121999E-3</v>
      </c>
      <c r="BB257" s="39">
        <v>1.2392217523121999E-3</v>
      </c>
      <c r="BC257" s="39">
        <v>1.2392217523121999E-3</v>
      </c>
      <c r="BD257" s="39">
        <v>1.2392217523121999E-3</v>
      </c>
      <c r="BE257" s="39">
        <v>1.2392217523121999E-3</v>
      </c>
      <c r="BF257" s="39">
        <v>1.2392217523121999E-3</v>
      </c>
      <c r="BH257" s="12">
        <f t="shared" si="159"/>
        <v>0</v>
      </c>
      <c r="BI257" s="12">
        <f t="shared" si="160"/>
        <v>0</v>
      </c>
      <c r="BJ257" s="12">
        <f t="shared" si="161"/>
        <v>0</v>
      </c>
      <c r="BK257" s="12">
        <f t="shared" si="162"/>
        <v>0</v>
      </c>
      <c r="BL257" s="12">
        <f t="shared" si="163"/>
        <v>0</v>
      </c>
      <c r="BM257" s="12">
        <f t="shared" si="164"/>
        <v>0</v>
      </c>
      <c r="BN257" s="12">
        <f t="shared" si="165"/>
        <v>0</v>
      </c>
      <c r="BO257" s="12">
        <f t="shared" si="166"/>
        <v>0</v>
      </c>
      <c r="BP257" s="12">
        <f t="shared" si="167"/>
        <v>0</v>
      </c>
      <c r="BQ257" s="12">
        <f t="shared" si="168"/>
        <v>0</v>
      </c>
      <c r="BR257" s="12">
        <f t="shared" si="170"/>
        <v>0</v>
      </c>
      <c r="BS257" s="12">
        <f t="shared" si="171"/>
        <v>0</v>
      </c>
      <c r="BU257" s="11">
        <f t="shared" si="172"/>
        <v>0</v>
      </c>
      <c r="BV257" s="11">
        <f t="shared" si="173"/>
        <v>0</v>
      </c>
      <c r="BW257" s="11">
        <f t="shared" si="174"/>
        <v>0</v>
      </c>
      <c r="BX257" s="11">
        <f t="shared" si="175"/>
        <v>0</v>
      </c>
      <c r="BY257" s="11">
        <f t="shared" si="176"/>
        <v>0</v>
      </c>
      <c r="BZ257" s="11">
        <f t="shared" si="177"/>
        <v>0</v>
      </c>
      <c r="CA257" s="11">
        <f t="shared" si="178"/>
        <v>0</v>
      </c>
      <c r="CB257" s="11">
        <f t="shared" si="179"/>
        <v>0</v>
      </c>
      <c r="CC257" s="11">
        <f t="shared" si="180"/>
        <v>0</v>
      </c>
      <c r="CD257" s="11">
        <f t="shared" si="181"/>
        <v>0</v>
      </c>
      <c r="CE257" s="11">
        <f t="shared" si="182"/>
        <v>0</v>
      </c>
      <c r="CF257" s="11">
        <f t="shared" si="183"/>
        <v>0</v>
      </c>
      <c r="CG257" s="11"/>
      <c r="CH257" s="41">
        <v>3.23</v>
      </c>
      <c r="CJ257" s="54">
        <f t="shared" si="184"/>
        <v>0</v>
      </c>
      <c r="CK257" s="54">
        <f t="shared" si="185"/>
        <v>0</v>
      </c>
      <c r="CL257" s="54">
        <f t="shared" si="186"/>
        <v>0</v>
      </c>
      <c r="CM257" s="54">
        <f t="shared" si="187"/>
        <v>0</v>
      </c>
      <c r="CN257" s="54">
        <f t="shared" si="188"/>
        <v>0</v>
      </c>
      <c r="CO257" s="54">
        <f t="shared" si="189"/>
        <v>0</v>
      </c>
      <c r="CP257" s="54">
        <f t="shared" si="190"/>
        <v>0</v>
      </c>
      <c r="CQ257" s="54">
        <f t="shared" si="191"/>
        <v>0</v>
      </c>
      <c r="CR257" s="54">
        <f t="shared" si="192"/>
        <v>0</v>
      </c>
      <c r="CS257" s="54">
        <f t="shared" si="193"/>
        <v>0</v>
      </c>
      <c r="CT257" s="54">
        <f t="shared" si="194"/>
        <v>0</v>
      </c>
      <c r="CU257" s="54">
        <f t="shared" si="195"/>
        <v>0</v>
      </c>
      <c r="CV257" s="52">
        <f t="shared" si="196"/>
        <v>0</v>
      </c>
    </row>
    <row r="258" spans="1:100" ht="15.75" x14ac:dyDescent="0.25">
      <c r="A258" s="17"/>
      <c r="B258" s="17"/>
      <c r="C258" s="17"/>
      <c r="D258" s="17"/>
      <c r="E258" s="17"/>
      <c r="F258" s="18" t="s">
        <v>32</v>
      </c>
      <c r="G258" s="78"/>
      <c r="H258" s="78"/>
      <c r="I258" s="78"/>
      <c r="J258" s="78"/>
      <c r="K258" s="78"/>
      <c r="L258" s="78"/>
      <c r="M258" s="78"/>
      <c r="N258" s="78"/>
      <c r="O258" s="78"/>
      <c r="P258" s="78"/>
      <c r="Q258" s="78"/>
      <c r="R258" s="78"/>
      <c r="S258" s="11">
        <f t="shared" si="197"/>
        <v>0</v>
      </c>
      <c r="V258" s="46">
        <f t="shared" si="169"/>
        <v>0</v>
      </c>
      <c r="W258" s="36">
        <v>3.2559999999999998</v>
      </c>
      <c r="X258" s="36">
        <v>3.2559999999999998</v>
      </c>
      <c r="Y258" s="36">
        <v>3.2559999999999998</v>
      </c>
      <c r="Z258" s="36">
        <v>3.2559999999999998</v>
      </c>
      <c r="AA258" s="36">
        <v>3.2559999999999998</v>
      </c>
      <c r="AB258" s="36">
        <v>3.2559999999999998</v>
      </c>
      <c r="AC258" s="36">
        <v>3.2559999999999998</v>
      </c>
      <c r="AD258" s="36">
        <v>3.2559999999999998</v>
      </c>
      <c r="AE258" s="36">
        <v>3.2559999999999998</v>
      </c>
      <c r="AF258" s="36">
        <v>3.2559999999999998</v>
      </c>
      <c r="AG258" s="36">
        <v>3.2559999999999998</v>
      </c>
      <c r="AH258" s="36">
        <v>3.2559999999999998</v>
      </c>
      <c r="AI258" s="39">
        <v>1.33634708931066E-2</v>
      </c>
      <c r="AJ258" s="39">
        <v>1.33634708931066E-2</v>
      </c>
      <c r="AK258" s="39">
        <v>1.33634708931066E-2</v>
      </c>
      <c r="AL258" s="39">
        <v>1.33634708931066E-2</v>
      </c>
      <c r="AM258" s="39">
        <v>1.33634708931066E-2</v>
      </c>
      <c r="AN258" s="39">
        <v>1.33634708931066E-2</v>
      </c>
      <c r="AO258" s="39">
        <v>1.33634708931066E-2</v>
      </c>
      <c r="AP258" s="39">
        <v>1.33634708931066E-2</v>
      </c>
      <c r="AQ258" s="39">
        <v>1.33634708931066E-2</v>
      </c>
      <c r="AR258" s="39">
        <v>1.33634708931066E-2</v>
      </c>
      <c r="AS258" s="39">
        <v>1.33634708931066E-2</v>
      </c>
      <c r="AT258" s="39">
        <v>1.33634708931066E-2</v>
      </c>
      <c r="AU258" s="39">
        <v>1.2392217523121999E-3</v>
      </c>
      <c r="AV258" s="39">
        <v>1.2392217523121999E-3</v>
      </c>
      <c r="AW258" s="39">
        <v>1.2392217523121999E-3</v>
      </c>
      <c r="AX258" s="39">
        <v>1.2392217523121999E-3</v>
      </c>
      <c r="AY258" s="39">
        <v>1.2392217523121999E-3</v>
      </c>
      <c r="AZ258" s="39">
        <v>1.2392217523121999E-3</v>
      </c>
      <c r="BA258" s="39">
        <v>1.2392217523121999E-3</v>
      </c>
      <c r="BB258" s="39">
        <v>1.2392217523121999E-3</v>
      </c>
      <c r="BC258" s="39">
        <v>1.2392217523121999E-3</v>
      </c>
      <c r="BD258" s="39">
        <v>1.2392217523121999E-3</v>
      </c>
      <c r="BE258" s="39">
        <v>1.2392217523121999E-3</v>
      </c>
      <c r="BF258" s="39">
        <v>1.2392217523121999E-3</v>
      </c>
      <c r="BH258" s="12">
        <f t="shared" si="159"/>
        <v>0</v>
      </c>
      <c r="BI258" s="12">
        <f t="shared" si="160"/>
        <v>0</v>
      </c>
      <c r="BJ258" s="12">
        <f t="shared" si="161"/>
        <v>0</v>
      </c>
      <c r="BK258" s="12">
        <f t="shared" si="162"/>
        <v>0</v>
      </c>
      <c r="BL258" s="12">
        <f t="shared" si="163"/>
        <v>0</v>
      </c>
      <c r="BM258" s="12">
        <f t="shared" si="164"/>
        <v>0</v>
      </c>
      <c r="BN258" s="12">
        <f t="shared" si="165"/>
        <v>0</v>
      </c>
      <c r="BO258" s="12">
        <f t="shared" si="166"/>
        <v>0</v>
      </c>
      <c r="BP258" s="12">
        <f t="shared" si="167"/>
        <v>0</v>
      </c>
      <c r="BQ258" s="12">
        <f t="shared" si="168"/>
        <v>0</v>
      </c>
      <c r="BR258" s="12">
        <f t="shared" si="170"/>
        <v>0</v>
      </c>
      <c r="BS258" s="12">
        <f t="shared" si="171"/>
        <v>0</v>
      </c>
      <c r="BU258" s="11">
        <f t="shared" si="172"/>
        <v>0</v>
      </c>
      <c r="BV258" s="11">
        <f t="shared" si="173"/>
        <v>0</v>
      </c>
      <c r="BW258" s="11">
        <f t="shared" si="174"/>
        <v>0</v>
      </c>
      <c r="BX258" s="11">
        <f t="shared" si="175"/>
        <v>0</v>
      </c>
      <c r="BY258" s="11">
        <f t="shared" si="176"/>
        <v>0</v>
      </c>
      <c r="BZ258" s="11">
        <f t="shared" si="177"/>
        <v>0</v>
      </c>
      <c r="CA258" s="11">
        <f t="shared" si="178"/>
        <v>0</v>
      </c>
      <c r="CB258" s="11">
        <f t="shared" si="179"/>
        <v>0</v>
      </c>
      <c r="CC258" s="11">
        <f t="shared" si="180"/>
        <v>0</v>
      </c>
      <c r="CD258" s="11">
        <f t="shared" si="181"/>
        <v>0</v>
      </c>
      <c r="CE258" s="11">
        <f t="shared" si="182"/>
        <v>0</v>
      </c>
      <c r="CF258" s="11">
        <f t="shared" si="183"/>
        <v>0</v>
      </c>
      <c r="CG258" s="11"/>
      <c r="CH258" s="41">
        <v>3.23</v>
      </c>
      <c r="CJ258" s="54">
        <f t="shared" si="184"/>
        <v>0</v>
      </c>
      <c r="CK258" s="54">
        <f t="shared" si="185"/>
        <v>0</v>
      </c>
      <c r="CL258" s="54">
        <f t="shared" si="186"/>
        <v>0</v>
      </c>
      <c r="CM258" s="54">
        <f t="shared" si="187"/>
        <v>0</v>
      </c>
      <c r="CN258" s="54">
        <f t="shared" si="188"/>
        <v>0</v>
      </c>
      <c r="CO258" s="54">
        <f t="shared" si="189"/>
        <v>0</v>
      </c>
      <c r="CP258" s="54">
        <f t="shared" si="190"/>
        <v>0</v>
      </c>
      <c r="CQ258" s="54">
        <f t="shared" si="191"/>
        <v>0</v>
      </c>
      <c r="CR258" s="54">
        <f t="shared" si="192"/>
        <v>0</v>
      </c>
      <c r="CS258" s="54">
        <f t="shared" si="193"/>
        <v>0</v>
      </c>
      <c r="CT258" s="54">
        <f t="shared" si="194"/>
        <v>0</v>
      </c>
      <c r="CU258" s="54">
        <f t="shared" si="195"/>
        <v>0</v>
      </c>
      <c r="CV258" s="52">
        <f t="shared" si="196"/>
        <v>0</v>
      </c>
    </row>
    <row r="259" spans="1:100" ht="15.75" x14ac:dyDescent="0.25">
      <c r="A259" s="17"/>
      <c r="B259" s="17"/>
      <c r="C259" s="17"/>
      <c r="D259" s="17"/>
      <c r="E259" s="17"/>
      <c r="F259" s="18" t="s">
        <v>32</v>
      </c>
      <c r="G259" s="78"/>
      <c r="H259" s="78"/>
      <c r="I259" s="78"/>
      <c r="J259" s="78"/>
      <c r="K259" s="78"/>
      <c r="L259" s="78"/>
      <c r="M259" s="78"/>
      <c r="N259" s="78"/>
      <c r="O259" s="78"/>
      <c r="P259" s="78"/>
      <c r="Q259" s="78"/>
      <c r="R259" s="78"/>
      <c r="S259" s="11">
        <f t="shared" si="197"/>
        <v>0</v>
      </c>
      <c r="V259" s="46">
        <f t="shared" si="169"/>
        <v>0</v>
      </c>
      <c r="W259" s="36">
        <v>1.4350000000000001</v>
      </c>
      <c r="X259" s="36">
        <v>1.4350000000000001</v>
      </c>
      <c r="Y259" s="36">
        <v>1.4350000000000001</v>
      </c>
      <c r="Z259" s="36">
        <v>1.4350000000000001</v>
      </c>
      <c r="AA259" s="36">
        <v>1.4350000000000001</v>
      </c>
      <c r="AB259" s="36">
        <v>1.4350000000000001</v>
      </c>
      <c r="AC259" s="36">
        <v>1.4350000000000001</v>
      </c>
      <c r="AD259" s="36">
        <v>1.4350000000000001</v>
      </c>
      <c r="AE259" s="36">
        <v>1.4350000000000001</v>
      </c>
      <c r="AF259" s="36">
        <v>1.4350000000000001</v>
      </c>
      <c r="AG259" s="36">
        <v>1.4350000000000001</v>
      </c>
      <c r="AH259" s="36">
        <v>1.4350000000000001</v>
      </c>
      <c r="AI259" s="39">
        <v>1.33634708931066E-2</v>
      </c>
      <c r="AJ259" s="39">
        <v>1.33634708931066E-2</v>
      </c>
      <c r="AK259" s="39">
        <v>1.33634708931066E-2</v>
      </c>
      <c r="AL259" s="39">
        <v>1.33634708931066E-2</v>
      </c>
      <c r="AM259" s="39">
        <v>1.33634708931066E-2</v>
      </c>
      <c r="AN259" s="39">
        <v>1.33634708931066E-2</v>
      </c>
      <c r="AO259" s="39">
        <v>1.33634708931066E-2</v>
      </c>
      <c r="AP259" s="39">
        <v>1.33634708931066E-2</v>
      </c>
      <c r="AQ259" s="39">
        <v>1.33634708931066E-2</v>
      </c>
      <c r="AR259" s="39">
        <v>1.33634708931066E-2</v>
      </c>
      <c r="AS259" s="39">
        <v>1.33634708931066E-2</v>
      </c>
      <c r="AT259" s="39">
        <v>1.33634708931066E-2</v>
      </c>
      <c r="AU259" s="39">
        <v>1.2392217523121999E-3</v>
      </c>
      <c r="AV259" s="39">
        <v>1.2392217523121999E-3</v>
      </c>
      <c r="AW259" s="39">
        <v>1.2392217523121999E-3</v>
      </c>
      <c r="AX259" s="39">
        <v>1.2392217523121999E-3</v>
      </c>
      <c r="AY259" s="39">
        <v>1.2392217523121999E-3</v>
      </c>
      <c r="AZ259" s="39">
        <v>1.2392217523121999E-3</v>
      </c>
      <c r="BA259" s="39">
        <v>1.2392217523121999E-3</v>
      </c>
      <c r="BB259" s="39">
        <v>1.2392217523121999E-3</v>
      </c>
      <c r="BC259" s="39">
        <v>1.2392217523121999E-3</v>
      </c>
      <c r="BD259" s="39">
        <v>1.2392217523121999E-3</v>
      </c>
      <c r="BE259" s="39">
        <v>1.2392217523121999E-3</v>
      </c>
      <c r="BF259" s="39">
        <v>1.2392217523121999E-3</v>
      </c>
      <c r="BH259" s="12">
        <f t="shared" si="159"/>
        <v>0</v>
      </c>
      <c r="BI259" s="12">
        <f t="shared" si="160"/>
        <v>0</v>
      </c>
      <c r="BJ259" s="12">
        <f t="shared" si="161"/>
        <v>0</v>
      </c>
      <c r="BK259" s="12">
        <f t="shared" si="162"/>
        <v>0</v>
      </c>
      <c r="BL259" s="12">
        <f t="shared" si="163"/>
        <v>0</v>
      </c>
      <c r="BM259" s="12">
        <f t="shared" si="164"/>
        <v>0</v>
      </c>
      <c r="BN259" s="12">
        <f t="shared" si="165"/>
        <v>0</v>
      </c>
      <c r="BO259" s="12">
        <f t="shared" si="166"/>
        <v>0</v>
      </c>
      <c r="BP259" s="12">
        <f t="shared" si="167"/>
        <v>0</v>
      </c>
      <c r="BQ259" s="12">
        <f t="shared" si="168"/>
        <v>0</v>
      </c>
      <c r="BR259" s="12">
        <f t="shared" si="170"/>
        <v>0</v>
      </c>
      <c r="BS259" s="12">
        <f t="shared" si="171"/>
        <v>0</v>
      </c>
      <c r="BU259" s="11">
        <f t="shared" si="172"/>
        <v>0</v>
      </c>
      <c r="BV259" s="11">
        <f t="shared" si="173"/>
        <v>0</v>
      </c>
      <c r="BW259" s="11">
        <f t="shared" si="174"/>
        <v>0</v>
      </c>
      <c r="BX259" s="11">
        <f t="shared" si="175"/>
        <v>0</v>
      </c>
      <c r="BY259" s="11">
        <f t="shared" si="176"/>
        <v>0</v>
      </c>
      <c r="BZ259" s="11">
        <f t="shared" si="177"/>
        <v>0</v>
      </c>
      <c r="CA259" s="11">
        <f t="shared" si="178"/>
        <v>0</v>
      </c>
      <c r="CB259" s="11">
        <f t="shared" si="179"/>
        <v>0</v>
      </c>
      <c r="CC259" s="11">
        <f t="shared" si="180"/>
        <v>0</v>
      </c>
      <c r="CD259" s="11">
        <f t="shared" si="181"/>
        <v>0</v>
      </c>
      <c r="CE259" s="11">
        <f t="shared" si="182"/>
        <v>0</v>
      </c>
      <c r="CF259" s="11">
        <f t="shared" si="183"/>
        <v>0</v>
      </c>
      <c r="CG259" s="11"/>
      <c r="CH259" s="41">
        <v>3.23</v>
      </c>
      <c r="CJ259" s="54">
        <f t="shared" si="184"/>
        <v>0</v>
      </c>
      <c r="CK259" s="54">
        <f t="shared" si="185"/>
        <v>0</v>
      </c>
      <c r="CL259" s="54">
        <f t="shared" si="186"/>
        <v>0</v>
      </c>
      <c r="CM259" s="54">
        <f t="shared" si="187"/>
        <v>0</v>
      </c>
      <c r="CN259" s="54">
        <f t="shared" si="188"/>
        <v>0</v>
      </c>
      <c r="CO259" s="54">
        <f t="shared" si="189"/>
        <v>0</v>
      </c>
      <c r="CP259" s="54">
        <f t="shared" si="190"/>
        <v>0</v>
      </c>
      <c r="CQ259" s="54">
        <f t="shared" si="191"/>
        <v>0</v>
      </c>
      <c r="CR259" s="54">
        <f t="shared" si="192"/>
        <v>0</v>
      </c>
      <c r="CS259" s="54">
        <f t="shared" si="193"/>
        <v>0</v>
      </c>
      <c r="CT259" s="54">
        <f t="shared" si="194"/>
        <v>0</v>
      </c>
      <c r="CU259" s="54">
        <f t="shared" si="195"/>
        <v>0</v>
      </c>
      <c r="CV259" s="52">
        <f t="shared" si="196"/>
        <v>0</v>
      </c>
    </row>
    <row r="260" spans="1:100" ht="15.75" x14ac:dyDescent="0.25">
      <c r="A260" s="17"/>
      <c r="B260" s="17"/>
      <c r="C260" s="17"/>
      <c r="D260" s="17"/>
      <c r="E260" s="17"/>
      <c r="F260" s="18" t="s">
        <v>32</v>
      </c>
      <c r="G260" s="78"/>
      <c r="H260" s="78"/>
      <c r="I260" s="78"/>
      <c r="J260" s="78"/>
      <c r="K260" s="78"/>
      <c r="L260" s="78"/>
      <c r="M260" s="78"/>
      <c r="N260" s="78"/>
      <c r="O260" s="78"/>
      <c r="P260" s="78"/>
      <c r="Q260" s="78"/>
      <c r="R260" s="78"/>
      <c r="S260" s="11">
        <f t="shared" si="197"/>
        <v>0</v>
      </c>
      <c r="V260" s="46">
        <f t="shared" si="169"/>
        <v>0</v>
      </c>
      <c r="W260" s="36">
        <v>2.956</v>
      </c>
      <c r="X260" s="36">
        <v>2.956</v>
      </c>
      <c r="Y260" s="36">
        <v>2.956</v>
      </c>
      <c r="Z260" s="36">
        <v>2.956</v>
      </c>
      <c r="AA260" s="36">
        <v>2.956</v>
      </c>
      <c r="AB260" s="36">
        <v>2.956</v>
      </c>
      <c r="AC260" s="36">
        <v>2.956</v>
      </c>
      <c r="AD260" s="36">
        <v>2.956</v>
      </c>
      <c r="AE260" s="36">
        <v>2.956</v>
      </c>
      <c r="AF260" s="36">
        <v>2.956</v>
      </c>
      <c r="AG260" s="36">
        <v>2.956</v>
      </c>
      <c r="AH260" s="36">
        <v>2.956</v>
      </c>
      <c r="AI260" s="39">
        <v>1.33634708931066E-2</v>
      </c>
      <c r="AJ260" s="39">
        <v>1.33634708931066E-2</v>
      </c>
      <c r="AK260" s="39">
        <v>1.33634708931066E-2</v>
      </c>
      <c r="AL260" s="39">
        <v>1.33634708931066E-2</v>
      </c>
      <c r="AM260" s="39">
        <v>1.33634708931066E-2</v>
      </c>
      <c r="AN260" s="39">
        <v>1.33634708931066E-2</v>
      </c>
      <c r="AO260" s="39">
        <v>1.33634708931066E-2</v>
      </c>
      <c r="AP260" s="39">
        <v>1.33634708931066E-2</v>
      </c>
      <c r="AQ260" s="39">
        <v>1.33634708931066E-2</v>
      </c>
      <c r="AR260" s="39">
        <v>1.33634708931066E-2</v>
      </c>
      <c r="AS260" s="39">
        <v>1.33634708931066E-2</v>
      </c>
      <c r="AT260" s="39">
        <v>1.33634708931066E-2</v>
      </c>
      <c r="AU260" s="39">
        <v>1.2392217523121999E-3</v>
      </c>
      <c r="AV260" s="39">
        <v>1.2392217523121999E-3</v>
      </c>
      <c r="AW260" s="39">
        <v>1.2392217523121999E-3</v>
      </c>
      <c r="AX260" s="39">
        <v>1.2392217523121999E-3</v>
      </c>
      <c r="AY260" s="39">
        <v>1.2392217523121999E-3</v>
      </c>
      <c r="AZ260" s="39">
        <v>1.2392217523121999E-3</v>
      </c>
      <c r="BA260" s="39">
        <v>1.2392217523121999E-3</v>
      </c>
      <c r="BB260" s="39">
        <v>1.2392217523121999E-3</v>
      </c>
      <c r="BC260" s="39">
        <v>1.2392217523121999E-3</v>
      </c>
      <c r="BD260" s="39">
        <v>1.2392217523121999E-3</v>
      </c>
      <c r="BE260" s="39">
        <v>1.2392217523121999E-3</v>
      </c>
      <c r="BF260" s="39">
        <v>1.2392217523121999E-3</v>
      </c>
      <c r="BH260" s="12">
        <f t="shared" si="159"/>
        <v>0</v>
      </c>
      <c r="BI260" s="12">
        <f t="shared" si="160"/>
        <v>0</v>
      </c>
      <c r="BJ260" s="12">
        <f t="shared" si="161"/>
        <v>0</v>
      </c>
      <c r="BK260" s="12">
        <f t="shared" si="162"/>
        <v>0</v>
      </c>
      <c r="BL260" s="12">
        <f t="shared" si="163"/>
        <v>0</v>
      </c>
      <c r="BM260" s="12">
        <f t="shared" si="164"/>
        <v>0</v>
      </c>
      <c r="BN260" s="12">
        <f t="shared" si="165"/>
        <v>0</v>
      </c>
      <c r="BO260" s="12">
        <f t="shared" si="166"/>
        <v>0</v>
      </c>
      <c r="BP260" s="12">
        <f t="shared" si="167"/>
        <v>0</v>
      </c>
      <c r="BQ260" s="12">
        <f t="shared" si="168"/>
        <v>0</v>
      </c>
      <c r="BR260" s="12">
        <f t="shared" si="170"/>
        <v>0</v>
      </c>
      <c r="BS260" s="12">
        <f t="shared" si="171"/>
        <v>0</v>
      </c>
      <c r="BU260" s="11">
        <f t="shared" si="172"/>
        <v>0</v>
      </c>
      <c r="BV260" s="11">
        <f t="shared" si="173"/>
        <v>0</v>
      </c>
      <c r="BW260" s="11">
        <f t="shared" si="174"/>
        <v>0</v>
      </c>
      <c r="BX260" s="11">
        <f t="shared" si="175"/>
        <v>0</v>
      </c>
      <c r="BY260" s="11">
        <f t="shared" si="176"/>
        <v>0</v>
      </c>
      <c r="BZ260" s="11">
        <f t="shared" si="177"/>
        <v>0</v>
      </c>
      <c r="CA260" s="11">
        <f t="shared" si="178"/>
        <v>0</v>
      </c>
      <c r="CB260" s="11">
        <f t="shared" si="179"/>
        <v>0</v>
      </c>
      <c r="CC260" s="11">
        <f t="shared" si="180"/>
        <v>0</v>
      </c>
      <c r="CD260" s="11">
        <f t="shared" si="181"/>
        <v>0</v>
      </c>
      <c r="CE260" s="11">
        <f t="shared" si="182"/>
        <v>0</v>
      </c>
      <c r="CF260" s="11">
        <f t="shared" si="183"/>
        <v>0</v>
      </c>
      <c r="CG260" s="11"/>
      <c r="CH260" s="41">
        <v>3.23</v>
      </c>
      <c r="CJ260" s="54">
        <f t="shared" si="184"/>
        <v>0</v>
      </c>
      <c r="CK260" s="54">
        <f t="shared" si="185"/>
        <v>0</v>
      </c>
      <c r="CL260" s="54">
        <f t="shared" si="186"/>
        <v>0</v>
      </c>
      <c r="CM260" s="54">
        <f t="shared" si="187"/>
        <v>0</v>
      </c>
      <c r="CN260" s="54">
        <f t="shared" si="188"/>
        <v>0</v>
      </c>
      <c r="CO260" s="54">
        <f t="shared" si="189"/>
        <v>0</v>
      </c>
      <c r="CP260" s="54">
        <f t="shared" si="190"/>
        <v>0</v>
      </c>
      <c r="CQ260" s="54">
        <f t="shared" si="191"/>
        <v>0</v>
      </c>
      <c r="CR260" s="54">
        <f t="shared" si="192"/>
        <v>0</v>
      </c>
      <c r="CS260" s="54">
        <f t="shared" si="193"/>
        <v>0</v>
      </c>
      <c r="CT260" s="54">
        <f t="shared" si="194"/>
        <v>0</v>
      </c>
      <c r="CU260" s="54">
        <f t="shared" si="195"/>
        <v>0</v>
      </c>
      <c r="CV260" s="52">
        <f t="shared" si="196"/>
        <v>0</v>
      </c>
    </row>
    <row r="261" spans="1:100" ht="15.75" x14ac:dyDescent="0.25">
      <c r="A261" s="17"/>
      <c r="B261" s="17"/>
      <c r="C261" s="17"/>
      <c r="D261" s="17"/>
      <c r="E261" s="17"/>
      <c r="F261" s="18" t="s">
        <v>32</v>
      </c>
      <c r="G261" s="78"/>
      <c r="H261" s="78"/>
      <c r="I261" s="78"/>
      <c r="J261" s="78"/>
      <c r="K261" s="78"/>
      <c r="L261" s="78"/>
      <c r="M261" s="78"/>
      <c r="N261" s="78"/>
      <c r="O261" s="78"/>
      <c r="P261" s="78"/>
      <c r="Q261" s="78"/>
      <c r="R261" s="78"/>
      <c r="S261" s="11">
        <f t="shared" si="197"/>
        <v>0</v>
      </c>
      <c r="V261" s="46">
        <f t="shared" si="169"/>
        <v>0</v>
      </c>
      <c r="W261" s="36">
        <v>3.476</v>
      </c>
      <c r="X261" s="36">
        <v>3.476</v>
      </c>
      <c r="Y261" s="36">
        <v>3.476</v>
      </c>
      <c r="Z261" s="36">
        <v>3.476</v>
      </c>
      <c r="AA261" s="36">
        <v>3.476</v>
      </c>
      <c r="AB261" s="36">
        <v>3.476</v>
      </c>
      <c r="AC261" s="36">
        <v>3.476</v>
      </c>
      <c r="AD261" s="36">
        <v>3.476</v>
      </c>
      <c r="AE261" s="36">
        <v>3.476</v>
      </c>
      <c r="AF261" s="36">
        <v>3.476</v>
      </c>
      <c r="AG261" s="36">
        <v>3.476</v>
      </c>
      <c r="AH261" s="36">
        <v>3.476</v>
      </c>
      <c r="AI261" s="39">
        <v>1.33634708931066E-2</v>
      </c>
      <c r="AJ261" s="39">
        <v>1.33634708931066E-2</v>
      </c>
      <c r="AK261" s="39">
        <v>1.33634708931066E-2</v>
      </c>
      <c r="AL261" s="39">
        <v>1.33634708931066E-2</v>
      </c>
      <c r="AM261" s="39">
        <v>1.33634708931066E-2</v>
      </c>
      <c r="AN261" s="39">
        <v>1.33634708931066E-2</v>
      </c>
      <c r="AO261" s="39">
        <v>1.33634708931066E-2</v>
      </c>
      <c r="AP261" s="39">
        <v>1.33634708931066E-2</v>
      </c>
      <c r="AQ261" s="39">
        <v>1.33634708931066E-2</v>
      </c>
      <c r="AR261" s="39">
        <v>1.33634708931066E-2</v>
      </c>
      <c r="AS261" s="39">
        <v>1.33634708931066E-2</v>
      </c>
      <c r="AT261" s="39">
        <v>1.33634708931066E-2</v>
      </c>
      <c r="AU261" s="39">
        <v>1.2392217523121999E-3</v>
      </c>
      <c r="AV261" s="39">
        <v>1.2392217523121999E-3</v>
      </c>
      <c r="AW261" s="39">
        <v>1.2392217523121999E-3</v>
      </c>
      <c r="AX261" s="39">
        <v>1.2392217523121999E-3</v>
      </c>
      <c r="AY261" s="39">
        <v>1.2392217523121999E-3</v>
      </c>
      <c r="AZ261" s="39">
        <v>1.2392217523121999E-3</v>
      </c>
      <c r="BA261" s="39">
        <v>1.2392217523121999E-3</v>
      </c>
      <c r="BB261" s="39">
        <v>1.2392217523121999E-3</v>
      </c>
      <c r="BC261" s="39">
        <v>1.2392217523121999E-3</v>
      </c>
      <c r="BD261" s="39">
        <v>1.2392217523121999E-3</v>
      </c>
      <c r="BE261" s="39">
        <v>1.2392217523121999E-3</v>
      </c>
      <c r="BF261" s="39">
        <v>1.2392217523121999E-3</v>
      </c>
      <c r="BH261" s="12">
        <f t="shared" si="159"/>
        <v>0</v>
      </c>
      <c r="BI261" s="12">
        <f t="shared" si="160"/>
        <v>0</v>
      </c>
      <c r="BJ261" s="12">
        <f t="shared" si="161"/>
        <v>0</v>
      </c>
      <c r="BK261" s="12">
        <f t="shared" si="162"/>
        <v>0</v>
      </c>
      <c r="BL261" s="12">
        <f t="shared" si="163"/>
        <v>0</v>
      </c>
      <c r="BM261" s="12">
        <f t="shared" si="164"/>
        <v>0</v>
      </c>
      <c r="BN261" s="12">
        <f t="shared" si="165"/>
        <v>0</v>
      </c>
      <c r="BO261" s="12">
        <f t="shared" si="166"/>
        <v>0</v>
      </c>
      <c r="BP261" s="12">
        <f t="shared" si="167"/>
        <v>0</v>
      </c>
      <c r="BQ261" s="12">
        <f t="shared" si="168"/>
        <v>0</v>
      </c>
      <c r="BR261" s="12">
        <f t="shared" si="170"/>
        <v>0</v>
      </c>
      <c r="BS261" s="12">
        <f t="shared" si="171"/>
        <v>0</v>
      </c>
      <c r="BU261" s="11">
        <f t="shared" si="172"/>
        <v>0</v>
      </c>
      <c r="BV261" s="11">
        <f t="shared" si="173"/>
        <v>0</v>
      </c>
      <c r="BW261" s="11">
        <f t="shared" si="174"/>
        <v>0</v>
      </c>
      <c r="BX261" s="11">
        <f t="shared" si="175"/>
        <v>0</v>
      </c>
      <c r="BY261" s="11">
        <f t="shared" si="176"/>
        <v>0</v>
      </c>
      <c r="BZ261" s="11">
        <f t="shared" si="177"/>
        <v>0</v>
      </c>
      <c r="CA261" s="11">
        <f t="shared" si="178"/>
        <v>0</v>
      </c>
      <c r="CB261" s="11">
        <f t="shared" si="179"/>
        <v>0</v>
      </c>
      <c r="CC261" s="11">
        <f t="shared" si="180"/>
        <v>0</v>
      </c>
      <c r="CD261" s="11">
        <f t="shared" si="181"/>
        <v>0</v>
      </c>
      <c r="CE261" s="11">
        <f t="shared" si="182"/>
        <v>0</v>
      </c>
      <c r="CF261" s="11">
        <f t="shared" si="183"/>
        <v>0</v>
      </c>
      <c r="CG261" s="11"/>
      <c r="CH261" s="41">
        <v>3.23</v>
      </c>
      <c r="CJ261" s="54">
        <f t="shared" si="184"/>
        <v>0</v>
      </c>
      <c r="CK261" s="54">
        <f t="shared" si="185"/>
        <v>0</v>
      </c>
      <c r="CL261" s="54">
        <f t="shared" si="186"/>
        <v>0</v>
      </c>
      <c r="CM261" s="54">
        <f t="shared" si="187"/>
        <v>0</v>
      </c>
      <c r="CN261" s="54">
        <f t="shared" si="188"/>
        <v>0</v>
      </c>
      <c r="CO261" s="54">
        <f t="shared" si="189"/>
        <v>0</v>
      </c>
      <c r="CP261" s="54">
        <f t="shared" si="190"/>
        <v>0</v>
      </c>
      <c r="CQ261" s="54">
        <f t="shared" si="191"/>
        <v>0</v>
      </c>
      <c r="CR261" s="54">
        <f t="shared" si="192"/>
        <v>0</v>
      </c>
      <c r="CS261" s="54">
        <f t="shared" si="193"/>
        <v>0</v>
      </c>
      <c r="CT261" s="54">
        <f t="shared" si="194"/>
        <v>0</v>
      </c>
      <c r="CU261" s="54">
        <f t="shared" si="195"/>
        <v>0</v>
      </c>
      <c r="CV261" s="52">
        <f t="shared" si="196"/>
        <v>0</v>
      </c>
    </row>
    <row r="262" spans="1:100" ht="15.75" x14ac:dyDescent="0.25">
      <c r="A262" s="17"/>
      <c r="B262" s="17"/>
      <c r="C262" s="17"/>
      <c r="D262" s="17"/>
      <c r="E262" s="17"/>
      <c r="F262" s="18" t="s">
        <v>32</v>
      </c>
      <c r="G262" s="78"/>
      <c r="H262" s="81"/>
      <c r="I262" s="81"/>
      <c r="J262" s="81"/>
      <c r="K262" s="81"/>
      <c r="L262" s="81"/>
      <c r="M262" s="81"/>
      <c r="N262" s="81"/>
      <c r="O262" s="81"/>
      <c r="P262" s="81"/>
      <c r="Q262" s="81"/>
      <c r="R262" s="81"/>
      <c r="S262" s="11">
        <f t="shared" si="197"/>
        <v>0</v>
      </c>
      <c r="V262" s="46">
        <f t="shared" si="169"/>
        <v>0</v>
      </c>
      <c r="W262" s="36">
        <v>3.915</v>
      </c>
      <c r="X262" s="36">
        <v>3.915</v>
      </c>
      <c r="Y262" s="36">
        <v>3.915</v>
      </c>
      <c r="Z262" s="36">
        <v>3.915</v>
      </c>
      <c r="AA262" s="36">
        <v>3.915</v>
      </c>
      <c r="AB262" s="36">
        <v>3.915</v>
      </c>
      <c r="AC262" s="36">
        <v>3.915</v>
      </c>
      <c r="AD262" s="36">
        <v>3.915</v>
      </c>
      <c r="AE262" s="36">
        <v>3.915</v>
      </c>
      <c r="AF262" s="36">
        <v>3.915</v>
      </c>
      <c r="AG262" s="36">
        <v>3.915</v>
      </c>
      <c r="AH262" s="36">
        <v>3.915</v>
      </c>
      <c r="AI262" s="39">
        <v>1.33634708931066E-2</v>
      </c>
      <c r="AJ262" s="39">
        <v>1.33634708931066E-2</v>
      </c>
      <c r="AK262" s="39">
        <v>1.33634708931066E-2</v>
      </c>
      <c r="AL262" s="39">
        <v>1.33634708931066E-2</v>
      </c>
      <c r="AM262" s="39">
        <v>1.33634708931066E-2</v>
      </c>
      <c r="AN262" s="39">
        <v>1.33634708931066E-2</v>
      </c>
      <c r="AO262" s="39">
        <v>1.33634708931066E-2</v>
      </c>
      <c r="AP262" s="39">
        <v>1.33634708931066E-2</v>
      </c>
      <c r="AQ262" s="39">
        <v>1.33634708931066E-2</v>
      </c>
      <c r="AR262" s="39">
        <v>1.33634708931066E-2</v>
      </c>
      <c r="AS262" s="39">
        <v>1.33634708931066E-2</v>
      </c>
      <c r="AT262" s="39">
        <v>1.33634708931066E-2</v>
      </c>
      <c r="AU262" s="39">
        <v>1.2392217523121999E-3</v>
      </c>
      <c r="AV262" s="39">
        <v>1.2392217523121999E-3</v>
      </c>
      <c r="AW262" s="39">
        <v>1.2392217523121999E-3</v>
      </c>
      <c r="AX262" s="39">
        <v>1.2392217523121999E-3</v>
      </c>
      <c r="AY262" s="39">
        <v>1.2392217523121999E-3</v>
      </c>
      <c r="AZ262" s="39">
        <v>1.2392217523121999E-3</v>
      </c>
      <c r="BA262" s="39">
        <v>1.2392217523121999E-3</v>
      </c>
      <c r="BB262" s="39">
        <v>1.2392217523121999E-3</v>
      </c>
      <c r="BC262" s="39">
        <v>1.2392217523121999E-3</v>
      </c>
      <c r="BD262" s="39">
        <v>1.2392217523121999E-3</v>
      </c>
      <c r="BE262" s="39">
        <v>1.2392217523121999E-3</v>
      </c>
      <c r="BF262" s="39">
        <v>1.2392217523121999E-3</v>
      </c>
      <c r="BH262" s="12">
        <f t="shared" si="159"/>
        <v>0</v>
      </c>
      <c r="BI262" s="12">
        <f t="shared" si="160"/>
        <v>0</v>
      </c>
      <c r="BJ262" s="12">
        <f t="shared" si="161"/>
        <v>0</v>
      </c>
      <c r="BK262" s="12">
        <f t="shared" si="162"/>
        <v>0</v>
      </c>
      <c r="BL262" s="12">
        <f t="shared" si="163"/>
        <v>0</v>
      </c>
      <c r="BM262" s="12">
        <f t="shared" si="164"/>
        <v>0</v>
      </c>
      <c r="BN262" s="12">
        <f t="shared" si="165"/>
        <v>0</v>
      </c>
      <c r="BO262" s="12">
        <f t="shared" si="166"/>
        <v>0</v>
      </c>
      <c r="BP262" s="12">
        <f t="shared" si="167"/>
        <v>0</v>
      </c>
      <c r="BQ262" s="12">
        <f t="shared" si="168"/>
        <v>0</v>
      </c>
      <c r="BR262" s="12">
        <f t="shared" si="170"/>
        <v>0</v>
      </c>
      <c r="BS262" s="12">
        <f t="shared" si="171"/>
        <v>0</v>
      </c>
      <c r="BU262" s="11">
        <f t="shared" si="172"/>
        <v>0</v>
      </c>
      <c r="BV262" s="11">
        <f t="shared" si="173"/>
        <v>0</v>
      </c>
      <c r="BW262" s="11">
        <f t="shared" si="174"/>
        <v>0</v>
      </c>
      <c r="BX262" s="11">
        <f t="shared" si="175"/>
        <v>0</v>
      </c>
      <c r="BY262" s="11">
        <f t="shared" si="176"/>
        <v>0</v>
      </c>
      <c r="BZ262" s="11">
        <f t="shared" si="177"/>
        <v>0</v>
      </c>
      <c r="CA262" s="11">
        <f t="shared" si="178"/>
        <v>0</v>
      </c>
      <c r="CB262" s="11">
        <f t="shared" si="179"/>
        <v>0</v>
      </c>
      <c r="CC262" s="11">
        <f t="shared" si="180"/>
        <v>0</v>
      </c>
      <c r="CD262" s="11">
        <f t="shared" si="181"/>
        <v>0</v>
      </c>
      <c r="CE262" s="11">
        <f t="shared" si="182"/>
        <v>0</v>
      </c>
      <c r="CF262" s="11">
        <f t="shared" si="183"/>
        <v>0</v>
      </c>
      <c r="CG262" s="11"/>
      <c r="CH262" s="41">
        <v>3.23</v>
      </c>
      <c r="CJ262" s="54">
        <f t="shared" si="184"/>
        <v>0</v>
      </c>
      <c r="CK262" s="54">
        <f t="shared" si="185"/>
        <v>0</v>
      </c>
      <c r="CL262" s="54">
        <f t="shared" si="186"/>
        <v>0</v>
      </c>
      <c r="CM262" s="54">
        <f t="shared" si="187"/>
        <v>0</v>
      </c>
      <c r="CN262" s="54">
        <f t="shared" si="188"/>
        <v>0</v>
      </c>
      <c r="CO262" s="54">
        <f t="shared" si="189"/>
        <v>0</v>
      </c>
      <c r="CP262" s="54">
        <f t="shared" si="190"/>
        <v>0</v>
      </c>
      <c r="CQ262" s="54">
        <f t="shared" si="191"/>
        <v>0</v>
      </c>
      <c r="CR262" s="54">
        <f t="shared" si="192"/>
        <v>0</v>
      </c>
      <c r="CS262" s="54">
        <f t="shared" si="193"/>
        <v>0</v>
      </c>
      <c r="CT262" s="54">
        <f t="shared" si="194"/>
        <v>0</v>
      </c>
      <c r="CU262" s="54">
        <f t="shared" si="195"/>
        <v>0</v>
      </c>
      <c r="CV262" s="52">
        <f t="shared" si="196"/>
        <v>0</v>
      </c>
    </row>
    <row r="263" spans="1:100" ht="15.75" x14ac:dyDescent="0.25">
      <c r="A263" s="17"/>
      <c r="B263" s="17"/>
      <c r="C263" s="17"/>
      <c r="D263" s="17"/>
      <c r="E263" s="17"/>
      <c r="F263" s="18" t="s">
        <v>32</v>
      </c>
      <c r="G263" s="78"/>
      <c r="H263" s="82"/>
      <c r="I263" s="82"/>
      <c r="J263" s="82"/>
      <c r="K263" s="82"/>
      <c r="L263" s="82"/>
      <c r="M263" s="82"/>
      <c r="N263" s="82"/>
      <c r="O263" s="82"/>
      <c r="P263" s="82"/>
      <c r="Q263" s="82"/>
      <c r="R263" s="82"/>
      <c r="S263" s="11">
        <f t="shared" si="197"/>
        <v>0</v>
      </c>
      <c r="V263" s="46">
        <f t="shared" si="169"/>
        <v>0</v>
      </c>
      <c r="W263" s="36">
        <v>9.06</v>
      </c>
      <c r="X263" s="36">
        <v>9.06</v>
      </c>
      <c r="Y263" s="36">
        <v>9.06</v>
      </c>
      <c r="Z263" s="36">
        <v>9.06</v>
      </c>
      <c r="AA263" s="36">
        <v>9.06</v>
      </c>
      <c r="AB263" s="36">
        <v>9.06</v>
      </c>
      <c r="AC263" s="36">
        <v>9.06</v>
      </c>
      <c r="AD263" s="36">
        <v>9.06</v>
      </c>
      <c r="AE263" s="36">
        <v>9.06</v>
      </c>
      <c r="AF263" s="36">
        <v>9.06</v>
      </c>
      <c r="AG263" s="36">
        <v>9.06</v>
      </c>
      <c r="AH263" s="36">
        <v>9.06</v>
      </c>
      <c r="AI263" s="39">
        <v>0</v>
      </c>
      <c r="AJ263" s="39">
        <v>0</v>
      </c>
      <c r="AK263" s="39">
        <v>0</v>
      </c>
      <c r="AL263" s="39">
        <v>0</v>
      </c>
      <c r="AM263" s="39">
        <v>0</v>
      </c>
      <c r="AN263" s="39">
        <v>0</v>
      </c>
      <c r="AO263" s="39">
        <v>0</v>
      </c>
      <c r="AP263" s="39">
        <v>0</v>
      </c>
      <c r="AQ263" s="39">
        <v>0</v>
      </c>
      <c r="AR263" s="39">
        <v>0</v>
      </c>
      <c r="AS263" s="39">
        <v>0</v>
      </c>
      <c r="AT263" s="39">
        <v>0</v>
      </c>
      <c r="AU263" s="39">
        <v>0</v>
      </c>
      <c r="AV263" s="39">
        <v>0</v>
      </c>
      <c r="AW263" s="39">
        <v>0</v>
      </c>
      <c r="AX263" s="39">
        <v>0</v>
      </c>
      <c r="AY263" s="39">
        <v>0</v>
      </c>
      <c r="AZ263" s="39">
        <v>0</v>
      </c>
      <c r="BA263" s="39">
        <v>0</v>
      </c>
      <c r="BB263" s="39">
        <v>0</v>
      </c>
      <c r="BC263" s="39">
        <v>0</v>
      </c>
      <c r="BD263" s="39">
        <v>0</v>
      </c>
      <c r="BE263" s="39">
        <v>0</v>
      </c>
      <c r="BF263" s="39">
        <v>0</v>
      </c>
      <c r="BH263" s="12">
        <f t="shared" si="159"/>
        <v>0</v>
      </c>
      <c r="BI263" s="12">
        <f t="shared" si="160"/>
        <v>0</v>
      </c>
      <c r="BJ263" s="12">
        <f t="shared" si="161"/>
        <v>0</v>
      </c>
      <c r="BK263" s="12">
        <f t="shared" si="162"/>
        <v>0</v>
      </c>
      <c r="BL263" s="12">
        <f t="shared" si="163"/>
        <v>0</v>
      </c>
      <c r="BM263" s="12">
        <f t="shared" si="164"/>
        <v>0</v>
      </c>
      <c r="BN263" s="12">
        <f t="shared" si="165"/>
        <v>0</v>
      </c>
      <c r="BO263" s="12">
        <f t="shared" si="166"/>
        <v>0</v>
      </c>
      <c r="BP263" s="12">
        <f t="shared" si="167"/>
        <v>0</v>
      </c>
      <c r="BQ263" s="12">
        <f t="shared" si="168"/>
        <v>0</v>
      </c>
      <c r="BR263" s="12">
        <f t="shared" si="170"/>
        <v>0</v>
      </c>
      <c r="BS263" s="12">
        <f t="shared" si="171"/>
        <v>0</v>
      </c>
      <c r="BU263" s="11">
        <f t="shared" si="172"/>
        <v>0</v>
      </c>
      <c r="BV263" s="11">
        <f t="shared" si="173"/>
        <v>0</v>
      </c>
      <c r="BW263" s="11">
        <f t="shared" si="174"/>
        <v>0</v>
      </c>
      <c r="BX263" s="11">
        <f t="shared" si="175"/>
        <v>0</v>
      </c>
      <c r="BY263" s="11">
        <f t="shared" si="176"/>
        <v>0</v>
      </c>
      <c r="BZ263" s="11">
        <f t="shared" si="177"/>
        <v>0</v>
      </c>
      <c r="CA263" s="11">
        <f t="shared" si="178"/>
        <v>0</v>
      </c>
      <c r="CB263" s="11">
        <f t="shared" si="179"/>
        <v>0</v>
      </c>
      <c r="CC263" s="11">
        <f t="shared" si="180"/>
        <v>0</v>
      </c>
      <c r="CD263" s="11">
        <f t="shared" si="181"/>
        <v>0</v>
      </c>
      <c r="CE263" s="11">
        <f t="shared" si="182"/>
        <v>0</v>
      </c>
      <c r="CF263" s="11">
        <f t="shared" si="183"/>
        <v>0</v>
      </c>
      <c r="CG263" s="11"/>
      <c r="CH263" s="41">
        <v>1</v>
      </c>
      <c r="CJ263" s="54">
        <f t="shared" si="184"/>
        <v>0</v>
      </c>
      <c r="CK263" s="54">
        <f t="shared" si="185"/>
        <v>0</v>
      </c>
      <c r="CL263" s="54">
        <f t="shared" si="186"/>
        <v>0</v>
      </c>
      <c r="CM263" s="54">
        <f t="shared" si="187"/>
        <v>0</v>
      </c>
      <c r="CN263" s="54">
        <f t="shared" si="188"/>
        <v>0</v>
      </c>
      <c r="CO263" s="54">
        <f t="shared" si="189"/>
        <v>0</v>
      </c>
      <c r="CP263" s="54">
        <f t="shared" si="190"/>
        <v>0</v>
      </c>
      <c r="CQ263" s="54">
        <f t="shared" si="191"/>
        <v>0</v>
      </c>
      <c r="CR263" s="54">
        <f t="shared" si="192"/>
        <v>0</v>
      </c>
      <c r="CS263" s="54">
        <f t="shared" si="193"/>
        <v>0</v>
      </c>
      <c r="CT263" s="54">
        <f t="shared" si="194"/>
        <v>0</v>
      </c>
      <c r="CU263" s="54">
        <f t="shared" si="195"/>
        <v>0</v>
      </c>
      <c r="CV263" s="52">
        <f t="shared" si="196"/>
        <v>0</v>
      </c>
    </row>
    <row r="264" spans="1:100" ht="15.75" x14ac:dyDescent="0.25">
      <c r="A264" s="17"/>
      <c r="B264" s="17"/>
      <c r="C264" s="17"/>
      <c r="D264" s="17"/>
      <c r="E264" s="17"/>
      <c r="F264" s="18" t="s">
        <v>32</v>
      </c>
      <c r="G264" s="78"/>
      <c r="H264" s="82"/>
      <c r="I264" s="82"/>
      <c r="J264" s="82"/>
      <c r="K264" s="82"/>
      <c r="L264" s="82"/>
      <c r="M264" s="82"/>
      <c r="N264" s="82"/>
      <c r="O264" s="82"/>
      <c r="P264" s="82"/>
      <c r="Q264" s="82"/>
      <c r="R264" s="82"/>
      <c r="S264" s="11">
        <f t="shared" si="197"/>
        <v>0</v>
      </c>
      <c r="V264" s="46">
        <f t="shared" si="169"/>
        <v>0</v>
      </c>
      <c r="W264" s="36">
        <v>1.69</v>
      </c>
      <c r="X264" s="36">
        <v>1.69</v>
      </c>
      <c r="Y264" s="36">
        <v>1.69</v>
      </c>
      <c r="Z264" s="36">
        <v>1.69</v>
      </c>
      <c r="AA264" s="36">
        <v>1.69</v>
      </c>
      <c r="AB264" s="36">
        <v>1.69</v>
      </c>
      <c r="AC264" s="36">
        <v>1.69</v>
      </c>
      <c r="AD264" s="36">
        <v>1.69</v>
      </c>
      <c r="AE264" s="36">
        <v>1.69</v>
      </c>
      <c r="AF264" s="36">
        <v>1.69</v>
      </c>
      <c r="AG264" s="36">
        <v>1.69</v>
      </c>
      <c r="AH264" s="36">
        <v>1.69</v>
      </c>
      <c r="AI264" s="39">
        <v>0</v>
      </c>
      <c r="AJ264" s="39">
        <v>0</v>
      </c>
      <c r="AK264" s="39">
        <v>0</v>
      </c>
      <c r="AL264" s="39">
        <v>0</v>
      </c>
      <c r="AM264" s="39">
        <v>0</v>
      </c>
      <c r="AN264" s="39">
        <v>0</v>
      </c>
      <c r="AO264" s="39">
        <v>0</v>
      </c>
      <c r="AP264" s="39">
        <v>0</v>
      </c>
      <c r="AQ264" s="39">
        <v>0</v>
      </c>
      <c r="AR264" s="39">
        <v>0</v>
      </c>
      <c r="AS264" s="39">
        <v>0</v>
      </c>
      <c r="AT264" s="39">
        <v>0</v>
      </c>
      <c r="AU264" s="39">
        <v>0</v>
      </c>
      <c r="AV264" s="39">
        <v>0</v>
      </c>
      <c r="AW264" s="39">
        <v>0</v>
      </c>
      <c r="AX264" s="39">
        <v>0</v>
      </c>
      <c r="AY264" s="39">
        <v>0</v>
      </c>
      <c r="AZ264" s="39">
        <v>0</v>
      </c>
      <c r="BA264" s="39">
        <v>0</v>
      </c>
      <c r="BB264" s="39">
        <v>0</v>
      </c>
      <c r="BC264" s="39">
        <v>0</v>
      </c>
      <c r="BD264" s="39">
        <v>0</v>
      </c>
      <c r="BE264" s="39">
        <v>0</v>
      </c>
      <c r="BF264" s="39">
        <v>0</v>
      </c>
      <c r="BH264" s="12">
        <f t="shared" si="159"/>
        <v>0</v>
      </c>
      <c r="BI264" s="12">
        <f t="shared" si="160"/>
        <v>0</v>
      </c>
      <c r="BJ264" s="12">
        <f t="shared" si="161"/>
        <v>0</v>
      </c>
      <c r="BK264" s="12">
        <f t="shared" si="162"/>
        <v>0</v>
      </c>
      <c r="BL264" s="12">
        <f t="shared" si="163"/>
        <v>0</v>
      </c>
      <c r="BM264" s="12">
        <f t="shared" si="164"/>
        <v>0</v>
      </c>
      <c r="BN264" s="12">
        <f t="shared" si="165"/>
        <v>0</v>
      </c>
      <c r="BO264" s="12">
        <f t="shared" si="166"/>
        <v>0</v>
      </c>
      <c r="BP264" s="12">
        <f t="shared" si="167"/>
        <v>0</v>
      </c>
      <c r="BQ264" s="12">
        <f t="shared" si="168"/>
        <v>0</v>
      </c>
      <c r="BR264" s="12">
        <f t="shared" si="170"/>
        <v>0</v>
      </c>
      <c r="BS264" s="12">
        <f t="shared" si="171"/>
        <v>0</v>
      </c>
      <c r="BU264" s="11">
        <f t="shared" si="172"/>
        <v>0</v>
      </c>
      <c r="BV264" s="11">
        <f t="shared" si="173"/>
        <v>0</v>
      </c>
      <c r="BW264" s="11">
        <f t="shared" si="174"/>
        <v>0</v>
      </c>
      <c r="BX264" s="11">
        <f t="shared" si="175"/>
        <v>0</v>
      </c>
      <c r="BY264" s="11">
        <f t="shared" si="176"/>
        <v>0</v>
      </c>
      <c r="BZ264" s="11">
        <f t="shared" si="177"/>
        <v>0</v>
      </c>
      <c r="CA264" s="11">
        <f t="shared" si="178"/>
        <v>0</v>
      </c>
      <c r="CB264" s="11">
        <f t="shared" si="179"/>
        <v>0</v>
      </c>
      <c r="CC264" s="11">
        <f t="shared" si="180"/>
        <v>0</v>
      </c>
      <c r="CD264" s="11">
        <f t="shared" si="181"/>
        <v>0</v>
      </c>
      <c r="CE264" s="11">
        <f t="shared" si="182"/>
        <v>0</v>
      </c>
      <c r="CF264" s="11">
        <f t="shared" si="183"/>
        <v>0</v>
      </c>
      <c r="CG264" s="11"/>
      <c r="CH264" s="41">
        <v>1</v>
      </c>
      <c r="CJ264" s="54">
        <f t="shared" si="184"/>
        <v>0</v>
      </c>
      <c r="CK264" s="54">
        <f t="shared" si="185"/>
        <v>0</v>
      </c>
      <c r="CL264" s="54">
        <f t="shared" si="186"/>
        <v>0</v>
      </c>
      <c r="CM264" s="54">
        <f t="shared" si="187"/>
        <v>0</v>
      </c>
      <c r="CN264" s="54">
        <f t="shared" si="188"/>
        <v>0</v>
      </c>
      <c r="CO264" s="54">
        <f t="shared" si="189"/>
        <v>0</v>
      </c>
      <c r="CP264" s="54">
        <f t="shared" si="190"/>
        <v>0</v>
      </c>
      <c r="CQ264" s="54">
        <f t="shared" si="191"/>
        <v>0</v>
      </c>
      <c r="CR264" s="54">
        <f t="shared" si="192"/>
        <v>0</v>
      </c>
      <c r="CS264" s="54">
        <f t="shared" si="193"/>
        <v>0</v>
      </c>
      <c r="CT264" s="54">
        <f t="shared" si="194"/>
        <v>0</v>
      </c>
      <c r="CU264" s="54">
        <f t="shared" si="195"/>
        <v>0</v>
      </c>
      <c r="CV264" s="52">
        <f t="shared" si="196"/>
        <v>0</v>
      </c>
    </row>
    <row r="265" spans="1:100" ht="15.75" x14ac:dyDescent="0.25">
      <c r="A265" s="17"/>
      <c r="B265" s="17"/>
      <c r="C265" s="17"/>
      <c r="D265" s="17"/>
      <c r="E265" s="17"/>
      <c r="F265" s="18" t="s">
        <v>32</v>
      </c>
      <c r="G265" s="78"/>
      <c r="H265" s="82"/>
      <c r="I265" s="82"/>
      <c r="J265" s="82"/>
      <c r="K265" s="82"/>
      <c r="L265" s="82"/>
      <c r="M265" s="82"/>
      <c r="N265" s="82"/>
      <c r="O265" s="82"/>
      <c r="P265" s="82"/>
      <c r="Q265" s="82"/>
      <c r="R265" s="82"/>
      <c r="S265" s="11">
        <f t="shared" si="197"/>
        <v>0</v>
      </c>
      <c r="V265" s="46">
        <f t="shared" si="169"/>
        <v>0</v>
      </c>
      <c r="W265" s="36">
        <v>1.8400042087542088</v>
      </c>
      <c r="X265" s="36">
        <v>1.8400042087542088</v>
      </c>
      <c r="Y265" s="36">
        <v>1.8400042087542088</v>
      </c>
      <c r="Z265" s="36">
        <v>1.8400042087542088</v>
      </c>
      <c r="AA265" s="36">
        <v>1.8400042087542088</v>
      </c>
      <c r="AB265" s="36">
        <v>1.8400042087542088</v>
      </c>
      <c r="AC265" s="36">
        <v>1.8400042087542088</v>
      </c>
      <c r="AD265" s="36">
        <v>1.8400042087542088</v>
      </c>
      <c r="AE265" s="36">
        <v>1.8400042087542088</v>
      </c>
      <c r="AF265" s="36">
        <v>1.8400042087542088</v>
      </c>
      <c r="AG265" s="36">
        <v>1.8400042087542088</v>
      </c>
      <c r="AH265" s="36">
        <v>1.8400042087542088</v>
      </c>
      <c r="AI265" s="39">
        <v>0</v>
      </c>
      <c r="AJ265" s="39">
        <v>0</v>
      </c>
      <c r="AK265" s="39">
        <v>0</v>
      </c>
      <c r="AL265" s="39">
        <v>0</v>
      </c>
      <c r="AM265" s="39">
        <v>0</v>
      </c>
      <c r="AN265" s="39">
        <v>0</v>
      </c>
      <c r="AO265" s="39">
        <v>0</v>
      </c>
      <c r="AP265" s="39">
        <v>0</v>
      </c>
      <c r="AQ265" s="39">
        <v>0</v>
      </c>
      <c r="AR265" s="39">
        <v>0</v>
      </c>
      <c r="AS265" s="39">
        <v>0</v>
      </c>
      <c r="AT265" s="39">
        <v>0</v>
      </c>
      <c r="AU265" s="39">
        <v>0</v>
      </c>
      <c r="AV265" s="39">
        <v>0</v>
      </c>
      <c r="AW265" s="39">
        <v>0</v>
      </c>
      <c r="AX265" s="39">
        <v>0</v>
      </c>
      <c r="AY265" s="39">
        <v>0</v>
      </c>
      <c r="AZ265" s="39">
        <v>0</v>
      </c>
      <c r="BA265" s="39">
        <v>0</v>
      </c>
      <c r="BB265" s="39">
        <v>0</v>
      </c>
      <c r="BC265" s="39">
        <v>0</v>
      </c>
      <c r="BD265" s="39">
        <v>0</v>
      </c>
      <c r="BE265" s="39">
        <v>0</v>
      </c>
      <c r="BF265" s="39">
        <v>0</v>
      </c>
      <c r="BH265" s="12">
        <f t="shared" si="159"/>
        <v>0</v>
      </c>
      <c r="BI265" s="12">
        <f t="shared" si="160"/>
        <v>0</v>
      </c>
      <c r="BJ265" s="12">
        <f t="shared" si="161"/>
        <v>0</v>
      </c>
      <c r="BK265" s="12">
        <f t="shared" si="162"/>
        <v>0</v>
      </c>
      <c r="BL265" s="12">
        <f t="shared" si="163"/>
        <v>0</v>
      </c>
      <c r="BM265" s="12">
        <f t="shared" si="164"/>
        <v>0</v>
      </c>
      <c r="BN265" s="12">
        <f t="shared" si="165"/>
        <v>0</v>
      </c>
      <c r="BO265" s="12">
        <f t="shared" si="166"/>
        <v>0</v>
      </c>
      <c r="BP265" s="12">
        <f t="shared" si="167"/>
        <v>0</v>
      </c>
      <c r="BQ265" s="12">
        <f t="shared" si="168"/>
        <v>0</v>
      </c>
      <c r="BR265" s="12">
        <f t="shared" si="170"/>
        <v>0</v>
      </c>
      <c r="BS265" s="12">
        <f t="shared" si="171"/>
        <v>0</v>
      </c>
      <c r="BU265" s="11">
        <f t="shared" si="172"/>
        <v>0</v>
      </c>
      <c r="BV265" s="11">
        <f t="shared" si="173"/>
        <v>0</v>
      </c>
      <c r="BW265" s="11">
        <f t="shared" si="174"/>
        <v>0</v>
      </c>
      <c r="BX265" s="11">
        <f t="shared" si="175"/>
        <v>0</v>
      </c>
      <c r="BY265" s="11">
        <f t="shared" si="176"/>
        <v>0</v>
      </c>
      <c r="BZ265" s="11">
        <f t="shared" si="177"/>
        <v>0</v>
      </c>
      <c r="CA265" s="11">
        <f t="shared" si="178"/>
        <v>0</v>
      </c>
      <c r="CB265" s="11">
        <f t="shared" si="179"/>
        <v>0</v>
      </c>
      <c r="CC265" s="11">
        <f t="shared" si="180"/>
        <v>0</v>
      </c>
      <c r="CD265" s="11">
        <f t="shared" si="181"/>
        <v>0</v>
      </c>
      <c r="CE265" s="11">
        <f t="shared" si="182"/>
        <v>0</v>
      </c>
      <c r="CF265" s="11">
        <f t="shared" si="183"/>
        <v>0</v>
      </c>
      <c r="CG265" s="11"/>
      <c r="CH265" s="41">
        <v>1</v>
      </c>
      <c r="CJ265" s="54">
        <f t="shared" si="184"/>
        <v>0</v>
      </c>
      <c r="CK265" s="54">
        <f t="shared" si="185"/>
        <v>0</v>
      </c>
      <c r="CL265" s="54">
        <f t="shared" si="186"/>
        <v>0</v>
      </c>
      <c r="CM265" s="54">
        <f t="shared" si="187"/>
        <v>0</v>
      </c>
      <c r="CN265" s="54">
        <f t="shared" si="188"/>
        <v>0</v>
      </c>
      <c r="CO265" s="54">
        <f t="shared" si="189"/>
        <v>0</v>
      </c>
      <c r="CP265" s="54">
        <f t="shared" si="190"/>
        <v>0</v>
      </c>
      <c r="CQ265" s="54">
        <f t="shared" si="191"/>
        <v>0</v>
      </c>
      <c r="CR265" s="54">
        <f t="shared" si="192"/>
        <v>0</v>
      </c>
      <c r="CS265" s="54">
        <f t="shared" si="193"/>
        <v>0</v>
      </c>
      <c r="CT265" s="54">
        <f t="shared" si="194"/>
        <v>0</v>
      </c>
      <c r="CU265" s="54">
        <f t="shared" si="195"/>
        <v>0</v>
      </c>
      <c r="CV265" s="52">
        <f t="shared" si="196"/>
        <v>0</v>
      </c>
    </row>
    <row r="266" spans="1:100" ht="15.75" x14ac:dyDescent="0.25">
      <c r="A266" s="17"/>
      <c r="B266" s="17"/>
      <c r="C266" s="17"/>
      <c r="D266" s="17"/>
      <c r="E266" s="17"/>
      <c r="F266" s="18" t="s">
        <v>32</v>
      </c>
      <c r="G266" s="78"/>
      <c r="H266" s="82"/>
      <c r="I266" s="82"/>
      <c r="J266" s="82"/>
      <c r="K266" s="82"/>
      <c r="L266" s="82"/>
      <c r="M266" s="82"/>
      <c r="N266" s="82"/>
      <c r="O266" s="82"/>
      <c r="P266" s="82"/>
      <c r="Q266" s="82"/>
      <c r="R266" s="82"/>
      <c r="S266" s="11">
        <f>SUM(G266:R266)</f>
        <v>0</v>
      </c>
      <c r="V266" s="46">
        <f t="shared" si="169"/>
        <v>0</v>
      </c>
      <c r="W266" s="36">
        <v>11.423999999999999</v>
      </c>
      <c r="X266" s="36">
        <v>11.423999999999999</v>
      </c>
      <c r="Y266" s="36">
        <v>11.423999999999999</v>
      </c>
      <c r="Z266" s="36">
        <v>11.423999999999999</v>
      </c>
      <c r="AA266" s="36">
        <v>11.423999999999999</v>
      </c>
      <c r="AB266" s="36">
        <v>11.423999999999999</v>
      </c>
      <c r="AC266" s="36">
        <v>11.423999999999999</v>
      </c>
      <c r="AD266" s="36">
        <v>11.423999999999999</v>
      </c>
      <c r="AE266" s="36">
        <v>11.423999999999999</v>
      </c>
      <c r="AF266" s="36">
        <v>11.423999999999999</v>
      </c>
      <c r="AG266" s="36">
        <v>11.423999999999999</v>
      </c>
      <c r="AH266" s="36">
        <v>11.423999999999999</v>
      </c>
      <c r="AI266" s="39">
        <v>0.22999999999999998</v>
      </c>
      <c r="AJ266" s="39">
        <v>0.22999999999999998</v>
      </c>
      <c r="AK266" s="39">
        <v>0.22999999999999998</v>
      </c>
      <c r="AL266" s="39">
        <v>0.22999999999999998</v>
      </c>
      <c r="AM266" s="39">
        <v>0.22999999999999998</v>
      </c>
      <c r="AN266" s="39">
        <v>0.22999999999999998</v>
      </c>
      <c r="AO266" s="39">
        <v>0.22999999999999998</v>
      </c>
      <c r="AP266" s="39">
        <v>0.22999999999999998</v>
      </c>
      <c r="AQ266" s="39">
        <v>0.22999999999999998</v>
      </c>
      <c r="AR266" s="39">
        <v>0.22999999999999998</v>
      </c>
      <c r="AS266" s="39">
        <v>0.22999999999999998</v>
      </c>
      <c r="AT266" s="39">
        <v>0.22999999999999998</v>
      </c>
      <c r="AU266" s="39">
        <v>0</v>
      </c>
      <c r="AV266" s="39">
        <v>0</v>
      </c>
      <c r="AW266" s="39">
        <v>0</v>
      </c>
      <c r="AX266" s="39">
        <v>0</v>
      </c>
      <c r="AY266" s="39">
        <v>0</v>
      </c>
      <c r="AZ266" s="39">
        <v>0</v>
      </c>
      <c r="BA266" s="39">
        <v>0</v>
      </c>
      <c r="BB266" s="39">
        <v>0</v>
      </c>
      <c r="BC266" s="39">
        <v>0</v>
      </c>
      <c r="BD266" s="39">
        <v>0</v>
      </c>
      <c r="BE266" s="39">
        <v>0</v>
      </c>
      <c r="BF266" s="39">
        <v>0</v>
      </c>
      <c r="BH266" s="12">
        <f t="shared" si="159"/>
        <v>0</v>
      </c>
      <c r="BI266" s="12">
        <f t="shared" si="160"/>
        <v>0</v>
      </c>
      <c r="BJ266" s="12">
        <f t="shared" si="161"/>
        <v>0</v>
      </c>
      <c r="BK266" s="12">
        <f t="shared" si="162"/>
        <v>0</v>
      </c>
      <c r="BL266" s="12">
        <f t="shared" si="163"/>
        <v>0</v>
      </c>
      <c r="BM266" s="12">
        <f t="shared" si="164"/>
        <v>0</v>
      </c>
      <c r="BN266" s="12">
        <f t="shared" si="165"/>
        <v>0</v>
      </c>
      <c r="BO266" s="12">
        <f t="shared" si="166"/>
        <v>0</v>
      </c>
      <c r="BP266" s="12">
        <f t="shared" si="167"/>
        <v>0</v>
      </c>
      <c r="BQ266" s="12">
        <f t="shared" si="168"/>
        <v>0</v>
      </c>
      <c r="BR266" s="12">
        <f t="shared" si="170"/>
        <v>0</v>
      </c>
      <c r="BS266" s="12">
        <f t="shared" si="171"/>
        <v>0</v>
      </c>
      <c r="BU266" s="11">
        <f t="shared" si="172"/>
        <v>0</v>
      </c>
      <c r="BV266" s="11">
        <f t="shared" si="173"/>
        <v>0</v>
      </c>
      <c r="BW266" s="11">
        <f t="shared" si="174"/>
        <v>0</v>
      </c>
      <c r="BX266" s="11">
        <f t="shared" si="175"/>
        <v>0</v>
      </c>
      <c r="BY266" s="11">
        <f t="shared" si="176"/>
        <v>0</v>
      </c>
      <c r="BZ266" s="11">
        <f t="shared" si="177"/>
        <v>0</v>
      </c>
      <c r="CA266" s="11">
        <f t="shared" si="178"/>
        <v>0</v>
      </c>
      <c r="CB266" s="11">
        <f t="shared" si="179"/>
        <v>0</v>
      </c>
      <c r="CC266" s="11">
        <f t="shared" si="180"/>
        <v>0</v>
      </c>
      <c r="CD266" s="11">
        <f t="shared" si="181"/>
        <v>0</v>
      </c>
      <c r="CE266" s="11">
        <f t="shared" si="182"/>
        <v>0</v>
      </c>
      <c r="CF266" s="11">
        <f t="shared" si="183"/>
        <v>0</v>
      </c>
      <c r="CG266" s="11"/>
      <c r="CH266" s="41">
        <v>1</v>
      </c>
      <c r="CJ266" s="54">
        <f t="shared" si="184"/>
        <v>0</v>
      </c>
      <c r="CK266" s="54">
        <f t="shared" si="185"/>
        <v>0</v>
      </c>
      <c r="CL266" s="54">
        <f t="shared" si="186"/>
        <v>0</v>
      </c>
      <c r="CM266" s="54">
        <f t="shared" si="187"/>
        <v>0</v>
      </c>
      <c r="CN266" s="54">
        <f t="shared" si="188"/>
        <v>0</v>
      </c>
      <c r="CO266" s="54">
        <f t="shared" si="189"/>
        <v>0</v>
      </c>
      <c r="CP266" s="54">
        <f t="shared" si="190"/>
        <v>0</v>
      </c>
      <c r="CQ266" s="54">
        <f t="shared" si="191"/>
        <v>0</v>
      </c>
      <c r="CR266" s="54">
        <f t="shared" si="192"/>
        <v>0</v>
      </c>
      <c r="CS266" s="54">
        <f t="shared" si="193"/>
        <v>0</v>
      </c>
      <c r="CT266" s="54">
        <f t="shared" si="194"/>
        <v>0</v>
      </c>
      <c r="CU266" s="54">
        <f t="shared" si="195"/>
        <v>0</v>
      </c>
      <c r="CV266" s="52">
        <f t="shared" si="196"/>
        <v>0</v>
      </c>
    </row>
    <row r="267" spans="1:100" ht="15.75" x14ac:dyDescent="0.25">
      <c r="A267" s="16"/>
      <c r="B267" s="44"/>
      <c r="C267" s="44"/>
      <c r="D267" s="44"/>
      <c r="E267" s="44"/>
      <c r="F267" s="45" t="s">
        <v>2948</v>
      </c>
      <c r="G267" s="83"/>
      <c r="H267" s="83"/>
      <c r="I267" s="83"/>
      <c r="J267" s="83"/>
      <c r="K267" s="83"/>
      <c r="L267" s="83"/>
      <c r="M267" s="83"/>
      <c r="N267" s="83"/>
      <c r="O267" s="83"/>
      <c r="P267" s="83"/>
      <c r="Q267" s="83"/>
      <c r="R267" s="83"/>
      <c r="S267" s="11">
        <f t="shared" si="197"/>
        <v>0</v>
      </c>
      <c r="T267" s="8">
        <f t="shared" ref="T267:T291" si="198">IFERROR(((S267-S167)/S167),0)</f>
        <v>0</v>
      </c>
      <c r="U267" s="13" t="s">
        <v>2951</v>
      </c>
      <c r="V267" s="46">
        <f t="shared" si="169"/>
        <v>0</v>
      </c>
      <c r="W267" s="36">
        <v>3.766</v>
      </c>
      <c r="X267" s="36">
        <v>3.766</v>
      </c>
      <c r="Y267" s="36">
        <v>3.766</v>
      </c>
      <c r="Z267" s="36">
        <v>3.766</v>
      </c>
      <c r="AA267" s="36">
        <v>3.766</v>
      </c>
      <c r="AB267" s="36">
        <v>3.766</v>
      </c>
      <c r="AC267" s="36">
        <v>3.766</v>
      </c>
      <c r="AD267" s="36">
        <v>3.766</v>
      </c>
      <c r="AE267" s="36">
        <v>3.766</v>
      </c>
      <c r="AF267" s="36">
        <v>3.766</v>
      </c>
      <c r="AG267" s="36">
        <v>3.766</v>
      </c>
      <c r="AH267" s="36">
        <v>3.766</v>
      </c>
      <c r="AI267" s="39">
        <v>1.33634708931066E-2</v>
      </c>
      <c r="AJ267" s="39">
        <v>1.33634708931066E-2</v>
      </c>
      <c r="AK267" s="39">
        <v>1.33634708931066E-2</v>
      </c>
      <c r="AL267" s="39">
        <v>1.33634708931066E-2</v>
      </c>
      <c r="AM267" s="39">
        <v>1.33634708931066E-2</v>
      </c>
      <c r="AN267" s="39">
        <v>1.33634708931066E-2</v>
      </c>
      <c r="AO267" s="39">
        <v>1.33634708931066E-2</v>
      </c>
      <c r="AP267" s="39">
        <v>1.33634708931066E-2</v>
      </c>
      <c r="AQ267" s="39">
        <v>1.33634708931066E-2</v>
      </c>
      <c r="AR267" s="39">
        <v>1.33634708931066E-2</v>
      </c>
      <c r="AS267" s="39">
        <v>1.33634708931066E-2</v>
      </c>
      <c r="AT267" s="39">
        <v>1.33634708931066E-2</v>
      </c>
      <c r="AU267" s="39">
        <v>1.2392217523121999E-3</v>
      </c>
      <c r="AV267" s="39">
        <v>1.2392217523121999E-3</v>
      </c>
      <c r="AW267" s="39">
        <v>1.2392217523121999E-3</v>
      </c>
      <c r="AX267" s="39">
        <v>1.2392217523121999E-3</v>
      </c>
      <c r="AY267" s="39">
        <v>1.2392217523121999E-3</v>
      </c>
      <c r="AZ267" s="39">
        <v>1.2392217523121999E-3</v>
      </c>
      <c r="BA267" s="39">
        <v>1.2392217523121999E-3</v>
      </c>
      <c r="BB267" s="39">
        <v>1.2392217523121999E-3</v>
      </c>
      <c r="BC267" s="39">
        <v>1.2392217523121999E-3</v>
      </c>
      <c r="BD267" s="39">
        <v>1.2392217523121999E-3</v>
      </c>
      <c r="BE267" s="39">
        <v>1.2392217523121999E-3</v>
      </c>
      <c r="BF267" s="39">
        <v>1.2392217523121999E-3</v>
      </c>
      <c r="BH267" s="12">
        <f t="shared" si="159"/>
        <v>0</v>
      </c>
      <c r="BI267" s="12">
        <f t="shared" si="160"/>
        <v>0</v>
      </c>
      <c r="BJ267" s="12">
        <f t="shared" si="161"/>
        <v>0</v>
      </c>
      <c r="BK267" s="12">
        <f t="shared" si="162"/>
        <v>0</v>
      </c>
      <c r="BL267" s="12">
        <f t="shared" si="163"/>
        <v>0</v>
      </c>
      <c r="BM267" s="12">
        <f t="shared" si="164"/>
        <v>0</v>
      </c>
      <c r="BN267" s="12">
        <f t="shared" si="165"/>
        <v>0</v>
      </c>
      <c r="BO267" s="12">
        <f t="shared" si="166"/>
        <v>0</v>
      </c>
      <c r="BP267" s="12">
        <f t="shared" si="167"/>
        <v>0</v>
      </c>
      <c r="BQ267" s="12">
        <f t="shared" si="168"/>
        <v>0</v>
      </c>
      <c r="BR267" s="12">
        <f t="shared" si="170"/>
        <v>0</v>
      </c>
      <c r="BS267" s="12">
        <f t="shared" si="171"/>
        <v>0</v>
      </c>
      <c r="BU267" s="11">
        <f t="shared" si="172"/>
        <v>0</v>
      </c>
      <c r="BV267" s="11">
        <f t="shared" si="173"/>
        <v>0</v>
      </c>
      <c r="BW267" s="11">
        <f t="shared" si="174"/>
        <v>0</v>
      </c>
      <c r="BX267" s="11">
        <f t="shared" si="175"/>
        <v>0</v>
      </c>
      <c r="BY267" s="11">
        <f t="shared" si="176"/>
        <v>0</v>
      </c>
      <c r="BZ267" s="11">
        <f t="shared" si="177"/>
        <v>0</v>
      </c>
      <c r="CA267" s="11">
        <f t="shared" si="178"/>
        <v>0</v>
      </c>
      <c r="CB267" s="11">
        <f t="shared" si="179"/>
        <v>0</v>
      </c>
      <c r="CC267" s="11">
        <f t="shared" si="180"/>
        <v>0</v>
      </c>
      <c r="CD267" s="11">
        <f t="shared" si="181"/>
        <v>0</v>
      </c>
      <c r="CE267" s="11">
        <f t="shared" si="182"/>
        <v>0</v>
      </c>
      <c r="CF267" s="11">
        <f t="shared" si="183"/>
        <v>0</v>
      </c>
      <c r="CG267" s="11"/>
      <c r="CH267" s="41">
        <v>3.23</v>
      </c>
      <c r="CJ267" s="54">
        <f t="shared" si="184"/>
        <v>0</v>
      </c>
      <c r="CK267" s="54">
        <f t="shared" si="185"/>
        <v>0</v>
      </c>
      <c r="CL267" s="54">
        <f t="shared" si="186"/>
        <v>0</v>
      </c>
      <c r="CM267" s="54">
        <f t="shared" si="187"/>
        <v>0</v>
      </c>
      <c r="CN267" s="54">
        <f t="shared" si="188"/>
        <v>0</v>
      </c>
      <c r="CO267" s="54">
        <f t="shared" si="189"/>
        <v>0</v>
      </c>
      <c r="CP267" s="54">
        <f t="shared" si="190"/>
        <v>0</v>
      </c>
      <c r="CQ267" s="54">
        <f t="shared" si="191"/>
        <v>0</v>
      </c>
      <c r="CR267" s="54">
        <f t="shared" si="192"/>
        <v>0</v>
      </c>
      <c r="CS267" s="54">
        <f t="shared" si="193"/>
        <v>0</v>
      </c>
      <c r="CT267" s="54">
        <f t="shared" si="194"/>
        <v>0</v>
      </c>
      <c r="CU267" s="54">
        <f t="shared" si="195"/>
        <v>0</v>
      </c>
      <c r="CV267" s="52">
        <f t="shared" si="196"/>
        <v>0</v>
      </c>
    </row>
    <row r="268" spans="1:100" ht="15.75" x14ac:dyDescent="0.25">
      <c r="A268" s="16"/>
      <c r="B268" s="44"/>
      <c r="C268" s="44"/>
      <c r="D268" s="44"/>
      <c r="E268" s="44"/>
      <c r="F268" s="45" t="s">
        <v>2948</v>
      </c>
      <c r="G268" s="83"/>
      <c r="H268" s="83"/>
      <c r="I268" s="83"/>
      <c r="J268" s="83"/>
      <c r="K268" s="83"/>
      <c r="L268" s="83"/>
      <c r="M268" s="83"/>
      <c r="N268" s="83"/>
      <c r="O268" s="83"/>
      <c r="P268" s="83"/>
      <c r="Q268" s="83"/>
      <c r="R268" s="83"/>
      <c r="S268" s="11">
        <f t="shared" si="197"/>
        <v>0</v>
      </c>
      <c r="T268" s="10">
        <f t="shared" si="198"/>
        <v>0</v>
      </c>
      <c r="U268" s="13" t="s">
        <v>2951</v>
      </c>
      <c r="V268" s="46">
        <f t="shared" si="169"/>
        <v>0</v>
      </c>
      <c r="W268" s="36">
        <v>0.94</v>
      </c>
      <c r="X268" s="36">
        <v>0.94</v>
      </c>
      <c r="Y268" s="36">
        <v>0.94</v>
      </c>
      <c r="Z268" s="36">
        <v>0.94</v>
      </c>
      <c r="AA268" s="36">
        <v>0.94</v>
      </c>
      <c r="AB268" s="36">
        <v>0.94</v>
      </c>
      <c r="AC268" s="36">
        <v>0.94</v>
      </c>
      <c r="AD268" s="36">
        <v>0.94</v>
      </c>
      <c r="AE268" s="36">
        <v>0.94</v>
      </c>
      <c r="AF268" s="36">
        <v>0.94</v>
      </c>
      <c r="AG268" s="36">
        <v>0.94</v>
      </c>
      <c r="AH268" s="36">
        <v>0.94</v>
      </c>
      <c r="AI268" s="39">
        <v>1.33634708931066E-2</v>
      </c>
      <c r="AJ268" s="39">
        <v>1.33634708931066E-2</v>
      </c>
      <c r="AK268" s="39">
        <v>1.33634708931066E-2</v>
      </c>
      <c r="AL268" s="39">
        <v>1.33634708931066E-2</v>
      </c>
      <c r="AM268" s="39">
        <v>1.33634708931066E-2</v>
      </c>
      <c r="AN268" s="39">
        <v>1.33634708931066E-2</v>
      </c>
      <c r="AO268" s="39">
        <v>1.33634708931066E-2</v>
      </c>
      <c r="AP268" s="39">
        <v>1.33634708931066E-2</v>
      </c>
      <c r="AQ268" s="39">
        <v>1.33634708931066E-2</v>
      </c>
      <c r="AR268" s="39">
        <v>1.33634708931066E-2</v>
      </c>
      <c r="AS268" s="39">
        <v>1.33634708931066E-2</v>
      </c>
      <c r="AT268" s="39">
        <v>1.33634708931066E-2</v>
      </c>
      <c r="AU268" s="39">
        <v>1.2392217523121999E-3</v>
      </c>
      <c r="AV268" s="39">
        <v>1.2392217523121999E-3</v>
      </c>
      <c r="AW268" s="39">
        <v>1.2392217523121999E-3</v>
      </c>
      <c r="AX268" s="39">
        <v>1.2392217523121999E-3</v>
      </c>
      <c r="AY268" s="39">
        <v>1.2392217523121999E-3</v>
      </c>
      <c r="AZ268" s="39">
        <v>1.2392217523121999E-3</v>
      </c>
      <c r="BA268" s="39">
        <v>1.2392217523121999E-3</v>
      </c>
      <c r="BB268" s="39">
        <v>1.2392217523121999E-3</v>
      </c>
      <c r="BC268" s="39">
        <v>1.2392217523121999E-3</v>
      </c>
      <c r="BD268" s="39">
        <v>1.2392217523121999E-3</v>
      </c>
      <c r="BE268" s="39">
        <v>1.2392217523121999E-3</v>
      </c>
      <c r="BF268" s="39">
        <v>1.2392217523121999E-3</v>
      </c>
      <c r="BH268" s="12">
        <f t="shared" si="159"/>
        <v>0</v>
      </c>
      <c r="BI268" s="12">
        <f t="shared" si="160"/>
        <v>0</v>
      </c>
      <c r="BJ268" s="12">
        <f t="shared" si="161"/>
        <v>0</v>
      </c>
      <c r="BK268" s="12">
        <f t="shared" si="162"/>
        <v>0</v>
      </c>
      <c r="BL268" s="12">
        <f t="shared" si="163"/>
        <v>0</v>
      </c>
      <c r="BM268" s="12">
        <f t="shared" si="164"/>
        <v>0</v>
      </c>
      <c r="BN268" s="12">
        <f t="shared" si="165"/>
        <v>0</v>
      </c>
      <c r="BO268" s="12">
        <f t="shared" si="166"/>
        <v>0</v>
      </c>
      <c r="BP268" s="12">
        <f t="shared" si="167"/>
        <v>0</v>
      </c>
      <c r="BQ268" s="12">
        <f t="shared" si="168"/>
        <v>0</v>
      </c>
      <c r="BR268" s="12">
        <f t="shared" si="170"/>
        <v>0</v>
      </c>
      <c r="BS268" s="12">
        <f t="shared" si="171"/>
        <v>0</v>
      </c>
      <c r="BU268" s="11">
        <f t="shared" si="172"/>
        <v>0</v>
      </c>
      <c r="BV268" s="11">
        <f t="shared" si="173"/>
        <v>0</v>
      </c>
      <c r="BW268" s="11">
        <f t="shared" si="174"/>
        <v>0</v>
      </c>
      <c r="BX268" s="11">
        <f t="shared" si="175"/>
        <v>0</v>
      </c>
      <c r="BY268" s="11">
        <f t="shared" si="176"/>
        <v>0</v>
      </c>
      <c r="BZ268" s="11">
        <f t="shared" si="177"/>
        <v>0</v>
      </c>
      <c r="CA268" s="11">
        <f t="shared" si="178"/>
        <v>0</v>
      </c>
      <c r="CB268" s="11">
        <f t="shared" si="179"/>
        <v>0</v>
      </c>
      <c r="CC268" s="11">
        <f t="shared" si="180"/>
        <v>0</v>
      </c>
      <c r="CD268" s="11">
        <f t="shared" si="181"/>
        <v>0</v>
      </c>
      <c r="CE268" s="11">
        <f t="shared" si="182"/>
        <v>0</v>
      </c>
      <c r="CF268" s="11">
        <f t="shared" si="183"/>
        <v>0</v>
      </c>
      <c r="CG268" s="11"/>
      <c r="CH268" s="41">
        <v>3.23</v>
      </c>
      <c r="CJ268" s="54">
        <f t="shared" si="184"/>
        <v>0</v>
      </c>
      <c r="CK268" s="54">
        <f t="shared" si="185"/>
        <v>0</v>
      </c>
      <c r="CL268" s="54">
        <f t="shared" si="186"/>
        <v>0</v>
      </c>
      <c r="CM268" s="54">
        <f t="shared" si="187"/>
        <v>0</v>
      </c>
      <c r="CN268" s="54">
        <f t="shared" si="188"/>
        <v>0</v>
      </c>
      <c r="CO268" s="54">
        <f t="shared" si="189"/>
        <v>0</v>
      </c>
      <c r="CP268" s="54">
        <f t="shared" si="190"/>
        <v>0</v>
      </c>
      <c r="CQ268" s="54">
        <f t="shared" si="191"/>
        <v>0</v>
      </c>
      <c r="CR268" s="54">
        <f t="shared" si="192"/>
        <v>0</v>
      </c>
      <c r="CS268" s="54">
        <f t="shared" si="193"/>
        <v>0</v>
      </c>
      <c r="CT268" s="54">
        <f t="shared" si="194"/>
        <v>0</v>
      </c>
      <c r="CU268" s="54">
        <f t="shared" si="195"/>
        <v>0</v>
      </c>
      <c r="CV268" s="52">
        <f t="shared" si="196"/>
        <v>0</v>
      </c>
    </row>
    <row r="269" spans="1:100" ht="15.75" x14ac:dyDescent="0.25">
      <c r="A269" s="16"/>
      <c r="B269" s="44"/>
      <c r="C269" s="44"/>
      <c r="D269" s="44"/>
      <c r="E269" s="44"/>
      <c r="F269" s="45" t="s">
        <v>2948</v>
      </c>
      <c r="G269" s="83"/>
      <c r="H269" s="83"/>
      <c r="I269" s="83"/>
      <c r="J269" s="83"/>
      <c r="K269" s="83"/>
      <c r="L269" s="83"/>
      <c r="M269" s="83"/>
      <c r="N269" s="83"/>
      <c r="O269" s="83"/>
      <c r="P269" s="83"/>
      <c r="Q269" s="83"/>
      <c r="R269" s="83"/>
      <c r="S269" s="11">
        <f t="shared" si="197"/>
        <v>0</v>
      </c>
      <c r="T269" s="10">
        <f t="shared" si="198"/>
        <v>0</v>
      </c>
      <c r="U269" s="13" t="s">
        <v>2951</v>
      </c>
      <c r="V269" s="46">
        <f t="shared" si="169"/>
        <v>0</v>
      </c>
      <c r="W269" s="36">
        <v>1.75</v>
      </c>
      <c r="X269" s="36">
        <v>1.75</v>
      </c>
      <c r="Y269" s="36">
        <v>1.75</v>
      </c>
      <c r="Z269" s="36">
        <v>1.75</v>
      </c>
      <c r="AA269" s="36">
        <v>1.75</v>
      </c>
      <c r="AB269" s="36">
        <v>1.75</v>
      </c>
      <c r="AC269" s="36">
        <v>1.75</v>
      </c>
      <c r="AD269" s="36">
        <v>1.75</v>
      </c>
      <c r="AE269" s="36">
        <v>1.75</v>
      </c>
      <c r="AF269" s="36">
        <v>1.75</v>
      </c>
      <c r="AG269" s="36">
        <v>1.75</v>
      </c>
      <c r="AH269" s="36">
        <v>1.75</v>
      </c>
      <c r="AI269" s="39">
        <v>1.33634708931066E-2</v>
      </c>
      <c r="AJ269" s="39">
        <v>1.33634708931066E-2</v>
      </c>
      <c r="AK269" s="39">
        <v>1.33634708931066E-2</v>
      </c>
      <c r="AL269" s="39">
        <v>1.33634708931066E-2</v>
      </c>
      <c r="AM269" s="39">
        <v>1.33634708931066E-2</v>
      </c>
      <c r="AN269" s="39">
        <v>1.33634708931066E-2</v>
      </c>
      <c r="AO269" s="39">
        <v>1.33634708931066E-2</v>
      </c>
      <c r="AP269" s="39">
        <v>1.33634708931066E-2</v>
      </c>
      <c r="AQ269" s="39">
        <v>1.33634708931066E-2</v>
      </c>
      <c r="AR269" s="39">
        <v>1.33634708931066E-2</v>
      </c>
      <c r="AS269" s="39">
        <v>1.33634708931066E-2</v>
      </c>
      <c r="AT269" s="39">
        <v>1.33634708931066E-2</v>
      </c>
      <c r="AU269" s="39">
        <v>1.2392217523121999E-3</v>
      </c>
      <c r="AV269" s="39">
        <v>1.2392217523121999E-3</v>
      </c>
      <c r="AW269" s="39">
        <v>1.2392217523121999E-3</v>
      </c>
      <c r="AX269" s="39">
        <v>1.2392217523121999E-3</v>
      </c>
      <c r="AY269" s="39">
        <v>1.2392217523121999E-3</v>
      </c>
      <c r="AZ269" s="39">
        <v>1.2392217523121999E-3</v>
      </c>
      <c r="BA269" s="39">
        <v>1.2392217523121999E-3</v>
      </c>
      <c r="BB269" s="39">
        <v>1.2392217523121999E-3</v>
      </c>
      <c r="BC269" s="39">
        <v>1.2392217523121999E-3</v>
      </c>
      <c r="BD269" s="39">
        <v>1.2392217523121999E-3</v>
      </c>
      <c r="BE269" s="39">
        <v>1.2392217523121999E-3</v>
      </c>
      <c r="BF269" s="39">
        <v>1.2392217523121999E-3</v>
      </c>
      <c r="BH269" s="12">
        <f t="shared" si="159"/>
        <v>0</v>
      </c>
      <c r="BI269" s="12">
        <f t="shared" si="160"/>
        <v>0</v>
      </c>
      <c r="BJ269" s="12">
        <f t="shared" si="161"/>
        <v>0</v>
      </c>
      <c r="BK269" s="12">
        <f t="shared" si="162"/>
        <v>0</v>
      </c>
      <c r="BL269" s="12">
        <f t="shared" si="163"/>
        <v>0</v>
      </c>
      <c r="BM269" s="12">
        <f t="shared" si="164"/>
        <v>0</v>
      </c>
      <c r="BN269" s="12">
        <f t="shared" si="165"/>
        <v>0</v>
      </c>
      <c r="BO269" s="12">
        <f t="shared" si="166"/>
        <v>0</v>
      </c>
      <c r="BP269" s="12">
        <f t="shared" si="167"/>
        <v>0</v>
      </c>
      <c r="BQ269" s="12">
        <f t="shared" si="168"/>
        <v>0</v>
      </c>
      <c r="BR269" s="12">
        <f t="shared" si="170"/>
        <v>0</v>
      </c>
      <c r="BS269" s="12">
        <f t="shared" si="171"/>
        <v>0</v>
      </c>
      <c r="BU269" s="11">
        <f t="shared" si="172"/>
        <v>0</v>
      </c>
      <c r="BV269" s="11">
        <f t="shared" si="173"/>
        <v>0</v>
      </c>
      <c r="BW269" s="11">
        <f t="shared" si="174"/>
        <v>0</v>
      </c>
      <c r="BX269" s="11">
        <f t="shared" si="175"/>
        <v>0</v>
      </c>
      <c r="BY269" s="11">
        <f t="shared" si="176"/>
        <v>0</v>
      </c>
      <c r="BZ269" s="11">
        <f t="shared" si="177"/>
        <v>0</v>
      </c>
      <c r="CA269" s="11">
        <f t="shared" si="178"/>
        <v>0</v>
      </c>
      <c r="CB269" s="11">
        <f t="shared" si="179"/>
        <v>0</v>
      </c>
      <c r="CC269" s="11">
        <f t="shared" si="180"/>
        <v>0</v>
      </c>
      <c r="CD269" s="11">
        <f t="shared" si="181"/>
        <v>0</v>
      </c>
      <c r="CE269" s="11">
        <f t="shared" si="182"/>
        <v>0</v>
      </c>
      <c r="CF269" s="11">
        <f t="shared" si="183"/>
        <v>0</v>
      </c>
      <c r="CG269" s="11"/>
      <c r="CH269" s="41">
        <v>3.23</v>
      </c>
      <c r="CJ269" s="54">
        <f t="shared" si="184"/>
        <v>0</v>
      </c>
      <c r="CK269" s="54">
        <f t="shared" si="185"/>
        <v>0</v>
      </c>
      <c r="CL269" s="54">
        <f t="shared" si="186"/>
        <v>0</v>
      </c>
      <c r="CM269" s="54">
        <f t="shared" si="187"/>
        <v>0</v>
      </c>
      <c r="CN269" s="54">
        <f t="shared" si="188"/>
        <v>0</v>
      </c>
      <c r="CO269" s="54">
        <f t="shared" si="189"/>
        <v>0</v>
      </c>
      <c r="CP269" s="54">
        <f t="shared" si="190"/>
        <v>0</v>
      </c>
      <c r="CQ269" s="54">
        <f t="shared" si="191"/>
        <v>0</v>
      </c>
      <c r="CR269" s="54">
        <f t="shared" si="192"/>
        <v>0</v>
      </c>
      <c r="CS269" s="54">
        <f t="shared" si="193"/>
        <v>0</v>
      </c>
      <c r="CT269" s="54">
        <f t="shared" si="194"/>
        <v>0</v>
      </c>
      <c r="CU269" s="54">
        <f t="shared" si="195"/>
        <v>0</v>
      </c>
      <c r="CV269" s="52">
        <f t="shared" si="196"/>
        <v>0</v>
      </c>
    </row>
    <row r="270" spans="1:100" ht="15.75" x14ac:dyDescent="0.25">
      <c r="A270" s="16"/>
      <c r="B270" s="44"/>
      <c r="C270" s="44"/>
      <c r="D270" s="44"/>
      <c r="E270" s="44"/>
      <c r="F270" s="45" t="s">
        <v>2948</v>
      </c>
      <c r="G270" s="83"/>
      <c r="H270" s="83"/>
      <c r="I270" s="83"/>
      <c r="J270" s="83"/>
      <c r="K270" s="83"/>
      <c r="L270" s="83"/>
      <c r="M270" s="83"/>
      <c r="N270" s="83"/>
      <c r="O270" s="83"/>
      <c r="P270" s="83"/>
      <c r="Q270" s="83"/>
      <c r="R270" s="83"/>
      <c r="S270" s="11">
        <f t="shared" si="197"/>
        <v>0</v>
      </c>
      <c r="T270" s="10">
        <f t="shared" si="198"/>
        <v>0</v>
      </c>
      <c r="U270" s="13" t="s">
        <v>2951</v>
      </c>
      <c r="V270" s="46">
        <f t="shared" si="169"/>
        <v>0</v>
      </c>
      <c r="W270" s="36">
        <v>2.367</v>
      </c>
      <c r="X270" s="36">
        <v>2.367</v>
      </c>
      <c r="Y270" s="36">
        <v>2.367</v>
      </c>
      <c r="Z270" s="36">
        <v>2.367</v>
      </c>
      <c r="AA270" s="36">
        <v>2.367</v>
      </c>
      <c r="AB270" s="36">
        <v>2.367</v>
      </c>
      <c r="AC270" s="36">
        <v>2.367</v>
      </c>
      <c r="AD270" s="36">
        <v>2.367</v>
      </c>
      <c r="AE270" s="36">
        <v>2.367</v>
      </c>
      <c r="AF270" s="36">
        <v>2.367</v>
      </c>
      <c r="AG270" s="36">
        <v>2.367</v>
      </c>
      <c r="AH270" s="36">
        <v>2.367</v>
      </c>
      <c r="AI270" s="39">
        <v>1.33634708931066E-2</v>
      </c>
      <c r="AJ270" s="39">
        <v>1.33634708931066E-2</v>
      </c>
      <c r="AK270" s="39">
        <v>1.33634708931066E-2</v>
      </c>
      <c r="AL270" s="39">
        <v>1.33634708931066E-2</v>
      </c>
      <c r="AM270" s="39">
        <v>1.33634708931066E-2</v>
      </c>
      <c r="AN270" s="39">
        <v>1.33634708931066E-2</v>
      </c>
      <c r="AO270" s="39">
        <v>1.33634708931066E-2</v>
      </c>
      <c r="AP270" s="39">
        <v>1.33634708931066E-2</v>
      </c>
      <c r="AQ270" s="39">
        <v>1.33634708931066E-2</v>
      </c>
      <c r="AR270" s="39">
        <v>1.33634708931066E-2</v>
      </c>
      <c r="AS270" s="39">
        <v>1.33634708931066E-2</v>
      </c>
      <c r="AT270" s="39">
        <v>1.33634708931066E-2</v>
      </c>
      <c r="AU270" s="39">
        <v>1.2392217523121999E-3</v>
      </c>
      <c r="AV270" s="39">
        <v>1.2392217523121999E-3</v>
      </c>
      <c r="AW270" s="39">
        <v>1.2392217523121999E-3</v>
      </c>
      <c r="AX270" s="39">
        <v>1.2392217523121999E-3</v>
      </c>
      <c r="AY270" s="39">
        <v>1.2392217523121999E-3</v>
      </c>
      <c r="AZ270" s="39">
        <v>1.2392217523121999E-3</v>
      </c>
      <c r="BA270" s="39">
        <v>1.2392217523121999E-3</v>
      </c>
      <c r="BB270" s="39">
        <v>1.2392217523121999E-3</v>
      </c>
      <c r="BC270" s="39">
        <v>1.2392217523121999E-3</v>
      </c>
      <c r="BD270" s="39">
        <v>1.2392217523121999E-3</v>
      </c>
      <c r="BE270" s="39">
        <v>1.2392217523121999E-3</v>
      </c>
      <c r="BF270" s="39">
        <v>1.2392217523121999E-3</v>
      </c>
      <c r="BH270" s="12">
        <f t="shared" si="159"/>
        <v>0</v>
      </c>
      <c r="BI270" s="12">
        <f t="shared" si="160"/>
        <v>0</v>
      </c>
      <c r="BJ270" s="12">
        <f t="shared" si="161"/>
        <v>0</v>
      </c>
      <c r="BK270" s="12">
        <f t="shared" si="162"/>
        <v>0</v>
      </c>
      <c r="BL270" s="12">
        <f t="shared" si="163"/>
        <v>0</v>
      </c>
      <c r="BM270" s="12">
        <f t="shared" si="164"/>
        <v>0</v>
      </c>
      <c r="BN270" s="12">
        <f t="shared" si="165"/>
        <v>0</v>
      </c>
      <c r="BO270" s="12">
        <f t="shared" si="166"/>
        <v>0</v>
      </c>
      <c r="BP270" s="12">
        <f t="shared" si="167"/>
        <v>0</v>
      </c>
      <c r="BQ270" s="12">
        <f t="shared" si="168"/>
        <v>0</v>
      </c>
      <c r="BR270" s="12">
        <f t="shared" si="170"/>
        <v>0</v>
      </c>
      <c r="BS270" s="12">
        <f t="shared" si="171"/>
        <v>0</v>
      </c>
      <c r="BU270" s="11">
        <f t="shared" si="172"/>
        <v>0</v>
      </c>
      <c r="BV270" s="11">
        <f t="shared" si="173"/>
        <v>0</v>
      </c>
      <c r="BW270" s="11">
        <f t="shared" si="174"/>
        <v>0</v>
      </c>
      <c r="BX270" s="11">
        <f t="shared" si="175"/>
        <v>0</v>
      </c>
      <c r="BY270" s="11">
        <f t="shared" si="176"/>
        <v>0</v>
      </c>
      <c r="BZ270" s="11">
        <f t="shared" si="177"/>
        <v>0</v>
      </c>
      <c r="CA270" s="11">
        <f t="shared" si="178"/>
        <v>0</v>
      </c>
      <c r="CB270" s="11">
        <f t="shared" si="179"/>
        <v>0</v>
      </c>
      <c r="CC270" s="11">
        <f t="shared" si="180"/>
        <v>0</v>
      </c>
      <c r="CD270" s="11">
        <f t="shared" si="181"/>
        <v>0</v>
      </c>
      <c r="CE270" s="11">
        <f t="shared" si="182"/>
        <v>0</v>
      </c>
      <c r="CF270" s="11">
        <f t="shared" si="183"/>
        <v>0</v>
      </c>
      <c r="CG270" s="11"/>
      <c r="CH270" s="41">
        <v>3.23</v>
      </c>
      <c r="CJ270" s="54">
        <f t="shared" si="184"/>
        <v>0</v>
      </c>
      <c r="CK270" s="54">
        <f t="shared" si="185"/>
        <v>0</v>
      </c>
      <c r="CL270" s="54">
        <f t="shared" si="186"/>
        <v>0</v>
      </c>
      <c r="CM270" s="54">
        <f t="shared" si="187"/>
        <v>0</v>
      </c>
      <c r="CN270" s="54">
        <f t="shared" si="188"/>
        <v>0</v>
      </c>
      <c r="CO270" s="54">
        <f t="shared" si="189"/>
        <v>0</v>
      </c>
      <c r="CP270" s="54">
        <f t="shared" si="190"/>
        <v>0</v>
      </c>
      <c r="CQ270" s="54">
        <f t="shared" si="191"/>
        <v>0</v>
      </c>
      <c r="CR270" s="54">
        <f t="shared" si="192"/>
        <v>0</v>
      </c>
      <c r="CS270" s="54">
        <f t="shared" si="193"/>
        <v>0</v>
      </c>
      <c r="CT270" s="54">
        <f t="shared" si="194"/>
        <v>0</v>
      </c>
      <c r="CU270" s="54">
        <f t="shared" si="195"/>
        <v>0</v>
      </c>
      <c r="CV270" s="52">
        <f t="shared" si="196"/>
        <v>0</v>
      </c>
    </row>
    <row r="271" spans="1:100" ht="15.75" x14ac:dyDescent="0.25">
      <c r="A271" s="16"/>
      <c r="B271" s="44"/>
      <c r="C271" s="44"/>
      <c r="D271" s="44"/>
      <c r="E271" s="44"/>
      <c r="F271" s="45" t="s">
        <v>2948</v>
      </c>
      <c r="G271" s="83"/>
      <c r="H271" s="83"/>
      <c r="I271" s="83"/>
      <c r="J271" s="83"/>
      <c r="K271" s="83"/>
      <c r="L271" s="83"/>
      <c r="M271" s="83"/>
      <c r="N271" s="83"/>
      <c r="O271" s="83"/>
      <c r="P271" s="83"/>
      <c r="Q271" s="83"/>
      <c r="R271" s="83"/>
      <c r="S271" s="11">
        <f t="shared" si="197"/>
        <v>0</v>
      </c>
      <c r="T271" s="10">
        <f t="shared" si="198"/>
        <v>0</v>
      </c>
      <c r="U271" s="13" t="s">
        <v>2951</v>
      </c>
      <c r="V271" s="46">
        <f t="shared" si="169"/>
        <v>0</v>
      </c>
      <c r="W271" s="36">
        <v>1.9370000000000001</v>
      </c>
      <c r="X271" s="36">
        <v>1.9370000000000001</v>
      </c>
      <c r="Y271" s="36">
        <v>1.9370000000000001</v>
      </c>
      <c r="Z271" s="36">
        <v>1.9370000000000001</v>
      </c>
      <c r="AA271" s="36">
        <v>1.9370000000000001</v>
      </c>
      <c r="AB271" s="36">
        <v>1.9370000000000001</v>
      </c>
      <c r="AC271" s="36">
        <v>1.9370000000000001</v>
      </c>
      <c r="AD271" s="36">
        <v>1.9370000000000001</v>
      </c>
      <c r="AE271" s="36">
        <v>1.9370000000000001</v>
      </c>
      <c r="AF271" s="36">
        <v>1.9370000000000001</v>
      </c>
      <c r="AG271" s="36">
        <v>1.9370000000000001</v>
      </c>
      <c r="AH271" s="36">
        <v>1.9370000000000001</v>
      </c>
      <c r="AI271" s="39">
        <v>1.33634708931066E-2</v>
      </c>
      <c r="AJ271" s="39">
        <v>1.33634708931066E-2</v>
      </c>
      <c r="AK271" s="39">
        <v>1.33634708931066E-2</v>
      </c>
      <c r="AL271" s="39">
        <v>1.33634708931066E-2</v>
      </c>
      <c r="AM271" s="39">
        <v>1.33634708931066E-2</v>
      </c>
      <c r="AN271" s="39">
        <v>1.33634708931066E-2</v>
      </c>
      <c r="AO271" s="39">
        <v>1.33634708931066E-2</v>
      </c>
      <c r="AP271" s="39">
        <v>1.33634708931066E-2</v>
      </c>
      <c r="AQ271" s="39">
        <v>1.33634708931066E-2</v>
      </c>
      <c r="AR271" s="39">
        <v>1.33634708931066E-2</v>
      </c>
      <c r="AS271" s="39">
        <v>1.33634708931066E-2</v>
      </c>
      <c r="AT271" s="39">
        <v>1.33634708931066E-2</v>
      </c>
      <c r="AU271" s="39">
        <v>1.2392217523121999E-3</v>
      </c>
      <c r="AV271" s="39">
        <v>1.2392217523121999E-3</v>
      </c>
      <c r="AW271" s="39">
        <v>1.2392217523121999E-3</v>
      </c>
      <c r="AX271" s="39">
        <v>1.2392217523121999E-3</v>
      </c>
      <c r="AY271" s="39">
        <v>1.2392217523121999E-3</v>
      </c>
      <c r="AZ271" s="39">
        <v>1.2392217523121999E-3</v>
      </c>
      <c r="BA271" s="39">
        <v>1.2392217523121999E-3</v>
      </c>
      <c r="BB271" s="39">
        <v>1.2392217523121999E-3</v>
      </c>
      <c r="BC271" s="39">
        <v>1.2392217523121999E-3</v>
      </c>
      <c r="BD271" s="39">
        <v>1.2392217523121999E-3</v>
      </c>
      <c r="BE271" s="39">
        <v>1.2392217523121999E-3</v>
      </c>
      <c r="BF271" s="39">
        <v>1.2392217523121999E-3</v>
      </c>
      <c r="BH271" s="12">
        <f t="shared" si="159"/>
        <v>0</v>
      </c>
      <c r="BI271" s="12">
        <f t="shared" si="160"/>
        <v>0</v>
      </c>
      <c r="BJ271" s="12">
        <f t="shared" si="161"/>
        <v>0</v>
      </c>
      <c r="BK271" s="12">
        <f t="shared" si="162"/>
        <v>0</v>
      </c>
      <c r="BL271" s="12">
        <f t="shared" si="163"/>
        <v>0</v>
      </c>
      <c r="BM271" s="12">
        <f t="shared" si="164"/>
        <v>0</v>
      </c>
      <c r="BN271" s="12">
        <f t="shared" si="165"/>
        <v>0</v>
      </c>
      <c r="BO271" s="12">
        <f t="shared" si="166"/>
        <v>0</v>
      </c>
      <c r="BP271" s="12">
        <f t="shared" si="167"/>
        <v>0</v>
      </c>
      <c r="BQ271" s="12">
        <f t="shared" si="168"/>
        <v>0</v>
      </c>
      <c r="BR271" s="12">
        <f t="shared" si="170"/>
        <v>0</v>
      </c>
      <c r="BS271" s="12">
        <f t="shared" si="171"/>
        <v>0</v>
      </c>
      <c r="BU271" s="11">
        <f t="shared" si="172"/>
        <v>0</v>
      </c>
      <c r="BV271" s="11">
        <f t="shared" si="173"/>
        <v>0</v>
      </c>
      <c r="BW271" s="11">
        <f t="shared" si="174"/>
        <v>0</v>
      </c>
      <c r="BX271" s="11">
        <f t="shared" si="175"/>
        <v>0</v>
      </c>
      <c r="BY271" s="11">
        <f t="shared" si="176"/>
        <v>0</v>
      </c>
      <c r="BZ271" s="11">
        <f t="shared" si="177"/>
        <v>0</v>
      </c>
      <c r="CA271" s="11">
        <f t="shared" si="178"/>
        <v>0</v>
      </c>
      <c r="CB271" s="11">
        <f t="shared" si="179"/>
        <v>0</v>
      </c>
      <c r="CC271" s="11">
        <f t="shared" si="180"/>
        <v>0</v>
      </c>
      <c r="CD271" s="11">
        <f t="shared" si="181"/>
        <v>0</v>
      </c>
      <c r="CE271" s="11">
        <f t="shared" si="182"/>
        <v>0</v>
      </c>
      <c r="CF271" s="11">
        <f t="shared" si="183"/>
        <v>0</v>
      </c>
      <c r="CG271" s="11"/>
      <c r="CH271" s="41">
        <v>3.23</v>
      </c>
      <c r="CJ271" s="54">
        <f t="shared" si="184"/>
        <v>0</v>
      </c>
      <c r="CK271" s="54">
        <f t="shared" si="185"/>
        <v>0</v>
      </c>
      <c r="CL271" s="54">
        <f t="shared" si="186"/>
        <v>0</v>
      </c>
      <c r="CM271" s="54">
        <f t="shared" si="187"/>
        <v>0</v>
      </c>
      <c r="CN271" s="54">
        <f t="shared" si="188"/>
        <v>0</v>
      </c>
      <c r="CO271" s="54">
        <f t="shared" si="189"/>
        <v>0</v>
      </c>
      <c r="CP271" s="54">
        <f t="shared" si="190"/>
        <v>0</v>
      </c>
      <c r="CQ271" s="54">
        <f t="shared" si="191"/>
        <v>0</v>
      </c>
      <c r="CR271" s="54">
        <f t="shared" si="192"/>
        <v>0</v>
      </c>
      <c r="CS271" s="54">
        <f t="shared" si="193"/>
        <v>0</v>
      </c>
      <c r="CT271" s="54">
        <f t="shared" si="194"/>
        <v>0</v>
      </c>
      <c r="CU271" s="54">
        <f t="shared" si="195"/>
        <v>0</v>
      </c>
      <c r="CV271" s="52">
        <f t="shared" si="196"/>
        <v>0</v>
      </c>
    </row>
    <row r="272" spans="1:100" ht="15.75" x14ac:dyDescent="0.25">
      <c r="A272" s="16"/>
      <c r="B272" s="44"/>
      <c r="C272" s="44"/>
      <c r="D272" s="44"/>
      <c r="E272" s="44"/>
      <c r="F272" s="45" t="s">
        <v>2948</v>
      </c>
      <c r="G272" s="83"/>
      <c r="H272" s="83"/>
      <c r="I272" s="83"/>
      <c r="J272" s="83"/>
      <c r="K272" s="83"/>
      <c r="L272" s="83"/>
      <c r="M272" s="83"/>
      <c r="N272" s="83"/>
      <c r="O272" s="83"/>
      <c r="P272" s="83"/>
      <c r="Q272" s="83"/>
      <c r="R272" s="83"/>
      <c r="S272" s="11">
        <f t="shared" si="197"/>
        <v>0</v>
      </c>
      <c r="T272" s="10">
        <f t="shared" si="198"/>
        <v>0</v>
      </c>
      <c r="U272" s="13" t="s">
        <v>2951</v>
      </c>
      <c r="V272" s="46">
        <f t="shared" si="169"/>
        <v>0</v>
      </c>
      <c r="W272" s="36">
        <v>2.6589999999999998</v>
      </c>
      <c r="X272" s="36">
        <v>2.6589999999999998</v>
      </c>
      <c r="Y272" s="36">
        <v>2.6589999999999998</v>
      </c>
      <c r="Z272" s="36">
        <v>2.6589999999999998</v>
      </c>
      <c r="AA272" s="36">
        <v>2.6589999999999998</v>
      </c>
      <c r="AB272" s="36">
        <v>2.6589999999999998</v>
      </c>
      <c r="AC272" s="36">
        <v>2.6589999999999998</v>
      </c>
      <c r="AD272" s="36">
        <v>2.6589999999999998</v>
      </c>
      <c r="AE272" s="36">
        <v>2.6589999999999998</v>
      </c>
      <c r="AF272" s="36">
        <v>2.6589999999999998</v>
      </c>
      <c r="AG272" s="36">
        <v>2.6589999999999998</v>
      </c>
      <c r="AH272" s="36">
        <v>2.6589999999999998</v>
      </c>
      <c r="AI272" s="39">
        <v>1.33634708931066E-2</v>
      </c>
      <c r="AJ272" s="39">
        <v>1.33634708931066E-2</v>
      </c>
      <c r="AK272" s="39">
        <v>1.33634708931066E-2</v>
      </c>
      <c r="AL272" s="39">
        <v>1.33634708931066E-2</v>
      </c>
      <c r="AM272" s="39">
        <v>1.33634708931066E-2</v>
      </c>
      <c r="AN272" s="39">
        <v>1.33634708931066E-2</v>
      </c>
      <c r="AO272" s="39">
        <v>1.33634708931066E-2</v>
      </c>
      <c r="AP272" s="39">
        <v>1.33634708931066E-2</v>
      </c>
      <c r="AQ272" s="39">
        <v>1.33634708931066E-2</v>
      </c>
      <c r="AR272" s="39">
        <v>1.33634708931066E-2</v>
      </c>
      <c r="AS272" s="39">
        <v>1.33634708931066E-2</v>
      </c>
      <c r="AT272" s="39">
        <v>1.33634708931066E-2</v>
      </c>
      <c r="AU272" s="39">
        <v>1.2392217523121999E-3</v>
      </c>
      <c r="AV272" s="39">
        <v>1.2392217523121999E-3</v>
      </c>
      <c r="AW272" s="39">
        <v>1.2392217523121999E-3</v>
      </c>
      <c r="AX272" s="39">
        <v>1.2392217523121999E-3</v>
      </c>
      <c r="AY272" s="39">
        <v>1.2392217523121999E-3</v>
      </c>
      <c r="AZ272" s="39">
        <v>1.2392217523121999E-3</v>
      </c>
      <c r="BA272" s="39">
        <v>1.2392217523121999E-3</v>
      </c>
      <c r="BB272" s="39">
        <v>1.2392217523121999E-3</v>
      </c>
      <c r="BC272" s="39">
        <v>1.2392217523121999E-3</v>
      </c>
      <c r="BD272" s="39">
        <v>1.2392217523121999E-3</v>
      </c>
      <c r="BE272" s="39">
        <v>1.2392217523121999E-3</v>
      </c>
      <c r="BF272" s="39">
        <v>1.2392217523121999E-3</v>
      </c>
      <c r="BH272" s="12">
        <f t="shared" si="159"/>
        <v>0</v>
      </c>
      <c r="BI272" s="12">
        <f t="shared" si="160"/>
        <v>0</v>
      </c>
      <c r="BJ272" s="12">
        <f t="shared" si="161"/>
        <v>0</v>
      </c>
      <c r="BK272" s="12">
        <f t="shared" si="162"/>
        <v>0</v>
      </c>
      <c r="BL272" s="12">
        <f t="shared" si="163"/>
        <v>0</v>
      </c>
      <c r="BM272" s="12">
        <f t="shared" si="164"/>
        <v>0</v>
      </c>
      <c r="BN272" s="12">
        <f t="shared" si="165"/>
        <v>0</v>
      </c>
      <c r="BO272" s="12">
        <f t="shared" si="166"/>
        <v>0</v>
      </c>
      <c r="BP272" s="12">
        <f t="shared" si="167"/>
        <v>0</v>
      </c>
      <c r="BQ272" s="12">
        <f t="shared" si="168"/>
        <v>0</v>
      </c>
      <c r="BR272" s="12">
        <f t="shared" si="170"/>
        <v>0</v>
      </c>
      <c r="BS272" s="12">
        <f t="shared" si="171"/>
        <v>0</v>
      </c>
      <c r="BU272" s="11">
        <f t="shared" si="172"/>
        <v>0</v>
      </c>
      <c r="BV272" s="11">
        <f t="shared" si="173"/>
        <v>0</v>
      </c>
      <c r="BW272" s="11">
        <f t="shared" si="174"/>
        <v>0</v>
      </c>
      <c r="BX272" s="11">
        <f t="shared" si="175"/>
        <v>0</v>
      </c>
      <c r="BY272" s="11">
        <f t="shared" si="176"/>
        <v>0</v>
      </c>
      <c r="BZ272" s="11">
        <f t="shared" si="177"/>
        <v>0</v>
      </c>
      <c r="CA272" s="11">
        <f t="shared" si="178"/>
        <v>0</v>
      </c>
      <c r="CB272" s="11">
        <f t="shared" si="179"/>
        <v>0</v>
      </c>
      <c r="CC272" s="11">
        <f t="shared" si="180"/>
        <v>0</v>
      </c>
      <c r="CD272" s="11">
        <f t="shared" si="181"/>
        <v>0</v>
      </c>
      <c r="CE272" s="11">
        <f t="shared" si="182"/>
        <v>0</v>
      </c>
      <c r="CF272" s="11">
        <f t="shared" si="183"/>
        <v>0</v>
      </c>
      <c r="CG272" s="11"/>
      <c r="CH272" s="41">
        <v>3.23</v>
      </c>
      <c r="CJ272" s="54">
        <f t="shared" si="184"/>
        <v>0</v>
      </c>
      <c r="CK272" s="54">
        <f t="shared" si="185"/>
        <v>0</v>
      </c>
      <c r="CL272" s="54">
        <f t="shared" si="186"/>
        <v>0</v>
      </c>
      <c r="CM272" s="54">
        <f t="shared" si="187"/>
        <v>0</v>
      </c>
      <c r="CN272" s="54">
        <f t="shared" si="188"/>
        <v>0</v>
      </c>
      <c r="CO272" s="54">
        <f t="shared" si="189"/>
        <v>0</v>
      </c>
      <c r="CP272" s="54">
        <f t="shared" si="190"/>
        <v>0</v>
      </c>
      <c r="CQ272" s="54">
        <f t="shared" si="191"/>
        <v>0</v>
      </c>
      <c r="CR272" s="54">
        <f t="shared" si="192"/>
        <v>0</v>
      </c>
      <c r="CS272" s="54">
        <f t="shared" si="193"/>
        <v>0</v>
      </c>
      <c r="CT272" s="54">
        <f t="shared" si="194"/>
        <v>0</v>
      </c>
      <c r="CU272" s="54">
        <f t="shared" si="195"/>
        <v>0</v>
      </c>
      <c r="CV272" s="52">
        <f t="shared" si="196"/>
        <v>0</v>
      </c>
    </row>
    <row r="273" spans="1:100" ht="15.75" x14ac:dyDescent="0.25">
      <c r="A273" s="16"/>
      <c r="B273" s="44"/>
      <c r="C273" s="44"/>
      <c r="D273" s="44"/>
      <c r="E273" s="44"/>
      <c r="F273" s="45" t="s">
        <v>2948</v>
      </c>
      <c r="G273" s="83"/>
      <c r="H273" s="83"/>
      <c r="I273" s="83"/>
      <c r="J273" s="83"/>
      <c r="K273" s="83"/>
      <c r="L273" s="83"/>
      <c r="M273" s="83"/>
      <c r="N273" s="83"/>
      <c r="O273" s="83"/>
      <c r="P273" s="83"/>
      <c r="Q273" s="83"/>
      <c r="R273" s="83"/>
      <c r="S273" s="11">
        <f t="shared" si="197"/>
        <v>0</v>
      </c>
      <c r="T273" s="10">
        <f t="shared" si="198"/>
        <v>0</v>
      </c>
      <c r="U273" s="13" t="s">
        <v>2951</v>
      </c>
      <c r="V273" s="46">
        <f t="shared" si="169"/>
        <v>0</v>
      </c>
      <c r="W273" s="36">
        <v>1.8500010816189674</v>
      </c>
      <c r="X273" s="36">
        <v>1.8500010816189674</v>
      </c>
      <c r="Y273" s="36">
        <v>1.8500010816189674</v>
      </c>
      <c r="Z273" s="36">
        <v>1.8500010816189674</v>
      </c>
      <c r="AA273" s="36">
        <v>1.8500010816189674</v>
      </c>
      <c r="AB273" s="36">
        <v>1.8500010816189674</v>
      </c>
      <c r="AC273" s="36">
        <v>1.8500010816189674</v>
      </c>
      <c r="AD273" s="36">
        <v>1.8500010816189674</v>
      </c>
      <c r="AE273" s="36">
        <v>1.8500010816189674</v>
      </c>
      <c r="AF273" s="36">
        <v>1.8500010816189674</v>
      </c>
      <c r="AG273" s="36">
        <v>1.8500010816189674</v>
      </c>
      <c r="AH273" s="36">
        <v>1.8500010816189674</v>
      </c>
      <c r="AI273" s="39">
        <v>0</v>
      </c>
      <c r="AJ273" s="39">
        <v>0</v>
      </c>
      <c r="AK273" s="39">
        <v>0</v>
      </c>
      <c r="AL273" s="39">
        <v>0</v>
      </c>
      <c r="AM273" s="39">
        <v>0</v>
      </c>
      <c r="AN273" s="39">
        <v>0</v>
      </c>
      <c r="AO273" s="39">
        <v>0</v>
      </c>
      <c r="AP273" s="39">
        <v>0</v>
      </c>
      <c r="AQ273" s="39">
        <v>0</v>
      </c>
      <c r="AR273" s="39">
        <v>0</v>
      </c>
      <c r="AS273" s="39">
        <v>0</v>
      </c>
      <c r="AT273" s="39">
        <v>0</v>
      </c>
      <c r="AU273" s="39">
        <v>0</v>
      </c>
      <c r="AV273" s="39">
        <v>0</v>
      </c>
      <c r="AW273" s="39">
        <v>0</v>
      </c>
      <c r="AX273" s="39">
        <v>0</v>
      </c>
      <c r="AY273" s="39">
        <v>0</v>
      </c>
      <c r="AZ273" s="39">
        <v>0</v>
      </c>
      <c r="BA273" s="39">
        <v>0</v>
      </c>
      <c r="BB273" s="39">
        <v>0</v>
      </c>
      <c r="BC273" s="39">
        <v>0</v>
      </c>
      <c r="BD273" s="39">
        <v>0</v>
      </c>
      <c r="BE273" s="39">
        <v>0</v>
      </c>
      <c r="BF273" s="39">
        <v>0</v>
      </c>
      <c r="BH273" s="12">
        <f t="shared" ref="BH273:BH336" si="199">(W273*G273)</f>
        <v>0</v>
      </c>
      <c r="BI273" s="12">
        <f t="shared" ref="BI273:BI336" si="200">(X273*H273)</f>
        <v>0</v>
      </c>
      <c r="BJ273" s="12">
        <f t="shared" ref="BJ273:BJ336" si="201">(Y273*I273)</f>
        <v>0</v>
      </c>
      <c r="BK273" s="12">
        <f t="shared" ref="BK273:BK336" si="202">(Z273*J273)</f>
        <v>0</v>
      </c>
      <c r="BL273" s="12">
        <f t="shared" ref="BL273:BL336" si="203">(AA273*K273)</f>
        <v>0</v>
      </c>
      <c r="BM273" s="12">
        <f t="shared" ref="BM273:BM336" si="204">(AB273*L273)</f>
        <v>0</v>
      </c>
      <c r="BN273" s="12">
        <f t="shared" ref="BN273:BN336" si="205">(AC273*M273)</f>
        <v>0</v>
      </c>
      <c r="BO273" s="12">
        <f t="shared" ref="BO273:BO336" si="206">(AD273*N273)</f>
        <v>0</v>
      </c>
      <c r="BP273" s="12">
        <f t="shared" ref="BP273:BP336" si="207">(AE273*O273)</f>
        <v>0</v>
      </c>
      <c r="BQ273" s="12">
        <f t="shared" ref="BQ273:BQ336" si="208">(AF273*P273)</f>
        <v>0</v>
      </c>
      <c r="BR273" s="12">
        <f t="shared" si="170"/>
        <v>0</v>
      </c>
      <c r="BS273" s="12">
        <f t="shared" si="171"/>
        <v>0</v>
      </c>
      <c r="BU273" s="11">
        <f t="shared" si="172"/>
        <v>0</v>
      </c>
      <c r="BV273" s="11">
        <f t="shared" si="173"/>
        <v>0</v>
      </c>
      <c r="BW273" s="11">
        <f t="shared" si="174"/>
        <v>0</v>
      </c>
      <c r="BX273" s="11">
        <f t="shared" si="175"/>
        <v>0</v>
      </c>
      <c r="BY273" s="11">
        <f t="shared" si="176"/>
        <v>0</v>
      </c>
      <c r="BZ273" s="11">
        <f t="shared" si="177"/>
        <v>0</v>
      </c>
      <c r="CA273" s="11">
        <f t="shared" si="178"/>
        <v>0</v>
      </c>
      <c r="CB273" s="11">
        <f t="shared" si="179"/>
        <v>0</v>
      </c>
      <c r="CC273" s="11">
        <f t="shared" si="180"/>
        <v>0</v>
      </c>
      <c r="CD273" s="11">
        <f t="shared" si="181"/>
        <v>0</v>
      </c>
      <c r="CE273" s="11">
        <f t="shared" si="182"/>
        <v>0</v>
      </c>
      <c r="CF273" s="11">
        <f t="shared" si="183"/>
        <v>0</v>
      </c>
      <c r="CG273" s="11"/>
      <c r="CH273" s="41">
        <v>1</v>
      </c>
      <c r="CJ273" s="54">
        <f t="shared" si="184"/>
        <v>0</v>
      </c>
      <c r="CK273" s="54">
        <f t="shared" si="185"/>
        <v>0</v>
      </c>
      <c r="CL273" s="54">
        <f t="shared" si="186"/>
        <v>0</v>
      </c>
      <c r="CM273" s="54">
        <f t="shared" si="187"/>
        <v>0</v>
      </c>
      <c r="CN273" s="54">
        <f t="shared" si="188"/>
        <v>0</v>
      </c>
      <c r="CO273" s="54">
        <f t="shared" si="189"/>
        <v>0</v>
      </c>
      <c r="CP273" s="54">
        <f t="shared" si="190"/>
        <v>0</v>
      </c>
      <c r="CQ273" s="54">
        <f t="shared" si="191"/>
        <v>0</v>
      </c>
      <c r="CR273" s="54">
        <f t="shared" si="192"/>
        <v>0</v>
      </c>
      <c r="CS273" s="54">
        <f t="shared" si="193"/>
        <v>0</v>
      </c>
      <c r="CT273" s="54">
        <f t="shared" si="194"/>
        <v>0</v>
      </c>
      <c r="CU273" s="54">
        <f t="shared" si="195"/>
        <v>0</v>
      </c>
      <c r="CV273" s="52">
        <f t="shared" si="196"/>
        <v>0</v>
      </c>
    </row>
    <row r="274" spans="1:100" ht="15.75" x14ac:dyDescent="0.25">
      <c r="A274" s="16"/>
      <c r="B274" s="44"/>
      <c r="C274" s="44"/>
      <c r="D274" s="44"/>
      <c r="E274" s="44"/>
      <c r="F274" s="45" t="s">
        <v>2948</v>
      </c>
      <c r="G274" s="83"/>
      <c r="H274" s="83"/>
      <c r="I274" s="83"/>
      <c r="J274" s="83"/>
      <c r="K274" s="83"/>
      <c r="L274" s="83"/>
      <c r="M274" s="83"/>
      <c r="N274" s="83"/>
      <c r="O274" s="83"/>
      <c r="P274" s="83"/>
      <c r="Q274" s="83"/>
      <c r="R274" s="83"/>
      <c r="S274" s="11">
        <f t="shared" si="197"/>
        <v>0</v>
      </c>
      <c r="T274" s="10">
        <f t="shared" si="198"/>
        <v>0</v>
      </c>
      <c r="U274" s="13" t="s">
        <v>2951</v>
      </c>
      <c r="V274" s="46">
        <f t="shared" si="169"/>
        <v>0</v>
      </c>
      <c r="W274" s="36">
        <v>3.17</v>
      </c>
      <c r="X274" s="36">
        <v>3.17</v>
      </c>
      <c r="Y274" s="36">
        <v>3.17</v>
      </c>
      <c r="Z274" s="36">
        <v>3.17</v>
      </c>
      <c r="AA274" s="36">
        <v>3.17</v>
      </c>
      <c r="AB274" s="36">
        <v>3.17</v>
      </c>
      <c r="AC274" s="36">
        <v>3.17</v>
      </c>
      <c r="AD274" s="36">
        <v>3.17</v>
      </c>
      <c r="AE274" s="36">
        <v>3.17</v>
      </c>
      <c r="AF274" s="36">
        <v>3.17</v>
      </c>
      <c r="AG274" s="36">
        <v>3.17</v>
      </c>
      <c r="AH274" s="36">
        <v>3.17</v>
      </c>
      <c r="AI274" s="39">
        <v>0</v>
      </c>
      <c r="AJ274" s="39">
        <v>0</v>
      </c>
      <c r="AK274" s="39">
        <v>0</v>
      </c>
      <c r="AL274" s="39">
        <v>0</v>
      </c>
      <c r="AM274" s="39">
        <v>0</v>
      </c>
      <c r="AN274" s="39">
        <v>0</v>
      </c>
      <c r="AO274" s="39">
        <v>0</v>
      </c>
      <c r="AP274" s="39">
        <v>0</v>
      </c>
      <c r="AQ274" s="39">
        <v>0</v>
      </c>
      <c r="AR274" s="39">
        <v>0</v>
      </c>
      <c r="AS274" s="39">
        <v>0</v>
      </c>
      <c r="AT274" s="39">
        <v>0</v>
      </c>
      <c r="AU274" s="39">
        <v>0</v>
      </c>
      <c r="AV274" s="39">
        <v>0</v>
      </c>
      <c r="AW274" s="39">
        <v>0</v>
      </c>
      <c r="AX274" s="39">
        <v>0</v>
      </c>
      <c r="AY274" s="39">
        <v>0</v>
      </c>
      <c r="AZ274" s="39">
        <v>0</v>
      </c>
      <c r="BA274" s="39">
        <v>0</v>
      </c>
      <c r="BB274" s="39">
        <v>0</v>
      </c>
      <c r="BC274" s="39">
        <v>0</v>
      </c>
      <c r="BD274" s="39">
        <v>0</v>
      </c>
      <c r="BE274" s="39">
        <v>0</v>
      </c>
      <c r="BF274" s="39">
        <v>0</v>
      </c>
      <c r="BH274" s="12">
        <f t="shared" si="199"/>
        <v>0</v>
      </c>
      <c r="BI274" s="12">
        <f t="shared" si="200"/>
        <v>0</v>
      </c>
      <c r="BJ274" s="12">
        <f t="shared" si="201"/>
        <v>0</v>
      </c>
      <c r="BK274" s="12">
        <f t="shared" si="202"/>
        <v>0</v>
      </c>
      <c r="BL274" s="12">
        <f t="shared" si="203"/>
        <v>0</v>
      </c>
      <c r="BM274" s="12">
        <f t="shared" si="204"/>
        <v>0</v>
      </c>
      <c r="BN274" s="12">
        <f t="shared" si="205"/>
        <v>0</v>
      </c>
      <c r="BO274" s="12">
        <f t="shared" si="206"/>
        <v>0</v>
      </c>
      <c r="BP274" s="12">
        <f t="shared" si="207"/>
        <v>0</v>
      </c>
      <c r="BQ274" s="12">
        <f t="shared" si="208"/>
        <v>0</v>
      </c>
      <c r="BR274" s="12">
        <f t="shared" si="170"/>
        <v>0</v>
      </c>
      <c r="BS274" s="12">
        <f t="shared" si="171"/>
        <v>0</v>
      </c>
      <c r="BU274" s="11">
        <f t="shared" si="172"/>
        <v>0</v>
      </c>
      <c r="BV274" s="11">
        <f t="shared" si="173"/>
        <v>0</v>
      </c>
      <c r="BW274" s="11">
        <f t="shared" si="174"/>
        <v>0</v>
      </c>
      <c r="BX274" s="11">
        <f t="shared" si="175"/>
        <v>0</v>
      </c>
      <c r="BY274" s="11">
        <f t="shared" si="176"/>
        <v>0</v>
      </c>
      <c r="BZ274" s="11">
        <f t="shared" si="177"/>
        <v>0</v>
      </c>
      <c r="CA274" s="11">
        <f t="shared" si="178"/>
        <v>0</v>
      </c>
      <c r="CB274" s="11">
        <f t="shared" si="179"/>
        <v>0</v>
      </c>
      <c r="CC274" s="11">
        <f t="shared" si="180"/>
        <v>0</v>
      </c>
      <c r="CD274" s="11">
        <f t="shared" si="181"/>
        <v>0</v>
      </c>
      <c r="CE274" s="11">
        <f t="shared" si="182"/>
        <v>0</v>
      </c>
      <c r="CF274" s="11">
        <f t="shared" si="183"/>
        <v>0</v>
      </c>
      <c r="CG274" s="11"/>
      <c r="CH274" s="41">
        <v>1</v>
      </c>
      <c r="CJ274" s="54">
        <f t="shared" si="184"/>
        <v>0</v>
      </c>
      <c r="CK274" s="54">
        <f t="shared" si="185"/>
        <v>0</v>
      </c>
      <c r="CL274" s="54">
        <f t="shared" si="186"/>
        <v>0</v>
      </c>
      <c r="CM274" s="54">
        <f t="shared" si="187"/>
        <v>0</v>
      </c>
      <c r="CN274" s="54">
        <f t="shared" si="188"/>
        <v>0</v>
      </c>
      <c r="CO274" s="54">
        <f t="shared" si="189"/>
        <v>0</v>
      </c>
      <c r="CP274" s="54">
        <f t="shared" si="190"/>
        <v>0</v>
      </c>
      <c r="CQ274" s="54">
        <f t="shared" si="191"/>
        <v>0</v>
      </c>
      <c r="CR274" s="54">
        <f t="shared" si="192"/>
        <v>0</v>
      </c>
      <c r="CS274" s="54">
        <f t="shared" si="193"/>
        <v>0</v>
      </c>
      <c r="CT274" s="54">
        <f t="shared" si="194"/>
        <v>0</v>
      </c>
      <c r="CU274" s="54">
        <f t="shared" si="195"/>
        <v>0</v>
      </c>
      <c r="CV274" s="52">
        <f t="shared" si="196"/>
        <v>0</v>
      </c>
    </row>
    <row r="275" spans="1:100" ht="15.75" x14ac:dyDescent="0.25">
      <c r="A275" s="16"/>
      <c r="B275" s="44"/>
      <c r="C275" s="44"/>
      <c r="D275" s="44"/>
      <c r="E275" s="44"/>
      <c r="F275" s="45" t="s">
        <v>2948</v>
      </c>
      <c r="G275" s="83"/>
      <c r="H275" s="83"/>
      <c r="I275" s="83"/>
      <c r="J275" s="83"/>
      <c r="K275" s="83"/>
      <c r="L275" s="83"/>
      <c r="M275" s="83"/>
      <c r="N275" s="83"/>
      <c r="O275" s="83"/>
      <c r="P275" s="83"/>
      <c r="Q275" s="83"/>
      <c r="R275" s="83"/>
      <c r="S275" s="11">
        <f t="shared" si="197"/>
        <v>0</v>
      </c>
      <c r="T275" s="10">
        <f t="shared" si="198"/>
        <v>0</v>
      </c>
      <c r="U275" s="13" t="s">
        <v>2951</v>
      </c>
      <c r="V275" s="46">
        <f t="shared" si="169"/>
        <v>0</v>
      </c>
      <c r="W275" s="36">
        <v>3.149</v>
      </c>
      <c r="X275" s="36">
        <v>3.149</v>
      </c>
      <c r="Y275" s="36">
        <v>3.149</v>
      </c>
      <c r="Z275" s="36">
        <v>3.149</v>
      </c>
      <c r="AA275" s="36">
        <v>3.149</v>
      </c>
      <c r="AB275" s="36">
        <v>3.149</v>
      </c>
      <c r="AC275" s="36">
        <v>3.149</v>
      </c>
      <c r="AD275" s="36">
        <v>3.149</v>
      </c>
      <c r="AE275" s="36">
        <v>3.149</v>
      </c>
      <c r="AF275" s="36">
        <v>3.149</v>
      </c>
      <c r="AG275" s="36">
        <v>3.149</v>
      </c>
      <c r="AH275" s="36">
        <v>3.149</v>
      </c>
      <c r="AI275" s="39">
        <v>1.33634708931066E-2</v>
      </c>
      <c r="AJ275" s="39">
        <v>1.33634708931066E-2</v>
      </c>
      <c r="AK275" s="39">
        <v>1.33634708931066E-2</v>
      </c>
      <c r="AL275" s="39">
        <v>1.33634708931066E-2</v>
      </c>
      <c r="AM275" s="39">
        <v>1.33634708931066E-2</v>
      </c>
      <c r="AN275" s="39">
        <v>1.33634708931066E-2</v>
      </c>
      <c r="AO275" s="39">
        <v>1.33634708931066E-2</v>
      </c>
      <c r="AP275" s="39">
        <v>1.33634708931066E-2</v>
      </c>
      <c r="AQ275" s="39">
        <v>1.33634708931066E-2</v>
      </c>
      <c r="AR275" s="39">
        <v>1.33634708931066E-2</v>
      </c>
      <c r="AS275" s="39">
        <v>1.33634708931066E-2</v>
      </c>
      <c r="AT275" s="39">
        <v>1.33634708931066E-2</v>
      </c>
      <c r="AU275" s="39">
        <v>1.2392217523121999E-3</v>
      </c>
      <c r="AV275" s="39">
        <v>1.2392217523121999E-3</v>
      </c>
      <c r="AW275" s="39">
        <v>1.2392217523121999E-3</v>
      </c>
      <c r="AX275" s="39">
        <v>1.2392217523121999E-3</v>
      </c>
      <c r="AY275" s="39">
        <v>1.2392217523121999E-3</v>
      </c>
      <c r="AZ275" s="39">
        <v>1.2392217523121999E-3</v>
      </c>
      <c r="BA275" s="39">
        <v>1.2392217523121999E-3</v>
      </c>
      <c r="BB275" s="39">
        <v>1.2392217523121999E-3</v>
      </c>
      <c r="BC275" s="39">
        <v>1.2392217523121999E-3</v>
      </c>
      <c r="BD275" s="39">
        <v>1.2392217523121999E-3</v>
      </c>
      <c r="BE275" s="39">
        <v>1.2392217523121999E-3</v>
      </c>
      <c r="BF275" s="39">
        <v>1.2392217523121999E-3</v>
      </c>
      <c r="BH275" s="12">
        <f t="shared" si="199"/>
        <v>0</v>
      </c>
      <c r="BI275" s="12">
        <f t="shared" si="200"/>
        <v>0</v>
      </c>
      <c r="BJ275" s="12">
        <f t="shared" si="201"/>
        <v>0</v>
      </c>
      <c r="BK275" s="12">
        <f t="shared" si="202"/>
        <v>0</v>
      </c>
      <c r="BL275" s="12">
        <f t="shared" si="203"/>
        <v>0</v>
      </c>
      <c r="BM275" s="12">
        <f t="shared" si="204"/>
        <v>0</v>
      </c>
      <c r="BN275" s="12">
        <f t="shared" si="205"/>
        <v>0</v>
      </c>
      <c r="BO275" s="12">
        <f t="shared" si="206"/>
        <v>0</v>
      </c>
      <c r="BP275" s="12">
        <f t="shared" si="207"/>
        <v>0</v>
      </c>
      <c r="BQ275" s="12">
        <f t="shared" si="208"/>
        <v>0</v>
      </c>
      <c r="BR275" s="12">
        <f t="shared" si="170"/>
        <v>0</v>
      </c>
      <c r="BS275" s="12">
        <f t="shared" si="171"/>
        <v>0</v>
      </c>
      <c r="BU275" s="11">
        <f t="shared" si="172"/>
        <v>0</v>
      </c>
      <c r="BV275" s="11">
        <f t="shared" si="173"/>
        <v>0</v>
      </c>
      <c r="BW275" s="11">
        <f t="shared" si="174"/>
        <v>0</v>
      </c>
      <c r="BX275" s="11">
        <f t="shared" si="175"/>
        <v>0</v>
      </c>
      <c r="BY275" s="11">
        <f t="shared" si="176"/>
        <v>0</v>
      </c>
      <c r="BZ275" s="11">
        <f t="shared" si="177"/>
        <v>0</v>
      </c>
      <c r="CA275" s="11">
        <f t="shared" si="178"/>
        <v>0</v>
      </c>
      <c r="CB275" s="11">
        <f t="shared" si="179"/>
        <v>0</v>
      </c>
      <c r="CC275" s="11">
        <f t="shared" si="180"/>
        <v>0</v>
      </c>
      <c r="CD275" s="11">
        <f t="shared" si="181"/>
        <v>0</v>
      </c>
      <c r="CE275" s="11">
        <f t="shared" si="182"/>
        <v>0</v>
      </c>
      <c r="CF275" s="11">
        <f t="shared" si="183"/>
        <v>0</v>
      </c>
      <c r="CG275" s="11"/>
      <c r="CH275" s="41">
        <v>3.23</v>
      </c>
      <c r="CJ275" s="54">
        <f t="shared" si="184"/>
        <v>0</v>
      </c>
      <c r="CK275" s="54">
        <f t="shared" si="185"/>
        <v>0</v>
      </c>
      <c r="CL275" s="54">
        <f t="shared" si="186"/>
        <v>0</v>
      </c>
      <c r="CM275" s="54">
        <f t="shared" si="187"/>
        <v>0</v>
      </c>
      <c r="CN275" s="54">
        <f t="shared" si="188"/>
        <v>0</v>
      </c>
      <c r="CO275" s="54">
        <f t="shared" si="189"/>
        <v>0</v>
      </c>
      <c r="CP275" s="54">
        <f t="shared" si="190"/>
        <v>0</v>
      </c>
      <c r="CQ275" s="54">
        <f t="shared" si="191"/>
        <v>0</v>
      </c>
      <c r="CR275" s="54">
        <f t="shared" si="192"/>
        <v>0</v>
      </c>
      <c r="CS275" s="54">
        <f t="shared" si="193"/>
        <v>0</v>
      </c>
      <c r="CT275" s="54">
        <f t="shared" si="194"/>
        <v>0</v>
      </c>
      <c r="CU275" s="54">
        <f t="shared" si="195"/>
        <v>0</v>
      </c>
      <c r="CV275" s="52">
        <f t="shared" si="196"/>
        <v>0</v>
      </c>
    </row>
    <row r="276" spans="1:100" ht="15.75" x14ac:dyDescent="0.25">
      <c r="A276" s="16"/>
      <c r="B276" s="44"/>
      <c r="C276" s="44"/>
      <c r="D276" s="44"/>
      <c r="E276" s="44"/>
      <c r="F276" s="45" t="s">
        <v>2948</v>
      </c>
      <c r="G276" s="83"/>
      <c r="H276" s="83"/>
      <c r="I276" s="83"/>
      <c r="J276" s="83"/>
      <c r="K276" s="83"/>
      <c r="L276" s="83"/>
      <c r="M276" s="83"/>
      <c r="N276" s="83"/>
      <c r="O276" s="83"/>
      <c r="P276" s="83"/>
      <c r="Q276" s="83"/>
      <c r="R276" s="83"/>
      <c r="S276" s="11">
        <f t="shared" si="197"/>
        <v>0</v>
      </c>
      <c r="T276" s="10">
        <f t="shared" si="198"/>
        <v>0</v>
      </c>
      <c r="U276" s="13" t="s">
        <v>2951</v>
      </c>
      <c r="V276" s="46">
        <f t="shared" si="169"/>
        <v>0</v>
      </c>
      <c r="W276" s="36">
        <v>1.4379999999999999</v>
      </c>
      <c r="X276" s="36">
        <v>1.4379999999999999</v>
      </c>
      <c r="Y276" s="36">
        <v>1.4379999999999999</v>
      </c>
      <c r="Z276" s="36">
        <v>1.4379999999999999</v>
      </c>
      <c r="AA276" s="36">
        <v>1.4379999999999999</v>
      </c>
      <c r="AB276" s="36">
        <v>1.4379999999999999</v>
      </c>
      <c r="AC276" s="36">
        <v>1.4379999999999999</v>
      </c>
      <c r="AD276" s="36">
        <v>1.4379999999999999</v>
      </c>
      <c r="AE276" s="36">
        <v>1.4379999999999999</v>
      </c>
      <c r="AF276" s="36">
        <v>1.4379999999999999</v>
      </c>
      <c r="AG276" s="36">
        <v>1.4379999999999999</v>
      </c>
      <c r="AH276" s="36">
        <v>1.4379999999999999</v>
      </c>
      <c r="AI276" s="39">
        <v>1.33634708931066E-2</v>
      </c>
      <c r="AJ276" s="39">
        <v>1.33634708931066E-2</v>
      </c>
      <c r="AK276" s="39">
        <v>1.33634708931066E-2</v>
      </c>
      <c r="AL276" s="39">
        <v>1.33634708931066E-2</v>
      </c>
      <c r="AM276" s="39">
        <v>1.33634708931066E-2</v>
      </c>
      <c r="AN276" s="39">
        <v>1.33634708931066E-2</v>
      </c>
      <c r="AO276" s="39">
        <v>1.33634708931066E-2</v>
      </c>
      <c r="AP276" s="39">
        <v>1.33634708931066E-2</v>
      </c>
      <c r="AQ276" s="39">
        <v>1.33634708931066E-2</v>
      </c>
      <c r="AR276" s="39">
        <v>1.33634708931066E-2</v>
      </c>
      <c r="AS276" s="39">
        <v>1.33634708931066E-2</v>
      </c>
      <c r="AT276" s="39">
        <v>1.33634708931066E-2</v>
      </c>
      <c r="AU276" s="39">
        <v>1.2392217523121999E-3</v>
      </c>
      <c r="AV276" s="39">
        <v>1.2392217523121999E-3</v>
      </c>
      <c r="AW276" s="39">
        <v>1.2392217523121999E-3</v>
      </c>
      <c r="AX276" s="39">
        <v>1.2392217523121999E-3</v>
      </c>
      <c r="AY276" s="39">
        <v>1.2392217523121999E-3</v>
      </c>
      <c r="AZ276" s="39">
        <v>1.2392217523121999E-3</v>
      </c>
      <c r="BA276" s="39">
        <v>1.2392217523121999E-3</v>
      </c>
      <c r="BB276" s="39">
        <v>1.2392217523121999E-3</v>
      </c>
      <c r="BC276" s="39">
        <v>1.2392217523121999E-3</v>
      </c>
      <c r="BD276" s="39">
        <v>1.2392217523121999E-3</v>
      </c>
      <c r="BE276" s="39">
        <v>1.2392217523121999E-3</v>
      </c>
      <c r="BF276" s="39">
        <v>1.2392217523121999E-3</v>
      </c>
      <c r="BH276" s="12">
        <f t="shared" si="199"/>
        <v>0</v>
      </c>
      <c r="BI276" s="12">
        <f t="shared" si="200"/>
        <v>0</v>
      </c>
      <c r="BJ276" s="12">
        <f t="shared" si="201"/>
        <v>0</v>
      </c>
      <c r="BK276" s="12">
        <f t="shared" si="202"/>
        <v>0</v>
      </c>
      <c r="BL276" s="12">
        <f t="shared" si="203"/>
        <v>0</v>
      </c>
      <c r="BM276" s="12">
        <f t="shared" si="204"/>
        <v>0</v>
      </c>
      <c r="BN276" s="12">
        <f t="shared" si="205"/>
        <v>0</v>
      </c>
      <c r="BO276" s="12">
        <f t="shared" si="206"/>
        <v>0</v>
      </c>
      <c r="BP276" s="12">
        <f t="shared" si="207"/>
        <v>0</v>
      </c>
      <c r="BQ276" s="12">
        <f t="shared" si="208"/>
        <v>0</v>
      </c>
      <c r="BR276" s="12">
        <f t="shared" si="170"/>
        <v>0</v>
      </c>
      <c r="BS276" s="12">
        <f t="shared" si="171"/>
        <v>0</v>
      </c>
      <c r="BU276" s="11">
        <f t="shared" si="172"/>
        <v>0</v>
      </c>
      <c r="BV276" s="11">
        <f t="shared" si="173"/>
        <v>0</v>
      </c>
      <c r="BW276" s="11">
        <f t="shared" si="174"/>
        <v>0</v>
      </c>
      <c r="BX276" s="11">
        <f t="shared" si="175"/>
        <v>0</v>
      </c>
      <c r="BY276" s="11">
        <f t="shared" si="176"/>
        <v>0</v>
      </c>
      <c r="BZ276" s="11">
        <f t="shared" si="177"/>
        <v>0</v>
      </c>
      <c r="CA276" s="11">
        <f t="shared" si="178"/>
        <v>0</v>
      </c>
      <c r="CB276" s="11">
        <f t="shared" si="179"/>
        <v>0</v>
      </c>
      <c r="CC276" s="11">
        <f t="shared" si="180"/>
        <v>0</v>
      </c>
      <c r="CD276" s="11">
        <f t="shared" si="181"/>
        <v>0</v>
      </c>
      <c r="CE276" s="11">
        <f t="shared" si="182"/>
        <v>0</v>
      </c>
      <c r="CF276" s="11">
        <f t="shared" si="183"/>
        <v>0</v>
      </c>
      <c r="CG276" s="11"/>
      <c r="CH276" s="41">
        <v>3.23</v>
      </c>
      <c r="CJ276" s="54">
        <f t="shared" si="184"/>
        <v>0</v>
      </c>
      <c r="CK276" s="54">
        <f t="shared" si="185"/>
        <v>0</v>
      </c>
      <c r="CL276" s="54">
        <f t="shared" si="186"/>
        <v>0</v>
      </c>
      <c r="CM276" s="54">
        <f t="shared" si="187"/>
        <v>0</v>
      </c>
      <c r="CN276" s="54">
        <f t="shared" si="188"/>
        <v>0</v>
      </c>
      <c r="CO276" s="54">
        <f t="shared" si="189"/>
        <v>0</v>
      </c>
      <c r="CP276" s="54">
        <f t="shared" si="190"/>
        <v>0</v>
      </c>
      <c r="CQ276" s="54">
        <f t="shared" si="191"/>
        <v>0</v>
      </c>
      <c r="CR276" s="54">
        <f t="shared" si="192"/>
        <v>0</v>
      </c>
      <c r="CS276" s="54">
        <f t="shared" si="193"/>
        <v>0</v>
      </c>
      <c r="CT276" s="54">
        <f t="shared" si="194"/>
        <v>0</v>
      </c>
      <c r="CU276" s="54">
        <f t="shared" si="195"/>
        <v>0</v>
      </c>
      <c r="CV276" s="52">
        <f t="shared" si="196"/>
        <v>0</v>
      </c>
    </row>
    <row r="277" spans="1:100" ht="15.75" x14ac:dyDescent="0.25">
      <c r="A277" s="16"/>
      <c r="B277" s="44"/>
      <c r="C277" s="44"/>
      <c r="D277" s="44"/>
      <c r="E277" s="44"/>
      <c r="F277" s="45" t="s">
        <v>2948</v>
      </c>
      <c r="G277" s="83"/>
      <c r="H277" s="83"/>
      <c r="I277" s="83"/>
      <c r="J277" s="83"/>
      <c r="K277" s="83"/>
      <c r="L277" s="83"/>
      <c r="M277" s="83"/>
      <c r="N277" s="83"/>
      <c r="O277" s="83"/>
      <c r="P277" s="83"/>
      <c r="Q277" s="83"/>
      <c r="R277" s="83"/>
      <c r="S277" s="11">
        <f t="shared" si="197"/>
        <v>0</v>
      </c>
      <c r="T277" s="10">
        <f t="shared" si="198"/>
        <v>0</v>
      </c>
      <c r="U277" s="13" t="s">
        <v>2951</v>
      </c>
      <c r="V277" s="46">
        <f t="shared" si="169"/>
        <v>0</v>
      </c>
      <c r="W277" s="36">
        <v>1.6339999999999999</v>
      </c>
      <c r="X277" s="36">
        <v>1.6339999999999999</v>
      </c>
      <c r="Y277" s="36">
        <v>1.6339999999999999</v>
      </c>
      <c r="Z277" s="36">
        <v>1.6339999999999999</v>
      </c>
      <c r="AA277" s="36">
        <v>1.6339999999999999</v>
      </c>
      <c r="AB277" s="36">
        <v>1.6339999999999999</v>
      </c>
      <c r="AC277" s="36">
        <v>1.6339999999999999</v>
      </c>
      <c r="AD277" s="36">
        <v>1.6339999999999999</v>
      </c>
      <c r="AE277" s="36">
        <v>1.6339999999999999</v>
      </c>
      <c r="AF277" s="36">
        <v>1.6339999999999999</v>
      </c>
      <c r="AG277" s="36">
        <v>1.6339999999999999</v>
      </c>
      <c r="AH277" s="36">
        <v>1.6339999999999999</v>
      </c>
      <c r="AI277" s="39">
        <v>1.33634708931066E-2</v>
      </c>
      <c r="AJ277" s="39">
        <v>1.33634708931066E-2</v>
      </c>
      <c r="AK277" s="39">
        <v>1.33634708931066E-2</v>
      </c>
      <c r="AL277" s="39">
        <v>1.33634708931066E-2</v>
      </c>
      <c r="AM277" s="39">
        <v>1.33634708931066E-2</v>
      </c>
      <c r="AN277" s="39">
        <v>1.33634708931066E-2</v>
      </c>
      <c r="AO277" s="39">
        <v>1.33634708931066E-2</v>
      </c>
      <c r="AP277" s="39">
        <v>1.33634708931066E-2</v>
      </c>
      <c r="AQ277" s="39">
        <v>1.33634708931066E-2</v>
      </c>
      <c r="AR277" s="39">
        <v>1.33634708931066E-2</v>
      </c>
      <c r="AS277" s="39">
        <v>1.33634708931066E-2</v>
      </c>
      <c r="AT277" s="39">
        <v>1.33634708931066E-2</v>
      </c>
      <c r="AU277" s="39">
        <v>1.2392217523121999E-3</v>
      </c>
      <c r="AV277" s="39">
        <v>1.2392217523121999E-3</v>
      </c>
      <c r="AW277" s="39">
        <v>1.2392217523121999E-3</v>
      </c>
      <c r="AX277" s="39">
        <v>1.2392217523121999E-3</v>
      </c>
      <c r="AY277" s="39">
        <v>1.2392217523121999E-3</v>
      </c>
      <c r="AZ277" s="39">
        <v>1.2392217523121999E-3</v>
      </c>
      <c r="BA277" s="39">
        <v>1.2392217523121999E-3</v>
      </c>
      <c r="BB277" s="39">
        <v>1.2392217523121999E-3</v>
      </c>
      <c r="BC277" s="39">
        <v>1.2392217523121999E-3</v>
      </c>
      <c r="BD277" s="39">
        <v>1.2392217523121999E-3</v>
      </c>
      <c r="BE277" s="39">
        <v>1.2392217523121999E-3</v>
      </c>
      <c r="BF277" s="39">
        <v>1.2392217523121999E-3</v>
      </c>
      <c r="BH277" s="12">
        <f t="shared" si="199"/>
        <v>0</v>
      </c>
      <c r="BI277" s="12">
        <f t="shared" si="200"/>
        <v>0</v>
      </c>
      <c r="BJ277" s="12">
        <f t="shared" si="201"/>
        <v>0</v>
      </c>
      <c r="BK277" s="12">
        <f t="shared" si="202"/>
        <v>0</v>
      </c>
      <c r="BL277" s="12">
        <f t="shared" si="203"/>
        <v>0</v>
      </c>
      <c r="BM277" s="12">
        <f t="shared" si="204"/>
        <v>0</v>
      </c>
      <c r="BN277" s="12">
        <f t="shared" si="205"/>
        <v>0</v>
      </c>
      <c r="BO277" s="12">
        <f t="shared" si="206"/>
        <v>0</v>
      </c>
      <c r="BP277" s="12">
        <f t="shared" si="207"/>
        <v>0</v>
      </c>
      <c r="BQ277" s="12">
        <f t="shared" si="208"/>
        <v>0</v>
      </c>
      <c r="BR277" s="12">
        <f t="shared" si="170"/>
        <v>0</v>
      </c>
      <c r="BS277" s="12">
        <f t="shared" si="171"/>
        <v>0</v>
      </c>
      <c r="BU277" s="11">
        <f t="shared" si="172"/>
        <v>0</v>
      </c>
      <c r="BV277" s="11">
        <f t="shared" si="173"/>
        <v>0</v>
      </c>
      <c r="BW277" s="11">
        <f t="shared" si="174"/>
        <v>0</v>
      </c>
      <c r="BX277" s="11">
        <f t="shared" si="175"/>
        <v>0</v>
      </c>
      <c r="BY277" s="11">
        <f t="shared" si="176"/>
        <v>0</v>
      </c>
      <c r="BZ277" s="11">
        <f t="shared" si="177"/>
        <v>0</v>
      </c>
      <c r="CA277" s="11">
        <f t="shared" si="178"/>
        <v>0</v>
      </c>
      <c r="CB277" s="11">
        <f t="shared" si="179"/>
        <v>0</v>
      </c>
      <c r="CC277" s="11">
        <f t="shared" si="180"/>
        <v>0</v>
      </c>
      <c r="CD277" s="11">
        <f t="shared" si="181"/>
        <v>0</v>
      </c>
      <c r="CE277" s="11">
        <f t="shared" si="182"/>
        <v>0</v>
      </c>
      <c r="CF277" s="11">
        <f t="shared" si="183"/>
        <v>0</v>
      </c>
      <c r="CG277" s="11"/>
      <c r="CH277" s="41">
        <v>3.23</v>
      </c>
      <c r="CJ277" s="54">
        <f t="shared" si="184"/>
        <v>0</v>
      </c>
      <c r="CK277" s="54">
        <f t="shared" si="185"/>
        <v>0</v>
      </c>
      <c r="CL277" s="54">
        <f t="shared" si="186"/>
        <v>0</v>
      </c>
      <c r="CM277" s="54">
        <f t="shared" si="187"/>
        <v>0</v>
      </c>
      <c r="CN277" s="54">
        <f t="shared" si="188"/>
        <v>0</v>
      </c>
      <c r="CO277" s="54">
        <f t="shared" si="189"/>
        <v>0</v>
      </c>
      <c r="CP277" s="54">
        <f t="shared" si="190"/>
        <v>0</v>
      </c>
      <c r="CQ277" s="54">
        <f t="shared" si="191"/>
        <v>0</v>
      </c>
      <c r="CR277" s="54">
        <f t="shared" si="192"/>
        <v>0</v>
      </c>
      <c r="CS277" s="54">
        <f t="shared" si="193"/>
        <v>0</v>
      </c>
      <c r="CT277" s="54">
        <f t="shared" si="194"/>
        <v>0</v>
      </c>
      <c r="CU277" s="54">
        <f t="shared" si="195"/>
        <v>0</v>
      </c>
      <c r="CV277" s="52">
        <f t="shared" si="196"/>
        <v>0</v>
      </c>
    </row>
    <row r="278" spans="1:100" ht="15.75" x14ac:dyDescent="0.25">
      <c r="A278" s="16"/>
      <c r="B278" s="44"/>
      <c r="C278" s="44"/>
      <c r="D278" s="44"/>
      <c r="E278" s="44"/>
      <c r="F278" s="45" t="s">
        <v>2948</v>
      </c>
      <c r="G278" s="83"/>
      <c r="H278" s="83"/>
      <c r="I278" s="83"/>
      <c r="J278" s="83"/>
      <c r="K278" s="83"/>
      <c r="L278" s="83"/>
      <c r="M278" s="83"/>
      <c r="N278" s="83"/>
      <c r="O278" s="83"/>
      <c r="P278" s="83"/>
      <c r="Q278" s="83"/>
      <c r="R278" s="83"/>
      <c r="S278" s="11">
        <f t="shared" si="197"/>
        <v>0</v>
      </c>
      <c r="T278" s="10">
        <f t="shared" si="198"/>
        <v>0</v>
      </c>
      <c r="U278" s="13" t="s">
        <v>2951</v>
      </c>
      <c r="V278" s="46">
        <f t="shared" si="169"/>
        <v>0</v>
      </c>
      <c r="W278" s="36">
        <v>2.6459999999999999</v>
      </c>
      <c r="X278" s="36">
        <v>2.6459999999999999</v>
      </c>
      <c r="Y278" s="36">
        <v>2.6459999999999999</v>
      </c>
      <c r="Z278" s="36">
        <v>2.6459999999999999</v>
      </c>
      <c r="AA278" s="36">
        <v>2.6459999999999999</v>
      </c>
      <c r="AB278" s="36">
        <v>2.6459999999999999</v>
      </c>
      <c r="AC278" s="36">
        <v>2.6459999999999999</v>
      </c>
      <c r="AD278" s="36">
        <v>2.6459999999999999</v>
      </c>
      <c r="AE278" s="36">
        <v>2.6459999999999999</v>
      </c>
      <c r="AF278" s="36">
        <v>2.6459999999999999</v>
      </c>
      <c r="AG278" s="36">
        <v>2.6459999999999999</v>
      </c>
      <c r="AH278" s="36">
        <v>2.6459999999999999</v>
      </c>
      <c r="AI278" s="39">
        <v>1.33634708931066E-2</v>
      </c>
      <c r="AJ278" s="39">
        <v>1.33634708931066E-2</v>
      </c>
      <c r="AK278" s="39">
        <v>1.33634708931066E-2</v>
      </c>
      <c r="AL278" s="39">
        <v>1.33634708931066E-2</v>
      </c>
      <c r="AM278" s="39">
        <v>1.33634708931066E-2</v>
      </c>
      <c r="AN278" s="39">
        <v>1.33634708931066E-2</v>
      </c>
      <c r="AO278" s="39">
        <v>1.33634708931066E-2</v>
      </c>
      <c r="AP278" s="39">
        <v>1.33634708931066E-2</v>
      </c>
      <c r="AQ278" s="39">
        <v>1.33634708931066E-2</v>
      </c>
      <c r="AR278" s="39">
        <v>1.33634708931066E-2</v>
      </c>
      <c r="AS278" s="39">
        <v>1.33634708931066E-2</v>
      </c>
      <c r="AT278" s="39">
        <v>1.33634708931066E-2</v>
      </c>
      <c r="AU278" s="39">
        <v>1.2392217523121999E-3</v>
      </c>
      <c r="AV278" s="39">
        <v>1.2392217523121999E-3</v>
      </c>
      <c r="AW278" s="39">
        <v>1.2392217523121999E-3</v>
      </c>
      <c r="AX278" s="39">
        <v>1.2392217523121999E-3</v>
      </c>
      <c r="AY278" s="39">
        <v>1.2392217523121999E-3</v>
      </c>
      <c r="AZ278" s="39">
        <v>1.2392217523121999E-3</v>
      </c>
      <c r="BA278" s="39">
        <v>1.2392217523121999E-3</v>
      </c>
      <c r="BB278" s="39">
        <v>1.2392217523121999E-3</v>
      </c>
      <c r="BC278" s="39">
        <v>1.2392217523121999E-3</v>
      </c>
      <c r="BD278" s="39">
        <v>1.2392217523121999E-3</v>
      </c>
      <c r="BE278" s="39">
        <v>1.2392217523121999E-3</v>
      </c>
      <c r="BF278" s="39">
        <v>1.2392217523121999E-3</v>
      </c>
      <c r="BH278" s="12">
        <f t="shared" si="199"/>
        <v>0</v>
      </c>
      <c r="BI278" s="12">
        <f t="shared" si="200"/>
        <v>0</v>
      </c>
      <c r="BJ278" s="12">
        <f t="shared" si="201"/>
        <v>0</v>
      </c>
      <c r="BK278" s="12">
        <f t="shared" si="202"/>
        <v>0</v>
      </c>
      <c r="BL278" s="12">
        <f t="shared" si="203"/>
        <v>0</v>
      </c>
      <c r="BM278" s="12">
        <f t="shared" si="204"/>
        <v>0</v>
      </c>
      <c r="BN278" s="12">
        <f t="shared" si="205"/>
        <v>0</v>
      </c>
      <c r="BO278" s="12">
        <f t="shared" si="206"/>
        <v>0</v>
      </c>
      <c r="BP278" s="12">
        <f t="shared" si="207"/>
        <v>0</v>
      </c>
      <c r="BQ278" s="12">
        <f t="shared" si="208"/>
        <v>0</v>
      </c>
      <c r="BR278" s="12">
        <f t="shared" si="170"/>
        <v>0</v>
      </c>
      <c r="BS278" s="12">
        <f t="shared" si="171"/>
        <v>0</v>
      </c>
      <c r="BU278" s="11">
        <f t="shared" si="172"/>
        <v>0</v>
      </c>
      <c r="BV278" s="11">
        <f t="shared" si="173"/>
        <v>0</v>
      </c>
      <c r="BW278" s="11">
        <f t="shared" si="174"/>
        <v>0</v>
      </c>
      <c r="BX278" s="11">
        <f t="shared" si="175"/>
        <v>0</v>
      </c>
      <c r="BY278" s="11">
        <f t="shared" si="176"/>
        <v>0</v>
      </c>
      <c r="BZ278" s="11">
        <f t="shared" si="177"/>
        <v>0</v>
      </c>
      <c r="CA278" s="11">
        <f t="shared" si="178"/>
        <v>0</v>
      </c>
      <c r="CB278" s="11">
        <f t="shared" si="179"/>
        <v>0</v>
      </c>
      <c r="CC278" s="11">
        <f t="shared" si="180"/>
        <v>0</v>
      </c>
      <c r="CD278" s="11">
        <f t="shared" si="181"/>
        <v>0</v>
      </c>
      <c r="CE278" s="11">
        <f t="shared" si="182"/>
        <v>0</v>
      </c>
      <c r="CF278" s="11">
        <f t="shared" si="183"/>
        <v>0</v>
      </c>
      <c r="CG278" s="11"/>
      <c r="CH278" s="41">
        <v>3.23</v>
      </c>
      <c r="CJ278" s="54">
        <f t="shared" si="184"/>
        <v>0</v>
      </c>
      <c r="CK278" s="54">
        <f t="shared" si="185"/>
        <v>0</v>
      </c>
      <c r="CL278" s="54">
        <f t="shared" si="186"/>
        <v>0</v>
      </c>
      <c r="CM278" s="54">
        <f t="shared" si="187"/>
        <v>0</v>
      </c>
      <c r="CN278" s="54">
        <f t="shared" si="188"/>
        <v>0</v>
      </c>
      <c r="CO278" s="54">
        <f t="shared" si="189"/>
        <v>0</v>
      </c>
      <c r="CP278" s="54">
        <f t="shared" si="190"/>
        <v>0</v>
      </c>
      <c r="CQ278" s="54">
        <f t="shared" si="191"/>
        <v>0</v>
      </c>
      <c r="CR278" s="54">
        <f t="shared" si="192"/>
        <v>0</v>
      </c>
      <c r="CS278" s="54">
        <f t="shared" si="193"/>
        <v>0</v>
      </c>
      <c r="CT278" s="54">
        <f t="shared" si="194"/>
        <v>0</v>
      </c>
      <c r="CU278" s="54">
        <f t="shared" si="195"/>
        <v>0</v>
      </c>
      <c r="CV278" s="52">
        <f t="shared" si="196"/>
        <v>0</v>
      </c>
    </row>
    <row r="279" spans="1:100" ht="15.75" x14ac:dyDescent="0.25">
      <c r="A279" s="16"/>
      <c r="B279" s="44"/>
      <c r="C279" s="44"/>
      <c r="D279" s="44"/>
      <c r="E279" s="44"/>
      <c r="F279" s="45" t="s">
        <v>2948</v>
      </c>
      <c r="G279" s="83"/>
      <c r="H279" s="83"/>
      <c r="I279" s="83"/>
      <c r="J279" s="83"/>
      <c r="K279" s="83"/>
      <c r="L279" s="83"/>
      <c r="M279" s="83"/>
      <c r="N279" s="83"/>
      <c r="O279" s="83"/>
      <c r="P279" s="83"/>
      <c r="Q279" s="83"/>
      <c r="R279" s="83"/>
      <c r="S279" s="11">
        <f t="shared" si="197"/>
        <v>0</v>
      </c>
      <c r="T279" s="10">
        <f t="shared" si="198"/>
        <v>0</v>
      </c>
      <c r="U279" s="13" t="s">
        <v>2951</v>
      </c>
      <c r="V279" s="46">
        <f t="shared" si="169"/>
        <v>0</v>
      </c>
      <c r="W279" s="36">
        <v>2.367</v>
      </c>
      <c r="X279" s="36">
        <v>2.367</v>
      </c>
      <c r="Y279" s="36">
        <v>2.367</v>
      </c>
      <c r="Z279" s="36">
        <v>2.367</v>
      </c>
      <c r="AA279" s="36">
        <v>2.367</v>
      </c>
      <c r="AB279" s="36">
        <v>2.367</v>
      </c>
      <c r="AC279" s="36">
        <v>2.367</v>
      </c>
      <c r="AD279" s="36">
        <v>2.367</v>
      </c>
      <c r="AE279" s="36">
        <v>2.367</v>
      </c>
      <c r="AF279" s="36">
        <v>2.367</v>
      </c>
      <c r="AG279" s="36">
        <v>2.367</v>
      </c>
      <c r="AH279" s="36">
        <v>2.367</v>
      </c>
      <c r="AI279" s="39">
        <v>1.33634708931066E-2</v>
      </c>
      <c r="AJ279" s="39">
        <v>1.33634708931066E-2</v>
      </c>
      <c r="AK279" s="39">
        <v>1.33634708931066E-2</v>
      </c>
      <c r="AL279" s="39">
        <v>1.33634708931066E-2</v>
      </c>
      <c r="AM279" s="39">
        <v>1.33634708931066E-2</v>
      </c>
      <c r="AN279" s="39">
        <v>1.33634708931066E-2</v>
      </c>
      <c r="AO279" s="39">
        <v>1.33634708931066E-2</v>
      </c>
      <c r="AP279" s="39">
        <v>1.33634708931066E-2</v>
      </c>
      <c r="AQ279" s="39">
        <v>1.33634708931066E-2</v>
      </c>
      <c r="AR279" s="39">
        <v>1.33634708931066E-2</v>
      </c>
      <c r="AS279" s="39">
        <v>1.33634708931066E-2</v>
      </c>
      <c r="AT279" s="39">
        <v>1.33634708931066E-2</v>
      </c>
      <c r="AU279" s="39">
        <v>1.2392217523121999E-3</v>
      </c>
      <c r="AV279" s="39">
        <v>1.2392217523121999E-3</v>
      </c>
      <c r="AW279" s="39">
        <v>1.2392217523121999E-3</v>
      </c>
      <c r="AX279" s="39">
        <v>1.2392217523121999E-3</v>
      </c>
      <c r="AY279" s="39">
        <v>1.2392217523121999E-3</v>
      </c>
      <c r="AZ279" s="39">
        <v>1.2392217523121999E-3</v>
      </c>
      <c r="BA279" s="39">
        <v>1.2392217523121999E-3</v>
      </c>
      <c r="BB279" s="39">
        <v>1.2392217523121999E-3</v>
      </c>
      <c r="BC279" s="39">
        <v>1.2392217523121999E-3</v>
      </c>
      <c r="BD279" s="39">
        <v>1.2392217523121999E-3</v>
      </c>
      <c r="BE279" s="39">
        <v>1.2392217523121999E-3</v>
      </c>
      <c r="BF279" s="39">
        <v>1.2392217523121999E-3</v>
      </c>
      <c r="BH279" s="12">
        <f t="shared" si="199"/>
        <v>0</v>
      </c>
      <c r="BI279" s="12">
        <f t="shared" si="200"/>
        <v>0</v>
      </c>
      <c r="BJ279" s="12">
        <f t="shared" si="201"/>
        <v>0</v>
      </c>
      <c r="BK279" s="12">
        <f t="shared" si="202"/>
        <v>0</v>
      </c>
      <c r="BL279" s="12">
        <f t="shared" si="203"/>
        <v>0</v>
      </c>
      <c r="BM279" s="12">
        <f t="shared" si="204"/>
        <v>0</v>
      </c>
      <c r="BN279" s="12">
        <f t="shared" si="205"/>
        <v>0</v>
      </c>
      <c r="BO279" s="12">
        <f t="shared" si="206"/>
        <v>0</v>
      </c>
      <c r="BP279" s="12">
        <f t="shared" si="207"/>
        <v>0</v>
      </c>
      <c r="BQ279" s="12">
        <f t="shared" si="208"/>
        <v>0</v>
      </c>
      <c r="BR279" s="12">
        <f t="shared" si="170"/>
        <v>0</v>
      </c>
      <c r="BS279" s="12">
        <f t="shared" si="171"/>
        <v>0</v>
      </c>
      <c r="BU279" s="11">
        <f t="shared" si="172"/>
        <v>0</v>
      </c>
      <c r="BV279" s="11">
        <f t="shared" si="173"/>
        <v>0</v>
      </c>
      <c r="BW279" s="11">
        <f t="shared" si="174"/>
        <v>0</v>
      </c>
      <c r="BX279" s="11">
        <f t="shared" si="175"/>
        <v>0</v>
      </c>
      <c r="BY279" s="11">
        <f t="shared" si="176"/>
        <v>0</v>
      </c>
      <c r="BZ279" s="11">
        <f t="shared" si="177"/>
        <v>0</v>
      </c>
      <c r="CA279" s="11">
        <f t="shared" si="178"/>
        <v>0</v>
      </c>
      <c r="CB279" s="11">
        <f t="shared" si="179"/>
        <v>0</v>
      </c>
      <c r="CC279" s="11">
        <f t="shared" si="180"/>
        <v>0</v>
      </c>
      <c r="CD279" s="11">
        <f t="shared" si="181"/>
        <v>0</v>
      </c>
      <c r="CE279" s="11">
        <f t="shared" si="182"/>
        <v>0</v>
      </c>
      <c r="CF279" s="11">
        <f t="shared" si="183"/>
        <v>0</v>
      </c>
      <c r="CG279" s="11"/>
      <c r="CH279" s="41">
        <v>3.23</v>
      </c>
      <c r="CJ279" s="54">
        <f t="shared" si="184"/>
        <v>0</v>
      </c>
      <c r="CK279" s="54">
        <f t="shared" si="185"/>
        <v>0</v>
      </c>
      <c r="CL279" s="54">
        <f t="shared" si="186"/>
        <v>0</v>
      </c>
      <c r="CM279" s="54">
        <f t="shared" si="187"/>
        <v>0</v>
      </c>
      <c r="CN279" s="54">
        <f t="shared" si="188"/>
        <v>0</v>
      </c>
      <c r="CO279" s="54">
        <f t="shared" si="189"/>
        <v>0</v>
      </c>
      <c r="CP279" s="54">
        <f t="shared" si="190"/>
        <v>0</v>
      </c>
      <c r="CQ279" s="54">
        <f t="shared" si="191"/>
        <v>0</v>
      </c>
      <c r="CR279" s="54">
        <f t="shared" si="192"/>
        <v>0</v>
      </c>
      <c r="CS279" s="54">
        <f t="shared" si="193"/>
        <v>0</v>
      </c>
      <c r="CT279" s="54">
        <f t="shared" si="194"/>
        <v>0</v>
      </c>
      <c r="CU279" s="54">
        <f t="shared" si="195"/>
        <v>0</v>
      </c>
      <c r="CV279" s="52">
        <f t="shared" si="196"/>
        <v>0</v>
      </c>
    </row>
    <row r="280" spans="1:100" ht="15.75" x14ac:dyDescent="0.25">
      <c r="A280" s="16"/>
      <c r="B280" s="44"/>
      <c r="C280" s="44"/>
      <c r="D280" s="44"/>
      <c r="E280" s="44"/>
      <c r="F280" s="45" t="s">
        <v>2948</v>
      </c>
      <c r="G280" s="83"/>
      <c r="H280" s="83"/>
      <c r="I280" s="83"/>
      <c r="J280" s="83"/>
      <c r="K280" s="83"/>
      <c r="L280" s="83"/>
      <c r="M280" s="83"/>
      <c r="N280" s="83"/>
      <c r="O280" s="83"/>
      <c r="P280" s="83"/>
      <c r="Q280" s="83"/>
      <c r="R280" s="83"/>
      <c r="S280" s="11">
        <f t="shared" si="197"/>
        <v>0</v>
      </c>
      <c r="T280" s="10">
        <f t="shared" si="198"/>
        <v>0</v>
      </c>
      <c r="U280" s="13" t="s">
        <v>2951</v>
      </c>
      <c r="V280" s="46">
        <f t="shared" si="169"/>
        <v>0</v>
      </c>
      <c r="W280" s="36">
        <v>3.0640000000000001</v>
      </c>
      <c r="X280" s="36">
        <v>3.0640000000000001</v>
      </c>
      <c r="Y280" s="36">
        <v>3.0640000000000001</v>
      </c>
      <c r="Z280" s="36">
        <v>3.0640000000000001</v>
      </c>
      <c r="AA280" s="36">
        <v>3.0640000000000001</v>
      </c>
      <c r="AB280" s="36">
        <v>3.0640000000000001</v>
      </c>
      <c r="AC280" s="36">
        <v>3.0640000000000001</v>
      </c>
      <c r="AD280" s="36">
        <v>3.0640000000000001</v>
      </c>
      <c r="AE280" s="36">
        <v>3.0640000000000001</v>
      </c>
      <c r="AF280" s="36">
        <v>3.0640000000000001</v>
      </c>
      <c r="AG280" s="36">
        <v>3.0640000000000001</v>
      </c>
      <c r="AH280" s="36">
        <v>3.0640000000000001</v>
      </c>
      <c r="AI280" s="39">
        <v>1.33634708931066E-2</v>
      </c>
      <c r="AJ280" s="39">
        <v>1.33634708931066E-2</v>
      </c>
      <c r="AK280" s="39">
        <v>1.33634708931066E-2</v>
      </c>
      <c r="AL280" s="39">
        <v>1.33634708931066E-2</v>
      </c>
      <c r="AM280" s="39">
        <v>1.33634708931066E-2</v>
      </c>
      <c r="AN280" s="39">
        <v>1.33634708931066E-2</v>
      </c>
      <c r="AO280" s="39">
        <v>1.33634708931066E-2</v>
      </c>
      <c r="AP280" s="39">
        <v>1.33634708931066E-2</v>
      </c>
      <c r="AQ280" s="39">
        <v>1.33634708931066E-2</v>
      </c>
      <c r="AR280" s="39">
        <v>1.33634708931066E-2</v>
      </c>
      <c r="AS280" s="39">
        <v>1.33634708931066E-2</v>
      </c>
      <c r="AT280" s="39">
        <v>1.33634708931066E-2</v>
      </c>
      <c r="AU280" s="39">
        <v>1.2392217523121999E-3</v>
      </c>
      <c r="AV280" s="39">
        <v>1.2392217523121999E-3</v>
      </c>
      <c r="AW280" s="39">
        <v>1.2392217523121999E-3</v>
      </c>
      <c r="AX280" s="39">
        <v>1.2392217523121999E-3</v>
      </c>
      <c r="AY280" s="39">
        <v>1.2392217523121999E-3</v>
      </c>
      <c r="AZ280" s="39">
        <v>1.2392217523121999E-3</v>
      </c>
      <c r="BA280" s="39">
        <v>1.2392217523121999E-3</v>
      </c>
      <c r="BB280" s="39">
        <v>1.2392217523121999E-3</v>
      </c>
      <c r="BC280" s="39">
        <v>1.2392217523121999E-3</v>
      </c>
      <c r="BD280" s="39">
        <v>1.2392217523121999E-3</v>
      </c>
      <c r="BE280" s="39">
        <v>1.2392217523121999E-3</v>
      </c>
      <c r="BF280" s="39">
        <v>1.2392217523121999E-3</v>
      </c>
      <c r="BH280" s="12">
        <f t="shared" si="199"/>
        <v>0</v>
      </c>
      <c r="BI280" s="12">
        <f t="shared" si="200"/>
        <v>0</v>
      </c>
      <c r="BJ280" s="12">
        <f t="shared" si="201"/>
        <v>0</v>
      </c>
      <c r="BK280" s="12">
        <f t="shared" si="202"/>
        <v>0</v>
      </c>
      <c r="BL280" s="12">
        <f t="shared" si="203"/>
        <v>0</v>
      </c>
      <c r="BM280" s="12">
        <f t="shared" si="204"/>
        <v>0</v>
      </c>
      <c r="BN280" s="12">
        <f t="shared" si="205"/>
        <v>0</v>
      </c>
      <c r="BO280" s="12">
        <f t="shared" si="206"/>
        <v>0</v>
      </c>
      <c r="BP280" s="12">
        <f t="shared" si="207"/>
        <v>0</v>
      </c>
      <c r="BQ280" s="12">
        <f t="shared" si="208"/>
        <v>0</v>
      </c>
      <c r="BR280" s="12">
        <f t="shared" si="170"/>
        <v>0</v>
      </c>
      <c r="BS280" s="12">
        <f t="shared" si="171"/>
        <v>0</v>
      </c>
      <c r="BU280" s="11">
        <f t="shared" si="172"/>
        <v>0</v>
      </c>
      <c r="BV280" s="11">
        <f t="shared" si="173"/>
        <v>0</v>
      </c>
      <c r="BW280" s="11">
        <f t="shared" si="174"/>
        <v>0</v>
      </c>
      <c r="BX280" s="11">
        <f t="shared" si="175"/>
        <v>0</v>
      </c>
      <c r="BY280" s="11">
        <f t="shared" si="176"/>
        <v>0</v>
      </c>
      <c r="BZ280" s="11">
        <f t="shared" si="177"/>
        <v>0</v>
      </c>
      <c r="CA280" s="11">
        <f t="shared" si="178"/>
        <v>0</v>
      </c>
      <c r="CB280" s="11">
        <f t="shared" si="179"/>
        <v>0</v>
      </c>
      <c r="CC280" s="11">
        <f t="shared" si="180"/>
        <v>0</v>
      </c>
      <c r="CD280" s="11">
        <f t="shared" si="181"/>
        <v>0</v>
      </c>
      <c r="CE280" s="11">
        <f t="shared" si="182"/>
        <v>0</v>
      </c>
      <c r="CF280" s="11">
        <f t="shared" si="183"/>
        <v>0</v>
      </c>
      <c r="CG280" s="11"/>
      <c r="CH280" s="41">
        <v>3.23</v>
      </c>
      <c r="CJ280" s="54">
        <f t="shared" si="184"/>
        <v>0</v>
      </c>
      <c r="CK280" s="54">
        <f t="shared" si="185"/>
        <v>0</v>
      </c>
      <c r="CL280" s="54">
        <f t="shared" si="186"/>
        <v>0</v>
      </c>
      <c r="CM280" s="54">
        <f t="shared" si="187"/>
        <v>0</v>
      </c>
      <c r="CN280" s="54">
        <f t="shared" si="188"/>
        <v>0</v>
      </c>
      <c r="CO280" s="54">
        <f t="shared" si="189"/>
        <v>0</v>
      </c>
      <c r="CP280" s="54">
        <f t="shared" si="190"/>
        <v>0</v>
      </c>
      <c r="CQ280" s="54">
        <f t="shared" si="191"/>
        <v>0</v>
      </c>
      <c r="CR280" s="54">
        <f t="shared" si="192"/>
        <v>0</v>
      </c>
      <c r="CS280" s="54">
        <f t="shared" si="193"/>
        <v>0</v>
      </c>
      <c r="CT280" s="54">
        <f t="shared" si="194"/>
        <v>0</v>
      </c>
      <c r="CU280" s="54">
        <f t="shared" si="195"/>
        <v>0</v>
      </c>
      <c r="CV280" s="52">
        <f t="shared" si="196"/>
        <v>0</v>
      </c>
    </row>
    <row r="281" spans="1:100" ht="15.75" x14ac:dyDescent="0.25">
      <c r="A281" s="16"/>
      <c r="B281" s="44"/>
      <c r="C281" s="44"/>
      <c r="D281" s="44"/>
      <c r="E281" s="44"/>
      <c r="F281" s="45" t="s">
        <v>2948</v>
      </c>
      <c r="G281" s="83"/>
      <c r="H281" s="83"/>
      <c r="I281" s="83"/>
      <c r="J281" s="83"/>
      <c r="K281" s="83"/>
      <c r="L281" s="83"/>
      <c r="M281" s="83"/>
      <c r="N281" s="83"/>
      <c r="O281" s="83"/>
      <c r="P281" s="83"/>
      <c r="Q281" s="83"/>
      <c r="R281" s="83"/>
      <c r="S281" s="11">
        <f t="shared" si="197"/>
        <v>0</v>
      </c>
      <c r="T281" s="10">
        <f t="shared" si="198"/>
        <v>0</v>
      </c>
      <c r="U281" s="13" t="s">
        <v>2951</v>
      </c>
      <c r="V281" s="46">
        <f t="shared" si="169"/>
        <v>0</v>
      </c>
      <c r="W281" s="36">
        <v>2.6280000000000001</v>
      </c>
      <c r="X281" s="36">
        <v>2.6280000000000001</v>
      </c>
      <c r="Y281" s="36">
        <v>2.6280000000000001</v>
      </c>
      <c r="Z281" s="36">
        <v>2.6280000000000001</v>
      </c>
      <c r="AA281" s="36">
        <v>2.6280000000000001</v>
      </c>
      <c r="AB281" s="36">
        <v>2.6280000000000001</v>
      </c>
      <c r="AC281" s="36">
        <v>2.6280000000000001</v>
      </c>
      <c r="AD281" s="36">
        <v>2.6280000000000001</v>
      </c>
      <c r="AE281" s="36">
        <v>2.6280000000000001</v>
      </c>
      <c r="AF281" s="36">
        <v>2.6280000000000001</v>
      </c>
      <c r="AG281" s="36">
        <v>2.6280000000000001</v>
      </c>
      <c r="AH281" s="36">
        <v>2.6280000000000001</v>
      </c>
      <c r="AI281" s="39">
        <v>1.33634708931066E-2</v>
      </c>
      <c r="AJ281" s="39">
        <v>1.33634708931066E-2</v>
      </c>
      <c r="AK281" s="39">
        <v>1.33634708931066E-2</v>
      </c>
      <c r="AL281" s="39">
        <v>1.33634708931066E-2</v>
      </c>
      <c r="AM281" s="39">
        <v>1.33634708931066E-2</v>
      </c>
      <c r="AN281" s="39">
        <v>1.33634708931066E-2</v>
      </c>
      <c r="AO281" s="39">
        <v>1.33634708931066E-2</v>
      </c>
      <c r="AP281" s="39">
        <v>1.33634708931066E-2</v>
      </c>
      <c r="AQ281" s="39">
        <v>1.33634708931066E-2</v>
      </c>
      <c r="AR281" s="39">
        <v>1.33634708931066E-2</v>
      </c>
      <c r="AS281" s="39">
        <v>1.33634708931066E-2</v>
      </c>
      <c r="AT281" s="39">
        <v>1.33634708931066E-2</v>
      </c>
      <c r="AU281" s="39">
        <v>1.2392217523121999E-3</v>
      </c>
      <c r="AV281" s="39">
        <v>1.2392217523121999E-3</v>
      </c>
      <c r="AW281" s="39">
        <v>1.2392217523121999E-3</v>
      </c>
      <c r="AX281" s="39">
        <v>1.2392217523121999E-3</v>
      </c>
      <c r="AY281" s="39">
        <v>1.2392217523121999E-3</v>
      </c>
      <c r="AZ281" s="39">
        <v>1.2392217523121999E-3</v>
      </c>
      <c r="BA281" s="39">
        <v>1.2392217523121999E-3</v>
      </c>
      <c r="BB281" s="39">
        <v>1.2392217523121999E-3</v>
      </c>
      <c r="BC281" s="39">
        <v>1.2392217523121999E-3</v>
      </c>
      <c r="BD281" s="39">
        <v>1.2392217523121999E-3</v>
      </c>
      <c r="BE281" s="39">
        <v>1.2392217523121999E-3</v>
      </c>
      <c r="BF281" s="39">
        <v>1.2392217523121999E-3</v>
      </c>
      <c r="BH281" s="12">
        <f t="shared" si="199"/>
        <v>0</v>
      </c>
      <c r="BI281" s="12">
        <f t="shared" si="200"/>
        <v>0</v>
      </c>
      <c r="BJ281" s="12">
        <f t="shared" si="201"/>
        <v>0</v>
      </c>
      <c r="BK281" s="12">
        <f t="shared" si="202"/>
        <v>0</v>
      </c>
      <c r="BL281" s="12">
        <f t="shared" si="203"/>
        <v>0</v>
      </c>
      <c r="BM281" s="12">
        <f t="shared" si="204"/>
        <v>0</v>
      </c>
      <c r="BN281" s="12">
        <f t="shared" si="205"/>
        <v>0</v>
      </c>
      <c r="BO281" s="12">
        <f t="shared" si="206"/>
        <v>0</v>
      </c>
      <c r="BP281" s="12">
        <f t="shared" si="207"/>
        <v>0</v>
      </c>
      <c r="BQ281" s="12">
        <f t="shared" si="208"/>
        <v>0</v>
      </c>
      <c r="BR281" s="12">
        <f t="shared" si="170"/>
        <v>0</v>
      </c>
      <c r="BS281" s="12">
        <f t="shared" si="171"/>
        <v>0</v>
      </c>
      <c r="BU281" s="11">
        <f t="shared" si="172"/>
        <v>0</v>
      </c>
      <c r="BV281" s="11">
        <f t="shared" si="173"/>
        <v>0</v>
      </c>
      <c r="BW281" s="11">
        <f t="shared" si="174"/>
        <v>0</v>
      </c>
      <c r="BX281" s="11">
        <f t="shared" si="175"/>
        <v>0</v>
      </c>
      <c r="BY281" s="11">
        <f t="shared" si="176"/>
        <v>0</v>
      </c>
      <c r="BZ281" s="11">
        <f t="shared" si="177"/>
        <v>0</v>
      </c>
      <c r="CA281" s="11">
        <f t="shared" si="178"/>
        <v>0</v>
      </c>
      <c r="CB281" s="11">
        <f t="shared" si="179"/>
        <v>0</v>
      </c>
      <c r="CC281" s="11">
        <f t="shared" si="180"/>
        <v>0</v>
      </c>
      <c r="CD281" s="11">
        <f t="shared" si="181"/>
        <v>0</v>
      </c>
      <c r="CE281" s="11">
        <f t="shared" si="182"/>
        <v>0</v>
      </c>
      <c r="CF281" s="11">
        <f t="shared" si="183"/>
        <v>0</v>
      </c>
      <c r="CG281" s="11"/>
      <c r="CH281" s="41">
        <v>3.23</v>
      </c>
      <c r="CJ281" s="54">
        <f t="shared" si="184"/>
        <v>0</v>
      </c>
      <c r="CK281" s="54">
        <f t="shared" si="185"/>
        <v>0</v>
      </c>
      <c r="CL281" s="54">
        <f t="shared" si="186"/>
        <v>0</v>
      </c>
      <c r="CM281" s="54">
        <f t="shared" si="187"/>
        <v>0</v>
      </c>
      <c r="CN281" s="54">
        <f t="shared" si="188"/>
        <v>0</v>
      </c>
      <c r="CO281" s="54">
        <f t="shared" si="189"/>
        <v>0</v>
      </c>
      <c r="CP281" s="54">
        <f t="shared" si="190"/>
        <v>0</v>
      </c>
      <c r="CQ281" s="54">
        <f t="shared" si="191"/>
        <v>0</v>
      </c>
      <c r="CR281" s="54">
        <f t="shared" si="192"/>
        <v>0</v>
      </c>
      <c r="CS281" s="54">
        <f t="shared" si="193"/>
        <v>0</v>
      </c>
      <c r="CT281" s="54">
        <f t="shared" si="194"/>
        <v>0</v>
      </c>
      <c r="CU281" s="54">
        <f t="shared" si="195"/>
        <v>0</v>
      </c>
      <c r="CV281" s="52">
        <f t="shared" si="196"/>
        <v>0</v>
      </c>
    </row>
    <row r="282" spans="1:100" ht="15.75" x14ac:dyDescent="0.25">
      <c r="A282" s="16"/>
      <c r="B282" s="44"/>
      <c r="C282" s="44"/>
      <c r="D282" s="44"/>
      <c r="E282" s="44"/>
      <c r="F282" s="45" t="s">
        <v>2948</v>
      </c>
      <c r="G282" s="83"/>
      <c r="H282" s="83"/>
      <c r="I282" s="83"/>
      <c r="J282" s="83"/>
      <c r="K282" s="83"/>
      <c r="L282" s="83"/>
      <c r="M282" s="83"/>
      <c r="N282" s="83"/>
      <c r="O282" s="83"/>
      <c r="P282" s="83"/>
      <c r="Q282" s="83"/>
      <c r="R282" s="83"/>
      <c r="S282" s="11">
        <f t="shared" si="197"/>
        <v>0</v>
      </c>
      <c r="T282" s="10">
        <f t="shared" si="198"/>
        <v>0</v>
      </c>
      <c r="U282" s="13" t="s">
        <v>2951</v>
      </c>
      <c r="V282" s="46">
        <f t="shared" si="169"/>
        <v>0</v>
      </c>
      <c r="W282" s="36">
        <v>5.1070000000000002</v>
      </c>
      <c r="X282" s="36">
        <v>5.1070000000000002</v>
      </c>
      <c r="Y282" s="36">
        <v>5.1070000000000002</v>
      </c>
      <c r="Z282" s="36">
        <v>5.1070000000000002</v>
      </c>
      <c r="AA282" s="36">
        <v>5.1070000000000002</v>
      </c>
      <c r="AB282" s="36">
        <v>5.1070000000000002</v>
      </c>
      <c r="AC282" s="36">
        <v>5.1070000000000002</v>
      </c>
      <c r="AD282" s="36">
        <v>5.1070000000000002</v>
      </c>
      <c r="AE282" s="36">
        <v>5.1070000000000002</v>
      </c>
      <c r="AF282" s="36">
        <v>5.1070000000000002</v>
      </c>
      <c r="AG282" s="36">
        <v>5.1070000000000002</v>
      </c>
      <c r="AH282" s="36">
        <v>5.1070000000000002</v>
      </c>
      <c r="AI282" s="39">
        <v>1.33634708931066E-2</v>
      </c>
      <c r="AJ282" s="39">
        <v>1.33634708931066E-2</v>
      </c>
      <c r="AK282" s="39">
        <v>1.33634708931066E-2</v>
      </c>
      <c r="AL282" s="39">
        <v>1.33634708931066E-2</v>
      </c>
      <c r="AM282" s="39">
        <v>1.33634708931066E-2</v>
      </c>
      <c r="AN282" s="39">
        <v>1.33634708931066E-2</v>
      </c>
      <c r="AO282" s="39">
        <v>1.33634708931066E-2</v>
      </c>
      <c r="AP282" s="39">
        <v>1.33634708931066E-2</v>
      </c>
      <c r="AQ282" s="39">
        <v>1.33634708931066E-2</v>
      </c>
      <c r="AR282" s="39">
        <v>1.33634708931066E-2</v>
      </c>
      <c r="AS282" s="39">
        <v>1.33634708931066E-2</v>
      </c>
      <c r="AT282" s="39">
        <v>1.33634708931066E-2</v>
      </c>
      <c r="AU282" s="39">
        <v>1.2392217523121999E-3</v>
      </c>
      <c r="AV282" s="39">
        <v>1.2392217523121999E-3</v>
      </c>
      <c r="AW282" s="39">
        <v>1.2392217523121999E-3</v>
      </c>
      <c r="AX282" s="39">
        <v>1.2392217523121999E-3</v>
      </c>
      <c r="AY282" s="39">
        <v>1.2392217523121999E-3</v>
      </c>
      <c r="AZ282" s="39">
        <v>1.2392217523121999E-3</v>
      </c>
      <c r="BA282" s="39">
        <v>1.2392217523121999E-3</v>
      </c>
      <c r="BB282" s="39">
        <v>1.2392217523121999E-3</v>
      </c>
      <c r="BC282" s="39">
        <v>1.2392217523121999E-3</v>
      </c>
      <c r="BD282" s="39">
        <v>1.2392217523121999E-3</v>
      </c>
      <c r="BE282" s="39">
        <v>1.2392217523121999E-3</v>
      </c>
      <c r="BF282" s="39">
        <v>1.2392217523121999E-3</v>
      </c>
      <c r="BH282" s="12">
        <f t="shared" si="199"/>
        <v>0</v>
      </c>
      <c r="BI282" s="12">
        <f t="shared" si="200"/>
        <v>0</v>
      </c>
      <c r="BJ282" s="12">
        <f t="shared" si="201"/>
        <v>0</v>
      </c>
      <c r="BK282" s="12">
        <f t="shared" si="202"/>
        <v>0</v>
      </c>
      <c r="BL282" s="12">
        <f t="shared" si="203"/>
        <v>0</v>
      </c>
      <c r="BM282" s="12">
        <f t="shared" si="204"/>
        <v>0</v>
      </c>
      <c r="BN282" s="12">
        <f t="shared" si="205"/>
        <v>0</v>
      </c>
      <c r="BO282" s="12">
        <f t="shared" si="206"/>
        <v>0</v>
      </c>
      <c r="BP282" s="12">
        <f t="shared" si="207"/>
        <v>0</v>
      </c>
      <c r="BQ282" s="12">
        <f t="shared" si="208"/>
        <v>0</v>
      </c>
      <c r="BR282" s="12">
        <f t="shared" si="170"/>
        <v>0</v>
      </c>
      <c r="BS282" s="12">
        <f t="shared" si="171"/>
        <v>0</v>
      </c>
      <c r="BU282" s="11">
        <f t="shared" si="172"/>
        <v>0</v>
      </c>
      <c r="BV282" s="11">
        <f t="shared" si="173"/>
        <v>0</v>
      </c>
      <c r="BW282" s="11">
        <f t="shared" si="174"/>
        <v>0</v>
      </c>
      <c r="BX282" s="11">
        <f t="shared" si="175"/>
        <v>0</v>
      </c>
      <c r="BY282" s="11">
        <f t="shared" si="176"/>
        <v>0</v>
      </c>
      <c r="BZ282" s="11">
        <f t="shared" si="177"/>
        <v>0</v>
      </c>
      <c r="CA282" s="11">
        <f t="shared" si="178"/>
        <v>0</v>
      </c>
      <c r="CB282" s="11">
        <f t="shared" si="179"/>
        <v>0</v>
      </c>
      <c r="CC282" s="11">
        <f t="shared" si="180"/>
        <v>0</v>
      </c>
      <c r="CD282" s="11">
        <f t="shared" si="181"/>
        <v>0</v>
      </c>
      <c r="CE282" s="11">
        <f t="shared" si="182"/>
        <v>0</v>
      </c>
      <c r="CF282" s="11">
        <f t="shared" si="183"/>
        <v>0</v>
      </c>
      <c r="CG282" s="11"/>
      <c r="CH282" s="41">
        <v>3.23</v>
      </c>
      <c r="CJ282" s="54">
        <f t="shared" si="184"/>
        <v>0</v>
      </c>
      <c r="CK282" s="54">
        <f t="shared" si="185"/>
        <v>0</v>
      </c>
      <c r="CL282" s="54">
        <f t="shared" si="186"/>
        <v>0</v>
      </c>
      <c r="CM282" s="54">
        <f t="shared" si="187"/>
        <v>0</v>
      </c>
      <c r="CN282" s="54">
        <f t="shared" si="188"/>
        <v>0</v>
      </c>
      <c r="CO282" s="54">
        <f t="shared" si="189"/>
        <v>0</v>
      </c>
      <c r="CP282" s="54">
        <f t="shared" si="190"/>
        <v>0</v>
      </c>
      <c r="CQ282" s="54">
        <f t="shared" si="191"/>
        <v>0</v>
      </c>
      <c r="CR282" s="54">
        <f t="shared" si="192"/>
        <v>0</v>
      </c>
      <c r="CS282" s="54">
        <f t="shared" si="193"/>
        <v>0</v>
      </c>
      <c r="CT282" s="54">
        <f t="shared" si="194"/>
        <v>0</v>
      </c>
      <c r="CU282" s="54">
        <f t="shared" si="195"/>
        <v>0</v>
      </c>
      <c r="CV282" s="52">
        <f t="shared" si="196"/>
        <v>0</v>
      </c>
    </row>
    <row r="283" spans="1:100" ht="15.75" x14ac:dyDescent="0.25">
      <c r="A283" s="16"/>
      <c r="B283" s="44"/>
      <c r="C283" s="44"/>
      <c r="D283" s="44"/>
      <c r="E283" s="44"/>
      <c r="F283" s="45" t="s">
        <v>2948</v>
      </c>
      <c r="G283" s="83"/>
      <c r="H283" s="83"/>
      <c r="I283" s="83"/>
      <c r="J283" s="83"/>
      <c r="K283" s="83"/>
      <c r="L283" s="83"/>
      <c r="M283" s="83"/>
      <c r="N283" s="83"/>
      <c r="O283" s="83"/>
      <c r="P283" s="83"/>
      <c r="Q283" s="83"/>
      <c r="R283" s="83"/>
      <c r="S283" s="11">
        <f t="shared" si="197"/>
        <v>0</v>
      </c>
      <c r="T283" s="10">
        <f t="shared" si="198"/>
        <v>0</v>
      </c>
      <c r="U283" s="13" t="s">
        <v>2951</v>
      </c>
      <c r="V283" s="46">
        <f t="shared" si="169"/>
        <v>0</v>
      </c>
      <c r="W283" s="36">
        <v>3.2559999999999998</v>
      </c>
      <c r="X283" s="36">
        <v>3.2559999999999998</v>
      </c>
      <c r="Y283" s="36">
        <v>3.2559999999999998</v>
      </c>
      <c r="Z283" s="36">
        <v>3.2559999999999998</v>
      </c>
      <c r="AA283" s="36">
        <v>3.2559999999999998</v>
      </c>
      <c r="AB283" s="36">
        <v>3.2559999999999998</v>
      </c>
      <c r="AC283" s="36">
        <v>3.2559999999999998</v>
      </c>
      <c r="AD283" s="36">
        <v>3.2559999999999998</v>
      </c>
      <c r="AE283" s="36">
        <v>3.2559999999999998</v>
      </c>
      <c r="AF283" s="36">
        <v>3.2559999999999998</v>
      </c>
      <c r="AG283" s="36">
        <v>3.2559999999999998</v>
      </c>
      <c r="AH283" s="36">
        <v>3.2559999999999998</v>
      </c>
      <c r="AI283" s="39">
        <v>1.33634708931066E-2</v>
      </c>
      <c r="AJ283" s="39">
        <v>1.33634708931066E-2</v>
      </c>
      <c r="AK283" s="39">
        <v>1.33634708931066E-2</v>
      </c>
      <c r="AL283" s="39">
        <v>1.33634708931066E-2</v>
      </c>
      <c r="AM283" s="39">
        <v>1.33634708931066E-2</v>
      </c>
      <c r="AN283" s="39">
        <v>1.33634708931066E-2</v>
      </c>
      <c r="AO283" s="39">
        <v>1.33634708931066E-2</v>
      </c>
      <c r="AP283" s="39">
        <v>1.33634708931066E-2</v>
      </c>
      <c r="AQ283" s="39">
        <v>1.33634708931066E-2</v>
      </c>
      <c r="AR283" s="39">
        <v>1.33634708931066E-2</v>
      </c>
      <c r="AS283" s="39">
        <v>1.33634708931066E-2</v>
      </c>
      <c r="AT283" s="39">
        <v>1.33634708931066E-2</v>
      </c>
      <c r="AU283" s="39">
        <v>1.2392217523121999E-3</v>
      </c>
      <c r="AV283" s="39">
        <v>1.2392217523121999E-3</v>
      </c>
      <c r="AW283" s="39">
        <v>1.2392217523121999E-3</v>
      </c>
      <c r="AX283" s="39">
        <v>1.2392217523121999E-3</v>
      </c>
      <c r="AY283" s="39">
        <v>1.2392217523121999E-3</v>
      </c>
      <c r="AZ283" s="39">
        <v>1.2392217523121999E-3</v>
      </c>
      <c r="BA283" s="39">
        <v>1.2392217523121999E-3</v>
      </c>
      <c r="BB283" s="39">
        <v>1.2392217523121999E-3</v>
      </c>
      <c r="BC283" s="39">
        <v>1.2392217523121999E-3</v>
      </c>
      <c r="BD283" s="39">
        <v>1.2392217523121999E-3</v>
      </c>
      <c r="BE283" s="39">
        <v>1.2392217523121999E-3</v>
      </c>
      <c r="BF283" s="39">
        <v>1.2392217523121999E-3</v>
      </c>
      <c r="BH283" s="12">
        <f t="shared" si="199"/>
        <v>0</v>
      </c>
      <c r="BI283" s="12">
        <f t="shared" si="200"/>
        <v>0</v>
      </c>
      <c r="BJ283" s="12">
        <f t="shared" si="201"/>
        <v>0</v>
      </c>
      <c r="BK283" s="12">
        <f t="shared" si="202"/>
        <v>0</v>
      </c>
      <c r="BL283" s="12">
        <f t="shared" si="203"/>
        <v>0</v>
      </c>
      <c r="BM283" s="12">
        <f t="shared" si="204"/>
        <v>0</v>
      </c>
      <c r="BN283" s="12">
        <f t="shared" si="205"/>
        <v>0</v>
      </c>
      <c r="BO283" s="12">
        <f t="shared" si="206"/>
        <v>0</v>
      </c>
      <c r="BP283" s="12">
        <f t="shared" si="207"/>
        <v>0</v>
      </c>
      <c r="BQ283" s="12">
        <f t="shared" si="208"/>
        <v>0</v>
      </c>
      <c r="BR283" s="12">
        <f t="shared" si="170"/>
        <v>0</v>
      </c>
      <c r="BS283" s="12">
        <f t="shared" si="171"/>
        <v>0</v>
      </c>
      <c r="BU283" s="11">
        <f t="shared" si="172"/>
        <v>0</v>
      </c>
      <c r="BV283" s="11">
        <f t="shared" si="173"/>
        <v>0</v>
      </c>
      <c r="BW283" s="11">
        <f t="shared" si="174"/>
        <v>0</v>
      </c>
      <c r="BX283" s="11">
        <f t="shared" si="175"/>
        <v>0</v>
      </c>
      <c r="BY283" s="11">
        <f t="shared" si="176"/>
        <v>0</v>
      </c>
      <c r="BZ283" s="11">
        <f t="shared" si="177"/>
        <v>0</v>
      </c>
      <c r="CA283" s="11">
        <f t="shared" si="178"/>
        <v>0</v>
      </c>
      <c r="CB283" s="11">
        <f t="shared" si="179"/>
        <v>0</v>
      </c>
      <c r="CC283" s="11">
        <f t="shared" si="180"/>
        <v>0</v>
      </c>
      <c r="CD283" s="11">
        <f t="shared" si="181"/>
        <v>0</v>
      </c>
      <c r="CE283" s="11">
        <f t="shared" si="182"/>
        <v>0</v>
      </c>
      <c r="CF283" s="11">
        <f t="shared" si="183"/>
        <v>0</v>
      </c>
      <c r="CG283" s="11"/>
      <c r="CH283" s="41">
        <v>3.23</v>
      </c>
      <c r="CJ283" s="54">
        <f t="shared" si="184"/>
        <v>0</v>
      </c>
      <c r="CK283" s="54">
        <f t="shared" si="185"/>
        <v>0</v>
      </c>
      <c r="CL283" s="54">
        <f t="shared" si="186"/>
        <v>0</v>
      </c>
      <c r="CM283" s="54">
        <f t="shared" si="187"/>
        <v>0</v>
      </c>
      <c r="CN283" s="54">
        <f t="shared" si="188"/>
        <v>0</v>
      </c>
      <c r="CO283" s="54">
        <f t="shared" si="189"/>
        <v>0</v>
      </c>
      <c r="CP283" s="54">
        <f t="shared" si="190"/>
        <v>0</v>
      </c>
      <c r="CQ283" s="54">
        <f t="shared" si="191"/>
        <v>0</v>
      </c>
      <c r="CR283" s="54">
        <f t="shared" si="192"/>
        <v>0</v>
      </c>
      <c r="CS283" s="54">
        <f t="shared" si="193"/>
        <v>0</v>
      </c>
      <c r="CT283" s="54">
        <f t="shared" si="194"/>
        <v>0</v>
      </c>
      <c r="CU283" s="54">
        <f t="shared" si="195"/>
        <v>0</v>
      </c>
      <c r="CV283" s="52">
        <f t="shared" si="196"/>
        <v>0</v>
      </c>
    </row>
    <row r="284" spans="1:100" ht="15.75" x14ac:dyDescent="0.25">
      <c r="A284" s="16"/>
      <c r="B284" s="44"/>
      <c r="C284" s="44"/>
      <c r="D284" s="44"/>
      <c r="E284" s="44"/>
      <c r="F284" s="45" t="s">
        <v>2948</v>
      </c>
      <c r="G284" s="83"/>
      <c r="H284" s="83"/>
      <c r="I284" s="83"/>
      <c r="J284" s="83"/>
      <c r="K284" s="83"/>
      <c r="L284" s="83"/>
      <c r="M284" s="83"/>
      <c r="N284" s="83"/>
      <c r="O284" s="83"/>
      <c r="P284" s="83"/>
      <c r="Q284" s="83"/>
      <c r="R284" s="83"/>
      <c r="S284" s="11">
        <f t="shared" si="197"/>
        <v>0</v>
      </c>
      <c r="T284" s="10">
        <f t="shared" si="198"/>
        <v>0</v>
      </c>
      <c r="U284" s="13" t="s">
        <v>2951</v>
      </c>
      <c r="V284" s="46">
        <f t="shared" si="169"/>
        <v>0</v>
      </c>
      <c r="W284" s="36">
        <v>1.4350000000000001</v>
      </c>
      <c r="X284" s="36">
        <v>1.4350000000000001</v>
      </c>
      <c r="Y284" s="36">
        <v>1.4350000000000001</v>
      </c>
      <c r="Z284" s="36">
        <v>1.4350000000000001</v>
      </c>
      <c r="AA284" s="36">
        <v>1.4350000000000001</v>
      </c>
      <c r="AB284" s="36">
        <v>1.4350000000000001</v>
      </c>
      <c r="AC284" s="36">
        <v>1.4350000000000001</v>
      </c>
      <c r="AD284" s="36">
        <v>1.4350000000000001</v>
      </c>
      <c r="AE284" s="36">
        <v>1.4350000000000001</v>
      </c>
      <c r="AF284" s="36">
        <v>1.4350000000000001</v>
      </c>
      <c r="AG284" s="36">
        <v>1.4350000000000001</v>
      </c>
      <c r="AH284" s="36">
        <v>1.4350000000000001</v>
      </c>
      <c r="AI284" s="39">
        <v>1.33634708931066E-2</v>
      </c>
      <c r="AJ284" s="39">
        <v>1.33634708931066E-2</v>
      </c>
      <c r="AK284" s="39">
        <v>1.33634708931066E-2</v>
      </c>
      <c r="AL284" s="39">
        <v>1.33634708931066E-2</v>
      </c>
      <c r="AM284" s="39">
        <v>1.33634708931066E-2</v>
      </c>
      <c r="AN284" s="39">
        <v>1.33634708931066E-2</v>
      </c>
      <c r="AO284" s="39">
        <v>1.33634708931066E-2</v>
      </c>
      <c r="AP284" s="39">
        <v>1.33634708931066E-2</v>
      </c>
      <c r="AQ284" s="39">
        <v>1.33634708931066E-2</v>
      </c>
      <c r="AR284" s="39">
        <v>1.33634708931066E-2</v>
      </c>
      <c r="AS284" s="39">
        <v>1.33634708931066E-2</v>
      </c>
      <c r="AT284" s="39">
        <v>1.33634708931066E-2</v>
      </c>
      <c r="AU284" s="39">
        <v>1.2392217523121999E-3</v>
      </c>
      <c r="AV284" s="39">
        <v>1.2392217523121999E-3</v>
      </c>
      <c r="AW284" s="39">
        <v>1.2392217523121999E-3</v>
      </c>
      <c r="AX284" s="39">
        <v>1.2392217523121999E-3</v>
      </c>
      <c r="AY284" s="39">
        <v>1.2392217523121999E-3</v>
      </c>
      <c r="AZ284" s="39">
        <v>1.2392217523121999E-3</v>
      </c>
      <c r="BA284" s="39">
        <v>1.2392217523121999E-3</v>
      </c>
      <c r="BB284" s="39">
        <v>1.2392217523121999E-3</v>
      </c>
      <c r="BC284" s="39">
        <v>1.2392217523121999E-3</v>
      </c>
      <c r="BD284" s="39">
        <v>1.2392217523121999E-3</v>
      </c>
      <c r="BE284" s="39">
        <v>1.2392217523121999E-3</v>
      </c>
      <c r="BF284" s="39">
        <v>1.2392217523121999E-3</v>
      </c>
      <c r="BH284" s="12">
        <f t="shared" si="199"/>
        <v>0</v>
      </c>
      <c r="BI284" s="12">
        <f t="shared" si="200"/>
        <v>0</v>
      </c>
      <c r="BJ284" s="12">
        <f t="shared" si="201"/>
        <v>0</v>
      </c>
      <c r="BK284" s="12">
        <f t="shared" si="202"/>
        <v>0</v>
      </c>
      <c r="BL284" s="12">
        <f t="shared" si="203"/>
        <v>0</v>
      </c>
      <c r="BM284" s="12">
        <f t="shared" si="204"/>
        <v>0</v>
      </c>
      <c r="BN284" s="12">
        <f t="shared" si="205"/>
        <v>0</v>
      </c>
      <c r="BO284" s="12">
        <f t="shared" si="206"/>
        <v>0</v>
      </c>
      <c r="BP284" s="12">
        <f t="shared" si="207"/>
        <v>0</v>
      </c>
      <c r="BQ284" s="12">
        <f t="shared" si="208"/>
        <v>0</v>
      </c>
      <c r="BR284" s="12">
        <f t="shared" si="170"/>
        <v>0</v>
      </c>
      <c r="BS284" s="12">
        <f t="shared" si="171"/>
        <v>0</v>
      </c>
      <c r="BU284" s="11">
        <f t="shared" si="172"/>
        <v>0</v>
      </c>
      <c r="BV284" s="11">
        <f t="shared" si="173"/>
        <v>0</v>
      </c>
      <c r="BW284" s="11">
        <f t="shared" si="174"/>
        <v>0</v>
      </c>
      <c r="BX284" s="11">
        <f t="shared" si="175"/>
        <v>0</v>
      </c>
      <c r="BY284" s="11">
        <f t="shared" si="176"/>
        <v>0</v>
      </c>
      <c r="BZ284" s="11">
        <f t="shared" si="177"/>
        <v>0</v>
      </c>
      <c r="CA284" s="11">
        <f t="shared" si="178"/>
        <v>0</v>
      </c>
      <c r="CB284" s="11">
        <f t="shared" si="179"/>
        <v>0</v>
      </c>
      <c r="CC284" s="11">
        <f t="shared" si="180"/>
        <v>0</v>
      </c>
      <c r="CD284" s="11">
        <f t="shared" si="181"/>
        <v>0</v>
      </c>
      <c r="CE284" s="11">
        <f t="shared" si="182"/>
        <v>0</v>
      </c>
      <c r="CF284" s="11">
        <f t="shared" si="183"/>
        <v>0</v>
      </c>
      <c r="CG284" s="11"/>
      <c r="CH284" s="41">
        <v>3.23</v>
      </c>
      <c r="CJ284" s="54">
        <f t="shared" si="184"/>
        <v>0</v>
      </c>
      <c r="CK284" s="54">
        <f t="shared" si="185"/>
        <v>0</v>
      </c>
      <c r="CL284" s="54">
        <f t="shared" si="186"/>
        <v>0</v>
      </c>
      <c r="CM284" s="54">
        <f t="shared" si="187"/>
        <v>0</v>
      </c>
      <c r="CN284" s="54">
        <f t="shared" si="188"/>
        <v>0</v>
      </c>
      <c r="CO284" s="54">
        <f t="shared" si="189"/>
        <v>0</v>
      </c>
      <c r="CP284" s="54">
        <f t="shared" si="190"/>
        <v>0</v>
      </c>
      <c r="CQ284" s="54">
        <f t="shared" si="191"/>
        <v>0</v>
      </c>
      <c r="CR284" s="54">
        <f t="shared" si="192"/>
        <v>0</v>
      </c>
      <c r="CS284" s="54">
        <f t="shared" si="193"/>
        <v>0</v>
      </c>
      <c r="CT284" s="54">
        <f t="shared" si="194"/>
        <v>0</v>
      </c>
      <c r="CU284" s="54">
        <f t="shared" si="195"/>
        <v>0</v>
      </c>
      <c r="CV284" s="52">
        <f t="shared" si="196"/>
        <v>0</v>
      </c>
    </row>
    <row r="285" spans="1:100" ht="15.75" x14ac:dyDescent="0.25">
      <c r="A285" s="16"/>
      <c r="B285" s="44"/>
      <c r="C285" s="44"/>
      <c r="D285" s="44"/>
      <c r="E285" s="44"/>
      <c r="F285" s="45" t="s">
        <v>2948</v>
      </c>
      <c r="G285" s="83"/>
      <c r="H285" s="83"/>
      <c r="I285" s="83"/>
      <c r="J285" s="83"/>
      <c r="K285" s="83"/>
      <c r="L285" s="83"/>
      <c r="M285" s="83"/>
      <c r="N285" s="83"/>
      <c r="O285" s="83"/>
      <c r="P285" s="83"/>
      <c r="Q285" s="83"/>
      <c r="R285" s="83"/>
      <c r="S285" s="11">
        <f t="shared" si="197"/>
        <v>0</v>
      </c>
      <c r="T285" s="10">
        <f t="shared" si="198"/>
        <v>0</v>
      </c>
      <c r="U285" s="13" t="s">
        <v>2951</v>
      </c>
      <c r="V285" s="46">
        <f t="shared" si="169"/>
        <v>0</v>
      </c>
      <c r="W285" s="36">
        <v>2.956</v>
      </c>
      <c r="X285" s="36">
        <v>2.956</v>
      </c>
      <c r="Y285" s="36">
        <v>2.956</v>
      </c>
      <c r="Z285" s="36">
        <v>2.956</v>
      </c>
      <c r="AA285" s="36">
        <v>2.956</v>
      </c>
      <c r="AB285" s="36">
        <v>2.956</v>
      </c>
      <c r="AC285" s="36">
        <v>2.956</v>
      </c>
      <c r="AD285" s="36">
        <v>2.956</v>
      </c>
      <c r="AE285" s="36">
        <v>2.956</v>
      </c>
      <c r="AF285" s="36">
        <v>2.956</v>
      </c>
      <c r="AG285" s="36">
        <v>2.956</v>
      </c>
      <c r="AH285" s="36">
        <v>2.956</v>
      </c>
      <c r="AI285" s="39">
        <v>1.33634708931066E-2</v>
      </c>
      <c r="AJ285" s="39">
        <v>1.33634708931066E-2</v>
      </c>
      <c r="AK285" s="39">
        <v>1.33634708931066E-2</v>
      </c>
      <c r="AL285" s="39">
        <v>1.33634708931066E-2</v>
      </c>
      <c r="AM285" s="39">
        <v>1.33634708931066E-2</v>
      </c>
      <c r="AN285" s="39">
        <v>1.33634708931066E-2</v>
      </c>
      <c r="AO285" s="39">
        <v>1.33634708931066E-2</v>
      </c>
      <c r="AP285" s="39">
        <v>1.33634708931066E-2</v>
      </c>
      <c r="AQ285" s="39">
        <v>1.33634708931066E-2</v>
      </c>
      <c r="AR285" s="39">
        <v>1.33634708931066E-2</v>
      </c>
      <c r="AS285" s="39">
        <v>1.33634708931066E-2</v>
      </c>
      <c r="AT285" s="39">
        <v>1.33634708931066E-2</v>
      </c>
      <c r="AU285" s="39">
        <v>1.2392217523121999E-3</v>
      </c>
      <c r="AV285" s="39">
        <v>1.2392217523121999E-3</v>
      </c>
      <c r="AW285" s="39">
        <v>1.2392217523121999E-3</v>
      </c>
      <c r="AX285" s="39">
        <v>1.2392217523121999E-3</v>
      </c>
      <c r="AY285" s="39">
        <v>1.2392217523121999E-3</v>
      </c>
      <c r="AZ285" s="39">
        <v>1.2392217523121999E-3</v>
      </c>
      <c r="BA285" s="39">
        <v>1.2392217523121999E-3</v>
      </c>
      <c r="BB285" s="39">
        <v>1.2392217523121999E-3</v>
      </c>
      <c r="BC285" s="39">
        <v>1.2392217523121999E-3</v>
      </c>
      <c r="BD285" s="39">
        <v>1.2392217523121999E-3</v>
      </c>
      <c r="BE285" s="39">
        <v>1.2392217523121999E-3</v>
      </c>
      <c r="BF285" s="39">
        <v>1.2392217523121999E-3</v>
      </c>
      <c r="BH285" s="12">
        <f t="shared" si="199"/>
        <v>0</v>
      </c>
      <c r="BI285" s="12">
        <f t="shared" si="200"/>
        <v>0</v>
      </c>
      <c r="BJ285" s="12">
        <f t="shared" si="201"/>
        <v>0</v>
      </c>
      <c r="BK285" s="12">
        <f t="shared" si="202"/>
        <v>0</v>
      </c>
      <c r="BL285" s="12">
        <f t="shared" si="203"/>
        <v>0</v>
      </c>
      <c r="BM285" s="12">
        <f t="shared" si="204"/>
        <v>0</v>
      </c>
      <c r="BN285" s="12">
        <f t="shared" si="205"/>
        <v>0</v>
      </c>
      <c r="BO285" s="12">
        <f t="shared" si="206"/>
        <v>0</v>
      </c>
      <c r="BP285" s="12">
        <f t="shared" si="207"/>
        <v>0</v>
      </c>
      <c r="BQ285" s="12">
        <f t="shared" si="208"/>
        <v>0</v>
      </c>
      <c r="BR285" s="12">
        <f t="shared" si="170"/>
        <v>0</v>
      </c>
      <c r="BS285" s="12">
        <f t="shared" si="171"/>
        <v>0</v>
      </c>
      <c r="BU285" s="11">
        <f t="shared" si="172"/>
        <v>0</v>
      </c>
      <c r="BV285" s="11">
        <f t="shared" si="173"/>
        <v>0</v>
      </c>
      <c r="BW285" s="11">
        <f t="shared" si="174"/>
        <v>0</v>
      </c>
      <c r="BX285" s="11">
        <f t="shared" si="175"/>
        <v>0</v>
      </c>
      <c r="BY285" s="11">
        <f t="shared" si="176"/>
        <v>0</v>
      </c>
      <c r="BZ285" s="11">
        <f t="shared" si="177"/>
        <v>0</v>
      </c>
      <c r="CA285" s="11">
        <f t="shared" si="178"/>
        <v>0</v>
      </c>
      <c r="CB285" s="11">
        <f t="shared" si="179"/>
        <v>0</v>
      </c>
      <c r="CC285" s="11">
        <f t="shared" si="180"/>
        <v>0</v>
      </c>
      <c r="CD285" s="11">
        <f t="shared" si="181"/>
        <v>0</v>
      </c>
      <c r="CE285" s="11">
        <f t="shared" si="182"/>
        <v>0</v>
      </c>
      <c r="CF285" s="11">
        <f t="shared" si="183"/>
        <v>0</v>
      </c>
      <c r="CG285" s="11"/>
      <c r="CH285" s="41">
        <v>3.23</v>
      </c>
      <c r="CJ285" s="54">
        <f t="shared" si="184"/>
        <v>0</v>
      </c>
      <c r="CK285" s="54">
        <f t="shared" si="185"/>
        <v>0</v>
      </c>
      <c r="CL285" s="54">
        <f t="shared" si="186"/>
        <v>0</v>
      </c>
      <c r="CM285" s="54">
        <f t="shared" si="187"/>
        <v>0</v>
      </c>
      <c r="CN285" s="54">
        <f t="shared" si="188"/>
        <v>0</v>
      </c>
      <c r="CO285" s="54">
        <f t="shared" si="189"/>
        <v>0</v>
      </c>
      <c r="CP285" s="54">
        <f t="shared" si="190"/>
        <v>0</v>
      </c>
      <c r="CQ285" s="54">
        <f t="shared" si="191"/>
        <v>0</v>
      </c>
      <c r="CR285" s="54">
        <f t="shared" si="192"/>
        <v>0</v>
      </c>
      <c r="CS285" s="54">
        <f t="shared" si="193"/>
        <v>0</v>
      </c>
      <c r="CT285" s="54">
        <f t="shared" si="194"/>
        <v>0</v>
      </c>
      <c r="CU285" s="54">
        <f t="shared" si="195"/>
        <v>0</v>
      </c>
      <c r="CV285" s="52">
        <f t="shared" si="196"/>
        <v>0</v>
      </c>
    </row>
    <row r="286" spans="1:100" ht="15.75" x14ac:dyDescent="0.25">
      <c r="A286" s="16"/>
      <c r="B286" s="44"/>
      <c r="C286" s="44"/>
      <c r="D286" s="44"/>
      <c r="E286" s="44"/>
      <c r="F286" s="45" t="s">
        <v>2948</v>
      </c>
      <c r="G286" s="83"/>
      <c r="H286" s="83"/>
      <c r="I286" s="83"/>
      <c r="J286" s="83"/>
      <c r="K286" s="83"/>
      <c r="L286" s="83"/>
      <c r="M286" s="83"/>
      <c r="N286" s="83"/>
      <c r="O286" s="83"/>
      <c r="P286" s="83"/>
      <c r="Q286" s="83"/>
      <c r="R286" s="83"/>
      <c r="S286" s="11">
        <f t="shared" si="197"/>
        <v>0</v>
      </c>
      <c r="T286" s="10">
        <f t="shared" si="198"/>
        <v>0</v>
      </c>
      <c r="U286" s="13" t="s">
        <v>2951</v>
      </c>
      <c r="V286" s="46">
        <f t="shared" si="169"/>
        <v>0</v>
      </c>
      <c r="W286" s="36">
        <v>3.476</v>
      </c>
      <c r="X286" s="36">
        <v>3.476</v>
      </c>
      <c r="Y286" s="36">
        <v>3.476</v>
      </c>
      <c r="Z286" s="36">
        <v>3.476</v>
      </c>
      <c r="AA286" s="36">
        <v>3.476</v>
      </c>
      <c r="AB286" s="36">
        <v>3.476</v>
      </c>
      <c r="AC286" s="36">
        <v>3.476</v>
      </c>
      <c r="AD286" s="36">
        <v>3.476</v>
      </c>
      <c r="AE286" s="36">
        <v>3.476</v>
      </c>
      <c r="AF286" s="36">
        <v>3.476</v>
      </c>
      <c r="AG286" s="36">
        <v>3.476</v>
      </c>
      <c r="AH286" s="36">
        <v>3.476</v>
      </c>
      <c r="AI286" s="39">
        <v>1.33634708931066E-2</v>
      </c>
      <c r="AJ286" s="39">
        <v>1.33634708931066E-2</v>
      </c>
      <c r="AK286" s="39">
        <v>1.33634708931066E-2</v>
      </c>
      <c r="AL286" s="39">
        <v>1.33634708931066E-2</v>
      </c>
      <c r="AM286" s="39">
        <v>1.33634708931066E-2</v>
      </c>
      <c r="AN286" s="39">
        <v>1.33634708931066E-2</v>
      </c>
      <c r="AO286" s="39">
        <v>1.33634708931066E-2</v>
      </c>
      <c r="AP286" s="39">
        <v>1.33634708931066E-2</v>
      </c>
      <c r="AQ286" s="39">
        <v>1.33634708931066E-2</v>
      </c>
      <c r="AR286" s="39">
        <v>1.33634708931066E-2</v>
      </c>
      <c r="AS286" s="39">
        <v>1.33634708931066E-2</v>
      </c>
      <c r="AT286" s="39">
        <v>1.33634708931066E-2</v>
      </c>
      <c r="AU286" s="39">
        <v>1.2392217523121999E-3</v>
      </c>
      <c r="AV286" s="39">
        <v>1.2392217523121999E-3</v>
      </c>
      <c r="AW286" s="39">
        <v>1.2392217523121999E-3</v>
      </c>
      <c r="AX286" s="39">
        <v>1.2392217523121999E-3</v>
      </c>
      <c r="AY286" s="39">
        <v>1.2392217523121999E-3</v>
      </c>
      <c r="AZ286" s="39">
        <v>1.2392217523121999E-3</v>
      </c>
      <c r="BA286" s="39">
        <v>1.2392217523121999E-3</v>
      </c>
      <c r="BB286" s="39">
        <v>1.2392217523121999E-3</v>
      </c>
      <c r="BC286" s="39">
        <v>1.2392217523121999E-3</v>
      </c>
      <c r="BD286" s="39">
        <v>1.2392217523121999E-3</v>
      </c>
      <c r="BE286" s="39">
        <v>1.2392217523121999E-3</v>
      </c>
      <c r="BF286" s="39">
        <v>1.2392217523121999E-3</v>
      </c>
      <c r="BH286" s="12">
        <f t="shared" si="199"/>
        <v>0</v>
      </c>
      <c r="BI286" s="12">
        <f t="shared" si="200"/>
        <v>0</v>
      </c>
      <c r="BJ286" s="12">
        <f t="shared" si="201"/>
        <v>0</v>
      </c>
      <c r="BK286" s="12">
        <f t="shared" si="202"/>
        <v>0</v>
      </c>
      <c r="BL286" s="12">
        <f t="shared" si="203"/>
        <v>0</v>
      </c>
      <c r="BM286" s="12">
        <f t="shared" si="204"/>
        <v>0</v>
      </c>
      <c r="BN286" s="12">
        <f t="shared" si="205"/>
        <v>0</v>
      </c>
      <c r="BO286" s="12">
        <f t="shared" si="206"/>
        <v>0</v>
      </c>
      <c r="BP286" s="12">
        <f t="shared" si="207"/>
        <v>0</v>
      </c>
      <c r="BQ286" s="12">
        <f t="shared" si="208"/>
        <v>0</v>
      </c>
      <c r="BR286" s="12">
        <f t="shared" si="170"/>
        <v>0</v>
      </c>
      <c r="BS286" s="12">
        <f t="shared" si="171"/>
        <v>0</v>
      </c>
      <c r="BU286" s="11">
        <f t="shared" si="172"/>
        <v>0</v>
      </c>
      <c r="BV286" s="11">
        <f t="shared" si="173"/>
        <v>0</v>
      </c>
      <c r="BW286" s="11">
        <f t="shared" si="174"/>
        <v>0</v>
      </c>
      <c r="BX286" s="11">
        <f t="shared" si="175"/>
        <v>0</v>
      </c>
      <c r="BY286" s="11">
        <f t="shared" si="176"/>
        <v>0</v>
      </c>
      <c r="BZ286" s="11">
        <f t="shared" si="177"/>
        <v>0</v>
      </c>
      <c r="CA286" s="11">
        <f t="shared" si="178"/>
        <v>0</v>
      </c>
      <c r="CB286" s="11">
        <f t="shared" si="179"/>
        <v>0</v>
      </c>
      <c r="CC286" s="11">
        <f t="shared" si="180"/>
        <v>0</v>
      </c>
      <c r="CD286" s="11">
        <f t="shared" si="181"/>
        <v>0</v>
      </c>
      <c r="CE286" s="11">
        <f t="shared" si="182"/>
        <v>0</v>
      </c>
      <c r="CF286" s="11">
        <f t="shared" si="183"/>
        <v>0</v>
      </c>
      <c r="CG286" s="11"/>
      <c r="CH286" s="41">
        <v>3.23</v>
      </c>
      <c r="CJ286" s="54">
        <f t="shared" si="184"/>
        <v>0</v>
      </c>
      <c r="CK286" s="54">
        <f t="shared" si="185"/>
        <v>0</v>
      </c>
      <c r="CL286" s="54">
        <f t="shared" si="186"/>
        <v>0</v>
      </c>
      <c r="CM286" s="54">
        <f t="shared" si="187"/>
        <v>0</v>
      </c>
      <c r="CN286" s="54">
        <f t="shared" si="188"/>
        <v>0</v>
      </c>
      <c r="CO286" s="54">
        <f t="shared" si="189"/>
        <v>0</v>
      </c>
      <c r="CP286" s="54">
        <f t="shared" si="190"/>
        <v>0</v>
      </c>
      <c r="CQ286" s="54">
        <f t="shared" si="191"/>
        <v>0</v>
      </c>
      <c r="CR286" s="54">
        <f t="shared" si="192"/>
        <v>0</v>
      </c>
      <c r="CS286" s="54">
        <f t="shared" si="193"/>
        <v>0</v>
      </c>
      <c r="CT286" s="54">
        <f t="shared" si="194"/>
        <v>0</v>
      </c>
      <c r="CU286" s="54">
        <f t="shared" si="195"/>
        <v>0</v>
      </c>
      <c r="CV286" s="52">
        <f t="shared" si="196"/>
        <v>0</v>
      </c>
    </row>
    <row r="287" spans="1:100" ht="15.75" x14ac:dyDescent="0.25">
      <c r="A287" s="16"/>
      <c r="B287" s="44"/>
      <c r="C287" s="44"/>
      <c r="D287" s="44"/>
      <c r="E287" s="44"/>
      <c r="F287" s="45" t="s">
        <v>2948</v>
      </c>
      <c r="G287" s="83"/>
      <c r="H287" s="83"/>
      <c r="I287" s="83"/>
      <c r="J287" s="83"/>
      <c r="K287" s="83"/>
      <c r="L287" s="83"/>
      <c r="M287" s="83"/>
      <c r="N287" s="83"/>
      <c r="O287" s="83"/>
      <c r="P287" s="83"/>
      <c r="Q287" s="83"/>
      <c r="R287" s="83"/>
      <c r="S287" s="11">
        <f t="shared" si="197"/>
        <v>0</v>
      </c>
      <c r="T287" s="10">
        <f t="shared" si="198"/>
        <v>0</v>
      </c>
      <c r="U287" s="13" t="s">
        <v>2951</v>
      </c>
      <c r="V287" s="46">
        <f t="shared" si="169"/>
        <v>0</v>
      </c>
      <c r="W287" s="36">
        <v>3.915</v>
      </c>
      <c r="X287" s="36">
        <v>3.915</v>
      </c>
      <c r="Y287" s="36">
        <v>3.915</v>
      </c>
      <c r="Z287" s="36">
        <v>3.915</v>
      </c>
      <c r="AA287" s="36">
        <v>3.915</v>
      </c>
      <c r="AB287" s="36">
        <v>3.915</v>
      </c>
      <c r="AC287" s="36">
        <v>3.915</v>
      </c>
      <c r="AD287" s="36">
        <v>3.915</v>
      </c>
      <c r="AE287" s="36">
        <v>3.915</v>
      </c>
      <c r="AF287" s="36">
        <v>3.915</v>
      </c>
      <c r="AG287" s="36">
        <v>3.915</v>
      </c>
      <c r="AH287" s="36">
        <v>3.915</v>
      </c>
      <c r="AI287" s="39">
        <v>1.33634708931066E-2</v>
      </c>
      <c r="AJ287" s="39">
        <v>1.33634708931066E-2</v>
      </c>
      <c r="AK287" s="39">
        <v>1.33634708931066E-2</v>
      </c>
      <c r="AL287" s="39">
        <v>1.33634708931066E-2</v>
      </c>
      <c r="AM287" s="39">
        <v>1.33634708931066E-2</v>
      </c>
      <c r="AN287" s="39">
        <v>1.33634708931066E-2</v>
      </c>
      <c r="AO287" s="39">
        <v>1.33634708931066E-2</v>
      </c>
      <c r="AP287" s="39">
        <v>1.33634708931066E-2</v>
      </c>
      <c r="AQ287" s="39">
        <v>1.33634708931066E-2</v>
      </c>
      <c r="AR287" s="39">
        <v>1.33634708931066E-2</v>
      </c>
      <c r="AS287" s="39">
        <v>1.33634708931066E-2</v>
      </c>
      <c r="AT287" s="39">
        <v>1.33634708931066E-2</v>
      </c>
      <c r="AU287" s="39">
        <v>1.2392217523121999E-3</v>
      </c>
      <c r="AV287" s="39">
        <v>1.2392217523121999E-3</v>
      </c>
      <c r="AW287" s="39">
        <v>1.2392217523121999E-3</v>
      </c>
      <c r="AX287" s="39">
        <v>1.2392217523121999E-3</v>
      </c>
      <c r="AY287" s="39">
        <v>1.2392217523121999E-3</v>
      </c>
      <c r="AZ287" s="39">
        <v>1.2392217523121999E-3</v>
      </c>
      <c r="BA287" s="39">
        <v>1.2392217523121999E-3</v>
      </c>
      <c r="BB287" s="39">
        <v>1.2392217523121999E-3</v>
      </c>
      <c r="BC287" s="39">
        <v>1.2392217523121999E-3</v>
      </c>
      <c r="BD287" s="39">
        <v>1.2392217523121999E-3</v>
      </c>
      <c r="BE287" s="39">
        <v>1.2392217523121999E-3</v>
      </c>
      <c r="BF287" s="39">
        <v>1.2392217523121999E-3</v>
      </c>
      <c r="BH287" s="12">
        <f t="shared" si="199"/>
        <v>0</v>
      </c>
      <c r="BI287" s="12">
        <f t="shared" si="200"/>
        <v>0</v>
      </c>
      <c r="BJ287" s="12">
        <f t="shared" si="201"/>
        <v>0</v>
      </c>
      <c r="BK287" s="12">
        <f t="shared" si="202"/>
        <v>0</v>
      </c>
      <c r="BL287" s="12">
        <f t="shared" si="203"/>
        <v>0</v>
      </c>
      <c r="BM287" s="12">
        <f t="shared" si="204"/>
        <v>0</v>
      </c>
      <c r="BN287" s="12">
        <f t="shared" si="205"/>
        <v>0</v>
      </c>
      <c r="BO287" s="12">
        <f t="shared" si="206"/>
        <v>0</v>
      </c>
      <c r="BP287" s="12">
        <f t="shared" si="207"/>
        <v>0</v>
      </c>
      <c r="BQ287" s="12">
        <f t="shared" si="208"/>
        <v>0</v>
      </c>
      <c r="BR287" s="12">
        <f t="shared" si="170"/>
        <v>0</v>
      </c>
      <c r="BS287" s="12">
        <f t="shared" si="171"/>
        <v>0</v>
      </c>
      <c r="BU287" s="11">
        <f t="shared" si="172"/>
        <v>0</v>
      </c>
      <c r="BV287" s="11">
        <f t="shared" si="173"/>
        <v>0</v>
      </c>
      <c r="BW287" s="11">
        <f t="shared" si="174"/>
        <v>0</v>
      </c>
      <c r="BX287" s="11">
        <f t="shared" si="175"/>
        <v>0</v>
      </c>
      <c r="BY287" s="11">
        <f t="shared" si="176"/>
        <v>0</v>
      </c>
      <c r="BZ287" s="11">
        <f t="shared" si="177"/>
        <v>0</v>
      </c>
      <c r="CA287" s="11">
        <f t="shared" si="178"/>
        <v>0</v>
      </c>
      <c r="CB287" s="11">
        <f t="shared" si="179"/>
        <v>0</v>
      </c>
      <c r="CC287" s="11">
        <f t="shared" si="180"/>
        <v>0</v>
      </c>
      <c r="CD287" s="11">
        <f t="shared" si="181"/>
        <v>0</v>
      </c>
      <c r="CE287" s="11">
        <f t="shared" si="182"/>
        <v>0</v>
      </c>
      <c r="CF287" s="11">
        <f t="shared" si="183"/>
        <v>0</v>
      </c>
      <c r="CG287" s="11"/>
      <c r="CH287" s="41">
        <v>3.23</v>
      </c>
      <c r="CJ287" s="54">
        <f t="shared" si="184"/>
        <v>0</v>
      </c>
      <c r="CK287" s="54">
        <f t="shared" si="185"/>
        <v>0</v>
      </c>
      <c r="CL287" s="54">
        <f t="shared" si="186"/>
        <v>0</v>
      </c>
      <c r="CM287" s="54">
        <f t="shared" si="187"/>
        <v>0</v>
      </c>
      <c r="CN287" s="54">
        <f t="shared" si="188"/>
        <v>0</v>
      </c>
      <c r="CO287" s="54">
        <f t="shared" si="189"/>
        <v>0</v>
      </c>
      <c r="CP287" s="54">
        <f t="shared" si="190"/>
        <v>0</v>
      </c>
      <c r="CQ287" s="54">
        <f t="shared" si="191"/>
        <v>0</v>
      </c>
      <c r="CR287" s="54">
        <f t="shared" si="192"/>
        <v>0</v>
      </c>
      <c r="CS287" s="54">
        <f t="shared" si="193"/>
        <v>0</v>
      </c>
      <c r="CT287" s="54">
        <f t="shared" si="194"/>
        <v>0</v>
      </c>
      <c r="CU287" s="54">
        <f t="shared" si="195"/>
        <v>0</v>
      </c>
      <c r="CV287" s="52">
        <f t="shared" si="196"/>
        <v>0</v>
      </c>
    </row>
    <row r="288" spans="1:100" ht="15.75" x14ac:dyDescent="0.25">
      <c r="A288" s="16"/>
      <c r="B288" s="44"/>
      <c r="C288" s="44"/>
      <c r="D288" s="44"/>
      <c r="E288" s="44"/>
      <c r="F288" s="45" t="s">
        <v>2948</v>
      </c>
      <c r="G288" s="83"/>
      <c r="H288" s="83"/>
      <c r="I288" s="83"/>
      <c r="J288" s="83"/>
      <c r="K288" s="83"/>
      <c r="L288" s="83"/>
      <c r="M288" s="83"/>
      <c r="N288" s="83"/>
      <c r="O288" s="83"/>
      <c r="P288" s="83"/>
      <c r="Q288" s="83"/>
      <c r="R288" s="83"/>
      <c r="S288" s="11">
        <f t="shared" si="197"/>
        <v>0</v>
      </c>
      <c r="T288" s="10">
        <f t="shared" si="198"/>
        <v>0</v>
      </c>
      <c r="U288" s="13" t="s">
        <v>2951</v>
      </c>
      <c r="V288" s="46">
        <f t="shared" si="169"/>
        <v>0</v>
      </c>
      <c r="W288" s="36">
        <v>9.06</v>
      </c>
      <c r="X288" s="36">
        <v>9.06</v>
      </c>
      <c r="Y288" s="36">
        <v>9.06</v>
      </c>
      <c r="Z288" s="36">
        <v>9.06</v>
      </c>
      <c r="AA288" s="36">
        <v>9.06</v>
      </c>
      <c r="AB288" s="36">
        <v>9.06</v>
      </c>
      <c r="AC288" s="36">
        <v>9.06</v>
      </c>
      <c r="AD288" s="36">
        <v>9.06</v>
      </c>
      <c r="AE288" s="36">
        <v>9.06</v>
      </c>
      <c r="AF288" s="36">
        <v>9.06</v>
      </c>
      <c r="AG288" s="36">
        <v>9.06</v>
      </c>
      <c r="AH288" s="36">
        <v>9.06</v>
      </c>
      <c r="AI288" s="39">
        <v>0</v>
      </c>
      <c r="AJ288" s="39">
        <v>0</v>
      </c>
      <c r="AK288" s="39">
        <v>0</v>
      </c>
      <c r="AL288" s="39">
        <v>0</v>
      </c>
      <c r="AM288" s="39">
        <v>0</v>
      </c>
      <c r="AN288" s="39">
        <v>0</v>
      </c>
      <c r="AO288" s="39">
        <v>0</v>
      </c>
      <c r="AP288" s="39">
        <v>0</v>
      </c>
      <c r="AQ288" s="39">
        <v>0</v>
      </c>
      <c r="AR288" s="39">
        <v>0</v>
      </c>
      <c r="AS288" s="39">
        <v>0</v>
      </c>
      <c r="AT288" s="39">
        <v>0</v>
      </c>
      <c r="AU288" s="39">
        <v>0</v>
      </c>
      <c r="AV288" s="39">
        <v>0</v>
      </c>
      <c r="AW288" s="39">
        <v>0</v>
      </c>
      <c r="AX288" s="39">
        <v>0</v>
      </c>
      <c r="AY288" s="39">
        <v>0</v>
      </c>
      <c r="AZ288" s="39">
        <v>0</v>
      </c>
      <c r="BA288" s="39">
        <v>0</v>
      </c>
      <c r="BB288" s="39">
        <v>0</v>
      </c>
      <c r="BC288" s="39">
        <v>0</v>
      </c>
      <c r="BD288" s="39">
        <v>0</v>
      </c>
      <c r="BE288" s="39">
        <v>0</v>
      </c>
      <c r="BF288" s="39">
        <v>0</v>
      </c>
      <c r="BH288" s="12">
        <f t="shared" si="199"/>
        <v>0</v>
      </c>
      <c r="BI288" s="12">
        <f t="shared" si="200"/>
        <v>0</v>
      </c>
      <c r="BJ288" s="12">
        <f t="shared" si="201"/>
        <v>0</v>
      </c>
      <c r="BK288" s="12">
        <f t="shared" si="202"/>
        <v>0</v>
      </c>
      <c r="BL288" s="12">
        <f t="shared" si="203"/>
        <v>0</v>
      </c>
      <c r="BM288" s="12">
        <f t="shared" si="204"/>
        <v>0</v>
      </c>
      <c r="BN288" s="12">
        <f t="shared" si="205"/>
        <v>0</v>
      </c>
      <c r="BO288" s="12">
        <f t="shared" si="206"/>
        <v>0</v>
      </c>
      <c r="BP288" s="12">
        <f t="shared" si="207"/>
        <v>0</v>
      </c>
      <c r="BQ288" s="12">
        <f t="shared" si="208"/>
        <v>0</v>
      </c>
      <c r="BR288" s="12">
        <f t="shared" si="170"/>
        <v>0</v>
      </c>
      <c r="BS288" s="12">
        <f t="shared" si="171"/>
        <v>0</v>
      </c>
      <c r="BU288" s="11">
        <f t="shared" si="172"/>
        <v>0</v>
      </c>
      <c r="BV288" s="11">
        <f t="shared" si="173"/>
        <v>0</v>
      </c>
      <c r="BW288" s="11">
        <f t="shared" si="174"/>
        <v>0</v>
      </c>
      <c r="BX288" s="11">
        <f t="shared" si="175"/>
        <v>0</v>
      </c>
      <c r="BY288" s="11">
        <f t="shared" si="176"/>
        <v>0</v>
      </c>
      <c r="BZ288" s="11">
        <f t="shared" si="177"/>
        <v>0</v>
      </c>
      <c r="CA288" s="11">
        <f t="shared" si="178"/>
        <v>0</v>
      </c>
      <c r="CB288" s="11">
        <f t="shared" si="179"/>
        <v>0</v>
      </c>
      <c r="CC288" s="11">
        <f t="shared" si="180"/>
        <v>0</v>
      </c>
      <c r="CD288" s="11">
        <f t="shared" si="181"/>
        <v>0</v>
      </c>
      <c r="CE288" s="11">
        <f t="shared" si="182"/>
        <v>0</v>
      </c>
      <c r="CF288" s="11">
        <f t="shared" si="183"/>
        <v>0</v>
      </c>
      <c r="CG288" s="11"/>
      <c r="CH288" s="41">
        <v>1</v>
      </c>
      <c r="CJ288" s="54">
        <f t="shared" si="184"/>
        <v>0</v>
      </c>
      <c r="CK288" s="54">
        <f t="shared" si="185"/>
        <v>0</v>
      </c>
      <c r="CL288" s="54">
        <f t="shared" si="186"/>
        <v>0</v>
      </c>
      <c r="CM288" s="54">
        <f t="shared" si="187"/>
        <v>0</v>
      </c>
      <c r="CN288" s="54">
        <f t="shared" si="188"/>
        <v>0</v>
      </c>
      <c r="CO288" s="54">
        <f t="shared" si="189"/>
        <v>0</v>
      </c>
      <c r="CP288" s="54">
        <f t="shared" si="190"/>
        <v>0</v>
      </c>
      <c r="CQ288" s="54">
        <f t="shared" si="191"/>
        <v>0</v>
      </c>
      <c r="CR288" s="54">
        <f t="shared" si="192"/>
        <v>0</v>
      </c>
      <c r="CS288" s="54">
        <f t="shared" si="193"/>
        <v>0</v>
      </c>
      <c r="CT288" s="54">
        <f t="shared" si="194"/>
        <v>0</v>
      </c>
      <c r="CU288" s="54">
        <f t="shared" si="195"/>
        <v>0</v>
      </c>
      <c r="CV288" s="52">
        <f t="shared" si="196"/>
        <v>0</v>
      </c>
    </row>
    <row r="289" spans="1:100" ht="15.75" x14ac:dyDescent="0.25">
      <c r="A289" s="16"/>
      <c r="B289" s="44"/>
      <c r="C289" s="44"/>
      <c r="D289" s="44"/>
      <c r="E289" s="44"/>
      <c r="F289" s="45" t="s">
        <v>2948</v>
      </c>
      <c r="G289" s="83"/>
      <c r="H289" s="83"/>
      <c r="I289" s="83"/>
      <c r="J289" s="83"/>
      <c r="K289" s="83"/>
      <c r="L289" s="83"/>
      <c r="M289" s="83"/>
      <c r="N289" s="83"/>
      <c r="O289" s="83"/>
      <c r="P289" s="83"/>
      <c r="Q289" s="83"/>
      <c r="R289" s="83"/>
      <c r="S289" s="11">
        <f t="shared" si="197"/>
        <v>0</v>
      </c>
      <c r="T289" s="10">
        <f t="shared" si="198"/>
        <v>0</v>
      </c>
      <c r="U289" s="13" t="s">
        <v>2951</v>
      </c>
      <c r="V289" s="46">
        <f t="shared" si="169"/>
        <v>0</v>
      </c>
      <c r="W289" s="36">
        <v>1.69</v>
      </c>
      <c r="X289" s="36">
        <v>1.69</v>
      </c>
      <c r="Y289" s="36">
        <v>1.69</v>
      </c>
      <c r="Z289" s="36">
        <v>1.69</v>
      </c>
      <c r="AA289" s="36">
        <v>1.69</v>
      </c>
      <c r="AB289" s="36">
        <v>1.69</v>
      </c>
      <c r="AC289" s="36">
        <v>1.69</v>
      </c>
      <c r="AD289" s="36">
        <v>1.69</v>
      </c>
      <c r="AE289" s="36">
        <v>1.69</v>
      </c>
      <c r="AF289" s="36">
        <v>1.69</v>
      </c>
      <c r="AG289" s="36">
        <v>1.69</v>
      </c>
      <c r="AH289" s="36">
        <v>1.69</v>
      </c>
      <c r="AI289" s="39">
        <v>0</v>
      </c>
      <c r="AJ289" s="39">
        <v>0</v>
      </c>
      <c r="AK289" s="39">
        <v>0</v>
      </c>
      <c r="AL289" s="39">
        <v>0</v>
      </c>
      <c r="AM289" s="39">
        <v>0</v>
      </c>
      <c r="AN289" s="39">
        <v>0</v>
      </c>
      <c r="AO289" s="39">
        <v>0</v>
      </c>
      <c r="AP289" s="39">
        <v>0</v>
      </c>
      <c r="AQ289" s="39">
        <v>0</v>
      </c>
      <c r="AR289" s="39">
        <v>0</v>
      </c>
      <c r="AS289" s="39">
        <v>0</v>
      </c>
      <c r="AT289" s="39">
        <v>0</v>
      </c>
      <c r="AU289" s="39">
        <v>0</v>
      </c>
      <c r="AV289" s="39">
        <v>0</v>
      </c>
      <c r="AW289" s="39">
        <v>0</v>
      </c>
      <c r="AX289" s="39">
        <v>0</v>
      </c>
      <c r="AY289" s="39">
        <v>0</v>
      </c>
      <c r="AZ289" s="39">
        <v>0</v>
      </c>
      <c r="BA289" s="39">
        <v>0</v>
      </c>
      <c r="BB289" s="39">
        <v>0</v>
      </c>
      <c r="BC289" s="39">
        <v>0</v>
      </c>
      <c r="BD289" s="39">
        <v>0</v>
      </c>
      <c r="BE289" s="39">
        <v>0</v>
      </c>
      <c r="BF289" s="39">
        <v>0</v>
      </c>
      <c r="BH289" s="12">
        <f t="shared" si="199"/>
        <v>0</v>
      </c>
      <c r="BI289" s="12">
        <f t="shared" si="200"/>
        <v>0</v>
      </c>
      <c r="BJ289" s="12">
        <f t="shared" si="201"/>
        <v>0</v>
      </c>
      <c r="BK289" s="12">
        <f t="shared" si="202"/>
        <v>0</v>
      </c>
      <c r="BL289" s="12">
        <f t="shared" si="203"/>
        <v>0</v>
      </c>
      <c r="BM289" s="12">
        <f t="shared" si="204"/>
        <v>0</v>
      </c>
      <c r="BN289" s="12">
        <f t="shared" si="205"/>
        <v>0</v>
      </c>
      <c r="BO289" s="12">
        <f t="shared" si="206"/>
        <v>0</v>
      </c>
      <c r="BP289" s="12">
        <f t="shared" si="207"/>
        <v>0</v>
      </c>
      <c r="BQ289" s="12">
        <f t="shared" si="208"/>
        <v>0</v>
      </c>
      <c r="BR289" s="12">
        <f t="shared" si="170"/>
        <v>0</v>
      </c>
      <c r="BS289" s="12">
        <f t="shared" si="171"/>
        <v>0</v>
      </c>
      <c r="BU289" s="11">
        <f t="shared" si="172"/>
        <v>0</v>
      </c>
      <c r="BV289" s="11">
        <f t="shared" si="173"/>
        <v>0</v>
      </c>
      <c r="BW289" s="11">
        <f t="shared" si="174"/>
        <v>0</v>
      </c>
      <c r="BX289" s="11">
        <f t="shared" si="175"/>
        <v>0</v>
      </c>
      <c r="BY289" s="11">
        <f t="shared" si="176"/>
        <v>0</v>
      </c>
      <c r="BZ289" s="11">
        <f t="shared" si="177"/>
        <v>0</v>
      </c>
      <c r="CA289" s="11">
        <f t="shared" si="178"/>
        <v>0</v>
      </c>
      <c r="CB289" s="11">
        <f t="shared" si="179"/>
        <v>0</v>
      </c>
      <c r="CC289" s="11">
        <f t="shared" si="180"/>
        <v>0</v>
      </c>
      <c r="CD289" s="11">
        <f t="shared" si="181"/>
        <v>0</v>
      </c>
      <c r="CE289" s="11">
        <f t="shared" si="182"/>
        <v>0</v>
      </c>
      <c r="CF289" s="11">
        <f t="shared" si="183"/>
        <v>0</v>
      </c>
      <c r="CG289" s="11"/>
      <c r="CH289" s="41">
        <v>1</v>
      </c>
      <c r="CJ289" s="54">
        <f t="shared" si="184"/>
        <v>0</v>
      </c>
      <c r="CK289" s="54">
        <f t="shared" si="185"/>
        <v>0</v>
      </c>
      <c r="CL289" s="54">
        <f t="shared" si="186"/>
        <v>0</v>
      </c>
      <c r="CM289" s="54">
        <f t="shared" si="187"/>
        <v>0</v>
      </c>
      <c r="CN289" s="54">
        <f t="shared" si="188"/>
        <v>0</v>
      </c>
      <c r="CO289" s="54">
        <f t="shared" si="189"/>
        <v>0</v>
      </c>
      <c r="CP289" s="54">
        <f t="shared" si="190"/>
        <v>0</v>
      </c>
      <c r="CQ289" s="54">
        <f t="shared" si="191"/>
        <v>0</v>
      </c>
      <c r="CR289" s="54">
        <f t="shared" si="192"/>
        <v>0</v>
      </c>
      <c r="CS289" s="54">
        <f t="shared" si="193"/>
        <v>0</v>
      </c>
      <c r="CT289" s="54">
        <f t="shared" si="194"/>
        <v>0</v>
      </c>
      <c r="CU289" s="54">
        <f t="shared" si="195"/>
        <v>0</v>
      </c>
      <c r="CV289" s="52">
        <f t="shared" si="196"/>
        <v>0</v>
      </c>
    </row>
    <row r="290" spans="1:100" ht="15.75" x14ac:dyDescent="0.25">
      <c r="A290" s="16"/>
      <c r="B290" s="44"/>
      <c r="C290" s="44"/>
      <c r="D290" s="44"/>
      <c r="E290" s="44"/>
      <c r="F290" s="45" t="s">
        <v>2948</v>
      </c>
      <c r="G290" s="83"/>
      <c r="H290" s="83"/>
      <c r="I290" s="83"/>
      <c r="J290" s="83"/>
      <c r="K290" s="83"/>
      <c r="L290" s="83"/>
      <c r="M290" s="83"/>
      <c r="N290" s="83"/>
      <c r="O290" s="83"/>
      <c r="P290" s="83"/>
      <c r="Q290" s="83"/>
      <c r="R290" s="83"/>
      <c r="S290" s="11">
        <f t="shared" si="197"/>
        <v>0</v>
      </c>
      <c r="T290" s="10">
        <f t="shared" si="198"/>
        <v>0</v>
      </c>
      <c r="U290" s="13" t="s">
        <v>2951</v>
      </c>
      <c r="V290" s="46">
        <f t="shared" si="169"/>
        <v>0</v>
      </c>
      <c r="W290" s="36">
        <v>1.8400042087542088</v>
      </c>
      <c r="X290" s="36">
        <v>1.8400042087542088</v>
      </c>
      <c r="Y290" s="36">
        <v>1.8400042087542088</v>
      </c>
      <c r="Z290" s="36">
        <v>1.8400042087542088</v>
      </c>
      <c r="AA290" s="36">
        <v>1.8400042087542088</v>
      </c>
      <c r="AB290" s="36">
        <v>1.8400042087542088</v>
      </c>
      <c r="AC290" s="36">
        <v>1.8400042087542088</v>
      </c>
      <c r="AD290" s="36">
        <v>1.8400042087542088</v>
      </c>
      <c r="AE290" s="36">
        <v>1.8400042087542088</v>
      </c>
      <c r="AF290" s="36">
        <v>1.8400042087542088</v>
      </c>
      <c r="AG290" s="36">
        <v>1.8400042087542088</v>
      </c>
      <c r="AH290" s="36">
        <v>1.8400042087542088</v>
      </c>
      <c r="AI290" s="39">
        <v>0</v>
      </c>
      <c r="AJ290" s="39">
        <v>0</v>
      </c>
      <c r="AK290" s="39">
        <v>0</v>
      </c>
      <c r="AL290" s="39">
        <v>0</v>
      </c>
      <c r="AM290" s="39">
        <v>0</v>
      </c>
      <c r="AN290" s="39">
        <v>0</v>
      </c>
      <c r="AO290" s="39">
        <v>0</v>
      </c>
      <c r="AP290" s="39">
        <v>0</v>
      </c>
      <c r="AQ290" s="39">
        <v>0</v>
      </c>
      <c r="AR290" s="39">
        <v>0</v>
      </c>
      <c r="AS290" s="39">
        <v>0</v>
      </c>
      <c r="AT290" s="39">
        <v>0</v>
      </c>
      <c r="AU290" s="39">
        <v>0</v>
      </c>
      <c r="AV290" s="39">
        <v>0</v>
      </c>
      <c r="AW290" s="39">
        <v>0</v>
      </c>
      <c r="AX290" s="39">
        <v>0</v>
      </c>
      <c r="AY290" s="39">
        <v>0</v>
      </c>
      <c r="AZ290" s="39">
        <v>0</v>
      </c>
      <c r="BA290" s="39">
        <v>0</v>
      </c>
      <c r="BB290" s="39">
        <v>0</v>
      </c>
      <c r="BC290" s="39">
        <v>0</v>
      </c>
      <c r="BD290" s="39">
        <v>0</v>
      </c>
      <c r="BE290" s="39">
        <v>0</v>
      </c>
      <c r="BF290" s="39">
        <v>0</v>
      </c>
      <c r="BH290" s="12">
        <f t="shared" si="199"/>
        <v>0</v>
      </c>
      <c r="BI290" s="12">
        <f t="shared" si="200"/>
        <v>0</v>
      </c>
      <c r="BJ290" s="12">
        <f t="shared" si="201"/>
        <v>0</v>
      </c>
      <c r="BK290" s="12">
        <f t="shared" si="202"/>
        <v>0</v>
      </c>
      <c r="BL290" s="12">
        <f t="shared" si="203"/>
        <v>0</v>
      </c>
      <c r="BM290" s="12">
        <f t="shared" si="204"/>
        <v>0</v>
      </c>
      <c r="BN290" s="12">
        <f t="shared" si="205"/>
        <v>0</v>
      </c>
      <c r="BO290" s="12">
        <f t="shared" si="206"/>
        <v>0</v>
      </c>
      <c r="BP290" s="12">
        <f t="shared" si="207"/>
        <v>0</v>
      </c>
      <c r="BQ290" s="12">
        <f t="shared" si="208"/>
        <v>0</v>
      </c>
      <c r="BR290" s="12">
        <f t="shared" si="170"/>
        <v>0</v>
      </c>
      <c r="BS290" s="12">
        <f t="shared" si="171"/>
        <v>0</v>
      </c>
      <c r="BU290" s="11">
        <f t="shared" si="172"/>
        <v>0</v>
      </c>
      <c r="BV290" s="11">
        <f t="shared" si="173"/>
        <v>0</v>
      </c>
      <c r="BW290" s="11">
        <f t="shared" si="174"/>
        <v>0</v>
      </c>
      <c r="BX290" s="11">
        <f t="shared" si="175"/>
        <v>0</v>
      </c>
      <c r="BY290" s="11">
        <f t="shared" si="176"/>
        <v>0</v>
      </c>
      <c r="BZ290" s="11">
        <f t="shared" si="177"/>
        <v>0</v>
      </c>
      <c r="CA290" s="11">
        <f t="shared" si="178"/>
        <v>0</v>
      </c>
      <c r="CB290" s="11">
        <f t="shared" si="179"/>
        <v>0</v>
      </c>
      <c r="CC290" s="11">
        <f t="shared" si="180"/>
        <v>0</v>
      </c>
      <c r="CD290" s="11">
        <f t="shared" si="181"/>
        <v>0</v>
      </c>
      <c r="CE290" s="11">
        <f t="shared" si="182"/>
        <v>0</v>
      </c>
      <c r="CF290" s="11">
        <f t="shared" si="183"/>
        <v>0</v>
      </c>
      <c r="CG290" s="11"/>
      <c r="CH290" s="41">
        <v>1</v>
      </c>
      <c r="CJ290" s="54">
        <f t="shared" si="184"/>
        <v>0</v>
      </c>
      <c r="CK290" s="54">
        <f t="shared" si="185"/>
        <v>0</v>
      </c>
      <c r="CL290" s="54">
        <f t="shared" si="186"/>
        <v>0</v>
      </c>
      <c r="CM290" s="54">
        <f t="shared" si="187"/>
        <v>0</v>
      </c>
      <c r="CN290" s="54">
        <f t="shared" si="188"/>
        <v>0</v>
      </c>
      <c r="CO290" s="54">
        <f t="shared" si="189"/>
        <v>0</v>
      </c>
      <c r="CP290" s="54">
        <f t="shared" si="190"/>
        <v>0</v>
      </c>
      <c r="CQ290" s="54">
        <f t="shared" si="191"/>
        <v>0</v>
      </c>
      <c r="CR290" s="54">
        <f t="shared" si="192"/>
        <v>0</v>
      </c>
      <c r="CS290" s="54">
        <f t="shared" si="193"/>
        <v>0</v>
      </c>
      <c r="CT290" s="54">
        <f t="shared" si="194"/>
        <v>0</v>
      </c>
      <c r="CU290" s="54">
        <f t="shared" si="195"/>
        <v>0</v>
      </c>
      <c r="CV290" s="52">
        <f t="shared" si="196"/>
        <v>0</v>
      </c>
    </row>
    <row r="291" spans="1:100" ht="15.75" x14ac:dyDescent="0.25">
      <c r="A291" s="16"/>
      <c r="B291" s="44"/>
      <c r="C291" s="44"/>
      <c r="D291" s="44"/>
      <c r="E291" s="44"/>
      <c r="F291" s="45" t="s">
        <v>2948</v>
      </c>
      <c r="G291" s="83"/>
      <c r="H291" s="84"/>
      <c r="I291" s="84"/>
      <c r="J291" s="84"/>
      <c r="K291" s="84"/>
      <c r="L291" s="84"/>
      <c r="M291" s="84"/>
      <c r="N291" s="84"/>
      <c r="O291" s="84"/>
      <c r="P291" s="84"/>
      <c r="Q291" s="84"/>
      <c r="R291" s="84"/>
      <c r="S291" s="11">
        <f>SUM(G291:R291)</f>
        <v>0</v>
      </c>
      <c r="T291" s="8">
        <f t="shared" si="198"/>
        <v>0</v>
      </c>
      <c r="U291" s="13" t="s">
        <v>2951</v>
      </c>
      <c r="V291" s="46">
        <f t="shared" si="169"/>
        <v>0</v>
      </c>
      <c r="W291" s="36">
        <v>11.423999999999999</v>
      </c>
      <c r="X291" s="36">
        <v>11.423999999999999</v>
      </c>
      <c r="Y291" s="36">
        <v>11.423999999999999</v>
      </c>
      <c r="Z291" s="36">
        <v>11.423999999999999</v>
      </c>
      <c r="AA291" s="36">
        <v>11.423999999999999</v>
      </c>
      <c r="AB291" s="36">
        <v>11.423999999999999</v>
      </c>
      <c r="AC291" s="36">
        <v>11.423999999999999</v>
      </c>
      <c r="AD291" s="36">
        <v>11.423999999999999</v>
      </c>
      <c r="AE291" s="36">
        <v>11.423999999999999</v>
      </c>
      <c r="AF291" s="36">
        <v>11.423999999999999</v>
      </c>
      <c r="AG291" s="36">
        <v>11.423999999999999</v>
      </c>
      <c r="AH291" s="36">
        <v>11.423999999999999</v>
      </c>
      <c r="AI291" s="39">
        <v>0.22999999999999998</v>
      </c>
      <c r="AJ291" s="39">
        <v>0.22999999999999998</v>
      </c>
      <c r="AK291" s="39">
        <v>0.22999999999999998</v>
      </c>
      <c r="AL291" s="39">
        <v>0.22999999999999998</v>
      </c>
      <c r="AM291" s="39">
        <v>0.22999999999999998</v>
      </c>
      <c r="AN291" s="39">
        <v>0.22999999999999998</v>
      </c>
      <c r="AO291" s="39">
        <v>0.22999999999999998</v>
      </c>
      <c r="AP291" s="39">
        <v>0.22999999999999998</v>
      </c>
      <c r="AQ291" s="39">
        <v>0.22999999999999998</v>
      </c>
      <c r="AR291" s="39">
        <v>0.22999999999999998</v>
      </c>
      <c r="AS291" s="39">
        <v>0.22999999999999998</v>
      </c>
      <c r="AT291" s="39">
        <v>0.22999999999999998</v>
      </c>
      <c r="AU291" s="39">
        <v>0</v>
      </c>
      <c r="AV291" s="39">
        <v>0</v>
      </c>
      <c r="AW291" s="39">
        <v>0</v>
      </c>
      <c r="AX291" s="39">
        <v>0</v>
      </c>
      <c r="AY291" s="39">
        <v>0</v>
      </c>
      <c r="AZ291" s="39">
        <v>0</v>
      </c>
      <c r="BA291" s="39">
        <v>0</v>
      </c>
      <c r="BB291" s="39">
        <v>0</v>
      </c>
      <c r="BC291" s="39">
        <v>0</v>
      </c>
      <c r="BD291" s="39">
        <v>0</v>
      </c>
      <c r="BE291" s="39">
        <v>0</v>
      </c>
      <c r="BF291" s="39">
        <v>0</v>
      </c>
      <c r="BH291" s="12">
        <f t="shared" si="199"/>
        <v>0</v>
      </c>
      <c r="BI291" s="12">
        <f t="shared" si="200"/>
        <v>0</v>
      </c>
      <c r="BJ291" s="12">
        <f t="shared" si="201"/>
        <v>0</v>
      </c>
      <c r="BK291" s="12">
        <f t="shared" si="202"/>
        <v>0</v>
      </c>
      <c r="BL291" s="12">
        <f t="shared" si="203"/>
        <v>0</v>
      </c>
      <c r="BM291" s="12">
        <f t="shared" si="204"/>
        <v>0</v>
      </c>
      <c r="BN291" s="12">
        <f t="shared" si="205"/>
        <v>0</v>
      </c>
      <c r="BO291" s="12">
        <f t="shared" si="206"/>
        <v>0</v>
      </c>
      <c r="BP291" s="12">
        <f t="shared" si="207"/>
        <v>0</v>
      </c>
      <c r="BQ291" s="12">
        <f t="shared" si="208"/>
        <v>0</v>
      </c>
      <c r="BR291" s="12">
        <f t="shared" si="170"/>
        <v>0</v>
      </c>
      <c r="BS291" s="12">
        <f t="shared" si="171"/>
        <v>0</v>
      </c>
      <c r="BU291" s="11">
        <f t="shared" si="172"/>
        <v>0</v>
      </c>
      <c r="BV291" s="11">
        <f t="shared" si="173"/>
        <v>0</v>
      </c>
      <c r="BW291" s="11">
        <f t="shared" si="174"/>
        <v>0</v>
      </c>
      <c r="BX291" s="11">
        <f t="shared" si="175"/>
        <v>0</v>
      </c>
      <c r="BY291" s="11">
        <f t="shared" si="176"/>
        <v>0</v>
      </c>
      <c r="BZ291" s="11">
        <f t="shared" si="177"/>
        <v>0</v>
      </c>
      <c r="CA291" s="11">
        <f t="shared" si="178"/>
        <v>0</v>
      </c>
      <c r="CB291" s="11">
        <f t="shared" si="179"/>
        <v>0</v>
      </c>
      <c r="CC291" s="11">
        <f t="shared" si="180"/>
        <v>0</v>
      </c>
      <c r="CD291" s="11">
        <f t="shared" si="181"/>
        <v>0</v>
      </c>
      <c r="CE291" s="11">
        <f t="shared" si="182"/>
        <v>0</v>
      </c>
      <c r="CF291" s="11">
        <f t="shared" si="183"/>
        <v>0</v>
      </c>
      <c r="CG291" s="11"/>
      <c r="CH291" s="41">
        <v>1</v>
      </c>
      <c r="CJ291" s="54">
        <f t="shared" si="184"/>
        <v>0</v>
      </c>
      <c r="CK291" s="54">
        <f t="shared" si="185"/>
        <v>0</v>
      </c>
      <c r="CL291" s="54">
        <f t="shared" si="186"/>
        <v>0</v>
      </c>
      <c r="CM291" s="54">
        <f t="shared" si="187"/>
        <v>0</v>
      </c>
      <c r="CN291" s="54">
        <f t="shared" si="188"/>
        <v>0</v>
      </c>
      <c r="CO291" s="54">
        <f t="shared" si="189"/>
        <v>0</v>
      </c>
      <c r="CP291" s="54">
        <f t="shared" si="190"/>
        <v>0</v>
      </c>
      <c r="CQ291" s="54">
        <f t="shared" si="191"/>
        <v>0</v>
      </c>
      <c r="CR291" s="54">
        <f t="shared" si="192"/>
        <v>0</v>
      </c>
      <c r="CS291" s="54">
        <f t="shared" si="193"/>
        <v>0</v>
      </c>
      <c r="CT291" s="54">
        <f t="shared" si="194"/>
        <v>0</v>
      </c>
      <c r="CU291" s="54">
        <f t="shared" si="195"/>
        <v>0</v>
      </c>
      <c r="CV291" s="52">
        <f t="shared" si="196"/>
        <v>0</v>
      </c>
    </row>
    <row r="292" spans="1:100" ht="15.75" x14ac:dyDescent="0.25">
      <c r="A292" s="17"/>
      <c r="B292" s="17"/>
      <c r="C292" s="17"/>
      <c r="D292" s="17"/>
      <c r="E292" s="17"/>
      <c r="F292" s="31" t="s">
        <v>2949</v>
      </c>
      <c r="G292" s="77"/>
      <c r="H292" s="77"/>
      <c r="I292" s="77"/>
      <c r="J292" s="77"/>
      <c r="K292" s="77"/>
      <c r="L292" s="77"/>
      <c r="M292" s="77"/>
      <c r="N292" s="77"/>
      <c r="O292" s="77"/>
      <c r="P292" s="77"/>
      <c r="Q292" s="77"/>
      <c r="R292" s="77"/>
      <c r="S292" s="11">
        <f t="shared" si="197"/>
        <v>0</v>
      </c>
      <c r="T292" s="9"/>
      <c r="V292" s="46">
        <f t="shared" si="169"/>
        <v>0</v>
      </c>
      <c r="W292" s="36">
        <v>3.766</v>
      </c>
      <c r="X292" s="36">
        <v>3.766</v>
      </c>
      <c r="Y292" s="36">
        <v>3.766</v>
      </c>
      <c r="Z292" s="36">
        <v>3.766</v>
      </c>
      <c r="AA292" s="36">
        <v>3.766</v>
      </c>
      <c r="AB292" s="36">
        <v>3.766</v>
      </c>
      <c r="AC292" s="36">
        <v>3.766</v>
      </c>
      <c r="AD292" s="36">
        <v>3.766</v>
      </c>
      <c r="AE292" s="36">
        <v>3.766</v>
      </c>
      <c r="AF292" s="36">
        <v>3.766</v>
      </c>
      <c r="AG292" s="36">
        <v>3.766</v>
      </c>
      <c r="AH292" s="36">
        <v>3.766</v>
      </c>
      <c r="AI292" s="39">
        <v>1.33634708931066E-2</v>
      </c>
      <c r="AJ292" s="39">
        <v>1.33634708931066E-2</v>
      </c>
      <c r="AK292" s="39">
        <v>1.33634708931066E-2</v>
      </c>
      <c r="AL292" s="39">
        <v>1.33634708931066E-2</v>
      </c>
      <c r="AM292" s="39">
        <v>1.33634708931066E-2</v>
      </c>
      <c r="AN292" s="39">
        <v>1.33634708931066E-2</v>
      </c>
      <c r="AO292" s="39">
        <v>1.33634708931066E-2</v>
      </c>
      <c r="AP292" s="39">
        <v>1.33634708931066E-2</v>
      </c>
      <c r="AQ292" s="39">
        <v>1.33634708931066E-2</v>
      </c>
      <c r="AR292" s="39">
        <v>1.33634708931066E-2</v>
      </c>
      <c r="AS292" s="39">
        <v>1.33634708931066E-2</v>
      </c>
      <c r="AT292" s="39">
        <v>1.33634708931066E-2</v>
      </c>
      <c r="AU292" s="39">
        <v>1.2392217523121999E-3</v>
      </c>
      <c r="AV292" s="39">
        <v>1.2392217523121999E-3</v>
      </c>
      <c r="AW292" s="39">
        <v>1.2392217523121999E-3</v>
      </c>
      <c r="AX292" s="39">
        <v>1.2392217523121999E-3</v>
      </c>
      <c r="AY292" s="39">
        <v>1.2392217523121999E-3</v>
      </c>
      <c r="AZ292" s="39">
        <v>1.2392217523121999E-3</v>
      </c>
      <c r="BA292" s="39">
        <v>1.2392217523121999E-3</v>
      </c>
      <c r="BB292" s="39">
        <v>1.2392217523121999E-3</v>
      </c>
      <c r="BC292" s="39">
        <v>1.2392217523121999E-3</v>
      </c>
      <c r="BD292" s="39">
        <v>1.2392217523121999E-3</v>
      </c>
      <c r="BE292" s="39">
        <v>1.2392217523121999E-3</v>
      </c>
      <c r="BF292" s="39">
        <v>1.2392217523121999E-3</v>
      </c>
      <c r="BH292" s="12">
        <f t="shared" si="199"/>
        <v>0</v>
      </c>
      <c r="BI292" s="12">
        <f t="shared" si="200"/>
        <v>0</v>
      </c>
      <c r="BJ292" s="12">
        <f t="shared" si="201"/>
        <v>0</v>
      </c>
      <c r="BK292" s="12">
        <f t="shared" si="202"/>
        <v>0</v>
      </c>
      <c r="BL292" s="12">
        <f t="shared" si="203"/>
        <v>0</v>
      </c>
      <c r="BM292" s="12">
        <f t="shared" si="204"/>
        <v>0</v>
      </c>
      <c r="BN292" s="12">
        <f t="shared" si="205"/>
        <v>0</v>
      </c>
      <c r="BO292" s="12">
        <f t="shared" si="206"/>
        <v>0</v>
      </c>
      <c r="BP292" s="12">
        <f t="shared" si="207"/>
        <v>0</v>
      </c>
      <c r="BQ292" s="12">
        <f t="shared" si="208"/>
        <v>0</v>
      </c>
      <c r="BR292" s="12">
        <f t="shared" si="170"/>
        <v>0</v>
      </c>
      <c r="BS292" s="12">
        <f t="shared" si="171"/>
        <v>0</v>
      </c>
      <c r="BU292" s="11">
        <f t="shared" si="172"/>
        <v>0</v>
      </c>
      <c r="BV292" s="11">
        <f t="shared" si="173"/>
        <v>0</v>
      </c>
      <c r="BW292" s="11">
        <f t="shared" si="174"/>
        <v>0</v>
      </c>
      <c r="BX292" s="11">
        <f t="shared" si="175"/>
        <v>0</v>
      </c>
      <c r="BY292" s="11">
        <f t="shared" si="176"/>
        <v>0</v>
      </c>
      <c r="BZ292" s="11">
        <f t="shared" si="177"/>
        <v>0</v>
      </c>
      <c r="CA292" s="11">
        <f t="shared" si="178"/>
        <v>0</v>
      </c>
      <c r="CB292" s="11">
        <f t="shared" si="179"/>
        <v>0</v>
      </c>
      <c r="CC292" s="11">
        <f t="shared" si="180"/>
        <v>0</v>
      </c>
      <c r="CD292" s="11">
        <f t="shared" si="181"/>
        <v>0</v>
      </c>
      <c r="CE292" s="11">
        <f t="shared" si="182"/>
        <v>0</v>
      </c>
      <c r="CF292" s="11">
        <f t="shared" si="183"/>
        <v>0</v>
      </c>
      <c r="CG292" s="11"/>
      <c r="CH292" s="41">
        <v>3.23</v>
      </c>
      <c r="CJ292" s="54">
        <f t="shared" si="184"/>
        <v>0</v>
      </c>
      <c r="CK292" s="54">
        <f t="shared" si="185"/>
        <v>0</v>
      </c>
      <c r="CL292" s="54">
        <f t="shared" si="186"/>
        <v>0</v>
      </c>
      <c r="CM292" s="54">
        <f t="shared" si="187"/>
        <v>0</v>
      </c>
      <c r="CN292" s="54">
        <f t="shared" si="188"/>
        <v>0</v>
      </c>
      <c r="CO292" s="54">
        <f t="shared" si="189"/>
        <v>0</v>
      </c>
      <c r="CP292" s="54">
        <f t="shared" si="190"/>
        <v>0</v>
      </c>
      <c r="CQ292" s="54">
        <f t="shared" si="191"/>
        <v>0</v>
      </c>
      <c r="CR292" s="54">
        <f t="shared" si="192"/>
        <v>0</v>
      </c>
      <c r="CS292" s="54">
        <f t="shared" si="193"/>
        <v>0</v>
      </c>
      <c r="CT292" s="54">
        <f t="shared" si="194"/>
        <v>0</v>
      </c>
      <c r="CU292" s="54">
        <f t="shared" si="195"/>
        <v>0</v>
      </c>
      <c r="CV292" s="52">
        <f t="shared" si="196"/>
        <v>0</v>
      </c>
    </row>
    <row r="293" spans="1:100" ht="15.75" x14ac:dyDescent="0.25">
      <c r="A293" s="17"/>
      <c r="B293" s="17"/>
      <c r="C293" s="17"/>
      <c r="D293" s="17"/>
      <c r="E293" s="17"/>
      <c r="F293" s="31" t="s">
        <v>2949</v>
      </c>
      <c r="G293" s="77"/>
      <c r="H293" s="77"/>
      <c r="I293" s="77"/>
      <c r="J293" s="77"/>
      <c r="K293" s="77"/>
      <c r="L293" s="77"/>
      <c r="M293" s="77"/>
      <c r="N293" s="77"/>
      <c r="O293" s="77"/>
      <c r="P293" s="77"/>
      <c r="Q293" s="77"/>
      <c r="R293" s="77"/>
      <c r="S293" s="11">
        <f t="shared" si="197"/>
        <v>0</v>
      </c>
      <c r="T293" s="9"/>
      <c r="V293" s="46">
        <f t="shared" si="169"/>
        <v>0</v>
      </c>
      <c r="W293" s="36">
        <v>0.94</v>
      </c>
      <c r="X293" s="36">
        <v>0.94</v>
      </c>
      <c r="Y293" s="36">
        <v>0.94</v>
      </c>
      <c r="Z293" s="36">
        <v>0.94</v>
      </c>
      <c r="AA293" s="36">
        <v>0.94</v>
      </c>
      <c r="AB293" s="36">
        <v>0.94</v>
      </c>
      <c r="AC293" s="36">
        <v>0.94</v>
      </c>
      <c r="AD293" s="36">
        <v>0.94</v>
      </c>
      <c r="AE293" s="36">
        <v>0.94</v>
      </c>
      <c r="AF293" s="36">
        <v>0.94</v>
      </c>
      <c r="AG293" s="36">
        <v>0.94</v>
      </c>
      <c r="AH293" s="36">
        <v>0.94</v>
      </c>
      <c r="AI293" s="39">
        <v>1.33634708931066E-2</v>
      </c>
      <c r="AJ293" s="39">
        <v>1.33634708931066E-2</v>
      </c>
      <c r="AK293" s="39">
        <v>1.33634708931066E-2</v>
      </c>
      <c r="AL293" s="39">
        <v>1.33634708931066E-2</v>
      </c>
      <c r="AM293" s="39">
        <v>1.33634708931066E-2</v>
      </c>
      <c r="AN293" s="39">
        <v>1.33634708931066E-2</v>
      </c>
      <c r="AO293" s="39">
        <v>1.33634708931066E-2</v>
      </c>
      <c r="AP293" s="39">
        <v>1.33634708931066E-2</v>
      </c>
      <c r="AQ293" s="39">
        <v>1.33634708931066E-2</v>
      </c>
      <c r="AR293" s="39">
        <v>1.33634708931066E-2</v>
      </c>
      <c r="AS293" s="39">
        <v>1.33634708931066E-2</v>
      </c>
      <c r="AT293" s="39">
        <v>1.33634708931066E-2</v>
      </c>
      <c r="AU293" s="39">
        <v>1.2392217523121999E-3</v>
      </c>
      <c r="AV293" s="39">
        <v>1.2392217523121999E-3</v>
      </c>
      <c r="AW293" s="39">
        <v>1.2392217523121999E-3</v>
      </c>
      <c r="AX293" s="39">
        <v>1.2392217523121999E-3</v>
      </c>
      <c r="AY293" s="39">
        <v>1.2392217523121999E-3</v>
      </c>
      <c r="AZ293" s="39">
        <v>1.2392217523121999E-3</v>
      </c>
      <c r="BA293" s="39">
        <v>1.2392217523121999E-3</v>
      </c>
      <c r="BB293" s="39">
        <v>1.2392217523121999E-3</v>
      </c>
      <c r="BC293" s="39">
        <v>1.2392217523121999E-3</v>
      </c>
      <c r="BD293" s="39">
        <v>1.2392217523121999E-3</v>
      </c>
      <c r="BE293" s="39">
        <v>1.2392217523121999E-3</v>
      </c>
      <c r="BF293" s="39">
        <v>1.2392217523121999E-3</v>
      </c>
      <c r="BH293" s="12">
        <f t="shared" si="199"/>
        <v>0</v>
      </c>
      <c r="BI293" s="12">
        <f t="shared" si="200"/>
        <v>0</v>
      </c>
      <c r="BJ293" s="12">
        <f t="shared" si="201"/>
        <v>0</v>
      </c>
      <c r="BK293" s="12">
        <f t="shared" si="202"/>
        <v>0</v>
      </c>
      <c r="BL293" s="12">
        <f t="shared" si="203"/>
        <v>0</v>
      </c>
      <c r="BM293" s="12">
        <f t="shared" si="204"/>
        <v>0</v>
      </c>
      <c r="BN293" s="12">
        <f t="shared" si="205"/>
        <v>0</v>
      </c>
      <c r="BO293" s="12">
        <f t="shared" si="206"/>
        <v>0</v>
      </c>
      <c r="BP293" s="12">
        <f t="shared" si="207"/>
        <v>0</v>
      </c>
      <c r="BQ293" s="12">
        <f t="shared" si="208"/>
        <v>0</v>
      </c>
      <c r="BR293" s="12">
        <f t="shared" si="170"/>
        <v>0</v>
      </c>
      <c r="BS293" s="12">
        <f t="shared" si="171"/>
        <v>0</v>
      </c>
      <c r="BU293" s="11">
        <f t="shared" si="172"/>
        <v>0</v>
      </c>
      <c r="BV293" s="11">
        <f t="shared" si="173"/>
        <v>0</v>
      </c>
      <c r="BW293" s="11">
        <f t="shared" si="174"/>
        <v>0</v>
      </c>
      <c r="BX293" s="11">
        <f t="shared" si="175"/>
        <v>0</v>
      </c>
      <c r="BY293" s="11">
        <f t="shared" si="176"/>
        <v>0</v>
      </c>
      <c r="BZ293" s="11">
        <f t="shared" si="177"/>
        <v>0</v>
      </c>
      <c r="CA293" s="11">
        <f t="shared" si="178"/>
        <v>0</v>
      </c>
      <c r="CB293" s="11">
        <f t="shared" si="179"/>
        <v>0</v>
      </c>
      <c r="CC293" s="11">
        <f t="shared" si="180"/>
        <v>0</v>
      </c>
      <c r="CD293" s="11">
        <f t="shared" si="181"/>
        <v>0</v>
      </c>
      <c r="CE293" s="11">
        <f t="shared" si="182"/>
        <v>0</v>
      </c>
      <c r="CF293" s="11">
        <f t="shared" si="183"/>
        <v>0</v>
      </c>
      <c r="CG293" s="11"/>
      <c r="CH293" s="41">
        <v>3.23</v>
      </c>
      <c r="CJ293" s="54">
        <f t="shared" si="184"/>
        <v>0</v>
      </c>
      <c r="CK293" s="54">
        <f t="shared" si="185"/>
        <v>0</v>
      </c>
      <c r="CL293" s="54">
        <f t="shared" si="186"/>
        <v>0</v>
      </c>
      <c r="CM293" s="54">
        <f t="shared" si="187"/>
        <v>0</v>
      </c>
      <c r="CN293" s="54">
        <f t="shared" si="188"/>
        <v>0</v>
      </c>
      <c r="CO293" s="54">
        <f t="shared" si="189"/>
        <v>0</v>
      </c>
      <c r="CP293" s="54">
        <f t="shared" si="190"/>
        <v>0</v>
      </c>
      <c r="CQ293" s="54">
        <f t="shared" si="191"/>
        <v>0</v>
      </c>
      <c r="CR293" s="54">
        <f t="shared" si="192"/>
        <v>0</v>
      </c>
      <c r="CS293" s="54">
        <f t="shared" si="193"/>
        <v>0</v>
      </c>
      <c r="CT293" s="54">
        <f t="shared" si="194"/>
        <v>0</v>
      </c>
      <c r="CU293" s="54">
        <f t="shared" si="195"/>
        <v>0</v>
      </c>
      <c r="CV293" s="52">
        <f t="shared" si="196"/>
        <v>0</v>
      </c>
    </row>
    <row r="294" spans="1:100" ht="15.75" x14ac:dyDescent="0.25">
      <c r="A294" s="17"/>
      <c r="B294" s="17"/>
      <c r="C294" s="17"/>
      <c r="D294" s="17"/>
      <c r="E294" s="17"/>
      <c r="F294" s="31" t="s">
        <v>2949</v>
      </c>
      <c r="G294" s="77"/>
      <c r="H294" s="77"/>
      <c r="I294" s="77"/>
      <c r="J294" s="77"/>
      <c r="K294" s="77"/>
      <c r="L294" s="77"/>
      <c r="M294" s="77"/>
      <c r="N294" s="77"/>
      <c r="O294" s="77"/>
      <c r="P294" s="77"/>
      <c r="Q294" s="77"/>
      <c r="R294" s="77"/>
      <c r="S294" s="11">
        <f t="shared" si="197"/>
        <v>0</v>
      </c>
      <c r="T294" s="9"/>
      <c r="V294" s="46">
        <f t="shared" si="169"/>
        <v>0</v>
      </c>
      <c r="W294" s="36">
        <v>1.75</v>
      </c>
      <c r="X294" s="36">
        <v>1.75</v>
      </c>
      <c r="Y294" s="36">
        <v>1.75</v>
      </c>
      <c r="Z294" s="36">
        <v>1.75</v>
      </c>
      <c r="AA294" s="36">
        <v>1.75</v>
      </c>
      <c r="AB294" s="36">
        <v>1.75</v>
      </c>
      <c r="AC294" s="36">
        <v>1.75</v>
      </c>
      <c r="AD294" s="36">
        <v>1.75</v>
      </c>
      <c r="AE294" s="36">
        <v>1.75</v>
      </c>
      <c r="AF294" s="36">
        <v>1.75</v>
      </c>
      <c r="AG294" s="36">
        <v>1.75</v>
      </c>
      <c r="AH294" s="36">
        <v>1.75</v>
      </c>
      <c r="AI294" s="39">
        <v>1.33634708931066E-2</v>
      </c>
      <c r="AJ294" s="39">
        <v>1.33634708931066E-2</v>
      </c>
      <c r="AK294" s="39">
        <v>1.33634708931066E-2</v>
      </c>
      <c r="AL294" s="39">
        <v>1.33634708931066E-2</v>
      </c>
      <c r="AM294" s="39">
        <v>1.33634708931066E-2</v>
      </c>
      <c r="AN294" s="39">
        <v>1.33634708931066E-2</v>
      </c>
      <c r="AO294" s="39">
        <v>1.33634708931066E-2</v>
      </c>
      <c r="AP294" s="39">
        <v>1.33634708931066E-2</v>
      </c>
      <c r="AQ294" s="39">
        <v>1.33634708931066E-2</v>
      </c>
      <c r="AR294" s="39">
        <v>1.33634708931066E-2</v>
      </c>
      <c r="AS294" s="39">
        <v>1.33634708931066E-2</v>
      </c>
      <c r="AT294" s="39">
        <v>1.33634708931066E-2</v>
      </c>
      <c r="AU294" s="39">
        <v>1.2392217523121999E-3</v>
      </c>
      <c r="AV294" s="39">
        <v>1.2392217523121999E-3</v>
      </c>
      <c r="AW294" s="39">
        <v>1.2392217523121999E-3</v>
      </c>
      <c r="AX294" s="39">
        <v>1.2392217523121999E-3</v>
      </c>
      <c r="AY294" s="39">
        <v>1.2392217523121999E-3</v>
      </c>
      <c r="AZ294" s="39">
        <v>1.2392217523121999E-3</v>
      </c>
      <c r="BA294" s="39">
        <v>1.2392217523121999E-3</v>
      </c>
      <c r="BB294" s="39">
        <v>1.2392217523121999E-3</v>
      </c>
      <c r="BC294" s="39">
        <v>1.2392217523121999E-3</v>
      </c>
      <c r="BD294" s="39">
        <v>1.2392217523121999E-3</v>
      </c>
      <c r="BE294" s="39">
        <v>1.2392217523121999E-3</v>
      </c>
      <c r="BF294" s="39">
        <v>1.2392217523121999E-3</v>
      </c>
      <c r="BH294" s="12">
        <f t="shared" si="199"/>
        <v>0</v>
      </c>
      <c r="BI294" s="12">
        <f t="shared" si="200"/>
        <v>0</v>
      </c>
      <c r="BJ294" s="12">
        <f t="shared" si="201"/>
        <v>0</v>
      </c>
      <c r="BK294" s="12">
        <f t="shared" si="202"/>
        <v>0</v>
      </c>
      <c r="BL294" s="12">
        <f t="shared" si="203"/>
        <v>0</v>
      </c>
      <c r="BM294" s="12">
        <f t="shared" si="204"/>
        <v>0</v>
      </c>
      <c r="BN294" s="12">
        <f t="shared" si="205"/>
        <v>0</v>
      </c>
      <c r="BO294" s="12">
        <f t="shared" si="206"/>
        <v>0</v>
      </c>
      <c r="BP294" s="12">
        <f t="shared" si="207"/>
        <v>0</v>
      </c>
      <c r="BQ294" s="12">
        <f t="shared" si="208"/>
        <v>0</v>
      </c>
      <c r="BR294" s="12">
        <f t="shared" si="170"/>
        <v>0</v>
      </c>
      <c r="BS294" s="12">
        <f t="shared" si="171"/>
        <v>0</v>
      </c>
      <c r="BU294" s="11">
        <f t="shared" si="172"/>
        <v>0</v>
      </c>
      <c r="BV294" s="11">
        <f t="shared" si="173"/>
        <v>0</v>
      </c>
      <c r="BW294" s="11">
        <f t="shared" si="174"/>
        <v>0</v>
      </c>
      <c r="BX294" s="11">
        <f t="shared" si="175"/>
        <v>0</v>
      </c>
      <c r="BY294" s="11">
        <f t="shared" si="176"/>
        <v>0</v>
      </c>
      <c r="BZ294" s="11">
        <f t="shared" si="177"/>
        <v>0</v>
      </c>
      <c r="CA294" s="11">
        <f t="shared" si="178"/>
        <v>0</v>
      </c>
      <c r="CB294" s="11">
        <f t="shared" si="179"/>
        <v>0</v>
      </c>
      <c r="CC294" s="11">
        <f t="shared" si="180"/>
        <v>0</v>
      </c>
      <c r="CD294" s="11">
        <f t="shared" si="181"/>
        <v>0</v>
      </c>
      <c r="CE294" s="11">
        <f t="shared" si="182"/>
        <v>0</v>
      </c>
      <c r="CF294" s="11">
        <f t="shared" si="183"/>
        <v>0</v>
      </c>
      <c r="CG294" s="11"/>
      <c r="CH294" s="41">
        <v>3.23</v>
      </c>
      <c r="CJ294" s="54">
        <f t="shared" si="184"/>
        <v>0</v>
      </c>
      <c r="CK294" s="54">
        <f t="shared" si="185"/>
        <v>0</v>
      </c>
      <c r="CL294" s="54">
        <f t="shared" si="186"/>
        <v>0</v>
      </c>
      <c r="CM294" s="54">
        <f t="shared" si="187"/>
        <v>0</v>
      </c>
      <c r="CN294" s="54">
        <f t="shared" si="188"/>
        <v>0</v>
      </c>
      <c r="CO294" s="54">
        <f t="shared" si="189"/>
        <v>0</v>
      </c>
      <c r="CP294" s="54">
        <f t="shared" si="190"/>
        <v>0</v>
      </c>
      <c r="CQ294" s="54">
        <f t="shared" si="191"/>
        <v>0</v>
      </c>
      <c r="CR294" s="54">
        <f t="shared" si="192"/>
        <v>0</v>
      </c>
      <c r="CS294" s="54">
        <f t="shared" si="193"/>
        <v>0</v>
      </c>
      <c r="CT294" s="54">
        <f t="shared" si="194"/>
        <v>0</v>
      </c>
      <c r="CU294" s="54">
        <f t="shared" si="195"/>
        <v>0</v>
      </c>
      <c r="CV294" s="52">
        <f t="shared" si="196"/>
        <v>0</v>
      </c>
    </row>
    <row r="295" spans="1:100" ht="15.75" x14ac:dyDescent="0.25">
      <c r="A295" s="17"/>
      <c r="B295" s="17"/>
      <c r="C295" s="17"/>
      <c r="D295" s="17"/>
      <c r="E295" s="17"/>
      <c r="F295" s="31" t="s">
        <v>2949</v>
      </c>
      <c r="G295" s="77"/>
      <c r="H295" s="77"/>
      <c r="I295" s="77"/>
      <c r="J295" s="77"/>
      <c r="K295" s="77"/>
      <c r="L295" s="77"/>
      <c r="M295" s="77"/>
      <c r="N295" s="77"/>
      <c r="O295" s="77"/>
      <c r="P295" s="77"/>
      <c r="Q295" s="77"/>
      <c r="R295" s="77"/>
      <c r="S295" s="11">
        <f t="shared" si="197"/>
        <v>0</v>
      </c>
      <c r="T295" s="9"/>
      <c r="V295" s="46">
        <f t="shared" si="169"/>
        <v>0</v>
      </c>
      <c r="W295" s="36">
        <v>2.367</v>
      </c>
      <c r="X295" s="36">
        <v>2.367</v>
      </c>
      <c r="Y295" s="36">
        <v>2.367</v>
      </c>
      <c r="Z295" s="36">
        <v>2.367</v>
      </c>
      <c r="AA295" s="36">
        <v>2.367</v>
      </c>
      <c r="AB295" s="36">
        <v>2.367</v>
      </c>
      <c r="AC295" s="36">
        <v>2.367</v>
      </c>
      <c r="AD295" s="36">
        <v>2.367</v>
      </c>
      <c r="AE295" s="36">
        <v>2.367</v>
      </c>
      <c r="AF295" s="36">
        <v>2.367</v>
      </c>
      <c r="AG295" s="36">
        <v>2.367</v>
      </c>
      <c r="AH295" s="36">
        <v>2.367</v>
      </c>
      <c r="AI295" s="39">
        <v>1.33634708931066E-2</v>
      </c>
      <c r="AJ295" s="39">
        <v>1.33634708931066E-2</v>
      </c>
      <c r="AK295" s="39">
        <v>1.33634708931066E-2</v>
      </c>
      <c r="AL295" s="39">
        <v>1.33634708931066E-2</v>
      </c>
      <c r="AM295" s="39">
        <v>1.33634708931066E-2</v>
      </c>
      <c r="AN295" s="39">
        <v>1.33634708931066E-2</v>
      </c>
      <c r="AO295" s="39">
        <v>1.33634708931066E-2</v>
      </c>
      <c r="AP295" s="39">
        <v>1.33634708931066E-2</v>
      </c>
      <c r="AQ295" s="39">
        <v>1.33634708931066E-2</v>
      </c>
      <c r="AR295" s="39">
        <v>1.33634708931066E-2</v>
      </c>
      <c r="AS295" s="39">
        <v>1.33634708931066E-2</v>
      </c>
      <c r="AT295" s="39">
        <v>1.33634708931066E-2</v>
      </c>
      <c r="AU295" s="39">
        <v>1.2392217523121999E-3</v>
      </c>
      <c r="AV295" s="39">
        <v>1.2392217523121999E-3</v>
      </c>
      <c r="AW295" s="39">
        <v>1.2392217523121999E-3</v>
      </c>
      <c r="AX295" s="39">
        <v>1.2392217523121999E-3</v>
      </c>
      <c r="AY295" s="39">
        <v>1.2392217523121999E-3</v>
      </c>
      <c r="AZ295" s="39">
        <v>1.2392217523121999E-3</v>
      </c>
      <c r="BA295" s="39">
        <v>1.2392217523121999E-3</v>
      </c>
      <c r="BB295" s="39">
        <v>1.2392217523121999E-3</v>
      </c>
      <c r="BC295" s="39">
        <v>1.2392217523121999E-3</v>
      </c>
      <c r="BD295" s="39">
        <v>1.2392217523121999E-3</v>
      </c>
      <c r="BE295" s="39">
        <v>1.2392217523121999E-3</v>
      </c>
      <c r="BF295" s="39">
        <v>1.2392217523121999E-3</v>
      </c>
      <c r="BH295" s="12">
        <f t="shared" si="199"/>
        <v>0</v>
      </c>
      <c r="BI295" s="12">
        <f t="shared" si="200"/>
        <v>0</v>
      </c>
      <c r="BJ295" s="12">
        <f t="shared" si="201"/>
        <v>0</v>
      </c>
      <c r="BK295" s="12">
        <f t="shared" si="202"/>
        <v>0</v>
      </c>
      <c r="BL295" s="12">
        <f t="shared" si="203"/>
        <v>0</v>
      </c>
      <c r="BM295" s="12">
        <f t="shared" si="204"/>
        <v>0</v>
      </c>
      <c r="BN295" s="12">
        <f t="shared" si="205"/>
        <v>0</v>
      </c>
      <c r="BO295" s="12">
        <f t="shared" si="206"/>
        <v>0</v>
      </c>
      <c r="BP295" s="12">
        <f t="shared" si="207"/>
        <v>0</v>
      </c>
      <c r="BQ295" s="12">
        <f t="shared" si="208"/>
        <v>0</v>
      </c>
      <c r="BR295" s="12">
        <f t="shared" si="170"/>
        <v>0</v>
      </c>
      <c r="BS295" s="12">
        <f t="shared" si="171"/>
        <v>0</v>
      </c>
      <c r="BU295" s="11">
        <f t="shared" si="172"/>
        <v>0</v>
      </c>
      <c r="BV295" s="11">
        <f t="shared" si="173"/>
        <v>0</v>
      </c>
      <c r="BW295" s="11">
        <f t="shared" si="174"/>
        <v>0</v>
      </c>
      <c r="BX295" s="11">
        <f t="shared" si="175"/>
        <v>0</v>
      </c>
      <c r="BY295" s="11">
        <f t="shared" si="176"/>
        <v>0</v>
      </c>
      <c r="BZ295" s="11">
        <f t="shared" si="177"/>
        <v>0</v>
      </c>
      <c r="CA295" s="11">
        <f t="shared" si="178"/>
        <v>0</v>
      </c>
      <c r="CB295" s="11">
        <f t="shared" si="179"/>
        <v>0</v>
      </c>
      <c r="CC295" s="11">
        <f t="shared" si="180"/>
        <v>0</v>
      </c>
      <c r="CD295" s="11">
        <f t="shared" si="181"/>
        <v>0</v>
      </c>
      <c r="CE295" s="11">
        <f t="shared" si="182"/>
        <v>0</v>
      </c>
      <c r="CF295" s="11">
        <f t="shared" si="183"/>
        <v>0</v>
      </c>
      <c r="CG295" s="11"/>
      <c r="CH295" s="41">
        <v>3.23</v>
      </c>
      <c r="CJ295" s="54">
        <f t="shared" si="184"/>
        <v>0</v>
      </c>
      <c r="CK295" s="54">
        <f t="shared" si="185"/>
        <v>0</v>
      </c>
      <c r="CL295" s="54">
        <f t="shared" si="186"/>
        <v>0</v>
      </c>
      <c r="CM295" s="54">
        <f t="shared" si="187"/>
        <v>0</v>
      </c>
      <c r="CN295" s="54">
        <f t="shared" si="188"/>
        <v>0</v>
      </c>
      <c r="CO295" s="54">
        <f t="shared" si="189"/>
        <v>0</v>
      </c>
      <c r="CP295" s="54">
        <f t="shared" si="190"/>
        <v>0</v>
      </c>
      <c r="CQ295" s="54">
        <f t="shared" si="191"/>
        <v>0</v>
      </c>
      <c r="CR295" s="54">
        <f t="shared" si="192"/>
        <v>0</v>
      </c>
      <c r="CS295" s="54">
        <f t="shared" si="193"/>
        <v>0</v>
      </c>
      <c r="CT295" s="54">
        <f t="shared" si="194"/>
        <v>0</v>
      </c>
      <c r="CU295" s="54">
        <f t="shared" si="195"/>
        <v>0</v>
      </c>
      <c r="CV295" s="52">
        <f t="shared" si="196"/>
        <v>0</v>
      </c>
    </row>
    <row r="296" spans="1:100" ht="15.75" x14ac:dyDescent="0.25">
      <c r="A296" s="17"/>
      <c r="B296" s="17"/>
      <c r="C296" s="17"/>
      <c r="D296" s="17"/>
      <c r="E296" s="17"/>
      <c r="F296" s="31" t="s">
        <v>2949</v>
      </c>
      <c r="G296" s="77"/>
      <c r="H296" s="77"/>
      <c r="I296" s="77"/>
      <c r="J296" s="77"/>
      <c r="K296" s="77"/>
      <c r="L296" s="77"/>
      <c r="M296" s="77"/>
      <c r="N296" s="77"/>
      <c r="O296" s="77"/>
      <c r="P296" s="77"/>
      <c r="Q296" s="77"/>
      <c r="R296" s="77"/>
      <c r="S296" s="11">
        <f t="shared" si="197"/>
        <v>0</v>
      </c>
      <c r="T296" s="9"/>
      <c r="V296" s="46">
        <f t="shared" si="169"/>
        <v>0</v>
      </c>
      <c r="W296" s="36">
        <v>1.9370000000000001</v>
      </c>
      <c r="X296" s="36">
        <v>1.9370000000000001</v>
      </c>
      <c r="Y296" s="36">
        <v>1.9370000000000001</v>
      </c>
      <c r="Z296" s="36">
        <v>1.9370000000000001</v>
      </c>
      <c r="AA296" s="36">
        <v>1.9370000000000001</v>
      </c>
      <c r="AB296" s="36">
        <v>1.9370000000000001</v>
      </c>
      <c r="AC296" s="36">
        <v>1.9370000000000001</v>
      </c>
      <c r="AD296" s="36">
        <v>1.9370000000000001</v>
      </c>
      <c r="AE296" s="36">
        <v>1.9370000000000001</v>
      </c>
      <c r="AF296" s="36">
        <v>1.9370000000000001</v>
      </c>
      <c r="AG296" s="36">
        <v>1.9370000000000001</v>
      </c>
      <c r="AH296" s="36">
        <v>1.9370000000000001</v>
      </c>
      <c r="AI296" s="39">
        <v>1.33634708931066E-2</v>
      </c>
      <c r="AJ296" s="39">
        <v>1.33634708931066E-2</v>
      </c>
      <c r="AK296" s="39">
        <v>1.33634708931066E-2</v>
      </c>
      <c r="AL296" s="39">
        <v>1.33634708931066E-2</v>
      </c>
      <c r="AM296" s="39">
        <v>1.33634708931066E-2</v>
      </c>
      <c r="AN296" s="39">
        <v>1.33634708931066E-2</v>
      </c>
      <c r="AO296" s="39">
        <v>1.33634708931066E-2</v>
      </c>
      <c r="AP296" s="39">
        <v>1.33634708931066E-2</v>
      </c>
      <c r="AQ296" s="39">
        <v>1.33634708931066E-2</v>
      </c>
      <c r="AR296" s="39">
        <v>1.33634708931066E-2</v>
      </c>
      <c r="AS296" s="39">
        <v>1.33634708931066E-2</v>
      </c>
      <c r="AT296" s="39">
        <v>1.33634708931066E-2</v>
      </c>
      <c r="AU296" s="39">
        <v>1.2392217523121999E-3</v>
      </c>
      <c r="AV296" s="39">
        <v>1.2392217523121999E-3</v>
      </c>
      <c r="AW296" s="39">
        <v>1.2392217523121999E-3</v>
      </c>
      <c r="AX296" s="39">
        <v>1.2392217523121999E-3</v>
      </c>
      <c r="AY296" s="39">
        <v>1.2392217523121999E-3</v>
      </c>
      <c r="AZ296" s="39">
        <v>1.2392217523121999E-3</v>
      </c>
      <c r="BA296" s="39">
        <v>1.2392217523121999E-3</v>
      </c>
      <c r="BB296" s="39">
        <v>1.2392217523121999E-3</v>
      </c>
      <c r="BC296" s="39">
        <v>1.2392217523121999E-3</v>
      </c>
      <c r="BD296" s="39">
        <v>1.2392217523121999E-3</v>
      </c>
      <c r="BE296" s="39">
        <v>1.2392217523121999E-3</v>
      </c>
      <c r="BF296" s="39">
        <v>1.2392217523121999E-3</v>
      </c>
      <c r="BH296" s="12">
        <f t="shared" si="199"/>
        <v>0</v>
      </c>
      <c r="BI296" s="12">
        <f t="shared" si="200"/>
        <v>0</v>
      </c>
      <c r="BJ296" s="12">
        <f t="shared" si="201"/>
        <v>0</v>
      </c>
      <c r="BK296" s="12">
        <f t="shared" si="202"/>
        <v>0</v>
      </c>
      <c r="BL296" s="12">
        <f t="shared" si="203"/>
        <v>0</v>
      </c>
      <c r="BM296" s="12">
        <f t="shared" si="204"/>
        <v>0</v>
      </c>
      <c r="BN296" s="12">
        <f t="shared" si="205"/>
        <v>0</v>
      </c>
      <c r="BO296" s="12">
        <f t="shared" si="206"/>
        <v>0</v>
      </c>
      <c r="BP296" s="12">
        <f t="shared" si="207"/>
        <v>0</v>
      </c>
      <c r="BQ296" s="12">
        <f t="shared" si="208"/>
        <v>0</v>
      </c>
      <c r="BR296" s="12">
        <f t="shared" si="170"/>
        <v>0</v>
      </c>
      <c r="BS296" s="12">
        <f t="shared" si="171"/>
        <v>0</v>
      </c>
      <c r="BU296" s="11">
        <f t="shared" si="172"/>
        <v>0</v>
      </c>
      <c r="BV296" s="11">
        <f t="shared" si="173"/>
        <v>0</v>
      </c>
      <c r="BW296" s="11">
        <f t="shared" si="174"/>
        <v>0</v>
      </c>
      <c r="BX296" s="11">
        <f t="shared" si="175"/>
        <v>0</v>
      </c>
      <c r="BY296" s="11">
        <f t="shared" si="176"/>
        <v>0</v>
      </c>
      <c r="BZ296" s="11">
        <f t="shared" si="177"/>
        <v>0</v>
      </c>
      <c r="CA296" s="11">
        <f t="shared" si="178"/>
        <v>0</v>
      </c>
      <c r="CB296" s="11">
        <f t="shared" si="179"/>
        <v>0</v>
      </c>
      <c r="CC296" s="11">
        <f t="shared" si="180"/>
        <v>0</v>
      </c>
      <c r="CD296" s="11">
        <f t="shared" si="181"/>
        <v>0</v>
      </c>
      <c r="CE296" s="11">
        <f t="shared" si="182"/>
        <v>0</v>
      </c>
      <c r="CF296" s="11">
        <f t="shared" si="183"/>
        <v>0</v>
      </c>
      <c r="CG296" s="11"/>
      <c r="CH296" s="41">
        <v>3.23</v>
      </c>
      <c r="CJ296" s="54">
        <f t="shared" si="184"/>
        <v>0</v>
      </c>
      <c r="CK296" s="54">
        <f t="shared" si="185"/>
        <v>0</v>
      </c>
      <c r="CL296" s="54">
        <f t="shared" si="186"/>
        <v>0</v>
      </c>
      <c r="CM296" s="54">
        <f t="shared" si="187"/>
        <v>0</v>
      </c>
      <c r="CN296" s="54">
        <f t="shared" si="188"/>
        <v>0</v>
      </c>
      <c r="CO296" s="54">
        <f t="shared" si="189"/>
        <v>0</v>
      </c>
      <c r="CP296" s="54">
        <f t="shared" si="190"/>
        <v>0</v>
      </c>
      <c r="CQ296" s="54">
        <f t="shared" si="191"/>
        <v>0</v>
      </c>
      <c r="CR296" s="54">
        <f t="shared" si="192"/>
        <v>0</v>
      </c>
      <c r="CS296" s="54">
        <f t="shared" si="193"/>
        <v>0</v>
      </c>
      <c r="CT296" s="54">
        <f t="shared" si="194"/>
        <v>0</v>
      </c>
      <c r="CU296" s="54">
        <f t="shared" si="195"/>
        <v>0</v>
      </c>
      <c r="CV296" s="52">
        <f t="shared" si="196"/>
        <v>0</v>
      </c>
    </row>
    <row r="297" spans="1:100" ht="15.75" x14ac:dyDescent="0.25">
      <c r="A297" s="17"/>
      <c r="B297" s="17"/>
      <c r="C297" s="17"/>
      <c r="D297" s="17"/>
      <c r="E297" s="17"/>
      <c r="F297" s="31" t="s">
        <v>2949</v>
      </c>
      <c r="G297" s="77"/>
      <c r="H297" s="77"/>
      <c r="I297" s="77"/>
      <c r="J297" s="77"/>
      <c r="K297" s="77"/>
      <c r="L297" s="77"/>
      <c r="M297" s="77"/>
      <c r="N297" s="77"/>
      <c r="O297" s="77"/>
      <c r="P297" s="77"/>
      <c r="Q297" s="77"/>
      <c r="R297" s="77"/>
      <c r="S297" s="11">
        <f t="shared" si="197"/>
        <v>0</v>
      </c>
      <c r="T297" s="9"/>
      <c r="V297" s="46">
        <f t="shared" si="169"/>
        <v>0</v>
      </c>
      <c r="W297" s="36">
        <v>2.6589999999999998</v>
      </c>
      <c r="X297" s="36">
        <v>2.6589999999999998</v>
      </c>
      <c r="Y297" s="36">
        <v>2.6589999999999998</v>
      </c>
      <c r="Z297" s="36">
        <v>2.6589999999999998</v>
      </c>
      <c r="AA297" s="36">
        <v>2.6589999999999998</v>
      </c>
      <c r="AB297" s="36">
        <v>2.6589999999999998</v>
      </c>
      <c r="AC297" s="36">
        <v>2.6589999999999998</v>
      </c>
      <c r="AD297" s="36">
        <v>2.6589999999999998</v>
      </c>
      <c r="AE297" s="36">
        <v>2.6589999999999998</v>
      </c>
      <c r="AF297" s="36">
        <v>2.6589999999999998</v>
      </c>
      <c r="AG297" s="36">
        <v>2.6589999999999998</v>
      </c>
      <c r="AH297" s="36">
        <v>2.6589999999999998</v>
      </c>
      <c r="AI297" s="39">
        <v>1.33634708931066E-2</v>
      </c>
      <c r="AJ297" s="39">
        <v>1.33634708931066E-2</v>
      </c>
      <c r="AK297" s="39">
        <v>1.33634708931066E-2</v>
      </c>
      <c r="AL297" s="39">
        <v>1.33634708931066E-2</v>
      </c>
      <c r="AM297" s="39">
        <v>1.33634708931066E-2</v>
      </c>
      <c r="AN297" s="39">
        <v>1.33634708931066E-2</v>
      </c>
      <c r="AO297" s="39">
        <v>1.33634708931066E-2</v>
      </c>
      <c r="AP297" s="39">
        <v>1.33634708931066E-2</v>
      </c>
      <c r="AQ297" s="39">
        <v>1.33634708931066E-2</v>
      </c>
      <c r="AR297" s="39">
        <v>1.33634708931066E-2</v>
      </c>
      <c r="AS297" s="39">
        <v>1.33634708931066E-2</v>
      </c>
      <c r="AT297" s="39">
        <v>1.33634708931066E-2</v>
      </c>
      <c r="AU297" s="39">
        <v>1.2392217523121999E-3</v>
      </c>
      <c r="AV297" s="39">
        <v>1.2392217523121999E-3</v>
      </c>
      <c r="AW297" s="39">
        <v>1.2392217523121999E-3</v>
      </c>
      <c r="AX297" s="39">
        <v>1.2392217523121999E-3</v>
      </c>
      <c r="AY297" s="39">
        <v>1.2392217523121999E-3</v>
      </c>
      <c r="AZ297" s="39">
        <v>1.2392217523121999E-3</v>
      </c>
      <c r="BA297" s="39">
        <v>1.2392217523121999E-3</v>
      </c>
      <c r="BB297" s="39">
        <v>1.2392217523121999E-3</v>
      </c>
      <c r="BC297" s="39">
        <v>1.2392217523121999E-3</v>
      </c>
      <c r="BD297" s="39">
        <v>1.2392217523121999E-3</v>
      </c>
      <c r="BE297" s="39">
        <v>1.2392217523121999E-3</v>
      </c>
      <c r="BF297" s="39">
        <v>1.2392217523121999E-3</v>
      </c>
      <c r="BH297" s="12">
        <f t="shared" si="199"/>
        <v>0</v>
      </c>
      <c r="BI297" s="12">
        <f t="shared" si="200"/>
        <v>0</v>
      </c>
      <c r="BJ297" s="12">
        <f t="shared" si="201"/>
        <v>0</v>
      </c>
      <c r="BK297" s="12">
        <f t="shared" si="202"/>
        <v>0</v>
      </c>
      <c r="BL297" s="12">
        <f t="shared" si="203"/>
        <v>0</v>
      </c>
      <c r="BM297" s="12">
        <f t="shared" si="204"/>
        <v>0</v>
      </c>
      <c r="BN297" s="12">
        <f t="shared" si="205"/>
        <v>0</v>
      </c>
      <c r="BO297" s="12">
        <f t="shared" si="206"/>
        <v>0</v>
      </c>
      <c r="BP297" s="12">
        <f t="shared" si="207"/>
        <v>0</v>
      </c>
      <c r="BQ297" s="12">
        <f t="shared" si="208"/>
        <v>0</v>
      </c>
      <c r="BR297" s="12">
        <f t="shared" si="170"/>
        <v>0</v>
      </c>
      <c r="BS297" s="12">
        <f t="shared" si="171"/>
        <v>0</v>
      </c>
      <c r="BU297" s="11">
        <f t="shared" si="172"/>
        <v>0</v>
      </c>
      <c r="BV297" s="11">
        <f t="shared" si="173"/>
        <v>0</v>
      </c>
      <c r="BW297" s="11">
        <f t="shared" si="174"/>
        <v>0</v>
      </c>
      <c r="BX297" s="11">
        <f t="shared" si="175"/>
        <v>0</v>
      </c>
      <c r="BY297" s="11">
        <f t="shared" si="176"/>
        <v>0</v>
      </c>
      <c r="BZ297" s="11">
        <f t="shared" si="177"/>
        <v>0</v>
      </c>
      <c r="CA297" s="11">
        <f t="shared" si="178"/>
        <v>0</v>
      </c>
      <c r="CB297" s="11">
        <f t="shared" si="179"/>
        <v>0</v>
      </c>
      <c r="CC297" s="11">
        <f t="shared" si="180"/>
        <v>0</v>
      </c>
      <c r="CD297" s="11">
        <f t="shared" si="181"/>
        <v>0</v>
      </c>
      <c r="CE297" s="11">
        <f t="shared" si="182"/>
        <v>0</v>
      </c>
      <c r="CF297" s="11">
        <f t="shared" si="183"/>
        <v>0</v>
      </c>
      <c r="CG297" s="11"/>
      <c r="CH297" s="41">
        <v>3.23</v>
      </c>
      <c r="CJ297" s="54">
        <f t="shared" si="184"/>
        <v>0</v>
      </c>
      <c r="CK297" s="54">
        <f t="shared" si="185"/>
        <v>0</v>
      </c>
      <c r="CL297" s="54">
        <f t="shared" si="186"/>
        <v>0</v>
      </c>
      <c r="CM297" s="54">
        <f t="shared" si="187"/>
        <v>0</v>
      </c>
      <c r="CN297" s="54">
        <f t="shared" si="188"/>
        <v>0</v>
      </c>
      <c r="CO297" s="54">
        <f t="shared" si="189"/>
        <v>0</v>
      </c>
      <c r="CP297" s="54">
        <f t="shared" si="190"/>
        <v>0</v>
      </c>
      <c r="CQ297" s="54">
        <f t="shared" si="191"/>
        <v>0</v>
      </c>
      <c r="CR297" s="54">
        <f t="shared" si="192"/>
        <v>0</v>
      </c>
      <c r="CS297" s="54">
        <f t="shared" si="193"/>
        <v>0</v>
      </c>
      <c r="CT297" s="54">
        <f t="shared" si="194"/>
        <v>0</v>
      </c>
      <c r="CU297" s="54">
        <f t="shared" si="195"/>
        <v>0</v>
      </c>
      <c r="CV297" s="52">
        <f t="shared" si="196"/>
        <v>0</v>
      </c>
    </row>
    <row r="298" spans="1:100" ht="15.75" x14ac:dyDescent="0.25">
      <c r="A298" s="17"/>
      <c r="B298" s="17"/>
      <c r="C298" s="17"/>
      <c r="D298" s="17"/>
      <c r="E298" s="17"/>
      <c r="F298" s="31" t="s">
        <v>2949</v>
      </c>
      <c r="G298" s="77"/>
      <c r="H298" s="77"/>
      <c r="I298" s="77"/>
      <c r="J298" s="77"/>
      <c r="K298" s="77"/>
      <c r="L298" s="77"/>
      <c r="M298" s="77"/>
      <c r="N298" s="77"/>
      <c r="O298" s="77"/>
      <c r="P298" s="77"/>
      <c r="Q298" s="77"/>
      <c r="R298" s="77"/>
      <c r="S298" s="11">
        <f t="shared" si="197"/>
        <v>0</v>
      </c>
      <c r="T298" s="9"/>
      <c r="V298" s="46">
        <f t="shared" si="169"/>
        <v>0</v>
      </c>
      <c r="W298" s="36">
        <v>1.8500010816189674</v>
      </c>
      <c r="X298" s="36">
        <v>1.8500010816189674</v>
      </c>
      <c r="Y298" s="36">
        <v>1.8500010816189674</v>
      </c>
      <c r="Z298" s="36">
        <v>1.8500010816189674</v>
      </c>
      <c r="AA298" s="36">
        <v>1.8500010816189674</v>
      </c>
      <c r="AB298" s="36">
        <v>1.8500010816189674</v>
      </c>
      <c r="AC298" s="36">
        <v>1.8500010816189674</v>
      </c>
      <c r="AD298" s="36">
        <v>1.8500010816189674</v>
      </c>
      <c r="AE298" s="36">
        <v>1.8500010816189674</v>
      </c>
      <c r="AF298" s="36">
        <v>1.8500010816189674</v>
      </c>
      <c r="AG298" s="36">
        <v>1.8500010816189674</v>
      </c>
      <c r="AH298" s="36">
        <v>1.8500010816189674</v>
      </c>
      <c r="AI298" s="39">
        <v>0</v>
      </c>
      <c r="AJ298" s="39">
        <v>0</v>
      </c>
      <c r="AK298" s="39">
        <v>0</v>
      </c>
      <c r="AL298" s="39">
        <v>0</v>
      </c>
      <c r="AM298" s="39">
        <v>0</v>
      </c>
      <c r="AN298" s="39">
        <v>0</v>
      </c>
      <c r="AO298" s="39">
        <v>0</v>
      </c>
      <c r="AP298" s="39">
        <v>0</v>
      </c>
      <c r="AQ298" s="39">
        <v>0</v>
      </c>
      <c r="AR298" s="39">
        <v>0</v>
      </c>
      <c r="AS298" s="39">
        <v>0</v>
      </c>
      <c r="AT298" s="39">
        <v>0</v>
      </c>
      <c r="AU298" s="39">
        <v>0</v>
      </c>
      <c r="AV298" s="39">
        <v>0</v>
      </c>
      <c r="AW298" s="39">
        <v>0</v>
      </c>
      <c r="AX298" s="39">
        <v>0</v>
      </c>
      <c r="AY298" s="39">
        <v>0</v>
      </c>
      <c r="AZ298" s="39">
        <v>0</v>
      </c>
      <c r="BA298" s="39">
        <v>0</v>
      </c>
      <c r="BB298" s="39">
        <v>0</v>
      </c>
      <c r="BC298" s="39">
        <v>0</v>
      </c>
      <c r="BD298" s="39">
        <v>0</v>
      </c>
      <c r="BE298" s="39">
        <v>0</v>
      </c>
      <c r="BF298" s="39">
        <v>0</v>
      </c>
      <c r="BH298" s="12">
        <f t="shared" si="199"/>
        <v>0</v>
      </c>
      <c r="BI298" s="12">
        <f t="shared" si="200"/>
        <v>0</v>
      </c>
      <c r="BJ298" s="12">
        <f t="shared" si="201"/>
        <v>0</v>
      </c>
      <c r="BK298" s="12">
        <f t="shared" si="202"/>
        <v>0</v>
      </c>
      <c r="BL298" s="12">
        <f t="shared" si="203"/>
        <v>0</v>
      </c>
      <c r="BM298" s="12">
        <f t="shared" si="204"/>
        <v>0</v>
      </c>
      <c r="BN298" s="12">
        <f t="shared" si="205"/>
        <v>0</v>
      </c>
      <c r="BO298" s="12">
        <f t="shared" si="206"/>
        <v>0</v>
      </c>
      <c r="BP298" s="12">
        <f t="shared" si="207"/>
        <v>0</v>
      </c>
      <c r="BQ298" s="12">
        <f t="shared" si="208"/>
        <v>0</v>
      </c>
      <c r="BR298" s="12">
        <f t="shared" si="170"/>
        <v>0</v>
      </c>
      <c r="BS298" s="12">
        <f t="shared" si="171"/>
        <v>0</v>
      </c>
      <c r="BU298" s="11">
        <f t="shared" si="172"/>
        <v>0</v>
      </c>
      <c r="BV298" s="11">
        <f t="shared" si="173"/>
        <v>0</v>
      </c>
      <c r="BW298" s="11">
        <f t="shared" si="174"/>
        <v>0</v>
      </c>
      <c r="BX298" s="11">
        <f t="shared" si="175"/>
        <v>0</v>
      </c>
      <c r="BY298" s="11">
        <f t="shared" si="176"/>
        <v>0</v>
      </c>
      <c r="BZ298" s="11">
        <f t="shared" si="177"/>
        <v>0</v>
      </c>
      <c r="CA298" s="11">
        <f t="shared" si="178"/>
        <v>0</v>
      </c>
      <c r="CB298" s="11">
        <f t="shared" si="179"/>
        <v>0</v>
      </c>
      <c r="CC298" s="11">
        <f t="shared" si="180"/>
        <v>0</v>
      </c>
      <c r="CD298" s="11">
        <f t="shared" si="181"/>
        <v>0</v>
      </c>
      <c r="CE298" s="11">
        <f t="shared" si="182"/>
        <v>0</v>
      </c>
      <c r="CF298" s="11">
        <f t="shared" si="183"/>
        <v>0</v>
      </c>
      <c r="CG298" s="11"/>
      <c r="CH298" s="41">
        <v>1</v>
      </c>
      <c r="CJ298" s="54">
        <f t="shared" si="184"/>
        <v>0</v>
      </c>
      <c r="CK298" s="54">
        <f t="shared" si="185"/>
        <v>0</v>
      </c>
      <c r="CL298" s="54">
        <f t="shared" si="186"/>
        <v>0</v>
      </c>
      <c r="CM298" s="54">
        <f t="shared" si="187"/>
        <v>0</v>
      </c>
      <c r="CN298" s="54">
        <f t="shared" si="188"/>
        <v>0</v>
      </c>
      <c r="CO298" s="54">
        <f t="shared" si="189"/>
        <v>0</v>
      </c>
      <c r="CP298" s="54">
        <f t="shared" si="190"/>
        <v>0</v>
      </c>
      <c r="CQ298" s="54">
        <f t="shared" si="191"/>
        <v>0</v>
      </c>
      <c r="CR298" s="54">
        <f t="shared" si="192"/>
        <v>0</v>
      </c>
      <c r="CS298" s="54">
        <f t="shared" si="193"/>
        <v>0</v>
      </c>
      <c r="CT298" s="54">
        <f t="shared" si="194"/>
        <v>0</v>
      </c>
      <c r="CU298" s="54">
        <f t="shared" si="195"/>
        <v>0</v>
      </c>
      <c r="CV298" s="52">
        <f t="shared" si="196"/>
        <v>0</v>
      </c>
    </row>
    <row r="299" spans="1:100" ht="15.75" x14ac:dyDescent="0.25">
      <c r="A299" s="17"/>
      <c r="B299" s="17"/>
      <c r="C299" s="17"/>
      <c r="D299" s="17"/>
      <c r="E299" s="17"/>
      <c r="F299" s="31" t="s">
        <v>2949</v>
      </c>
      <c r="G299" s="77"/>
      <c r="H299" s="77"/>
      <c r="I299" s="77"/>
      <c r="J299" s="77"/>
      <c r="K299" s="77"/>
      <c r="L299" s="77"/>
      <c r="M299" s="77"/>
      <c r="N299" s="77"/>
      <c r="O299" s="77"/>
      <c r="P299" s="77"/>
      <c r="Q299" s="77"/>
      <c r="R299" s="77"/>
      <c r="S299" s="11">
        <f t="shared" si="197"/>
        <v>0</v>
      </c>
      <c r="T299" s="9"/>
      <c r="V299" s="46">
        <f t="shared" ref="V299:V362" si="209">CV299</f>
        <v>0</v>
      </c>
      <c r="W299" s="36">
        <v>3.17</v>
      </c>
      <c r="X299" s="36">
        <v>3.17</v>
      </c>
      <c r="Y299" s="36">
        <v>3.17</v>
      </c>
      <c r="Z299" s="36">
        <v>3.17</v>
      </c>
      <c r="AA299" s="36">
        <v>3.17</v>
      </c>
      <c r="AB299" s="36">
        <v>3.17</v>
      </c>
      <c r="AC299" s="36">
        <v>3.17</v>
      </c>
      <c r="AD299" s="36">
        <v>3.17</v>
      </c>
      <c r="AE299" s="36">
        <v>3.17</v>
      </c>
      <c r="AF299" s="36">
        <v>3.17</v>
      </c>
      <c r="AG299" s="36">
        <v>3.17</v>
      </c>
      <c r="AH299" s="36">
        <v>3.17</v>
      </c>
      <c r="AI299" s="39">
        <v>0</v>
      </c>
      <c r="AJ299" s="39">
        <v>0</v>
      </c>
      <c r="AK299" s="39">
        <v>0</v>
      </c>
      <c r="AL299" s="39">
        <v>0</v>
      </c>
      <c r="AM299" s="39">
        <v>0</v>
      </c>
      <c r="AN299" s="39">
        <v>0</v>
      </c>
      <c r="AO299" s="39">
        <v>0</v>
      </c>
      <c r="AP299" s="39">
        <v>0</v>
      </c>
      <c r="AQ299" s="39">
        <v>0</v>
      </c>
      <c r="AR299" s="39">
        <v>0</v>
      </c>
      <c r="AS299" s="39">
        <v>0</v>
      </c>
      <c r="AT299" s="39">
        <v>0</v>
      </c>
      <c r="AU299" s="39">
        <v>0</v>
      </c>
      <c r="AV299" s="39">
        <v>0</v>
      </c>
      <c r="AW299" s="39">
        <v>0</v>
      </c>
      <c r="AX299" s="39">
        <v>0</v>
      </c>
      <c r="AY299" s="39">
        <v>0</v>
      </c>
      <c r="AZ299" s="39">
        <v>0</v>
      </c>
      <c r="BA299" s="39">
        <v>0</v>
      </c>
      <c r="BB299" s="39">
        <v>0</v>
      </c>
      <c r="BC299" s="39">
        <v>0</v>
      </c>
      <c r="BD299" s="39">
        <v>0</v>
      </c>
      <c r="BE299" s="39">
        <v>0</v>
      </c>
      <c r="BF299" s="39">
        <v>0</v>
      </c>
      <c r="BH299" s="12">
        <f t="shared" si="199"/>
        <v>0</v>
      </c>
      <c r="BI299" s="12">
        <f t="shared" si="200"/>
        <v>0</v>
      </c>
      <c r="BJ299" s="12">
        <f t="shared" si="201"/>
        <v>0</v>
      </c>
      <c r="BK299" s="12">
        <f t="shared" si="202"/>
        <v>0</v>
      </c>
      <c r="BL299" s="12">
        <f t="shared" si="203"/>
        <v>0</v>
      </c>
      <c r="BM299" s="12">
        <f t="shared" si="204"/>
        <v>0</v>
      </c>
      <c r="BN299" s="12">
        <f t="shared" si="205"/>
        <v>0</v>
      </c>
      <c r="BO299" s="12">
        <f t="shared" si="206"/>
        <v>0</v>
      </c>
      <c r="BP299" s="12">
        <f t="shared" si="207"/>
        <v>0</v>
      </c>
      <c r="BQ299" s="12">
        <f t="shared" si="208"/>
        <v>0</v>
      </c>
      <c r="BR299" s="12">
        <f t="shared" ref="BR299:BR362" si="210">(AG299*Q299)</f>
        <v>0</v>
      </c>
      <c r="BS299" s="12">
        <f t="shared" ref="BS299:BS362" si="211">(AH299*R299)</f>
        <v>0</v>
      </c>
      <c r="BU299" s="11">
        <f t="shared" ref="BU299:BU362" si="212">BH299*(1-(AI299+AU299))</f>
        <v>0</v>
      </c>
      <c r="BV299" s="11">
        <f t="shared" ref="BV299:BV362" si="213">BI299*(1-(AJ299+AV299))</f>
        <v>0</v>
      </c>
      <c r="BW299" s="11">
        <f t="shared" ref="BW299:BW362" si="214">BJ299*(1-(AK299+AW299))</f>
        <v>0</v>
      </c>
      <c r="BX299" s="11">
        <f t="shared" ref="BX299:BX362" si="215">BK299*(1-(AL299+AX299))</f>
        <v>0</v>
      </c>
      <c r="BY299" s="11">
        <f t="shared" ref="BY299:BY362" si="216">BL299*(1-(AM299+AY299))</f>
        <v>0</v>
      </c>
      <c r="BZ299" s="11">
        <f t="shared" ref="BZ299:BZ362" si="217">BM299*(1-(AN299+AZ299))</f>
        <v>0</v>
      </c>
      <c r="CA299" s="11">
        <f t="shared" ref="CA299:CA362" si="218">BN299*(1-(AO299+BA299))</f>
        <v>0</v>
      </c>
      <c r="CB299" s="11">
        <f t="shared" ref="CB299:CB362" si="219">BO299*(1-(AP299+BB299))</f>
        <v>0</v>
      </c>
      <c r="CC299" s="11">
        <f t="shared" ref="CC299:CC362" si="220">BP299*(1-(AQ299+BC299))</f>
        <v>0</v>
      </c>
      <c r="CD299" s="11">
        <f t="shared" ref="CD299:CD362" si="221">BQ299*(1-(AR299+BD299))</f>
        <v>0</v>
      </c>
      <c r="CE299" s="11">
        <f t="shared" ref="CE299:CE362" si="222">BR299*(1-(AS299+BE299))</f>
        <v>0</v>
      </c>
      <c r="CF299" s="11">
        <f t="shared" ref="CF299:CF362" si="223">BS299*(1-(AT299+BF299))</f>
        <v>0</v>
      </c>
      <c r="CG299" s="11"/>
      <c r="CH299" s="41">
        <v>1</v>
      </c>
      <c r="CJ299" s="54">
        <f t="shared" ref="CJ299:CJ362" si="224">((BU299/$CH299)/1000)</f>
        <v>0</v>
      </c>
      <c r="CK299" s="54">
        <f t="shared" ref="CK299:CK362" si="225">((BV299/$CH299)/1000)</f>
        <v>0</v>
      </c>
      <c r="CL299" s="54">
        <f t="shared" ref="CL299:CL362" si="226">((BW299/$CH299)/1000)</f>
        <v>0</v>
      </c>
      <c r="CM299" s="54">
        <f t="shared" ref="CM299:CM362" si="227">((BX299/$CH299)/1000)</f>
        <v>0</v>
      </c>
      <c r="CN299" s="54">
        <f t="shared" ref="CN299:CN362" si="228">((BY299/$CH299)/1000)</f>
        <v>0</v>
      </c>
      <c r="CO299" s="54">
        <f t="shared" ref="CO299:CO362" si="229">((BZ299/$CH299)/1000)</f>
        <v>0</v>
      </c>
      <c r="CP299" s="54">
        <f t="shared" ref="CP299:CP362" si="230">((CA299/$CH299)/1000)</f>
        <v>0</v>
      </c>
      <c r="CQ299" s="54">
        <f t="shared" ref="CQ299:CQ362" si="231">((CB299/$CH299)/1000)</f>
        <v>0</v>
      </c>
      <c r="CR299" s="54">
        <f t="shared" ref="CR299:CR362" si="232">((CC299/$CH299)/1000)</f>
        <v>0</v>
      </c>
      <c r="CS299" s="54">
        <f t="shared" ref="CS299:CS362" si="233">((CD299/$CH299)/1000)</f>
        <v>0</v>
      </c>
      <c r="CT299" s="54">
        <f t="shared" ref="CT299:CT362" si="234">((CE299/$CH299)/1000)</f>
        <v>0</v>
      </c>
      <c r="CU299" s="54">
        <f t="shared" ref="CU299:CU362" si="235">((CF299/$CH299)/1000)</f>
        <v>0</v>
      </c>
      <c r="CV299" s="52">
        <f t="shared" ref="CV299:CV362" si="236">ROUNDUP(SUM(CJ299:CU299),0)</f>
        <v>0</v>
      </c>
    </row>
    <row r="300" spans="1:100" ht="15.75" x14ac:dyDescent="0.25">
      <c r="A300" s="17"/>
      <c r="B300" s="17"/>
      <c r="C300" s="17"/>
      <c r="D300" s="17"/>
      <c r="E300" s="17"/>
      <c r="F300" s="31" t="s">
        <v>2949</v>
      </c>
      <c r="G300" s="77"/>
      <c r="H300" s="77"/>
      <c r="I300" s="77"/>
      <c r="J300" s="77"/>
      <c r="K300" s="77"/>
      <c r="L300" s="77"/>
      <c r="M300" s="77"/>
      <c r="N300" s="77"/>
      <c r="O300" s="77"/>
      <c r="P300" s="77"/>
      <c r="Q300" s="77"/>
      <c r="R300" s="77"/>
      <c r="S300" s="11">
        <f t="shared" si="197"/>
        <v>0</v>
      </c>
      <c r="T300" s="9"/>
      <c r="V300" s="46">
        <f t="shared" si="209"/>
        <v>0</v>
      </c>
      <c r="W300" s="36">
        <v>3.149</v>
      </c>
      <c r="X300" s="36">
        <v>3.149</v>
      </c>
      <c r="Y300" s="36">
        <v>3.149</v>
      </c>
      <c r="Z300" s="36">
        <v>3.149</v>
      </c>
      <c r="AA300" s="36">
        <v>3.149</v>
      </c>
      <c r="AB300" s="36">
        <v>3.149</v>
      </c>
      <c r="AC300" s="36">
        <v>3.149</v>
      </c>
      <c r="AD300" s="36">
        <v>3.149</v>
      </c>
      <c r="AE300" s="36">
        <v>3.149</v>
      </c>
      <c r="AF300" s="36">
        <v>3.149</v>
      </c>
      <c r="AG300" s="36">
        <v>3.149</v>
      </c>
      <c r="AH300" s="36">
        <v>3.149</v>
      </c>
      <c r="AI300" s="39">
        <v>1.33634708931066E-2</v>
      </c>
      <c r="AJ300" s="39">
        <v>1.33634708931066E-2</v>
      </c>
      <c r="AK300" s="39">
        <v>1.33634708931066E-2</v>
      </c>
      <c r="AL300" s="39">
        <v>1.33634708931066E-2</v>
      </c>
      <c r="AM300" s="39">
        <v>1.33634708931066E-2</v>
      </c>
      <c r="AN300" s="39">
        <v>1.33634708931066E-2</v>
      </c>
      <c r="AO300" s="39">
        <v>1.33634708931066E-2</v>
      </c>
      <c r="AP300" s="39">
        <v>1.33634708931066E-2</v>
      </c>
      <c r="AQ300" s="39">
        <v>1.33634708931066E-2</v>
      </c>
      <c r="AR300" s="39">
        <v>1.33634708931066E-2</v>
      </c>
      <c r="AS300" s="39">
        <v>1.33634708931066E-2</v>
      </c>
      <c r="AT300" s="39">
        <v>1.33634708931066E-2</v>
      </c>
      <c r="AU300" s="39">
        <v>1.2392217523121999E-3</v>
      </c>
      <c r="AV300" s="39">
        <v>1.2392217523121999E-3</v>
      </c>
      <c r="AW300" s="39">
        <v>1.2392217523121999E-3</v>
      </c>
      <c r="AX300" s="39">
        <v>1.2392217523121999E-3</v>
      </c>
      <c r="AY300" s="39">
        <v>1.2392217523121999E-3</v>
      </c>
      <c r="AZ300" s="39">
        <v>1.2392217523121999E-3</v>
      </c>
      <c r="BA300" s="39">
        <v>1.2392217523121999E-3</v>
      </c>
      <c r="BB300" s="39">
        <v>1.2392217523121999E-3</v>
      </c>
      <c r="BC300" s="39">
        <v>1.2392217523121999E-3</v>
      </c>
      <c r="BD300" s="39">
        <v>1.2392217523121999E-3</v>
      </c>
      <c r="BE300" s="39">
        <v>1.2392217523121999E-3</v>
      </c>
      <c r="BF300" s="39">
        <v>1.2392217523121999E-3</v>
      </c>
      <c r="BH300" s="12">
        <f t="shared" si="199"/>
        <v>0</v>
      </c>
      <c r="BI300" s="12">
        <f t="shared" si="200"/>
        <v>0</v>
      </c>
      <c r="BJ300" s="12">
        <f t="shared" si="201"/>
        <v>0</v>
      </c>
      <c r="BK300" s="12">
        <f t="shared" si="202"/>
        <v>0</v>
      </c>
      <c r="BL300" s="12">
        <f t="shared" si="203"/>
        <v>0</v>
      </c>
      <c r="BM300" s="12">
        <f t="shared" si="204"/>
        <v>0</v>
      </c>
      <c r="BN300" s="12">
        <f t="shared" si="205"/>
        <v>0</v>
      </c>
      <c r="BO300" s="12">
        <f t="shared" si="206"/>
        <v>0</v>
      </c>
      <c r="BP300" s="12">
        <f t="shared" si="207"/>
        <v>0</v>
      </c>
      <c r="BQ300" s="12">
        <f t="shared" si="208"/>
        <v>0</v>
      </c>
      <c r="BR300" s="12">
        <f t="shared" si="210"/>
        <v>0</v>
      </c>
      <c r="BS300" s="12">
        <f t="shared" si="211"/>
        <v>0</v>
      </c>
      <c r="BU300" s="11">
        <f t="shared" si="212"/>
        <v>0</v>
      </c>
      <c r="BV300" s="11">
        <f t="shared" si="213"/>
        <v>0</v>
      </c>
      <c r="BW300" s="11">
        <f t="shared" si="214"/>
        <v>0</v>
      </c>
      <c r="BX300" s="11">
        <f t="shared" si="215"/>
        <v>0</v>
      </c>
      <c r="BY300" s="11">
        <f t="shared" si="216"/>
        <v>0</v>
      </c>
      <c r="BZ300" s="11">
        <f t="shared" si="217"/>
        <v>0</v>
      </c>
      <c r="CA300" s="11">
        <f t="shared" si="218"/>
        <v>0</v>
      </c>
      <c r="CB300" s="11">
        <f t="shared" si="219"/>
        <v>0</v>
      </c>
      <c r="CC300" s="11">
        <f t="shared" si="220"/>
        <v>0</v>
      </c>
      <c r="CD300" s="11">
        <f t="shared" si="221"/>
        <v>0</v>
      </c>
      <c r="CE300" s="11">
        <f t="shared" si="222"/>
        <v>0</v>
      </c>
      <c r="CF300" s="11">
        <f t="shared" si="223"/>
        <v>0</v>
      </c>
      <c r="CG300" s="11"/>
      <c r="CH300" s="41">
        <v>3.23</v>
      </c>
      <c r="CJ300" s="54">
        <f t="shared" si="224"/>
        <v>0</v>
      </c>
      <c r="CK300" s="54">
        <f t="shared" si="225"/>
        <v>0</v>
      </c>
      <c r="CL300" s="54">
        <f t="shared" si="226"/>
        <v>0</v>
      </c>
      <c r="CM300" s="54">
        <f t="shared" si="227"/>
        <v>0</v>
      </c>
      <c r="CN300" s="54">
        <f t="shared" si="228"/>
        <v>0</v>
      </c>
      <c r="CO300" s="54">
        <f t="shared" si="229"/>
        <v>0</v>
      </c>
      <c r="CP300" s="54">
        <f t="shared" si="230"/>
        <v>0</v>
      </c>
      <c r="CQ300" s="54">
        <f t="shared" si="231"/>
        <v>0</v>
      </c>
      <c r="CR300" s="54">
        <f t="shared" si="232"/>
        <v>0</v>
      </c>
      <c r="CS300" s="54">
        <f t="shared" si="233"/>
        <v>0</v>
      </c>
      <c r="CT300" s="54">
        <f t="shared" si="234"/>
        <v>0</v>
      </c>
      <c r="CU300" s="54">
        <f t="shared" si="235"/>
        <v>0</v>
      </c>
      <c r="CV300" s="52">
        <f t="shared" si="236"/>
        <v>0</v>
      </c>
    </row>
    <row r="301" spans="1:100" ht="15.75" x14ac:dyDescent="0.25">
      <c r="A301" s="17"/>
      <c r="B301" s="17"/>
      <c r="C301" s="17"/>
      <c r="D301" s="17"/>
      <c r="E301" s="17"/>
      <c r="F301" s="31" t="s">
        <v>2949</v>
      </c>
      <c r="G301" s="77"/>
      <c r="H301" s="77"/>
      <c r="I301" s="77"/>
      <c r="J301" s="77"/>
      <c r="K301" s="77"/>
      <c r="L301" s="77"/>
      <c r="M301" s="77"/>
      <c r="N301" s="77"/>
      <c r="O301" s="77"/>
      <c r="P301" s="77"/>
      <c r="Q301" s="77"/>
      <c r="R301" s="77"/>
      <c r="S301" s="11">
        <f t="shared" si="197"/>
        <v>0</v>
      </c>
      <c r="T301" s="9"/>
      <c r="V301" s="46">
        <f t="shared" si="209"/>
        <v>0</v>
      </c>
      <c r="W301" s="36">
        <v>1.4379999999999999</v>
      </c>
      <c r="X301" s="36">
        <v>1.4379999999999999</v>
      </c>
      <c r="Y301" s="36">
        <v>1.4379999999999999</v>
      </c>
      <c r="Z301" s="36">
        <v>1.4379999999999999</v>
      </c>
      <c r="AA301" s="36">
        <v>1.4379999999999999</v>
      </c>
      <c r="AB301" s="36">
        <v>1.4379999999999999</v>
      </c>
      <c r="AC301" s="36">
        <v>1.4379999999999999</v>
      </c>
      <c r="AD301" s="36">
        <v>1.4379999999999999</v>
      </c>
      <c r="AE301" s="36">
        <v>1.4379999999999999</v>
      </c>
      <c r="AF301" s="36">
        <v>1.4379999999999999</v>
      </c>
      <c r="AG301" s="36">
        <v>1.4379999999999999</v>
      </c>
      <c r="AH301" s="36">
        <v>1.4379999999999999</v>
      </c>
      <c r="AI301" s="39">
        <v>1.33634708931066E-2</v>
      </c>
      <c r="AJ301" s="39">
        <v>1.33634708931066E-2</v>
      </c>
      <c r="AK301" s="39">
        <v>1.33634708931066E-2</v>
      </c>
      <c r="AL301" s="39">
        <v>1.33634708931066E-2</v>
      </c>
      <c r="AM301" s="39">
        <v>1.33634708931066E-2</v>
      </c>
      <c r="AN301" s="39">
        <v>1.33634708931066E-2</v>
      </c>
      <c r="AO301" s="39">
        <v>1.33634708931066E-2</v>
      </c>
      <c r="AP301" s="39">
        <v>1.33634708931066E-2</v>
      </c>
      <c r="AQ301" s="39">
        <v>1.33634708931066E-2</v>
      </c>
      <c r="AR301" s="39">
        <v>1.33634708931066E-2</v>
      </c>
      <c r="AS301" s="39">
        <v>1.33634708931066E-2</v>
      </c>
      <c r="AT301" s="39">
        <v>1.33634708931066E-2</v>
      </c>
      <c r="AU301" s="39">
        <v>1.2392217523121999E-3</v>
      </c>
      <c r="AV301" s="39">
        <v>1.2392217523121999E-3</v>
      </c>
      <c r="AW301" s="39">
        <v>1.2392217523121999E-3</v>
      </c>
      <c r="AX301" s="39">
        <v>1.2392217523121999E-3</v>
      </c>
      <c r="AY301" s="39">
        <v>1.2392217523121999E-3</v>
      </c>
      <c r="AZ301" s="39">
        <v>1.2392217523121999E-3</v>
      </c>
      <c r="BA301" s="39">
        <v>1.2392217523121999E-3</v>
      </c>
      <c r="BB301" s="39">
        <v>1.2392217523121999E-3</v>
      </c>
      <c r="BC301" s="39">
        <v>1.2392217523121999E-3</v>
      </c>
      <c r="BD301" s="39">
        <v>1.2392217523121999E-3</v>
      </c>
      <c r="BE301" s="39">
        <v>1.2392217523121999E-3</v>
      </c>
      <c r="BF301" s="39">
        <v>1.2392217523121999E-3</v>
      </c>
      <c r="BH301" s="12">
        <f t="shared" si="199"/>
        <v>0</v>
      </c>
      <c r="BI301" s="12">
        <f t="shared" si="200"/>
        <v>0</v>
      </c>
      <c r="BJ301" s="12">
        <f t="shared" si="201"/>
        <v>0</v>
      </c>
      <c r="BK301" s="12">
        <f t="shared" si="202"/>
        <v>0</v>
      </c>
      <c r="BL301" s="12">
        <f t="shared" si="203"/>
        <v>0</v>
      </c>
      <c r="BM301" s="12">
        <f t="shared" si="204"/>
        <v>0</v>
      </c>
      <c r="BN301" s="12">
        <f t="shared" si="205"/>
        <v>0</v>
      </c>
      <c r="BO301" s="12">
        <f t="shared" si="206"/>
        <v>0</v>
      </c>
      <c r="BP301" s="12">
        <f t="shared" si="207"/>
        <v>0</v>
      </c>
      <c r="BQ301" s="12">
        <f t="shared" si="208"/>
        <v>0</v>
      </c>
      <c r="BR301" s="12">
        <f t="shared" si="210"/>
        <v>0</v>
      </c>
      <c r="BS301" s="12">
        <f t="shared" si="211"/>
        <v>0</v>
      </c>
      <c r="BU301" s="11">
        <f t="shared" si="212"/>
        <v>0</v>
      </c>
      <c r="BV301" s="11">
        <f t="shared" si="213"/>
        <v>0</v>
      </c>
      <c r="BW301" s="11">
        <f t="shared" si="214"/>
        <v>0</v>
      </c>
      <c r="BX301" s="11">
        <f t="shared" si="215"/>
        <v>0</v>
      </c>
      <c r="BY301" s="11">
        <f t="shared" si="216"/>
        <v>0</v>
      </c>
      <c r="BZ301" s="11">
        <f t="shared" si="217"/>
        <v>0</v>
      </c>
      <c r="CA301" s="11">
        <f t="shared" si="218"/>
        <v>0</v>
      </c>
      <c r="CB301" s="11">
        <f t="shared" si="219"/>
        <v>0</v>
      </c>
      <c r="CC301" s="11">
        <f t="shared" si="220"/>
        <v>0</v>
      </c>
      <c r="CD301" s="11">
        <f t="shared" si="221"/>
        <v>0</v>
      </c>
      <c r="CE301" s="11">
        <f t="shared" si="222"/>
        <v>0</v>
      </c>
      <c r="CF301" s="11">
        <f t="shared" si="223"/>
        <v>0</v>
      </c>
      <c r="CG301" s="11"/>
      <c r="CH301" s="41">
        <v>3.23</v>
      </c>
      <c r="CJ301" s="54">
        <f t="shared" si="224"/>
        <v>0</v>
      </c>
      <c r="CK301" s="54">
        <f t="shared" si="225"/>
        <v>0</v>
      </c>
      <c r="CL301" s="54">
        <f t="shared" si="226"/>
        <v>0</v>
      </c>
      <c r="CM301" s="54">
        <f t="shared" si="227"/>
        <v>0</v>
      </c>
      <c r="CN301" s="54">
        <f t="shared" si="228"/>
        <v>0</v>
      </c>
      <c r="CO301" s="54">
        <f t="shared" si="229"/>
        <v>0</v>
      </c>
      <c r="CP301" s="54">
        <f t="shared" si="230"/>
        <v>0</v>
      </c>
      <c r="CQ301" s="54">
        <f t="shared" si="231"/>
        <v>0</v>
      </c>
      <c r="CR301" s="54">
        <f t="shared" si="232"/>
        <v>0</v>
      </c>
      <c r="CS301" s="54">
        <f t="shared" si="233"/>
        <v>0</v>
      </c>
      <c r="CT301" s="54">
        <f t="shared" si="234"/>
        <v>0</v>
      </c>
      <c r="CU301" s="54">
        <f t="shared" si="235"/>
        <v>0</v>
      </c>
      <c r="CV301" s="52">
        <f t="shared" si="236"/>
        <v>0</v>
      </c>
    </row>
    <row r="302" spans="1:100" ht="15.75" x14ac:dyDescent="0.25">
      <c r="A302" s="17"/>
      <c r="B302" s="17"/>
      <c r="C302" s="17"/>
      <c r="D302" s="17"/>
      <c r="E302" s="17"/>
      <c r="F302" s="31" t="s">
        <v>2949</v>
      </c>
      <c r="G302" s="77"/>
      <c r="H302" s="77"/>
      <c r="I302" s="77"/>
      <c r="J302" s="77"/>
      <c r="K302" s="77"/>
      <c r="L302" s="77"/>
      <c r="M302" s="77"/>
      <c r="N302" s="77"/>
      <c r="O302" s="77"/>
      <c r="P302" s="77"/>
      <c r="Q302" s="77"/>
      <c r="R302" s="77"/>
      <c r="S302" s="11">
        <f t="shared" si="197"/>
        <v>0</v>
      </c>
      <c r="T302" s="9"/>
      <c r="V302" s="46">
        <f t="shared" si="209"/>
        <v>0</v>
      </c>
      <c r="W302" s="36">
        <v>1.6339999999999999</v>
      </c>
      <c r="X302" s="36">
        <v>1.6339999999999999</v>
      </c>
      <c r="Y302" s="36">
        <v>1.6339999999999999</v>
      </c>
      <c r="Z302" s="36">
        <v>1.6339999999999999</v>
      </c>
      <c r="AA302" s="36">
        <v>1.6339999999999999</v>
      </c>
      <c r="AB302" s="36">
        <v>1.6339999999999999</v>
      </c>
      <c r="AC302" s="36">
        <v>1.6339999999999999</v>
      </c>
      <c r="AD302" s="36">
        <v>1.6339999999999999</v>
      </c>
      <c r="AE302" s="36">
        <v>1.6339999999999999</v>
      </c>
      <c r="AF302" s="36">
        <v>1.6339999999999999</v>
      </c>
      <c r="AG302" s="36">
        <v>1.6339999999999999</v>
      </c>
      <c r="AH302" s="36">
        <v>1.6339999999999999</v>
      </c>
      <c r="AI302" s="39">
        <v>1.33634708931066E-2</v>
      </c>
      <c r="AJ302" s="39">
        <v>1.33634708931066E-2</v>
      </c>
      <c r="AK302" s="39">
        <v>1.33634708931066E-2</v>
      </c>
      <c r="AL302" s="39">
        <v>1.33634708931066E-2</v>
      </c>
      <c r="AM302" s="39">
        <v>1.33634708931066E-2</v>
      </c>
      <c r="AN302" s="39">
        <v>1.33634708931066E-2</v>
      </c>
      <c r="AO302" s="39">
        <v>1.33634708931066E-2</v>
      </c>
      <c r="AP302" s="39">
        <v>1.33634708931066E-2</v>
      </c>
      <c r="AQ302" s="39">
        <v>1.33634708931066E-2</v>
      </c>
      <c r="AR302" s="39">
        <v>1.33634708931066E-2</v>
      </c>
      <c r="AS302" s="39">
        <v>1.33634708931066E-2</v>
      </c>
      <c r="AT302" s="39">
        <v>1.33634708931066E-2</v>
      </c>
      <c r="AU302" s="39">
        <v>1.2392217523121999E-3</v>
      </c>
      <c r="AV302" s="39">
        <v>1.2392217523121999E-3</v>
      </c>
      <c r="AW302" s="39">
        <v>1.2392217523121999E-3</v>
      </c>
      <c r="AX302" s="39">
        <v>1.2392217523121999E-3</v>
      </c>
      <c r="AY302" s="39">
        <v>1.2392217523121999E-3</v>
      </c>
      <c r="AZ302" s="39">
        <v>1.2392217523121999E-3</v>
      </c>
      <c r="BA302" s="39">
        <v>1.2392217523121999E-3</v>
      </c>
      <c r="BB302" s="39">
        <v>1.2392217523121999E-3</v>
      </c>
      <c r="BC302" s="39">
        <v>1.2392217523121999E-3</v>
      </c>
      <c r="BD302" s="39">
        <v>1.2392217523121999E-3</v>
      </c>
      <c r="BE302" s="39">
        <v>1.2392217523121999E-3</v>
      </c>
      <c r="BF302" s="39">
        <v>1.2392217523121999E-3</v>
      </c>
      <c r="BH302" s="12">
        <f t="shared" si="199"/>
        <v>0</v>
      </c>
      <c r="BI302" s="12">
        <f t="shared" si="200"/>
        <v>0</v>
      </c>
      <c r="BJ302" s="12">
        <f t="shared" si="201"/>
        <v>0</v>
      </c>
      <c r="BK302" s="12">
        <f t="shared" si="202"/>
        <v>0</v>
      </c>
      <c r="BL302" s="12">
        <f t="shared" si="203"/>
        <v>0</v>
      </c>
      <c r="BM302" s="12">
        <f t="shared" si="204"/>
        <v>0</v>
      </c>
      <c r="BN302" s="12">
        <f t="shared" si="205"/>
        <v>0</v>
      </c>
      <c r="BO302" s="12">
        <f t="shared" si="206"/>
        <v>0</v>
      </c>
      <c r="BP302" s="12">
        <f t="shared" si="207"/>
        <v>0</v>
      </c>
      <c r="BQ302" s="12">
        <f t="shared" si="208"/>
        <v>0</v>
      </c>
      <c r="BR302" s="12">
        <f t="shared" si="210"/>
        <v>0</v>
      </c>
      <c r="BS302" s="12">
        <f t="shared" si="211"/>
        <v>0</v>
      </c>
      <c r="BU302" s="11">
        <f t="shared" si="212"/>
        <v>0</v>
      </c>
      <c r="BV302" s="11">
        <f t="shared" si="213"/>
        <v>0</v>
      </c>
      <c r="BW302" s="11">
        <f t="shared" si="214"/>
        <v>0</v>
      </c>
      <c r="BX302" s="11">
        <f t="shared" si="215"/>
        <v>0</v>
      </c>
      <c r="BY302" s="11">
        <f t="shared" si="216"/>
        <v>0</v>
      </c>
      <c r="BZ302" s="11">
        <f t="shared" si="217"/>
        <v>0</v>
      </c>
      <c r="CA302" s="11">
        <f t="shared" si="218"/>
        <v>0</v>
      </c>
      <c r="CB302" s="11">
        <f t="shared" si="219"/>
        <v>0</v>
      </c>
      <c r="CC302" s="11">
        <f t="shared" si="220"/>
        <v>0</v>
      </c>
      <c r="CD302" s="11">
        <f t="shared" si="221"/>
        <v>0</v>
      </c>
      <c r="CE302" s="11">
        <f t="shared" si="222"/>
        <v>0</v>
      </c>
      <c r="CF302" s="11">
        <f t="shared" si="223"/>
        <v>0</v>
      </c>
      <c r="CG302" s="11"/>
      <c r="CH302" s="41">
        <v>3.23</v>
      </c>
      <c r="CJ302" s="54">
        <f t="shared" si="224"/>
        <v>0</v>
      </c>
      <c r="CK302" s="54">
        <f t="shared" si="225"/>
        <v>0</v>
      </c>
      <c r="CL302" s="54">
        <f t="shared" si="226"/>
        <v>0</v>
      </c>
      <c r="CM302" s="54">
        <f t="shared" si="227"/>
        <v>0</v>
      </c>
      <c r="CN302" s="54">
        <f t="shared" si="228"/>
        <v>0</v>
      </c>
      <c r="CO302" s="54">
        <f t="shared" si="229"/>
        <v>0</v>
      </c>
      <c r="CP302" s="54">
        <f t="shared" si="230"/>
        <v>0</v>
      </c>
      <c r="CQ302" s="54">
        <f t="shared" si="231"/>
        <v>0</v>
      </c>
      <c r="CR302" s="54">
        <f t="shared" si="232"/>
        <v>0</v>
      </c>
      <c r="CS302" s="54">
        <f t="shared" si="233"/>
        <v>0</v>
      </c>
      <c r="CT302" s="54">
        <f t="shared" si="234"/>
        <v>0</v>
      </c>
      <c r="CU302" s="54">
        <f t="shared" si="235"/>
        <v>0</v>
      </c>
      <c r="CV302" s="52">
        <f t="shared" si="236"/>
        <v>0</v>
      </c>
    </row>
    <row r="303" spans="1:100" ht="15.75" x14ac:dyDescent="0.25">
      <c r="A303" s="17"/>
      <c r="B303" s="17"/>
      <c r="C303" s="17"/>
      <c r="D303" s="17"/>
      <c r="E303" s="17"/>
      <c r="F303" s="31" t="s">
        <v>2949</v>
      </c>
      <c r="G303" s="77"/>
      <c r="H303" s="77"/>
      <c r="I303" s="77"/>
      <c r="J303" s="77"/>
      <c r="K303" s="77"/>
      <c r="L303" s="77"/>
      <c r="M303" s="77"/>
      <c r="N303" s="77"/>
      <c r="O303" s="77"/>
      <c r="P303" s="77"/>
      <c r="Q303" s="77"/>
      <c r="R303" s="77"/>
      <c r="S303" s="11">
        <f t="shared" si="197"/>
        <v>0</v>
      </c>
      <c r="T303" s="9"/>
      <c r="V303" s="46">
        <f t="shared" si="209"/>
        <v>0</v>
      </c>
      <c r="W303" s="36">
        <v>2.6459999999999999</v>
      </c>
      <c r="X303" s="36">
        <v>2.6459999999999999</v>
      </c>
      <c r="Y303" s="36">
        <v>2.6459999999999999</v>
      </c>
      <c r="Z303" s="36">
        <v>2.6459999999999999</v>
      </c>
      <c r="AA303" s="36">
        <v>2.6459999999999999</v>
      </c>
      <c r="AB303" s="36">
        <v>2.6459999999999999</v>
      </c>
      <c r="AC303" s="36">
        <v>2.6459999999999999</v>
      </c>
      <c r="AD303" s="36">
        <v>2.6459999999999999</v>
      </c>
      <c r="AE303" s="36">
        <v>2.6459999999999999</v>
      </c>
      <c r="AF303" s="36">
        <v>2.6459999999999999</v>
      </c>
      <c r="AG303" s="36">
        <v>2.6459999999999999</v>
      </c>
      <c r="AH303" s="36">
        <v>2.6459999999999999</v>
      </c>
      <c r="AI303" s="39">
        <v>1.33634708931066E-2</v>
      </c>
      <c r="AJ303" s="39">
        <v>1.33634708931066E-2</v>
      </c>
      <c r="AK303" s="39">
        <v>1.33634708931066E-2</v>
      </c>
      <c r="AL303" s="39">
        <v>1.33634708931066E-2</v>
      </c>
      <c r="AM303" s="39">
        <v>1.33634708931066E-2</v>
      </c>
      <c r="AN303" s="39">
        <v>1.33634708931066E-2</v>
      </c>
      <c r="AO303" s="39">
        <v>1.33634708931066E-2</v>
      </c>
      <c r="AP303" s="39">
        <v>1.33634708931066E-2</v>
      </c>
      <c r="AQ303" s="39">
        <v>1.33634708931066E-2</v>
      </c>
      <c r="AR303" s="39">
        <v>1.33634708931066E-2</v>
      </c>
      <c r="AS303" s="39">
        <v>1.33634708931066E-2</v>
      </c>
      <c r="AT303" s="39">
        <v>1.33634708931066E-2</v>
      </c>
      <c r="AU303" s="39">
        <v>1.2392217523121999E-3</v>
      </c>
      <c r="AV303" s="39">
        <v>1.2392217523121999E-3</v>
      </c>
      <c r="AW303" s="39">
        <v>1.2392217523121999E-3</v>
      </c>
      <c r="AX303" s="39">
        <v>1.2392217523121999E-3</v>
      </c>
      <c r="AY303" s="39">
        <v>1.2392217523121999E-3</v>
      </c>
      <c r="AZ303" s="39">
        <v>1.2392217523121999E-3</v>
      </c>
      <c r="BA303" s="39">
        <v>1.2392217523121999E-3</v>
      </c>
      <c r="BB303" s="39">
        <v>1.2392217523121999E-3</v>
      </c>
      <c r="BC303" s="39">
        <v>1.2392217523121999E-3</v>
      </c>
      <c r="BD303" s="39">
        <v>1.2392217523121999E-3</v>
      </c>
      <c r="BE303" s="39">
        <v>1.2392217523121999E-3</v>
      </c>
      <c r="BF303" s="39">
        <v>1.2392217523121999E-3</v>
      </c>
      <c r="BH303" s="12">
        <f t="shared" si="199"/>
        <v>0</v>
      </c>
      <c r="BI303" s="12">
        <f t="shared" si="200"/>
        <v>0</v>
      </c>
      <c r="BJ303" s="12">
        <f t="shared" si="201"/>
        <v>0</v>
      </c>
      <c r="BK303" s="12">
        <f t="shared" si="202"/>
        <v>0</v>
      </c>
      <c r="BL303" s="12">
        <f t="shared" si="203"/>
        <v>0</v>
      </c>
      <c r="BM303" s="12">
        <f t="shared" si="204"/>
        <v>0</v>
      </c>
      <c r="BN303" s="12">
        <f t="shared" si="205"/>
        <v>0</v>
      </c>
      <c r="BO303" s="12">
        <f t="shared" si="206"/>
        <v>0</v>
      </c>
      <c r="BP303" s="12">
        <f t="shared" si="207"/>
        <v>0</v>
      </c>
      <c r="BQ303" s="12">
        <f t="shared" si="208"/>
        <v>0</v>
      </c>
      <c r="BR303" s="12">
        <f t="shared" si="210"/>
        <v>0</v>
      </c>
      <c r="BS303" s="12">
        <f t="shared" si="211"/>
        <v>0</v>
      </c>
      <c r="BU303" s="11">
        <f t="shared" si="212"/>
        <v>0</v>
      </c>
      <c r="BV303" s="11">
        <f t="shared" si="213"/>
        <v>0</v>
      </c>
      <c r="BW303" s="11">
        <f t="shared" si="214"/>
        <v>0</v>
      </c>
      <c r="BX303" s="11">
        <f t="shared" si="215"/>
        <v>0</v>
      </c>
      <c r="BY303" s="11">
        <f t="shared" si="216"/>
        <v>0</v>
      </c>
      <c r="BZ303" s="11">
        <f t="shared" si="217"/>
        <v>0</v>
      </c>
      <c r="CA303" s="11">
        <f t="shared" si="218"/>
        <v>0</v>
      </c>
      <c r="CB303" s="11">
        <f t="shared" si="219"/>
        <v>0</v>
      </c>
      <c r="CC303" s="11">
        <f t="shared" si="220"/>
        <v>0</v>
      </c>
      <c r="CD303" s="11">
        <f t="shared" si="221"/>
        <v>0</v>
      </c>
      <c r="CE303" s="11">
        <f t="shared" si="222"/>
        <v>0</v>
      </c>
      <c r="CF303" s="11">
        <f t="shared" si="223"/>
        <v>0</v>
      </c>
      <c r="CG303" s="11"/>
      <c r="CH303" s="41">
        <v>3.23</v>
      </c>
      <c r="CJ303" s="54">
        <f t="shared" si="224"/>
        <v>0</v>
      </c>
      <c r="CK303" s="54">
        <f t="shared" si="225"/>
        <v>0</v>
      </c>
      <c r="CL303" s="54">
        <f t="shared" si="226"/>
        <v>0</v>
      </c>
      <c r="CM303" s="54">
        <f t="shared" si="227"/>
        <v>0</v>
      </c>
      <c r="CN303" s="54">
        <f t="shared" si="228"/>
        <v>0</v>
      </c>
      <c r="CO303" s="54">
        <f t="shared" si="229"/>
        <v>0</v>
      </c>
      <c r="CP303" s="54">
        <f t="shared" si="230"/>
        <v>0</v>
      </c>
      <c r="CQ303" s="54">
        <f t="shared" si="231"/>
        <v>0</v>
      </c>
      <c r="CR303" s="54">
        <f t="shared" si="232"/>
        <v>0</v>
      </c>
      <c r="CS303" s="54">
        <f t="shared" si="233"/>
        <v>0</v>
      </c>
      <c r="CT303" s="54">
        <f t="shared" si="234"/>
        <v>0</v>
      </c>
      <c r="CU303" s="54">
        <f t="shared" si="235"/>
        <v>0</v>
      </c>
      <c r="CV303" s="52">
        <f t="shared" si="236"/>
        <v>0</v>
      </c>
    </row>
    <row r="304" spans="1:100" ht="15.75" x14ac:dyDescent="0.25">
      <c r="A304" s="17"/>
      <c r="B304" s="17"/>
      <c r="C304" s="17"/>
      <c r="D304" s="17"/>
      <c r="E304" s="17"/>
      <c r="F304" s="31" t="s">
        <v>2949</v>
      </c>
      <c r="G304" s="77"/>
      <c r="H304" s="77"/>
      <c r="I304" s="77"/>
      <c r="J304" s="77"/>
      <c r="K304" s="77"/>
      <c r="L304" s="77"/>
      <c r="M304" s="77"/>
      <c r="N304" s="77"/>
      <c r="O304" s="77"/>
      <c r="P304" s="77"/>
      <c r="Q304" s="77"/>
      <c r="R304" s="77"/>
      <c r="S304" s="11">
        <f t="shared" si="197"/>
        <v>0</v>
      </c>
      <c r="T304" s="9"/>
      <c r="V304" s="46">
        <f t="shared" si="209"/>
        <v>0</v>
      </c>
      <c r="W304" s="36">
        <v>2.367</v>
      </c>
      <c r="X304" s="36">
        <v>2.367</v>
      </c>
      <c r="Y304" s="36">
        <v>2.367</v>
      </c>
      <c r="Z304" s="36">
        <v>2.367</v>
      </c>
      <c r="AA304" s="36">
        <v>2.367</v>
      </c>
      <c r="AB304" s="36">
        <v>2.367</v>
      </c>
      <c r="AC304" s="36">
        <v>2.367</v>
      </c>
      <c r="AD304" s="36">
        <v>2.367</v>
      </c>
      <c r="AE304" s="36">
        <v>2.367</v>
      </c>
      <c r="AF304" s="36">
        <v>2.367</v>
      </c>
      <c r="AG304" s="36">
        <v>2.367</v>
      </c>
      <c r="AH304" s="36">
        <v>2.367</v>
      </c>
      <c r="AI304" s="39">
        <v>1.33634708931066E-2</v>
      </c>
      <c r="AJ304" s="39">
        <v>1.33634708931066E-2</v>
      </c>
      <c r="AK304" s="39">
        <v>1.33634708931066E-2</v>
      </c>
      <c r="AL304" s="39">
        <v>1.33634708931066E-2</v>
      </c>
      <c r="AM304" s="39">
        <v>1.33634708931066E-2</v>
      </c>
      <c r="AN304" s="39">
        <v>1.33634708931066E-2</v>
      </c>
      <c r="AO304" s="39">
        <v>1.33634708931066E-2</v>
      </c>
      <c r="AP304" s="39">
        <v>1.33634708931066E-2</v>
      </c>
      <c r="AQ304" s="39">
        <v>1.33634708931066E-2</v>
      </c>
      <c r="AR304" s="39">
        <v>1.33634708931066E-2</v>
      </c>
      <c r="AS304" s="39">
        <v>1.33634708931066E-2</v>
      </c>
      <c r="AT304" s="39">
        <v>1.33634708931066E-2</v>
      </c>
      <c r="AU304" s="39">
        <v>1.2392217523121999E-3</v>
      </c>
      <c r="AV304" s="39">
        <v>1.2392217523121999E-3</v>
      </c>
      <c r="AW304" s="39">
        <v>1.2392217523121999E-3</v>
      </c>
      <c r="AX304" s="39">
        <v>1.2392217523121999E-3</v>
      </c>
      <c r="AY304" s="39">
        <v>1.2392217523121999E-3</v>
      </c>
      <c r="AZ304" s="39">
        <v>1.2392217523121999E-3</v>
      </c>
      <c r="BA304" s="39">
        <v>1.2392217523121999E-3</v>
      </c>
      <c r="BB304" s="39">
        <v>1.2392217523121999E-3</v>
      </c>
      <c r="BC304" s="39">
        <v>1.2392217523121999E-3</v>
      </c>
      <c r="BD304" s="39">
        <v>1.2392217523121999E-3</v>
      </c>
      <c r="BE304" s="39">
        <v>1.2392217523121999E-3</v>
      </c>
      <c r="BF304" s="39">
        <v>1.2392217523121999E-3</v>
      </c>
      <c r="BH304" s="12">
        <f t="shared" si="199"/>
        <v>0</v>
      </c>
      <c r="BI304" s="12">
        <f t="shared" si="200"/>
        <v>0</v>
      </c>
      <c r="BJ304" s="12">
        <f t="shared" si="201"/>
        <v>0</v>
      </c>
      <c r="BK304" s="12">
        <f t="shared" si="202"/>
        <v>0</v>
      </c>
      <c r="BL304" s="12">
        <f t="shared" si="203"/>
        <v>0</v>
      </c>
      <c r="BM304" s="12">
        <f t="shared" si="204"/>
        <v>0</v>
      </c>
      <c r="BN304" s="12">
        <f t="shared" si="205"/>
        <v>0</v>
      </c>
      <c r="BO304" s="12">
        <f t="shared" si="206"/>
        <v>0</v>
      </c>
      <c r="BP304" s="12">
        <f t="shared" si="207"/>
        <v>0</v>
      </c>
      <c r="BQ304" s="12">
        <f t="shared" si="208"/>
        <v>0</v>
      </c>
      <c r="BR304" s="12">
        <f t="shared" si="210"/>
        <v>0</v>
      </c>
      <c r="BS304" s="12">
        <f t="shared" si="211"/>
        <v>0</v>
      </c>
      <c r="BU304" s="11">
        <f t="shared" si="212"/>
        <v>0</v>
      </c>
      <c r="BV304" s="11">
        <f t="shared" si="213"/>
        <v>0</v>
      </c>
      <c r="BW304" s="11">
        <f t="shared" si="214"/>
        <v>0</v>
      </c>
      <c r="BX304" s="11">
        <f t="shared" si="215"/>
        <v>0</v>
      </c>
      <c r="BY304" s="11">
        <f t="shared" si="216"/>
        <v>0</v>
      </c>
      <c r="BZ304" s="11">
        <f t="shared" si="217"/>
        <v>0</v>
      </c>
      <c r="CA304" s="11">
        <f t="shared" si="218"/>
        <v>0</v>
      </c>
      <c r="CB304" s="11">
        <f t="shared" si="219"/>
        <v>0</v>
      </c>
      <c r="CC304" s="11">
        <f t="shared" si="220"/>
        <v>0</v>
      </c>
      <c r="CD304" s="11">
        <f t="shared" si="221"/>
        <v>0</v>
      </c>
      <c r="CE304" s="11">
        <f t="shared" si="222"/>
        <v>0</v>
      </c>
      <c r="CF304" s="11">
        <f t="shared" si="223"/>
        <v>0</v>
      </c>
      <c r="CG304" s="11"/>
      <c r="CH304" s="41">
        <v>3.23</v>
      </c>
      <c r="CJ304" s="54">
        <f t="shared" si="224"/>
        <v>0</v>
      </c>
      <c r="CK304" s="54">
        <f t="shared" si="225"/>
        <v>0</v>
      </c>
      <c r="CL304" s="54">
        <f t="shared" si="226"/>
        <v>0</v>
      </c>
      <c r="CM304" s="54">
        <f t="shared" si="227"/>
        <v>0</v>
      </c>
      <c r="CN304" s="54">
        <f t="shared" si="228"/>
        <v>0</v>
      </c>
      <c r="CO304" s="54">
        <f t="shared" si="229"/>
        <v>0</v>
      </c>
      <c r="CP304" s="54">
        <f t="shared" si="230"/>
        <v>0</v>
      </c>
      <c r="CQ304" s="54">
        <f t="shared" si="231"/>
        <v>0</v>
      </c>
      <c r="CR304" s="54">
        <f t="shared" si="232"/>
        <v>0</v>
      </c>
      <c r="CS304" s="54">
        <f t="shared" si="233"/>
        <v>0</v>
      </c>
      <c r="CT304" s="54">
        <f t="shared" si="234"/>
        <v>0</v>
      </c>
      <c r="CU304" s="54">
        <f t="shared" si="235"/>
        <v>0</v>
      </c>
      <c r="CV304" s="52">
        <f t="shared" si="236"/>
        <v>0</v>
      </c>
    </row>
    <row r="305" spans="1:100" ht="15.75" x14ac:dyDescent="0.25">
      <c r="A305" s="17"/>
      <c r="B305" s="17"/>
      <c r="C305" s="17"/>
      <c r="D305" s="17"/>
      <c r="E305" s="17"/>
      <c r="F305" s="31" t="s">
        <v>2949</v>
      </c>
      <c r="G305" s="77"/>
      <c r="H305" s="77"/>
      <c r="I305" s="77"/>
      <c r="J305" s="77"/>
      <c r="K305" s="77"/>
      <c r="L305" s="77"/>
      <c r="M305" s="77"/>
      <c r="N305" s="77"/>
      <c r="O305" s="77"/>
      <c r="P305" s="77"/>
      <c r="Q305" s="77"/>
      <c r="R305" s="77"/>
      <c r="S305" s="11">
        <f t="shared" si="197"/>
        <v>0</v>
      </c>
      <c r="T305" s="9"/>
      <c r="V305" s="46">
        <f t="shared" si="209"/>
        <v>0</v>
      </c>
      <c r="W305" s="36">
        <v>3.0640000000000001</v>
      </c>
      <c r="X305" s="36">
        <v>3.0640000000000001</v>
      </c>
      <c r="Y305" s="36">
        <v>3.0640000000000001</v>
      </c>
      <c r="Z305" s="36">
        <v>3.0640000000000001</v>
      </c>
      <c r="AA305" s="36">
        <v>3.0640000000000001</v>
      </c>
      <c r="AB305" s="36">
        <v>3.0640000000000001</v>
      </c>
      <c r="AC305" s="36">
        <v>3.0640000000000001</v>
      </c>
      <c r="AD305" s="36">
        <v>3.0640000000000001</v>
      </c>
      <c r="AE305" s="36">
        <v>3.0640000000000001</v>
      </c>
      <c r="AF305" s="36">
        <v>3.0640000000000001</v>
      </c>
      <c r="AG305" s="36">
        <v>3.0640000000000001</v>
      </c>
      <c r="AH305" s="36">
        <v>3.0640000000000001</v>
      </c>
      <c r="AI305" s="39">
        <v>1.33634708931066E-2</v>
      </c>
      <c r="AJ305" s="39">
        <v>1.33634708931066E-2</v>
      </c>
      <c r="AK305" s="39">
        <v>1.33634708931066E-2</v>
      </c>
      <c r="AL305" s="39">
        <v>1.33634708931066E-2</v>
      </c>
      <c r="AM305" s="39">
        <v>1.33634708931066E-2</v>
      </c>
      <c r="AN305" s="39">
        <v>1.33634708931066E-2</v>
      </c>
      <c r="AO305" s="39">
        <v>1.33634708931066E-2</v>
      </c>
      <c r="AP305" s="39">
        <v>1.33634708931066E-2</v>
      </c>
      <c r="AQ305" s="39">
        <v>1.33634708931066E-2</v>
      </c>
      <c r="AR305" s="39">
        <v>1.33634708931066E-2</v>
      </c>
      <c r="AS305" s="39">
        <v>1.33634708931066E-2</v>
      </c>
      <c r="AT305" s="39">
        <v>1.33634708931066E-2</v>
      </c>
      <c r="AU305" s="39">
        <v>1.2392217523121999E-3</v>
      </c>
      <c r="AV305" s="39">
        <v>1.2392217523121999E-3</v>
      </c>
      <c r="AW305" s="39">
        <v>1.2392217523121999E-3</v>
      </c>
      <c r="AX305" s="39">
        <v>1.2392217523121999E-3</v>
      </c>
      <c r="AY305" s="39">
        <v>1.2392217523121999E-3</v>
      </c>
      <c r="AZ305" s="39">
        <v>1.2392217523121999E-3</v>
      </c>
      <c r="BA305" s="39">
        <v>1.2392217523121999E-3</v>
      </c>
      <c r="BB305" s="39">
        <v>1.2392217523121999E-3</v>
      </c>
      <c r="BC305" s="39">
        <v>1.2392217523121999E-3</v>
      </c>
      <c r="BD305" s="39">
        <v>1.2392217523121999E-3</v>
      </c>
      <c r="BE305" s="39">
        <v>1.2392217523121999E-3</v>
      </c>
      <c r="BF305" s="39">
        <v>1.2392217523121999E-3</v>
      </c>
      <c r="BH305" s="12">
        <f t="shared" si="199"/>
        <v>0</v>
      </c>
      <c r="BI305" s="12">
        <f t="shared" si="200"/>
        <v>0</v>
      </c>
      <c r="BJ305" s="12">
        <f t="shared" si="201"/>
        <v>0</v>
      </c>
      <c r="BK305" s="12">
        <f t="shared" si="202"/>
        <v>0</v>
      </c>
      <c r="BL305" s="12">
        <f t="shared" si="203"/>
        <v>0</v>
      </c>
      <c r="BM305" s="12">
        <f t="shared" si="204"/>
        <v>0</v>
      </c>
      <c r="BN305" s="12">
        <f t="shared" si="205"/>
        <v>0</v>
      </c>
      <c r="BO305" s="12">
        <f t="shared" si="206"/>
        <v>0</v>
      </c>
      <c r="BP305" s="12">
        <f t="shared" si="207"/>
        <v>0</v>
      </c>
      <c r="BQ305" s="12">
        <f t="shared" si="208"/>
        <v>0</v>
      </c>
      <c r="BR305" s="12">
        <f t="shared" si="210"/>
        <v>0</v>
      </c>
      <c r="BS305" s="12">
        <f t="shared" si="211"/>
        <v>0</v>
      </c>
      <c r="BU305" s="11">
        <f t="shared" si="212"/>
        <v>0</v>
      </c>
      <c r="BV305" s="11">
        <f t="shared" si="213"/>
        <v>0</v>
      </c>
      <c r="BW305" s="11">
        <f t="shared" si="214"/>
        <v>0</v>
      </c>
      <c r="BX305" s="11">
        <f t="shared" si="215"/>
        <v>0</v>
      </c>
      <c r="BY305" s="11">
        <f t="shared" si="216"/>
        <v>0</v>
      </c>
      <c r="BZ305" s="11">
        <f t="shared" si="217"/>
        <v>0</v>
      </c>
      <c r="CA305" s="11">
        <f t="shared" si="218"/>
        <v>0</v>
      </c>
      <c r="CB305" s="11">
        <f t="shared" si="219"/>
        <v>0</v>
      </c>
      <c r="CC305" s="11">
        <f t="shared" si="220"/>
        <v>0</v>
      </c>
      <c r="CD305" s="11">
        <f t="shared" si="221"/>
        <v>0</v>
      </c>
      <c r="CE305" s="11">
        <f t="shared" si="222"/>
        <v>0</v>
      </c>
      <c r="CF305" s="11">
        <f t="shared" si="223"/>
        <v>0</v>
      </c>
      <c r="CG305" s="11"/>
      <c r="CH305" s="41">
        <v>3.23</v>
      </c>
      <c r="CJ305" s="54">
        <f t="shared" si="224"/>
        <v>0</v>
      </c>
      <c r="CK305" s="54">
        <f t="shared" si="225"/>
        <v>0</v>
      </c>
      <c r="CL305" s="54">
        <f t="shared" si="226"/>
        <v>0</v>
      </c>
      <c r="CM305" s="54">
        <f t="shared" si="227"/>
        <v>0</v>
      </c>
      <c r="CN305" s="54">
        <f t="shared" si="228"/>
        <v>0</v>
      </c>
      <c r="CO305" s="54">
        <f t="shared" si="229"/>
        <v>0</v>
      </c>
      <c r="CP305" s="54">
        <f t="shared" si="230"/>
        <v>0</v>
      </c>
      <c r="CQ305" s="54">
        <f t="shared" si="231"/>
        <v>0</v>
      </c>
      <c r="CR305" s="54">
        <f t="shared" si="232"/>
        <v>0</v>
      </c>
      <c r="CS305" s="54">
        <f t="shared" si="233"/>
        <v>0</v>
      </c>
      <c r="CT305" s="54">
        <f t="shared" si="234"/>
        <v>0</v>
      </c>
      <c r="CU305" s="54">
        <f t="shared" si="235"/>
        <v>0</v>
      </c>
      <c r="CV305" s="52">
        <f t="shared" si="236"/>
        <v>0</v>
      </c>
    </row>
    <row r="306" spans="1:100" ht="15.75" x14ac:dyDescent="0.25">
      <c r="A306" s="17"/>
      <c r="B306" s="17"/>
      <c r="C306" s="17"/>
      <c r="D306" s="17"/>
      <c r="E306" s="17"/>
      <c r="F306" s="31" t="s">
        <v>2949</v>
      </c>
      <c r="G306" s="77"/>
      <c r="H306" s="77"/>
      <c r="I306" s="77"/>
      <c r="J306" s="77"/>
      <c r="K306" s="77"/>
      <c r="L306" s="77"/>
      <c r="M306" s="77"/>
      <c r="N306" s="77"/>
      <c r="O306" s="77"/>
      <c r="P306" s="77"/>
      <c r="Q306" s="77"/>
      <c r="R306" s="77"/>
      <c r="S306" s="11">
        <f t="shared" si="197"/>
        <v>0</v>
      </c>
      <c r="T306" s="9"/>
      <c r="V306" s="46">
        <f t="shared" si="209"/>
        <v>0</v>
      </c>
      <c r="W306" s="36">
        <v>2.6280000000000001</v>
      </c>
      <c r="X306" s="36">
        <v>2.6280000000000001</v>
      </c>
      <c r="Y306" s="36">
        <v>2.6280000000000001</v>
      </c>
      <c r="Z306" s="36">
        <v>2.6280000000000001</v>
      </c>
      <c r="AA306" s="36">
        <v>2.6280000000000001</v>
      </c>
      <c r="AB306" s="36">
        <v>2.6280000000000001</v>
      </c>
      <c r="AC306" s="36">
        <v>2.6280000000000001</v>
      </c>
      <c r="AD306" s="36">
        <v>2.6280000000000001</v>
      </c>
      <c r="AE306" s="36">
        <v>2.6280000000000001</v>
      </c>
      <c r="AF306" s="36">
        <v>2.6280000000000001</v>
      </c>
      <c r="AG306" s="36">
        <v>2.6280000000000001</v>
      </c>
      <c r="AH306" s="36">
        <v>2.6280000000000001</v>
      </c>
      <c r="AI306" s="39">
        <v>1.33634708931066E-2</v>
      </c>
      <c r="AJ306" s="39">
        <v>1.33634708931066E-2</v>
      </c>
      <c r="AK306" s="39">
        <v>1.33634708931066E-2</v>
      </c>
      <c r="AL306" s="39">
        <v>1.33634708931066E-2</v>
      </c>
      <c r="AM306" s="39">
        <v>1.33634708931066E-2</v>
      </c>
      <c r="AN306" s="39">
        <v>1.33634708931066E-2</v>
      </c>
      <c r="AO306" s="39">
        <v>1.33634708931066E-2</v>
      </c>
      <c r="AP306" s="39">
        <v>1.33634708931066E-2</v>
      </c>
      <c r="AQ306" s="39">
        <v>1.33634708931066E-2</v>
      </c>
      <c r="AR306" s="39">
        <v>1.33634708931066E-2</v>
      </c>
      <c r="AS306" s="39">
        <v>1.33634708931066E-2</v>
      </c>
      <c r="AT306" s="39">
        <v>1.33634708931066E-2</v>
      </c>
      <c r="AU306" s="39">
        <v>1.2392217523121999E-3</v>
      </c>
      <c r="AV306" s="39">
        <v>1.2392217523121999E-3</v>
      </c>
      <c r="AW306" s="39">
        <v>1.2392217523121999E-3</v>
      </c>
      <c r="AX306" s="39">
        <v>1.2392217523121999E-3</v>
      </c>
      <c r="AY306" s="39">
        <v>1.2392217523121999E-3</v>
      </c>
      <c r="AZ306" s="39">
        <v>1.2392217523121999E-3</v>
      </c>
      <c r="BA306" s="39">
        <v>1.2392217523121999E-3</v>
      </c>
      <c r="BB306" s="39">
        <v>1.2392217523121999E-3</v>
      </c>
      <c r="BC306" s="39">
        <v>1.2392217523121999E-3</v>
      </c>
      <c r="BD306" s="39">
        <v>1.2392217523121999E-3</v>
      </c>
      <c r="BE306" s="39">
        <v>1.2392217523121999E-3</v>
      </c>
      <c r="BF306" s="39">
        <v>1.2392217523121999E-3</v>
      </c>
      <c r="BH306" s="12">
        <f t="shared" si="199"/>
        <v>0</v>
      </c>
      <c r="BI306" s="12">
        <f t="shared" si="200"/>
        <v>0</v>
      </c>
      <c r="BJ306" s="12">
        <f t="shared" si="201"/>
        <v>0</v>
      </c>
      <c r="BK306" s="12">
        <f t="shared" si="202"/>
        <v>0</v>
      </c>
      <c r="BL306" s="12">
        <f t="shared" si="203"/>
        <v>0</v>
      </c>
      <c r="BM306" s="12">
        <f t="shared" si="204"/>
        <v>0</v>
      </c>
      <c r="BN306" s="12">
        <f t="shared" si="205"/>
        <v>0</v>
      </c>
      <c r="BO306" s="12">
        <f t="shared" si="206"/>
        <v>0</v>
      </c>
      <c r="BP306" s="12">
        <f t="shared" si="207"/>
        <v>0</v>
      </c>
      <c r="BQ306" s="12">
        <f t="shared" si="208"/>
        <v>0</v>
      </c>
      <c r="BR306" s="12">
        <f t="shared" si="210"/>
        <v>0</v>
      </c>
      <c r="BS306" s="12">
        <f t="shared" si="211"/>
        <v>0</v>
      </c>
      <c r="BU306" s="11">
        <f t="shared" si="212"/>
        <v>0</v>
      </c>
      <c r="BV306" s="11">
        <f t="shared" si="213"/>
        <v>0</v>
      </c>
      <c r="BW306" s="11">
        <f t="shared" si="214"/>
        <v>0</v>
      </c>
      <c r="BX306" s="11">
        <f t="shared" si="215"/>
        <v>0</v>
      </c>
      <c r="BY306" s="11">
        <f t="shared" si="216"/>
        <v>0</v>
      </c>
      <c r="BZ306" s="11">
        <f t="shared" si="217"/>
        <v>0</v>
      </c>
      <c r="CA306" s="11">
        <f t="shared" si="218"/>
        <v>0</v>
      </c>
      <c r="CB306" s="11">
        <f t="shared" si="219"/>
        <v>0</v>
      </c>
      <c r="CC306" s="11">
        <f t="shared" si="220"/>
        <v>0</v>
      </c>
      <c r="CD306" s="11">
        <f t="shared" si="221"/>
        <v>0</v>
      </c>
      <c r="CE306" s="11">
        <f t="shared" si="222"/>
        <v>0</v>
      </c>
      <c r="CF306" s="11">
        <f t="shared" si="223"/>
        <v>0</v>
      </c>
      <c r="CG306" s="11"/>
      <c r="CH306" s="41">
        <v>3.23</v>
      </c>
      <c r="CJ306" s="54">
        <f t="shared" si="224"/>
        <v>0</v>
      </c>
      <c r="CK306" s="54">
        <f t="shared" si="225"/>
        <v>0</v>
      </c>
      <c r="CL306" s="54">
        <f t="shared" si="226"/>
        <v>0</v>
      </c>
      <c r="CM306" s="54">
        <f t="shared" si="227"/>
        <v>0</v>
      </c>
      <c r="CN306" s="54">
        <f t="shared" si="228"/>
        <v>0</v>
      </c>
      <c r="CO306" s="54">
        <f t="shared" si="229"/>
        <v>0</v>
      </c>
      <c r="CP306" s="54">
        <f t="shared" si="230"/>
        <v>0</v>
      </c>
      <c r="CQ306" s="54">
        <f t="shared" si="231"/>
        <v>0</v>
      </c>
      <c r="CR306" s="54">
        <f t="shared" si="232"/>
        <v>0</v>
      </c>
      <c r="CS306" s="54">
        <f t="shared" si="233"/>
        <v>0</v>
      </c>
      <c r="CT306" s="54">
        <f t="shared" si="234"/>
        <v>0</v>
      </c>
      <c r="CU306" s="54">
        <f t="shared" si="235"/>
        <v>0</v>
      </c>
      <c r="CV306" s="52">
        <f t="shared" si="236"/>
        <v>0</v>
      </c>
    </row>
    <row r="307" spans="1:100" ht="15.75" x14ac:dyDescent="0.25">
      <c r="A307" s="17"/>
      <c r="B307" s="17"/>
      <c r="C307" s="17"/>
      <c r="D307" s="17"/>
      <c r="E307" s="17"/>
      <c r="F307" s="31" t="s">
        <v>2949</v>
      </c>
      <c r="G307" s="77"/>
      <c r="H307" s="77"/>
      <c r="I307" s="77"/>
      <c r="J307" s="77"/>
      <c r="K307" s="77"/>
      <c r="L307" s="77"/>
      <c r="M307" s="77"/>
      <c r="N307" s="77"/>
      <c r="O307" s="77"/>
      <c r="P307" s="77"/>
      <c r="Q307" s="77"/>
      <c r="R307" s="77"/>
      <c r="S307" s="11">
        <f t="shared" si="197"/>
        <v>0</v>
      </c>
      <c r="T307" s="9"/>
      <c r="V307" s="46">
        <f t="shared" si="209"/>
        <v>0</v>
      </c>
      <c r="W307" s="36">
        <v>5.1070000000000002</v>
      </c>
      <c r="X307" s="36">
        <v>5.1070000000000002</v>
      </c>
      <c r="Y307" s="36">
        <v>5.1070000000000002</v>
      </c>
      <c r="Z307" s="36">
        <v>5.1070000000000002</v>
      </c>
      <c r="AA307" s="36">
        <v>5.1070000000000002</v>
      </c>
      <c r="AB307" s="36">
        <v>5.1070000000000002</v>
      </c>
      <c r="AC307" s="36">
        <v>5.1070000000000002</v>
      </c>
      <c r="AD307" s="36">
        <v>5.1070000000000002</v>
      </c>
      <c r="AE307" s="36">
        <v>5.1070000000000002</v>
      </c>
      <c r="AF307" s="36">
        <v>5.1070000000000002</v>
      </c>
      <c r="AG307" s="36">
        <v>5.1070000000000002</v>
      </c>
      <c r="AH307" s="36">
        <v>5.1070000000000002</v>
      </c>
      <c r="AI307" s="39">
        <v>1.33634708931066E-2</v>
      </c>
      <c r="AJ307" s="39">
        <v>1.33634708931066E-2</v>
      </c>
      <c r="AK307" s="39">
        <v>1.33634708931066E-2</v>
      </c>
      <c r="AL307" s="39">
        <v>1.33634708931066E-2</v>
      </c>
      <c r="AM307" s="39">
        <v>1.33634708931066E-2</v>
      </c>
      <c r="AN307" s="39">
        <v>1.33634708931066E-2</v>
      </c>
      <c r="AO307" s="39">
        <v>1.33634708931066E-2</v>
      </c>
      <c r="AP307" s="39">
        <v>1.33634708931066E-2</v>
      </c>
      <c r="AQ307" s="39">
        <v>1.33634708931066E-2</v>
      </c>
      <c r="AR307" s="39">
        <v>1.33634708931066E-2</v>
      </c>
      <c r="AS307" s="39">
        <v>1.33634708931066E-2</v>
      </c>
      <c r="AT307" s="39">
        <v>1.33634708931066E-2</v>
      </c>
      <c r="AU307" s="39">
        <v>1.2392217523121999E-3</v>
      </c>
      <c r="AV307" s="39">
        <v>1.2392217523121999E-3</v>
      </c>
      <c r="AW307" s="39">
        <v>1.2392217523121999E-3</v>
      </c>
      <c r="AX307" s="39">
        <v>1.2392217523121999E-3</v>
      </c>
      <c r="AY307" s="39">
        <v>1.2392217523121999E-3</v>
      </c>
      <c r="AZ307" s="39">
        <v>1.2392217523121999E-3</v>
      </c>
      <c r="BA307" s="39">
        <v>1.2392217523121999E-3</v>
      </c>
      <c r="BB307" s="39">
        <v>1.2392217523121999E-3</v>
      </c>
      <c r="BC307" s="39">
        <v>1.2392217523121999E-3</v>
      </c>
      <c r="BD307" s="39">
        <v>1.2392217523121999E-3</v>
      </c>
      <c r="BE307" s="39">
        <v>1.2392217523121999E-3</v>
      </c>
      <c r="BF307" s="39">
        <v>1.2392217523121999E-3</v>
      </c>
      <c r="BH307" s="12">
        <f t="shared" si="199"/>
        <v>0</v>
      </c>
      <c r="BI307" s="12">
        <f t="shared" si="200"/>
        <v>0</v>
      </c>
      <c r="BJ307" s="12">
        <f t="shared" si="201"/>
        <v>0</v>
      </c>
      <c r="BK307" s="12">
        <f t="shared" si="202"/>
        <v>0</v>
      </c>
      <c r="BL307" s="12">
        <f t="shared" si="203"/>
        <v>0</v>
      </c>
      <c r="BM307" s="12">
        <f t="shared" si="204"/>
        <v>0</v>
      </c>
      <c r="BN307" s="12">
        <f t="shared" si="205"/>
        <v>0</v>
      </c>
      <c r="BO307" s="12">
        <f t="shared" si="206"/>
        <v>0</v>
      </c>
      <c r="BP307" s="12">
        <f t="shared" si="207"/>
        <v>0</v>
      </c>
      <c r="BQ307" s="12">
        <f t="shared" si="208"/>
        <v>0</v>
      </c>
      <c r="BR307" s="12">
        <f t="shared" si="210"/>
        <v>0</v>
      </c>
      <c r="BS307" s="12">
        <f t="shared" si="211"/>
        <v>0</v>
      </c>
      <c r="BU307" s="11">
        <f t="shared" si="212"/>
        <v>0</v>
      </c>
      <c r="BV307" s="11">
        <f t="shared" si="213"/>
        <v>0</v>
      </c>
      <c r="BW307" s="11">
        <f t="shared" si="214"/>
        <v>0</v>
      </c>
      <c r="BX307" s="11">
        <f t="shared" si="215"/>
        <v>0</v>
      </c>
      <c r="BY307" s="11">
        <f t="shared" si="216"/>
        <v>0</v>
      </c>
      <c r="BZ307" s="11">
        <f t="shared" si="217"/>
        <v>0</v>
      </c>
      <c r="CA307" s="11">
        <f t="shared" si="218"/>
        <v>0</v>
      </c>
      <c r="CB307" s="11">
        <f t="shared" si="219"/>
        <v>0</v>
      </c>
      <c r="CC307" s="11">
        <f t="shared" si="220"/>
        <v>0</v>
      </c>
      <c r="CD307" s="11">
        <f t="shared" si="221"/>
        <v>0</v>
      </c>
      <c r="CE307" s="11">
        <f t="shared" si="222"/>
        <v>0</v>
      </c>
      <c r="CF307" s="11">
        <f t="shared" si="223"/>
        <v>0</v>
      </c>
      <c r="CG307" s="11"/>
      <c r="CH307" s="41">
        <v>3.23</v>
      </c>
      <c r="CJ307" s="54">
        <f t="shared" si="224"/>
        <v>0</v>
      </c>
      <c r="CK307" s="54">
        <f t="shared" si="225"/>
        <v>0</v>
      </c>
      <c r="CL307" s="54">
        <f t="shared" si="226"/>
        <v>0</v>
      </c>
      <c r="CM307" s="54">
        <f t="shared" si="227"/>
        <v>0</v>
      </c>
      <c r="CN307" s="54">
        <f t="shared" si="228"/>
        <v>0</v>
      </c>
      <c r="CO307" s="54">
        <f t="shared" si="229"/>
        <v>0</v>
      </c>
      <c r="CP307" s="54">
        <f t="shared" si="230"/>
        <v>0</v>
      </c>
      <c r="CQ307" s="54">
        <f t="shared" si="231"/>
        <v>0</v>
      </c>
      <c r="CR307" s="54">
        <f t="shared" si="232"/>
        <v>0</v>
      </c>
      <c r="CS307" s="54">
        <f t="shared" si="233"/>
        <v>0</v>
      </c>
      <c r="CT307" s="54">
        <f t="shared" si="234"/>
        <v>0</v>
      </c>
      <c r="CU307" s="54">
        <f t="shared" si="235"/>
        <v>0</v>
      </c>
      <c r="CV307" s="52">
        <f t="shared" si="236"/>
        <v>0</v>
      </c>
    </row>
    <row r="308" spans="1:100" ht="15.75" x14ac:dyDescent="0.25">
      <c r="A308" s="17"/>
      <c r="B308" s="17"/>
      <c r="C308" s="17"/>
      <c r="D308" s="17"/>
      <c r="E308" s="17"/>
      <c r="F308" s="31" t="s">
        <v>2949</v>
      </c>
      <c r="G308" s="77"/>
      <c r="H308" s="77"/>
      <c r="I308" s="77"/>
      <c r="J308" s="77"/>
      <c r="K308" s="77"/>
      <c r="L308" s="77"/>
      <c r="M308" s="77"/>
      <c r="N308" s="77"/>
      <c r="O308" s="77"/>
      <c r="P308" s="77"/>
      <c r="Q308" s="77"/>
      <c r="R308" s="77"/>
      <c r="S308" s="11">
        <f t="shared" si="197"/>
        <v>0</v>
      </c>
      <c r="T308" s="9"/>
      <c r="V308" s="46">
        <f t="shared" si="209"/>
        <v>0</v>
      </c>
      <c r="W308" s="36">
        <v>3.2559999999999998</v>
      </c>
      <c r="X308" s="36">
        <v>3.2559999999999998</v>
      </c>
      <c r="Y308" s="36">
        <v>3.2559999999999998</v>
      </c>
      <c r="Z308" s="36">
        <v>3.2559999999999998</v>
      </c>
      <c r="AA308" s="36">
        <v>3.2559999999999998</v>
      </c>
      <c r="AB308" s="36">
        <v>3.2559999999999998</v>
      </c>
      <c r="AC308" s="36">
        <v>3.2559999999999998</v>
      </c>
      <c r="AD308" s="36">
        <v>3.2559999999999998</v>
      </c>
      <c r="AE308" s="36">
        <v>3.2559999999999998</v>
      </c>
      <c r="AF308" s="36">
        <v>3.2559999999999998</v>
      </c>
      <c r="AG308" s="36">
        <v>3.2559999999999998</v>
      </c>
      <c r="AH308" s="36">
        <v>3.2559999999999998</v>
      </c>
      <c r="AI308" s="39">
        <v>1.33634708931066E-2</v>
      </c>
      <c r="AJ308" s="39">
        <v>1.33634708931066E-2</v>
      </c>
      <c r="AK308" s="39">
        <v>1.33634708931066E-2</v>
      </c>
      <c r="AL308" s="39">
        <v>1.33634708931066E-2</v>
      </c>
      <c r="AM308" s="39">
        <v>1.33634708931066E-2</v>
      </c>
      <c r="AN308" s="39">
        <v>1.33634708931066E-2</v>
      </c>
      <c r="AO308" s="39">
        <v>1.33634708931066E-2</v>
      </c>
      <c r="AP308" s="39">
        <v>1.33634708931066E-2</v>
      </c>
      <c r="AQ308" s="39">
        <v>1.33634708931066E-2</v>
      </c>
      <c r="AR308" s="39">
        <v>1.33634708931066E-2</v>
      </c>
      <c r="AS308" s="39">
        <v>1.33634708931066E-2</v>
      </c>
      <c r="AT308" s="39">
        <v>1.33634708931066E-2</v>
      </c>
      <c r="AU308" s="39">
        <v>1.2392217523121999E-3</v>
      </c>
      <c r="AV308" s="39">
        <v>1.2392217523121999E-3</v>
      </c>
      <c r="AW308" s="39">
        <v>1.2392217523121999E-3</v>
      </c>
      <c r="AX308" s="39">
        <v>1.2392217523121999E-3</v>
      </c>
      <c r="AY308" s="39">
        <v>1.2392217523121999E-3</v>
      </c>
      <c r="AZ308" s="39">
        <v>1.2392217523121999E-3</v>
      </c>
      <c r="BA308" s="39">
        <v>1.2392217523121999E-3</v>
      </c>
      <c r="BB308" s="39">
        <v>1.2392217523121999E-3</v>
      </c>
      <c r="BC308" s="39">
        <v>1.2392217523121999E-3</v>
      </c>
      <c r="BD308" s="39">
        <v>1.2392217523121999E-3</v>
      </c>
      <c r="BE308" s="39">
        <v>1.2392217523121999E-3</v>
      </c>
      <c r="BF308" s="39">
        <v>1.2392217523121999E-3</v>
      </c>
      <c r="BH308" s="12">
        <f t="shared" si="199"/>
        <v>0</v>
      </c>
      <c r="BI308" s="12">
        <f t="shared" si="200"/>
        <v>0</v>
      </c>
      <c r="BJ308" s="12">
        <f t="shared" si="201"/>
        <v>0</v>
      </c>
      <c r="BK308" s="12">
        <f t="shared" si="202"/>
        <v>0</v>
      </c>
      <c r="BL308" s="12">
        <f t="shared" si="203"/>
        <v>0</v>
      </c>
      <c r="BM308" s="12">
        <f t="shared" si="204"/>
        <v>0</v>
      </c>
      <c r="BN308" s="12">
        <f t="shared" si="205"/>
        <v>0</v>
      </c>
      <c r="BO308" s="12">
        <f t="shared" si="206"/>
        <v>0</v>
      </c>
      <c r="BP308" s="12">
        <f t="shared" si="207"/>
        <v>0</v>
      </c>
      <c r="BQ308" s="12">
        <f t="shared" si="208"/>
        <v>0</v>
      </c>
      <c r="BR308" s="12">
        <f t="shared" si="210"/>
        <v>0</v>
      </c>
      <c r="BS308" s="12">
        <f t="shared" si="211"/>
        <v>0</v>
      </c>
      <c r="BU308" s="11">
        <f t="shared" si="212"/>
        <v>0</v>
      </c>
      <c r="BV308" s="11">
        <f t="shared" si="213"/>
        <v>0</v>
      </c>
      <c r="BW308" s="11">
        <f t="shared" si="214"/>
        <v>0</v>
      </c>
      <c r="BX308" s="11">
        <f t="shared" si="215"/>
        <v>0</v>
      </c>
      <c r="BY308" s="11">
        <f t="shared" si="216"/>
        <v>0</v>
      </c>
      <c r="BZ308" s="11">
        <f t="shared" si="217"/>
        <v>0</v>
      </c>
      <c r="CA308" s="11">
        <f t="shared" si="218"/>
        <v>0</v>
      </c>
      <c r="CB308" s="11">
        <f t="shared" si="219"/>
        <v>0</v>
      </c>
      <c r="CC308" s="11">
        <f t="shared" si="220"/>
        <v>0</v>
      </c>
      <c r="CD308" s="11">
        <f t="shared" si="221"/>
        <v>0</v>
      </c>
      <c r="CE308" s="11">
        <f t="shared" si="222"/>
        <v>0</v>
      </c>
      <c r="CF308" s="11">
        <f t="shared" si="223"/>
        <v>0</v>
      </c>
      <c r="CG308" s="11"/>
      <c r="CH308" s="41">
        <v>3.23</v>
      </c>
      <c r="CJ308" s="54">
        <f t="shared" si="224"/>
        <v>0</v>
      </c>
      <c r="CK308" s="54">
        <f t="shared" si="225"/>
        <v>0</v>
      </c>
      <c r="CL308" s="54">
        <f t="shared" si="226"/>
        <v>0</v>
      </c>
      <c r="CM308" s="54">
        <f t="shared" si="227"/>
        <v>0</v>
      </c>
      <c r="CN308" s="54">
        <f t="shared" si="228"/>
        <v>0</v>
      </c>
      <c r="CO308" s="54">
        <f t="shared" si="229"/>
        <v>0</v>
      </c>
      <c r="CP308" s="54">
        <f t="shared" si="230"/>
        <v>0</v>
      </c>
      <c r="CQ308" s="54">
        <f t="shared" si="231"/>
        <v>0</v>
      </c>
      <c r="CR308" s="54">
        <f t="shared" si="232"/>
        <v>0</v>
      </c>
      <c r="CS308" s="54">
        <f t="shared" si="233"/>
        <v>0</v>
      </c>
      <c r="CT308" s="54">
        <f t="shared" si="234"/>
        <v>0</v>
      </c>
      <c r="CU308" s="54">
        <f t="shared" si="235"/>
        <v>0</v>
      </c>
      <c r="CV308" s="52">
        <f t="shared" si="236"/>
        <v>0</v>
      </c>
    </row>
    <row r="309" spans="1:100" ht="15.75" x14ac:dyDescent="0.25">
      <c r="A309" s="17"/>
      <c r="B309" s="17"/>
      <c r="C309" s="17"/>
      <c r="D309" s="17"/>
      <c r="E309" s="17"/>
      <c r="F309" s="31" t="s">
        <v>2949</v>
      </c>
      <c r="G309" s="77"/>
      <c r="H309" s="77"/>
      <c r="I309" s="77"/>
      <c r="J309" s="77"/>
      <c r="K309" s="77"/>
      <c r="L309" s="77"/>
      <c r="M309" s="77"/>
      <c r="N309" s="77"/>
      <c r="O309" s="77"/>
      <c r="P309" s="77"/>
      <c r="Q309" s="77"/>
      <c r="R309" s="77"/>
      <c r="S309" s="11">
        <f t="shared" ref="S309:S365" si="237">SUM(G309:R309)</f>
        <v>0</v>
      </c>
      <c r="T309" s="9"/>
      <c r="V309" s="46">
        <f t="shared" si="209"/>
        <v>0</v>
      </c>
      <c r="W309" s="36">
        <v>1.4350000000000001</v>
      </c>
      <c r="X309" s="36">
        <v>1.4350000000000001</v>
      </c>
      <c r="Y309" s="36">
        <v>1.4350000000000001</v>
      </c>
      <c r="Z309" s="36">
        <v>1.4350000000000001</v>
      </c>
      <c r="AA309" s="36">
        <v>1.4350000000000001</v>
      </c>
      <c r="AB309" s="36">
        <v>1.4350000000000001</v>
      </c>
      <c r="AC309" s="36">
        <v>1.4350000000000001</v>
      </c>
      <c r="AD309" s="36">
        <v>1.4350000000000001</v>
      </c>
      <c r="AE309" s="36">
        <v>1.4350000000000001</v>
      </c>
      <c r="AF309" s="36">
        <v>1.4350000000000001</v>
      </c>
      <c r="AG309" s="36">
        <v>1.4350000000000001</v>
      </c>
      <c r="AH309" s="36">
        <v>1.4350000000000001</v>
      </c>
      <c r="AI309" s="39">
        <v>1.33634708931066E-2</v>
      </c>
      <c r="AJ309" s="39">
        <v>1.33634708931066E-2</v>
      </c>
      <c r="AK309" s="39">
        <v>1.33634708931066E-2</v>
      </c>
      <c r="AL309" s="39">
        <v>1.33634708931066E-2</v>
      </c>
      <c r="AM309" s="39">
        <v>1.33634708931066E-2</v>
      </c>
      <c r="AN309" s="39">
        <v>1.33634708931066E-2</v>
      </c>
      <c r="AO309" s="39">
        <v>1.33634708931066E-2</v>
      </c>
      <c r="AP309" s="39">
        <v>1.33634708931066E-2</v>
      </c>
      <c r="AQ309" s="39">
        <v>1.33634708931066E-2</v>
      </c>
      <c r="AR309" s="39">
        <v>1.33634708931066E-2</v>
      </c>
      <c r="AS309" s="39">
        <v>1.33634708931066E-2</v>
      </c>
      <c r="AT309" s="39">
        <v>1.33634708931066E-2</v>
      </c>
      <c r="AU309" s="39">
        <v>1.2392217523121999E-3</v>
      </c>
      <c r="AV309" s="39">
        <v>1.2392217523121999E-3</v>
      </c>
      <c r="AW309" s="39">
        <v>1.2392217523121999E-3</v>
      </c>
      <c r="AX309" s="39">
        <v>1.2392217523121999E-3</v>
      </c>
      <c r="AY309" s="39">
        <v>1.2392217523121999E-3</v>
      </c>
      <c r="AZ309" s="39">
        <v>1.2392217523121999E-3</v>
      </c>
      <c r="BA309" s="39">
        <v>1.2392217523121999E-3</v>
      </c>
      <c r="BB309" s="39">
        <v>1.2392217523121999E-3</v>
      </c>
      <c r="BC309" s="39">
        <v>1.2392217523121999E-3</v>
      </c>
      <c r="BD309" s="39">
        <v>1.2392217523121999E-3</v>
      </c>
      <c r="BE309" s="39">
        <v>1.2392217523121999E-3</v>
      </c>
      <c r="BF309" s="39">
        <v>1.2392217523121999E-3</v>
      </c>
      <c r="BH309" s="12">
        <f t="shared" si="199"/>
        <v>0</v>
      </c>
      <c r="BI309" s="12">
        <f t="shared" si="200"/>
        <v>0</v>
      </c>
      <c r="BJ309" s="12">
        <f t="shared" si="201"/>
        <v>0</v>
      </c>
      <c r="BK309" s="12">
        <f t="shared" si="202"/>
        <v>0</v>
      </c>
      <c r="BL309" s="12">
        <f t="shared" si="203"/>
        <v>0</v>
      </c>
      <c r="BM309" s="12">
        <f t="shared" si="204"/>
        <v>0</v>
      </c>
      <c r="BN309" s="12">
        <f t="shared" si="205"/>
        <v>0</v>
      </c>
      <c r="BO309" s="12">
        <f t="shared" si="206"/>
        <v>0</v>
      </c>
      <c r="BP309" s="12">
        <f t="shared" si="207"/>
        <v>0</v>
      </c>
      <c r="BQ309" s="12">
        <f t="shared" si="208"/>
        <v>0</v>
      </c>
      <c r="BR309" s="12">
        <f t="shared" si="210"/>
        <v>0</v>
      </c>
      <c r="BS309" s="12">
        <f t="shared" si="211"/>
        <v>0</v>
      </c>
      <c r="BU309" s="11">
        <f t="shared" si="212"/>
        <v>0</v>
      </c>
      <c r="BV309" s="11">
        <f t="shared" si="213"/>
        <v>0</v>
      </c>
      <c r="BW309" s="11">
        <f t="shared" si="214"/>
        <v>0</v>
      </c>
      <c r="BX309" s="11">
        <f t="shared" si="215"/>
        <v>0</v>
      </c>
      <c r="BY309" s="11">
        <f t="shared" si="216"/>
        <v>0</v>
      </c>
      <c r="BZ309" s="11">
        <f t="shared" si="217"/>
        <v>0</v>
      </c>
      <c r="CA309" s="11">
        <f t="shared" si="218"/>
        <v>0</v>
      </c>
      <c r="CB309" s="11">
        <f t="shared" si="219"/>
        <v>0</v>
      </c>
      <c r="CC309" s="11">
        <f t="shared" si="220"/>
        <v>0</v>
      </c>
      <c r="CD309" s="11">
        <f t="shared" si="221"/>
        <v>0</v>
      </c>
      <c r="CE309" s="11">
        <f t="shared" si="222"/>
        <v>0</v>
      </c>
      <c r="CF309" s="11">
        <f t="shared" si="223"/>
        <v>0</v>
      </c>
      <c r="CG309" s="11"/>
      <c r="CH309" s="41">
        <v>3.23</v>
      </c>
      <c r="CJ309" s="54">
        <f t="shared" si="224"/>
        <v>0</v>
      </c>
      <c r="CK309" s="54">
        <f t="shared" si="225"/>
        <v>0</v>
      </c>
      <c r="CL309" s="54">
        <f t="shared" si="226"/>
        <v>0</v>
      </c>
      <c r="CM309" s="54">
        <f t="shared" si="227"/>
        <v>0</v>
      </c>
      <c r="CN309" s="54">
        <f t="shared" si="228"/>
        <v>0</v>
      </c>
      <c r="CO309" s="54">
        <f t="shared" si="229"/>
        <v>0</v>
      </c>
      <c r="CP309" s="54">
        <f t="shared" si="230"/>
        <v>0</v>
      </c>
      <c r="CQ309" s="54">
        <f t="shared" si="231"/>
        <v>0</v>
      </c>
      <c r="CR309" s="54">
        <f t="shared" si="232"/>
        <v>0</v>
      </c>
      <c r="CS309" s="54">
        <f t="shared" si="233"/>
        <v>0</v>
      </c>
      <c r="CT309" s="54">
        <f t="shared" si="234"/>
        <v>0</v>
      </c>
      <c r="CU309" s="54">
        <f t="shared" si="235"/>
        <v>0</v>
      </c>
      <c r="CV309" s="52">
        <f t="shared" si="236"/>
        <v>0</v>
      </c>
    </row>
    <row r="310" spans="1:100" ht="15.75" x14ac:dyDescent="0.25">
      <c r="A310" s="17"/>
      <c r="B310" s="17"/>
      <c r="C310" s="17"/>
      <c r="D310" s="17"/>
      <c r="E310" s="17"/>
      <c r="F310" s="31" t="s">
        <v>2949</v>
      </c>
      <c r="G310" s="77"/>
      <c r="H310" s="77"/>
      <c r="I310" s="77"/>
      <c r="J310" s="77"/>
      <c r="K310" s="77"/>
      <c r="L310" s="77"/>
      <c r="M310" s="77"/>
      <c r="N310" s="77"/>
      <c r="O310" s="77"/>
      <c r="P310" s="77"/>
      <c r="Q310" s="77"/>
      <c r="R310" s="77"/>
      <c r="S310" s="11">
        <f t="shared" si="237"/>
        <v>0</v>
      </c>
      <c r="T310" s="9"/>
      <c r="V310" s="46">
        <f t="shared" si="209"/>
        <v>0</v>
      </c>
      <c r="W310" s="36">
        <v>2.956</v>
      </c>
      <c r="X310" s="36">
        <v>2.956</v>
      </c>
      <c r="Y310" s="36">
        <v>2.956</v>
      </c>
      <c r="Z310" s="36">
        <v>2.956</v>
      </c>
      <c r="AA310" s="36">
        <v>2.956</v>
      </c>
      <c r="AB310" s="36">
        <v>2.956</v>
      </c>
      <c r="AC310" s="36">
        <v>2.956</v>
      </c>
      <c r="AD310" s="36">
        <v>2.956</v>
      </c>
      <c r="AE310" s="36">
        <v>2.956</v>
      </c>
      <c r="AF310" s="36">
        <v>2.956</v>
      </c>
      <c r="AG310" s="36">
        <v>2.956</v>
      </c>
      <c r="AH310" s="36">
        <v>2.956</v>
      </c>
      <c r="AI310" s="39">
        <v>1.33634708931066E-2</v>
      </c>
      <c r="AJ310" s="39">
        <v>1.33634708931066E-2</v>
      </c>
      <c r="AK310" s="39">
        <v>1.33634708931066E-2</v>
      </c>
      <c r="AL310" s="39">
        <v>1.33634708931066E-2</v>
      </c>
      <c r="AM310" s="39">
        <v>1.33634708931066E-2</v>
      </c>
      <c r="AN310" s="39">
        <v>1.33634708931066E-2</v>
      </c>
      <c r="AO310" s="39">
        <v>1.33634708931066E-2</v>
      </c>
      <c r="AP310" s="39">
        <v>1.33634708931066E-2</v>
      </c>
      <c r="AQ310" s="39">
        <v>1.33634708931066E-2</v>
      </c>
      <c r="AR310" s="39">
        <v>1.33634708931066E-2</v>
      </c>
      <c r="AS310" s="39">
        <v>1.33634708931066E-2</v>
      </c>
      <c r="AT310" s="39">
        <v>1.33634708931066E-2</v>
      </c>
      <c r="AU310" s="39">
        <v>1.2392217523121999E-3</v>
      </c>
      <c r="AV310" s="39">
        <v>1.2392217523121999E-3</v>
      </c>
      <c r="AW310" s="39">
        <v>1.2392217523121999E-3</v>
      </c>
      <c r="AX310" s="39">
        <v>1.2392217523121999E-3</v>
      </c>
      <c r="AY310" s="39">
        <v>1.2392217523121999E-3</v>
      </c>
      <c r="AZ310" s="39">
        <v>1.2392217523121999E-3</v>
      </c>
      <c r="BA310" s="39">
        <v>1.2392217523121999E-3</v>
      </c>
      <c r="BB310" s="39">
        <v>1.2392217523121999E-3</v>
      </c>
      <c r="BC310" s="39">
        <v>1.2392217523121999E-3</v>
      </c>
      <c r="BD310" s="39">
        <v>1.2392217523121999E-3</v>
      </c>
      <c r="BE310" s="39">
        <v>1.2392217523121999E-3</v>
      </c>
      <c r="BF310" s="39">
        <v>1.2392217523121999E-3</v>
      </c>
      <c r="BH310" s="12">
        <f t="shared" si="199"/>
        <v>0</v>
      </c>
      <c r="BI310" s="12">
        <f t="shared" si="200"/>
        <v>0</v>
      </c>
      <c r="BJ310" s="12">
        <f t="shared" si="201"/>
        <v>0</v>
      </c>
      <c r="BK310" s="12">
        <f t="shared" si="202"/>
        <v>0</v>
      </c>
      <c r="BL310" s="12">
        <f t="shared" si="203"/>
        <v>0</v>
      </c>
      <c r="BM310" s="12">
        <f t="shared" si="204"/>
        <v>0</v>
      </c>
      <c r="BN310" s="12">
        <f t="shared" si="205"/>
        <v>0</v>
      </c>
      <c r="BO310" s="12">
        <f t="shared" si="206"/>
        <v>0</v>
      </c>
      <c r="BP310" s="12">
        <f t="shared" si="207"/>
        <v>0</v>
      </c>
      <c r="BQ310" s="12">
        <f t="shared" si="208"/>
        <v>0</v>
      </c>
      <c r="BR310" s="12">
        <f t="shared" si="210"/>
        <v>0</v>
      </c>
      <c r="BS310" s="12">
        <f t="shared" si="211"/>
        <v>0</v>
      </c>
      <c r="BU310" s="11">
        <f t="shared" si="212"/>
        <v>0</v>
      </c>
      <c r="BV310" s="11">
        <f t="shared" si="213"/>
        <v>0</v>
      </c>
      <c r="BW310" s="11">
        <f t="shared" si="214"/>
        <v>0</v>
      </c>
      <c r="BX310" s="11">
        <f t="shared" si="215"/>
        <v>0</v>
      </c>
      <c r="BY310" s="11">
        <f t="shared" si="216"/>
        <v>0</v>
      </c>
      <c r="BZ310" s="11">
        <f t="shared" si="217"/>
        <v>0</v>
      </c>
      <c r="CA310" s="11">
        <f t="shared" si="218"/>
        <v>0</v>
      </c>
      <c r="CB310" s="11">
        <f t="shared" si="219"/>
        <v>0</v>
      </c>
      <c r="CC310" s="11">
        <f t="shared" si="220"/>
        <v>0</v>
      </c>
      <c r="CD310" s="11">
        <f t="shared" si="221"/>
        <v>0</v>
      </c>
      <c r="CE310" s="11">
        <f t="shared" si="222"/>
        <v>0</v>
      </c>
      <c r="CF310" s="11">
        <f t="shared" si="223"/>
        <v>0</v>
      </c>
      <c r="CG310" s="11"/>
      <c r="CH310" s="41">
        <v>3.23</v>
      </c>
      <c r="CJ310" s="54">
        <f t="shared" si="224"/>
        <v>0</v>
      </c>
      <c r="CK310" s="54">
        <f t="shared" si="225"/>
        <v>0</v>
      </c>
      <c r="CL310" s="54">
        <f t="shared" si="226"/>
        <v>0</v>
      </c>
      <c r="CM310" s="54">
        <f t="shared" si="227"/>
        <v>0</v>
      </c>
      <c r="CN310" s="54">
        <f t="shared" si="228"/>
        <v>0</v>
      </c>
      <c r="CO310" s="54">
        <f t="shared" si="229"/>
        <v>0</v>
      </c>
      <c r="CP310" s="54">
        <f t="shared" si="230"/>
        <v>0</v>
      </c>
      <c r="CQ310" s="54">
        <f t="shared" si="231"/>
        <v>0</v>
      </c>
      <c r="CR310" s="54">
        <f t="shared" si="232"/>
        <v>0</v>
      </c>
      <c r="CS310" s="54">
        <f t="shared" si="233"/>
        <v>0</v>
      </c>
      <c r="CT310" s="54">
        <f t="shared" si="234"/>
        <v>0</v>
      </c>
      <c r="CU310" s="54">
        <f t="shared" si="235"/>
        <v>0</v>
      </c>
      <c r="CV310" s="52">
        <f t="shared" si="236"/>
        <v>0</v>
      </c>
    </row>
    <row r="311" spans="1:100" ht="15.75" x14ac:dyDescent="0.25">
      <c r="A311" s="17"/>
      <c r="B311" s="17"/>
      <c r="C311" s="17"/>
      <c r="D311" s="17"/>
      <c r="E311" s="17"/>
      <c r="F311" s="31" t="s">
        <v>2949</v>
      </c>
      <c r="G311" s="77"/>
      <c r="H311" s="77"/>
      <c r="I311" s="77"/>
      <c r="J311" s="77"/>
      <c r="K311" s="77"/>
      <c r="L311" s="77"/>
      <c r="M311" s="77"/>
      <c r="N311" s="77"/>
      <c r="O311" s="77"/>
      <c r="P311" s="77"/>
      <c r="Q311" s="77"/>
      <c r="R311" s="77"/>
      <c r="S311" s="11">
        <f t="shared" si="237"/>
        <v>0</v>
      </c>
      <c r="T311" s="9"/>
      <c r="V311" s="46">
        <f t="shared" si="209"/>
        <v>0</v>
      </c>
      <c r="W311" s="36">
        <v>3.476</v>
      </c>
      <c r="X311" s="36">
        <v>3.476</v>
      </c>
      <c r="Y311" s="36">
        <v>3.476</v>
      </c>
      <c r="Z311" s="36">
        <v>3.476</v>
      </c>
      <c r="AA311" s="36">
        <v>3.476</v>
      </c>
      <c r="AB311" s="36">
        <v>3.476</v>
      </c>
      <c r="AC311" s="36">
        <v>3.476</v>
      </c>
      <c r="AD311" s="36">
        <v>3.476</v>
      </c>
      <c r="AE311" s="36">
        <v>3.476</v>
      </c>
      <c r="AF311" s="36">
        <v>3.476</v>
      </c>
      <c r="AG311" s="36">
        <v>3.476</v>
      </c>
      <c r="AH311" s="36">
        <v>3.476</v>
      </c>
      <c r="AI311" s="39">
        <v>1.33634708931066E-2</v>
      </c>
      <c r="AJ311" s="39">
        <v>1.33634708931066E-2</v>
      </c>
      <c r="AK311" s="39">
        <v>1.33634708931066E-2</v>
      </c>
      <c r="AL311" s="39">
        <v>1.33634708931066E-2</v>
      </c>
      <c r="AM311" s="39">
        <v>1.33634708931066E-2</v>
      </c>
      <c r="AN311" s="39">
        <v>1.33634708931066E-2</v>
      </c>
      <c r="AO311" s="39">
        <v>1.33634708931066E-2</v>
      </c>
      <c r="AP311" s="39">
        <v>1.33634708931066E-2</v>
      </c>
      <c r="AQ311" s="39">
        <v>1.33634708931066E-2</v>
      </c>
      <c r="AR311" s="39">
        <v>1.33634708931066E-2</v>
      </c>
      <c r="AS311" s="39">
        <v>1.33634708931066E-2</v>
      </c>
      <c r="AT311" s="39">
        <v>1.33634708931066E-2</v>
      </c>
      <c r="AU311" s="39">
        <v>1.2392217523121999E-3</v>
      </c>
      <c r="AV311" s="39">
        <v>1.2392217523121999E-3</v>
      </c>
      <c r="AW311" s="39">
        <v>1.2392217523121999E-3</v>
      </c>
      <c r="AX311" s="39">
        <v>1.2392217523121999E-3</v>
      </c>
      <c r="AY311" s="39">
        <v>1.2392217523121999E-3</v>
      </c>
      <c r="AZ311" s="39">
        <v>1.2392217523121999E-3</v>
      </c>
      <c r="BA311" s="39">
        <v>1.2392217523121999E-3</v>
      </c>
      <c r="BB311" s="39">
        <v>1.2392217523121999E-3</v>
      </c>
      <c r="BC311" s="39">
        <v>1.2392217523121999E-3</v>
      </c>
      <c r="BD311" s="39">
        <v>1.2392217523121999E-3</v>
      </c>
      <c r="BE311" s="39">
        <v>1.2392217523121999E-3</v>
      </c>
      <c r="BF311" s="39">
        <v>1.2392217523121999E-3</v>
      </c>
      <c r="BH311" s="12">
        <f t="shared" si="199"/>
        <v>0</v>
      </c>
      <c r="BI311" s="12">
        <f t="shared" si="200"/>
        <v>0</v>
      </c>
      <c r="BJ311" s="12">
        <f t="shared" si="201"/>
        <v>0</v>
      </c>
      <c r="BK311" s="12">
        <f t="shared" si="202"/>
        <v>0</v>
      </c>
      <c r="BL311" s="12">
        <f t="shared" si="203"/>
        <v>0</v>
      </c>
      <c r="BM311" s="12">
        <f t="shared" si="204"/>
        <v>0</v>
      </c>
      <c r="BN311" s="12">
        <f t="shared" si="205"/>
        <v>0</v>
      </c>
      <c r="BO311" s="12">
        <f t="shared" si="206"/>
        <v>0</v>
      </c>
      <c r="BP311" s="12">
        <f t="shared" si="207"/>
        <v>0</v>
      </c>
      <c r="BQ311" s="12">
        <f t="shared" si="208"/>
        <v>0</v>
      </c>
      <c r="BR311" s="12">
        <f t="shared" si="210"/>
        <v>0</v>
      </c>
      <c r="BS311" s="12">
        <f t="shared" si="211"/>
        <v>0</v>
      </c>
      <c r="BU311" s="11">
        <f t="shared" si="212"/>
        <v>0</v>
      </c>
      <c r="BV311" s="11">
        <f t="shared" si="213"/>
        <v>0</v>
      </c>
      <c r="BW311" s="11">
        <f t="shared" si="214"/>
        <v>0</v>
      </c>
      <c r="BX311" s="11">
        <f t="shared" si="215"/>
        <v>0</v>
      </c>
      <c r="BY311" s="11">
        <f t="shared" si="216"/>
        <v>0</v>
      </c>
      <c r="BZ311" s="11">
        <f t="shared" si="217"/>
        <v>0</v>
      </c>
      <c r="CA311" s="11">
        <f t="shared" si="218"/>
        <v>0</v>
      </c>
      <c r="CB311" s="11">
        <f t="shared" si="219"/>
        <v>0</v>
      </c>
      <c r="CC311" s="11">
        <f t="shared" si="220"/>
        <v>0</v>
      </c>
      <c r="CD311" s="11">
        <f t="shared" si="221"/>
        <v>0</v>
      </c>
      <c r="CE311" s="11">
        <f t="shared" si="222"/>
        <v>0</v>
      </c>
      <c r="CF311" s="11">
        <f t="shared" si="223"/>
        <v>0</v>
      </c>
      <c r="CG311" s="11"/>
      <c r="CH311" s="41">
        <v>3.23</v>
      </c>
      <c r="CJ311" s="54">
        <f t="shared" si="224"/>
        <v>0</v>
      </c>
      <c r="CK311" s="54">
        <f t="shared" si="225"/>
        <v>0</v>
      </c>
      <c r="CL311" s="54">
        <f t="shared" si="226"/>
        <v>0</v>
      </c>
      <c r="CM311" s="54">
        <f t="shared" si="227"/>
        <v>0</v>
      </c>
      <c r="CN311" s="54">
        <f t="shared" si="228"/>
        <v>0</v>
      </c>
      <c r="CO311" s="54">
        <f t="shared" si="229"/>
        <v>0</v>
      </c>
      <c r="CP311" s="54">
        <f t="shared" si="230"/>
        <v>0</v>
      </c>
      <c r="CQ311" s="54">
        <f t="shared" si="231"/>
        <v>0</v>
      </c>
      <c r="CR311" s="54">
        <f t="shared" si="232"/>
        <v>0</v>
      </c>
      <c r="CS311" s="54">
        <f t="shared" si="233"/>
        <v>0</v>
      </c>
      <c r="CT311" s="54">
        <f t="shared" si="234"/>
        <v>0</v>
      </c>
      <c r="CU311" s="54">
        <f t="shared" si="235"/>
        <v>0</v>
      </c>
      <c r="CV311" s="52">
        <f t="shared" si="236"/>
        <v>0</v>
      </c>
    </row>
    <row r="312" spans="1:100" ht="15.75" x14ac:dyDescent="0.25">
      <c r="A312" s="17"/>
      <c r="B312" s="17"/>
      <c r="C312" s="17"/>
      <c r="D312" s="17"/>
      <c r="E312" s="17"/>
      <c r="F312" s="31" t="s">
        <v>2949</v>
      </c>
      <c r="G312" s="77"/>
      <c r="H312" s="77"/>
      <c r="I312" s="77"/>
      <c r="J312" s="77"/>
      <c r="K312" s="77"/>
      <c r="L312" s="77"/>
      <c r="M312" s="77"/>
      <c r="N312" s="77"/>
      <c r="O312" s="77"/>
      <c r="P312" s="77"/>
      <c r="Q312" s="77"/>
      <c r="R312" s="77"/>
      <c r="S312" s="11">
        <f t="shared" si="237"/>
        <v>0</v>
      </c>
      <c r="T312" s="9"/>
      <c r="V312" s="46">
        <f t="shared" si="209"/>
        <v>0</v>
      </c>
      <c r="W312" s="36">
        <v>3.915</v>
      </c>
      <c r="X312" s="36">
        <v>3.915</v>
      </c>
      <c r="Y312" s="36">
        <v>3.915</v>
      </c>
      <c r="Z312" s="36">
        <v>3.915</v>
      </c>
      <c r="AA312" s="36">
        <v>3.915</v>
      </c>
      <c r="AB312" s="36">
        <v>3.915</v>
      </c>
      <c r="AC312" s="36">
        <v>3.915</v>
      </c>
      <c r="AD312" s="36">
        <v>3.915</v>
      </c>
      <c r="AE312" s="36">
        <v>3.915</v>
      </c>
      <c r="AF312" s="36">
        <v>3.915</v>
      </c>
      <c r="AG312" s="36">
        <v>3.915</v>
      </c>
      <c r="AH312" s="36">
        <v>3.915</v>
      </c>
      <c r="AI312" s="39">
        <v>1.33634708931066E-2</v>
      </c>
      <c r="AJ312" s="39">
        <v>1.33634708931066E-2</v>
      </c>
      <c r="AK312" s="39">
        <v>1.33634708931066E-2</v>
      </c>
      <c r="AL312" s="39">
        <v>1.33634708931066E-2</v>
      </c>
      <c r="AM312" s="39">
        <v>1.33634708931066E-2</v>
      </c>
      <c r="AN312" s="39">
        <v>1.33634708931066E-2</v>
      </c>
      <c r="AO312" s="39">
        <v>1.33634708931066E-2</v>
      </c>
      <c r="AP312" s="39">
        <v>1.33634708931066E-2</v>
      </c>
      <c r="AQ312" s="39">
        <v>1.33634708931066E-2</v>
      </c>
      <c r="AR312" s="39">
        <v>1.33634708931066E-2</v>
      </c>
      <c r="AS312" s="39">
        <v>1.33634708931066E-2</v>
      </c>
      <c r="AT312" s="39">
        <v>1.33634708931066E-2</v>
      </c>
      <c r="AU312" s="39">
        <v>1.2392217523121999E-3</v>
      </c>
      <c r="AV312" s="39">
        <v>1.2392217523121999E-3</v>
      </c>
      <c r="AW312" s="39">
        <v>1.2392217523121999E-3</v>
      </c>
      <c r="AX312" s="39">
        <v>1.2392217523121999E-3</v>
      </c>
      <c r="AY312" s="39">
        <v>1.2392217523121999E-3</v>
      </c>
      <c r="AZ312" s="39">
        <v>1.2392217523121999E-3</v>
      </c>
      <c r="BA312" s="39">
        <v>1.2392217523121999E-3</v>
      </c>
      <c r="BB312" s="39">
        <v>1.2392217523121999E-3</v>
      </c>
      <c r="BC312" s="39">
        <v>1.2392217523121999E-3</v>
      </c>
      <c r="BD312" s="39">
        <v>1.2392217523121999E-3</v>
      </c>
      <c r="BE312" s="39">
        <v>1.2392217523121999E-3</v>
      </c>
      <c r="BF312" s="39">
        <v>1.2392217523121999E-3</v>
      </c>
      <c r="BH312" s="12">
        <f t="shared" si="199"/>
        <v>0</v>
      </c>
      <c r="BI312" s="12">
        <f t="shared" si="200"/>
        <v>0</v>
      </c>
      <c r="BJ312" s="12">
        <f t="shared" si="201"/>
        <v>0</v>
      </c>
      <c r="BK312" s="12">
        <f t="shared" si="202"/>
        <v>0</v>
      </c>
      <c r="BL312" s="12">
        <f t="shared" si="203"/>
        <v>0</v>
      </c>
      <c r="BM312" s="12">
        <f t="shared" si="204"/>
        <v>0</v>
      </c>
      <c r="BN312" s="12">
        <f t="shared" si="205"/>
        <v>0</v>
      </c>
      <c r="BO312" s="12">
        <f t="shared" si="206"/>
        <v>0</v>
      </c>
      <c r="BP312" s="12">
        <f t="shared" si="207"/>
        <v>0</v>
      </c>
      <c r="BQ312" s="12">
        <f t="shared" si="208"/>
        <v>0</v>
      </c>
      <c r="BR312" s="12">
        <f t="shared" si="210"/>
        <v>0</v>
      </c>
      <c r="BS312" s="12">
        <f t="shared" si="211"/>
        <v>0</v>
      </c>
      <c r="BU312" s="11">
        <f t="shared" si="212"/>
        <v>0</v>
      </c>
      <c r="BV312" s="11">
        <f t="shared" si="213"/>
        <v>0</v>
      </c>
      <c r="BW312" s="11">
        <f t="shared" si="214"/>
        <v>0</v>
      </c>
      <c r="BX312" s="11">
        <f t="shared" si="215"/>
        <v>0</v>
      </c>
      <c r="BY312" s="11">
        <f t="shared" si="216"/>
        <v>0</v>
      </c>
      <c r="BZ312" s="11">
        <f t="shared" si="217"/>
        <v>0</v>
      </c>
      <c r="CA312" s="11">
        <f t="shared" si="218"/>
        <v>0</v>
      </c>
      <c r="CB312" s="11">
        <f t="shared" si="219"/>
        <v>0</v>
      </c>
      <c r="CC312" s="11">
        <f t="shared" si="220"/>
        <v>0</v>
      </c>
      <c r="CD312" s="11">
        <f t="shared" si="221"/>
        <v>0</v>
      </c>
      <c r="CE312" s="11">
        <f t="shared" si="222"/>
        <v>0</v>
      </c>
      <c r="CF312" s="11">
        <f t="shared" si="223"/>
        <v>0</v>
      </c>
      <c r="CG312" s="11"/>
      <c r="CH312" s="41">
        <v>3.23</v>
      </c>
      <c r="CJ312" s="54">
        <f t="shared" si="224"/>
        <v>0</v>
      </c>
      <c r="CK312" s="54">
        <f t="shared" si="225"/>
        <v>0</v>
      </c>
      <c r="CL312" s="54">
        <f t="shared" si="226"/>
        <v>0</v>
      </c>
      <c r="CM312" s="54">
        <f t="shared" si="227"/>
        <v>0</v>
      </c>
      <c r="CN312" s="54">
        <f t="shared" si="228"/>
        <v>0</v>
      </c>
      <c r="CO312" s="54">
        <f t="shared" si="229"/>
        <v>0</v>
      </c>
      <c r="CP312" s="54">
        <f t="shared" si="230"/>
        <v>0</v>
      </c>
      <c r="CQ312" s="54">
        <f t="shared" si="231"/>
        <v>0</v>
      </c>
      <c r="CR312" s="54">
        <f t="shared" si="232"/>
        <v>0</v>
      </c>
      <c r="CS312" s="54">
        <f t="shared" si="233"/>
        <v>0</v>
      </c>
      <c r="CT312" s="54">
        <f t="shared" si="234"/>
        <v>0</v>
      </c>
      <c r="CU312" s="54">
        <f t="shared" si="235"/>
        <v>0</v>
      </c>
      <c r="CV312" s="52">
        <f t="shared" si="236"/>
        <v>0</v>
      </c>
    </row>
    <row r="313" spans="1:100" ht="15.75" x14ac:dyDescent="0.25">
      <c r="A313" s="17"/>
      <c r="B313" s="17"/>
      <c r="C313" s="17"/>
      <c r="D313" s="17"/>
      <c r="E313" s="17"/>
      <c r="F313" s="31" t="s">
        <v>2949</v>
      </c>
      <c r="G313" s="77"/>
      <c r="H313" s="77"/>
      <c r="I313" s="77"/>
      <c r="J313" s="77"/>
      <c r="K313" s="77"/>
      <c r="L313" s="77"/>
      <c r="M313" s="77"/>
      <c r="N313" s="77"/>
      <c r="O313" s="77"/>
      <c r="P313" s="77"/>
      <c r="Q313" s="77"/>
      <c r="R313" s="77"/>
      <c r="S313" s="11">
        <f t="shared" si="237"/>
        <v>0</v>
      </c>
      <c r="T313" s="9"/>
      <c r="V313" s="46">
        <f t="shared" si="209"/>
        <v>0</v>
      </c>
      <c r="W313" s="36">
        <v>9.06</v>
      </c>
      <c r="X313" s="36">
        <v>9.06</v>
      </c>
      <c r="Y313" s="36">
        <v>9.06</v>
      </c>
      <c r="Z313" s="36">
        <v>9.06</v>
      </c>
      <c r="AA313" s="36">
        <v>9.06</v>
      </c>
      <c r="AB313" s="36">
        <v>9.06</v>
      </c>
      <c r="AC313" s="36">
        <v>9.06</v>
      </c>
      <c r="AD313" s="36">
        <v>9.06</v>
      </c>
      <c r="AE313" s="36">
        <v>9.06</v>
      </c>
      <c r="AF313" s="36">
        <v>9.06</v>
      </c>
      <c r="AG313" s="36">
        <v>9.06</v>
      </c>
      <c r="AH313" s="36">
        <v>9.06</v>
      </c>
      <c r="AI313" s="39">
        <v>0</v>
      </c>
      <c r="AJ313" s="39">
        <v>0</v>
      </c>
      <c r="AK313" s="39">
        <v>0</v>
      </c>
      <c r="AL313" s="39">
        <v>0</v>
      </c>
      <c r="AM313" s="39">
        <v>0</v>
      </c>
      <c r="AN313" s="39">
        <v>0</v>
      </c>
      <c r="AO313" s="39">
        <v>0</v>
      </c>
      <c r="AP313" s="39">
        <v>0</v>
      </c>
      <c r="AQ313" s="39">
        <v>0</v>
      </c>
      <c r="AR313" s="39">
        <v>0</v>
      </c>
      <c r="AS313" s="39">
        <v>0</v>
      </c>
      <c r="AT313" s="39">
        <v>0</v>
      </c>
      <c r="AU313" s="39">
        <v>0</v>
      </c>
      <c r="AV313" s="39">
        <v>0</v>
      </c>
      <c r="AW313" s="39">
        <v>0</v>
      </c>
      <c r="AX313" s="39">
        <v>0</v>
      </c>
      <c r="AY313" s="39">
        <v>0</v>
      </c>
      <c r="AZ313" s="39">
        <v>0</v>
      </c>
      <c r="BA313" s="39">
        <v>0</v>
      </c>
      <c r="BB313" s="39">
        <v>0</v>
      </c>
      <c r="BC313" s="39">
        <v>0</v>
      </c>
      <c r="BD313" s="39">
        <v>0</v>
      </c>
      <c r="BE313" s="39">
        <v>0</v>
      </c>
      <c r="BF313" s="39">
        <v>0</v>
      </c>
      <c r="BH313" s="12">
        <f t="shared" si="199"/>
        <v>0</v>
      </c>
      <c r="BI313" s="12">
        <f t="shared" si="200"/>
        <v>0</v>
      </c>
      <c r="BJ313" s="12">
        <f t="shared" si="201"/>
        <v>0</v>
      </c>
      <c r="BK313" s="12">
        <f t="shared" si="202"/>
        <v>0</v>
      </c>
      <c r="BL313" s="12">
        <f t="shared" si="203"/>
        <v>0</v>
      </c>
      <c r="BM313" s="12">
        <f t="shared" si="204"/>
        <v>0</v>
      </c>
      <c r="BN313" s="12">
        <f t="shared" si="205"/>
        <v>0</v>
      </c>
      <c r="BO313" s="12">
        <f t="shared" si="206"/>
        <v>0</v>
      </c>
      <c r="BP313" s="12">
        <f t="shared" si="207"/>
        <v>0</v>
      </c>
      <c r="BQ313" s="12">
        <f t="shared" si="208"/>
        <v>0</v>
      </c>
      <c r="BR313" s="12">
        <f t="shared" si="210"/>
        <v>0</v>
      </c>
      <c r="BS313" s="12">
        <f t="shared" si="211"/>
        <v>0</v>
      </c>
      <c r="BU313" s="11">
        <f t="shared" si="212"/>
        <v>0</v>
      </c>
      <c r="BV313" s="11">
        <f t="shared" si="213"/>
        <v>0</v>
      </c>
      <c r="BW313" s="11">
        <f t="shared" si="214"/>
        <v>0</v>
      </c>
      <c r="BX313" s="11">
        <f t="shared" si="215"/>
        <v>0</v>
      </c>
      <c r="BY313" s="11">
        <f t="shared" si="216"/>
        <v>0</v>
      </c>
      <c r="BZ313" s="11">
        <f t="shared" si="217"/>
        <v>0</v>
      </c>
      <c r="CA313" s="11">
        <f t="shared" si="218"/>
        <v>0</v>
      </c>
      <c r="CB313" s="11">
        <f t="shared" si="219"/>
        <v>0</v>
      </c>
      <c r="CC313" s="11">
        <f t="shared" si="220"/>
        <v>0</v>
      </c>
      <c r="CD313" s="11">
        <f t="shared" si="221"/>
        <v>0</v>
      </c>
      <c r="CE313" s="11">
        <f t="shared" si="222"/>
        <v>0</v>
      </c>
      <c r="CF313" s="11">
        <f t="shared" si="223"/>
        <v>0</v>
      </c>
      <c r="CG313" s="11"/>
      <c r="CH313" s="41">
        <v>1</v>
      </c>
      <c r="CJ313" s="54">
        <f t="shared" si="224"/>
        <v>0</v>
      </c>
      <c r="CK313" s="54">
        <f t="shared" si="225"/>
        <v>0</v>
      </c>
      <c r="CL313" s="54">
        <f t="shared" si="226"/>
        <v>0</v>
      </c>
      <c r="CM313" s="54">
        <f t="shared" si="227"/>
        <v>0</v>
      </c>
      <c r="CN313" s="54">
        <f t="shared" si="228"/>
        <v>0</v>
      </c>
      <c r="CO313" s="54">
        <f t="shared" si="229"/>
        <v>0</v>
      </c>
      <c r="CP313" s="54">
        <f t="shared" si="230"/>
        <v>0</v>
      </c>
      <c r="CQ313" s="54">
        <f t="shared" si="231"/>
        <v>0</v>
      </c>
      <c r="CR313" s="54">
        <f t="shared" si="232"/>
        <v>0</v>
      </c>
      <c r="CS313" s="54">
        <f t="shared" si="233"/>
        <v>0</v>
      </c>
      <c r="CT313" s="54">
        <f t="shared" si="234"/>
        <v>0</v>
      </c>
      <c r="CU313" s="54">
        <f t="shared" si="235"/>
        <v>0</v>
      </c>
      <c r="CV313" s="52">
        <f t="shared" si="236"/>
        <v>0</v>
      </c>
    </row>
    <row r="314" spans="1:100" ht="15.75" x14ac:dyDescent="0.25">
      <c r="A314" s="17"/>
      <c r="B314" s="17"/>
      <c r="C314" s="17"/>
      <c r="D314" s="17"/>
      <c r="E314" s="17"/>
      <c r="F314" s="31" t="s">
        <v>2949</v>
      </c>
      <c r="G314" s="77"/>
      <c r="H314" s="77"/>
      <c r="I314" s="77"/>
      <c r="J314" s="77"/>
      <c r="K314" s="77"/>
      <c r="L314" s="77"/>
      <c r="M314" s="77"/>
      <c r="N314" s="77"/>
      <c r="O314" s="77"/>
      <c r="P314" s="77"/>
      <c r="Q314" s="77"/>
      <c r="R314" s="77"/>
      <c r="S314" s="11">
        <f t="shared" si="237"/>
        <v>0</v>
      </c>
      <c r="T314" s="9"/>
      <c r="V314" s="46">
        <f t="shared" si="209"/>
        <v>0</v>
      </c>
      <c r="W314" s="36">
        <v>1.69</v>
      </c>
      <c r="X314" s="36">
        <v>1.69</v>
      </c>
      <c r="Y314" s="36">
        <v>1.69</v>
      </c>
      <c r="Z314" s="36">
        <v>1.69</v>
      </c>
      <c r="AA314" s="36">
        <v>1.69</v>
      </c>
      <c r="AB314" s="36">
        <v>1.69</v>
      </c>
      <c r="AC314" s="36">
        <v>1.69</v>
      </c>
      <c r="AD314" s="36">
        <v>1.69</v>
      </c>
      <c r="AE314" s="36">
        <v>1.69</v>
      </c>
      <c r="AF314" s="36">
        <v>1.69</v>
      </c>
      <c r="AG314" s="36">
        <v>1.69</v>
      </c>
      <c r="AH314" s="36">
        <v>1.69</v>
      </c>
      <c r="AI314" s="39">
        <v>0</v>
      </c>
      <c r="AJ314" s="39">
        <v>0</v>
      </c>
      <c r="AK314" s="39">
        <v>0</v>
      </c>
      <c r="AL314" s="39">
        <v>0</v>
      </c>
      <c r="AM314" s="39">
        <v>0</v>
      </c>
      <c r="AN314" s="39">
        <v>0</v>
      </c>
      <c r="AO314" s="39">
        <v>0</v>
      </c>
      <c r="AP314" s="39">
        <v>0</v>
      </c>
      <c r="AQ314" s="39">
        <v>0</v>
      </c>
      <c r="AR314" s="39">
        <v>0</v>
      </c>
      <c r="AS314" s="39">
        <v>0</v>
      </c>
      <c r="AT314" s="39">
        <v>0</v>
      </c>
      <c r="AU314" s="39">
        <v>0</v>
      </c>
      <c r="AV314" s="39">
        <v>0</v>
      </c>
      <c r="AW314" s="39">
        <v>0</v>
      </c>
      <c r="AX314" s="39">
        <v>0</v>
      </c>
      <c r="AY314" s="39">
        <v>0</v>
      </c>
      <c r="AZ314" s="39">
        <v>0</v>
      </c>
      <c r="BA314" s="39">
        <v>0</v>
      </c>
      <c r="BB314" s="39">
        <v>0</v>
      </c>
      <c r="BC314" s="39">
        <v>0</v>
      </c>
      <c r="BD314" s="39">
        <v>0</v>
      </c>
      <c r="BE314" s="39">
        <v>0</v>
      </c>
      <c r="BF314" s="39">
        <v>0</v>
      </c>
      <c r="BH314" s="12">
        <f t="shared" si="199"/>
        <v>0</v>
      </c>
      <c r="BI314" s="12">
        <f t="shared" si="200"/>
        <v>0</v>
      </c>
      <c r="BJ314" s="12">
        <f t="shared" si="201"/>
        <v>0</v>
      </c>
      <c r="BK314" s="12">
        <f t="shared" si="202"/>
        <v>0</v>
      </c>
      <c r="BL314" s="12">
        <f t="shared" si="203"/>
        <v>0</v>
      </c>
      <c r="BM314" s="12">
        <f t="shared" si="204"/>
        <v>0</v>
      </c>
      <c r="BN314" s="12">
        <f t="shared" si="205"/>
        <v>0</v>
      </c>
      <c r="BO314" s="12">
        <f t="shared" si="206"/>
        <v>0</v>
      </c>
      <c r="BP314" s="12">
        <f t="shared" si="207"/>
        <v>0</v>
      </c>
      <c r="BQ314" s="12">
        <f t="shared" si="208"/>
        <v>0</v>
      </c>
      <c r="BR314" s="12">
        <f t="shared" si="210"/>
        <v>0</v>
      </c>
      <c r="BS314" s="12">
        <f t="shared" si="211"/>
        <v>0</v>
      </c>
      <c r="BU314" s="11">
        <f t="shared" si="212"/>
        <v>0</v>
      </c>
      <c r="BV314" s="11">
        <f t="shared" si="213"/>
        <v>0</v>
      </c>
      <c r="BW314" s="11">
        <f t="shared" si="214"/>
        <v>0</v>
      </c>
      <c r="BX314" s="11">
        <f t="shared" si="215"/>
        <v>0</v>
      </c>
      <c r="BY314" s="11">
        <f t="shared" si="216"/>
        <v>0</v>
      </c>
      <c r="BZ314" s="11">
        <f t="shared" si="217"/>
        <v>0</v>
      </c>
      <c r="CA314" s="11">
        <f t="shared" si="218"/>
        <v>0</v>
      </c>
      <c r="CB314" s="11">
        <f t="shared" si="219"/>
        <v>0</v>
      </c>
      <c r="CC314" s="11">
        <f t="shared" si="220"/>
        <v>0</v>
      </c>
      <c r="CD314" s="11">
        <f t="shared" si="221"/>
        <v>0</v>
      </c>
      <c r="CE314" s="11">
        <f t="shared" si="222"/>
        <v>0</v>
      </c>
      <c r="CF314" s="11">
        <f t="shared" si="223"/>
        <v>0</v>
      </c>
      <c r="CG314" s="11"/>
      <c r="CH314" s="41">
        <v>1</v>
      </c>
      <c r="CJ314" s="54">
        <f t="shared" si="224"/>
        <v>0</v>
      </c>
      <c r="CK314" s="54">
        <f t="shared" si="225"/>
        <v>0</v>
      </c>
      <c r="CL314" s="54">
        <f t="shared" si="226"/>
        <v>0</v>
      </c>
      <c r="CM314" s="54">
        <f t="shared" si="227"/>
        <v>0</v>
      </c>
      <c r="CN314" s="54">
        <f t="shared" si="228"/>
        <v>0</v>
      </c>
      <c r="CO314" s="54">
        <f t="shared" si="229"/>
        <v>0</v>
      </c>
      <c r="CP314" s="54">
        <f t="shared" si="230"/>
        <v>0</v>
      </c>
      <c r="CQ314" s="54">
        <f t="shared" si="231"/>
        <v>0</v>
      </c>
      <c r="CR314" s="54">
        <f t="shared" si="232"/>
        <v>0</v>
      </c>
      <c r="CS314" s="54">
        <f t="shared" si="233"/>
        <v>0</v>
      </c>
      <c r="CT314" s="54">
        <f t="shared" si="234"/>
        <v>0</v>
      </c>
      <c r="CU314" s="54">
        <f t="shared" si="235"/>
        <v>0</v>
      </c>
      <c r="CV314" s="52">
        <f t="shared" si="236"/>
        <v>0</v>
      </c>
    </row>
    <row r="315" spans="1:100" ht="15.75" x14ac:dyDescent="0.25">
      <c r="A315" s="17"/>
      <c r="B315" s="17"/>
      <c r="C315" s="17"/>
      <c r="D315" s="17"/>
      <c r="E315" s="17"/>
      <c r="F315" s="31" t="s">
        <v>2949</v>
      </c>
      <c r="G315" s="77"/>
      <c r="H315" s="77"/>
      <c r="I315" s="77"/>
      <c r="J315" s="77"/>
      <c r="K315" s="77"/>
      <c r="L315" s="77"/>
      <c r="M315" s="77"/>
      <c r="N315" s="77"/>
      <c r="O315" s="77"/>
      <c r="P315" s="77"/>
      <c r="Q315" s="77"/>
      <c r="R315" s="77"/>
      <c r="S315" s="11">
        <f t="shared" si="237"/>
        <v>0</v>
      </c>
      <c r="T315" s="9"/>
      <c r="V315" s="46">
        <f t="shared" si="209"/>
        <v>0</v>
      </c>
      <c r="W315" s="36">
        <v>1.8400042087542088</v>
      </c>
      <c r="X315" s="36">
        <v>1.8400042087542088</v>
      </c>
      <c r="Y315" s="36">
        <v>1.8400042087542088</v>
      </c>
      <c r="Z315" s="36">
        <v>1.8400042087542088</v>
      </c>
      <c r="AA315" s="36">
        <v>1.8400042087542088</v>
      </c>
      <c r="AB315" s="36">
        <v>1.8400042087542088</v>
      </c>
      <c r="AC315" s="36">
        <v>1.8400042087542088</v>
      </c>
      <c r="AD315" s="36">
        <v>1.8400042087542088</v>
      </c>
      <c r="AE315" s="36">
        <v>1.8400042087542088</v>
      </c>
      <c r="AF315" s="36">
        <v>1.8400042087542088</v>
      </c>
      <c r="AG315" s="36">
        <v>1.8400042087542088</v>
      </c>
      <c r="AH315" s="36">
        <v>1.8400042087542088</v>
      </c>
      <c r="AI315" s="39">
        <v>0</v>
      </c>
      <c r="AJ315" s="39">
        <v>0</v>
      </c>
      <c r="AK315" s="39">
        <v>0</v>
      </c>
      <c r="AL315" s="39">
        <v>0</v>
      </c>
      <c r="AM315" s="39">
        <v>0</v>
      </c>
      <c r="AN315" s="39">
        <v>0</v>
      </c>
      <c r="AO315" s="39">
        <v>0</v>
      </c>
      <c r="AP315" s="39">
        <v>0</v>
      </c>
      <c r="AQ315" s="39">
        <v>0</v>
      </c>
      <c r="AR315" s="39">
        <v>0</v>
      </c>
      <c r="AS315" s="39">
        <v>0</v>
      </c>
      <c r="AT315" s="39">
        <v>0</v>
      </c>
      <c r="AU315" s="39">
        <v>0</v>
      </c>
      <c r="AV315" s="39">
        <v>0</v>
      </c>
      <c r="AW315" s="39">
        <v>0</v>
      </c>
      <c r="AX315" s="39">
        <v>0</v>
      </c>
      <c r="AY315" s="39">
        <v>0</v>
      </c>
      <c r="AZ315" s="39">
        <v>0</v>
      </c>
      <c r="BA315" s="39">
        <v>0</v>
      </c>
      <c r="BB315" s="39">
        <v>0</v>
      </c>
      <c r="BC315" s="39">
        <v>0</v>
      </c>
      <c r="BD315" s="39">
        <v>0</v>
      </c>
      <c r="BE315" s="39">
        <v>0</v>
      </c>
      <c r="BF315" s="39">
        <v>0</v>
      </c>
      <c r="BH315" s="12">
        <f t="shared" si="199"/>
        <v>0</v>
      </c>
      <c r="BI315" s="12">
        <f t="shared" si="200"/>
        <v>0</v>
      </c>
      <c r="BJ315" s="12">
        <f t="shared" si="201"/>
        <v>0</v>
      </c>
      <c r="BK315" s="12">
        <f t="shared" si="202"/>
        <v>0</v>
      </c>
      <c r="BL315" s="12">
        <f t="shared" si="203"/>
        <v>0</v>
      </c>
      <c r="BM315" s="12">
        <f t="shared" si="204"/>
        <v>0</v>
      </c>
      <c r="BN315" s="12">
        <f t="shared" si="205"/>
        <v>0</v>
      </c>
      <c r="BO315" s="12">
        <f t="shared" si="206"/>
        <v>0</v>
      </c>
      <c r="BP315" s="12">
        <f t="shared" si="207"/>
        <v>0</v>
      </c>
      <c r="BQ315" s="12">
        <f t="shared" si="208"/>
        <v>0</v>
      </c>
      <c r="BR315" s="12">
        <f t="shared" si="210"/>
        <v>0</v>
      </c>
      <c r="BS315" s="12">
        <f t="shared" si="211"/>
        <v>0</v>
      </c>
      <c r="BU315" s="11">
        <f t="shared" si="212"/>
        <v>0</v>
      </c>
      <c r="BV315" s="11">
        <f t="shared" si="213"/>
        <v>0</v>
      </c>
      <c r="BW315" s="11">
        <f t="shared" si="214"/>
        <v>0</v>
      </c>
      <c r="BX315" s="11">
        <f t="shared" si="215"/>
        <v>0</v>
      </c>
      <c r="BY315" s="11">
        <f t="shared" si="216"/>
        <v>0</v>
      </c>
      <c r="BZ315" s="11">
        <f t="shared" si="217"/>
        <v>0</v>
      </c>
      <c r="CA315" s="11">
        <f t="shared" si="218"/>
        <v>0</v>
      </c>
      <c r="CB315" s="11">
        <f t="shared" si="219"/>
        <v>0</v>
      </c>
      <c r="CC315" s="11">
        <f t="shared" si="220"/>
        <v>0</v>
      </c>
      <c r="CD315" s="11">
        <f t="shared" si="221"/>
        <v>0</v>
      </c>
      <c r="CE315" s="11">
        <f t="shared" si="222"/>
        <v>0</v>
      </c>
      <c r="CF315" s="11">
        <f t="shared" si="223"/>
        <v>0</v>
      </c>
      <c r="CG315" s="11"/>
      <c r="CH315" s="41">
        <v>1</v>
      </c>
      <c r="CJ315" s="54">
        <f t="shared" si="224"/>
        <v>0</v>
      </c>
      <c r="CK315" s="54">
        <f t="shared" si="225"/>
        <v>0</v>
      </c>
      <c r="CL315" s="54">
        <f t="shared" si="226"/>
        <v>0</v>
      </c>
      <c r="CM315" s="54">
        <f t="shared" si="227"/>
        <v>0</v>
      </c>
      <c r="CN315" s="54">
        <f t="shared" si="228"/>
        <v>0</v>
      </c>
      <c r="CO315" s="54">
        <f t="shared" si="229"/>
        <v>0</v>
      </c>
      <c r="CP315" s="54">
        <f t="shared" si="230"/>
        <v>0</v>
      </c>
      <c r="CQ315" s="54">
        <f t="shared" si="231"/>
        <v>0</v>
      </c>
      <c r="CR315" s="54">
        <f t="shared" si="232"/>
        <v>0</v>
      </c>
      <c r="CS315" s="54">
        <f t="shared" si="233"/>
        <v>0</v>
      </c>
      <c r="CT315" s="54">
        <f t="shared" si="234"/>
        <v>0</v>
      </c>
      <c r="CU315" s="54">
        <f t="shared" si="235"/>
        <v>0</v>
      </c>
      <c r="CV315" s="52">
        <f t="shared" si="236"/>
        <v>0</v>
      </c>
    </row>
    <row r="316" spans="1:100" ht="15.75" x14ac:dyDescent="0.25">
      <c r="A316" s="17"/>
      <c r="B316" s="17"/>
      <c r="C316" s="17"/>
      <c r="D316" s="17"/>
      <c r="E316" s="17"/>
      <c r="F316" s="31" t="s">
        <v>2949</v>
      </c>
      <c r="G316" s="77"/>
      <c r="H316" s="77"/>
      <c r="I316" s="77"/>
      <c r="J316" s="77"/>
      <c r="K316" s="77"/>
      <c r="L316" s="77"/>
      <c r="M316" s="77"/>
      <c r="N316" s="77"/>
      <c r="O316" s="77"/>
      <c r="P316" s="77"/>
      <c r="Q316" s="77"/>
      <c r="R316" s="77"/>
      <c r="S316" s="11">
        <f>SUM(G316:R316)</f>
        <v>0</v>
      </c>
      <c r="T316" s="9"/>
      <c r="V316" s="46">
        <f t="shared" si="209"/>
        <v>0</v>
      </c>
      <c r="W316" s="36">
        <v>11.423999999999999</v>
      </c>
      <c r="X316" s="36">
        <v>11.423999999999999</v>
      </c>
      <c r="Y316" s="36">
        <v>11.423999999999999</v>
      </c>
      <c r="Z316" s="36">
        <v>11.423999999999999</v>
      </c>
      <c r="AA316" s="36">
        <v>11.423999999999999</v>
      </c>
      <c r="AB316" s="36">
        <v>11.423999999999999</v>
      </c>
      <c r="AC316" s="36">
        <v>11.423999999999999</v>
      </c>
      <c r="AD316" s="36">
        <v>11.423999999999999</v>
      </c>
      <c r="AE316" s="36">
        <v>11.423999999999999</v>
      </c>
      <c r="AF316" s="36">
        <v>11.423999999999999</v>
      </c>
      <c r="AG316" s="36">
        <v>11.423999999999999</v>
      </c>
      <c r="AH316" s="36">
        <v>11.423999999999999</v>
      </c>
      <c r="AI316" s="39">
        <v>0.22999999999999998</v>
      </c>
      <c r="AJ316" s="39">
        <v>0.22999999999999998</v>
      </c>
      <c r="AK316" s="39">
        <v>0.22999999999999998</v>
      </c>
      <c r="AL316" s="39">
        <v>0.22999999999999998</v>
      </c>
      <c r="AM316" s="39">
        <v>0.22999999999999998</v>
      </c>
      <c r="AN316" s="39">
        <v>0.22999999999999998</v>
      </c>
      <c r="AO316" s="39">
        <v>0.22999999999999998</v>
      </c>
      <c r="AP316" s="39">
        <v>0.22999999999999998</v>
      </c>
      <c r="AQ316" s="39">
        <v>0.22999999999999998</v>
      </c>
      <c r="AR316" s="39">
        <v>0.22999999999999998</v>
      </c>
      <c r="AS316" s="39">
        <v>0.22999999999999998</v>
      </c>
      <c r="AT316" s="39">
        <v>0.22999999999999998</v>
      </c>
      <c r="AU316" s="39">
        <v>0</v>
      </c>
      <c r="AV316" s="39">
        <v>0</v>
      </c>
      <c r="AW316" s="39">
        <v>0</v>
      </c>
      <c r="AX316" s="39">
        <v>0</v>
      </c>
      <c r="AY316" s="39">
        <v>0</v>
      </c>
      <c r="AZ316" s="39">
        <v>0</v>
      </c>
      <c r="BA316" s="39">
        <v>0</v>
      </c>
      <c r="BB316" s="39">
        <v>0</v>
      </c>
      <c r="BC316" s="39">
        <v>0</v>
      </c>
      <c r="BD316" s="39">
        <v>0</v>
      </c>
      <c r="BE316" s="39">
        <v>0</v>
      </c>
      <c r="BF316" s="39">
        <v>0</v>
      </c>
      <c r="BH316" s="12">
        <f t="shared" si="199"/>
        <v>0</v>
      </c>
      <c r="BI316" s="12">
        <f t="shared" si="200"/>
        <v>0</v>
      </c>
      <c r="BJ316" s="12">
        <f t="shared" si="201"/>
        <v>0</v>
      </c>
      <c r="BK316" s="12">
        <f t="shared" si="202"/>
        <v>0</v>
      </c>
      <c r="BL316" s="12">
        <f t="shared" si="203"/>
        <v>0</v>
      </c>
      <c r="BM316" s="12">
        <f t="shared" si="204"/>
        <v>0</v>
      </c>
      <c r="BN316" s="12">
        <f t="shared" si="205"/>
        <v>0</v>
      </c>
      <c r="BO316" s="12">
        <f t="shared" si="206"/>
        <v>0</v>
      </c>
      <c r="BP316" s="12">
        <f t="shared" si="207"/>
        <v>0</v>
      </c>
      <c r="BQ316" s="12">
        <f t="shared" si="208"/>
        <v>0</v>
      </c>
      <c r="BR316" s="12">
        <f t="shared" si="210"/>
        <v>0</v>
      </c>
      <c r="BS316" s="12">
        <f t="shared" si="211"/>
        <v>0</v>
      </c>
      <c r="BU316" s="11">
        <f t="shared" si="212"/>
        <v>0</v>
      </c>
      <c r="BV316" s="11">
        <f t="shared" si="213"/>
        <v>0</v>
      </c>
      <c r="BW316" s="11">
        <f t="shared" si="214"/>
        <v>0</v>
      </c>
      <c r="BX316" s="11">
        <f t="shared" si="215"/>
        <v>0</v>
      </c>
      <c r="BY316" s="11">
        <f t="shared" si="216"/>
        <v>0</v>
      </c>
      <c r="BZ316" s="11">
        <f t="shared" si="217"/>
        <v>0</v>
      </c>
      <c r="CA316" s="11">
        <f t="shared" si="218"/>
        <v>0</v>
      </c>
      <c r="CB316" s="11">
        <f t="shared" si="219"/>
        <v>0</v>
      </c>
      <c r="CC316" s="11">
        <f t="shared" si="220"/>
        <v>0</v>
      </c>
      <c r="CD316" s="11">
        <f t="shared" si="221"/>
        <v>0</v>
      </c>
      <c r="CE316" s="11">
        <f t="shared" si="222"/>
        <v>0</v>
      </c>
      <c r="CF316" s="11">
        <f t="shared" si="223"/>
        <v>0</v>
      </c>
      <c r="CG316" s="11"/>
      <c r="CH316" s="41">
        <v>1</v>
      </c>
      <c r="CJ316" s="54">
        <f t="shared" si="224"/>
        <v>0</v>
      </c>
      <c r="CK316" s="54">
        <f t="shared" si="225"/>
        <v>0</v>
      </c>
      <c r="CL316" s="54">
        <f t="shared" si="226"/>
        <v>0</v>
      </c>
      <c r="CM316" s="54">
        <f t="shared" si="227"/>
        <v>0</v>
      </c>
      <c r="CN316" s="54">
        <f t="shared" si="228"/>
        <v>0</v>
      </c>
      <c r="CO316" s="54">
        <f t="shared" si="229"/>
        <v>0</v>
      </c>
      <c r="CP316" s="54">
        <f t="shared" si="230"/>
        <v>0</v>
      </c>
      <c r="CQ316" s="54">
        <f t="shared" si="231"/>
        <v>0</v>
      </c>
      <c r="CR316" s="54">
        <f t="shared" si="232"/>
        <v>0</v>
      </c>
      <c r="CS316" s="54">
        <f t="shared" si="233"/>
        <v>0</v>
      </c>
      <c r="CT316" s="54">
        <f t="shared" si="234"/>
        <v>0</v>
      </c>
      <c r="CU316" s="54">
        <f t="shared" si="235"/>
        <v>0</v>
      </c>
      <c r="CV316" s="52">
        <f t="shared" si="236"/>
        <v>0</v>
      </c>
    </row>
    <row r="317" spans="1:100" ht="15.75" x14ac:dyDescent="0.25">
      <c r="A317" s="17"/>
      <c r="B317" s="17"/>
      <c r="C317" s="17"/>
      <c r="D317" s="17"/>
      <c r="E317" s="17"/>
      <c r="F317" s="32" t="s">
        <v>2950</v>
      </c>
      <c r="G317" s="77"/>
      <c r="H317" s="77"/>
      <c r="I317" s="77"/>
      <c r="J317" s="77"/>
      <c r="K317" s="77"/>
      <c r="L317" s="77"/>
      <c r="M317" s="77"/>
      <c r="N317" s="77"/>
      <c r="O317" s="77"/>
      <c r="P317" s="77"/>
      <c r="Q317" s="77"/>
      <c r="R317" s="77"/>
      <c r="S317" s="11">
        <f t="shared" si="237"/>
        <v>0</v>
      </c>
      <c r="T317" s="9"/>
      <c r="V317" s="46">
        <f t="shared" si="209"/>
        <v>0</v>
      </c>
      <c r="W317" s="36">
        <v>3.766</v>
      </c>
      <c r="X317" s="36">
        <v>3.766</v>
      </c>
      <c r="Y317" s="36">
        <v>3.766</v>
      </c>
      <c r="Z317" s="36">
        <v>3.766</v>
      </c>
      <c r="AA317" s="36">
        <v>3.766</v>
      </c>
      <c r="AB317" s="36">
        <v>3.766</v>
      </c>
      <c r="AC317" s="36">
        <v>3.766</v>
      </c>
      <c r="AD317" s="36">
        <v>3.766</v>
      </c>
      <c r="AE317" s="36">
        <v>3.766</v>
      </c>
      <c r="AF317" s="36">
        <v>3.766</v>
      </c>
      <c r="AG317" s="36">
        <v>3.766</v>
      </c>
      <c r="AH317" s="36">
        <v>3.766</v>
      </c>
      <c r="AI317" s="39">
        <v>1.33634708931066E-2</v>
      </c>
      <c r="AJ317" s="39">
        <v>1.33634708931066E-2</v>
      </c>
      <c r="AK317" s="39">
        <v>1.33634708931066E-2</v>
      </c>
      <c r="AL317" s="39">
        <v>1.33634708931066E-2</v>
      </c>
      <c r="AM317" s="39">
        <v>1.33634708931066E-2</v>
      </c>
      <c r="AN317" s="39">
        <v>1.33634708931066E-2</v>
      </c>
      <c r="AO317" s="39">
        <v>1.33634708931066E-2</v>
      </c>
      <c r="AP317" s="39">
        <v>1.33634708931066E-2</v>
      </c>
      <c r="AQ317" s="39">
        <v>1.33634708931066E-2</v>
      </c>
      <c r="AR317" s="39">
        <v>1.33634708931066E-2</v>
      </c>
      <c r="AS317" s="39">
        <v>1.33634708931066E-2</v>
      </c>
      <c r="AT317" s="39">
        <v>1.33634708931066E-2</v>
      </c>
      <c r="AU317" s="39">
        <v>1.2392217523121999E-3</v>
      </c>
      <c r="AV317" s="39">
        <v>1.2392217523121999E-3</v>
      </c>
      <c r="AW317" s="39">
        <v>1.2392217523121999E-3</v>
      </c>
      <c r="AX317" s="39">
        <v>1.2392217523121999E-3</v>
      </c>
      <c r="AY317" s="39">
        <v>1.2392217523121999E-3</v>
      </c>
      <c r="AZ317" s="39">
        <v>1.2392217523121999E-3</v>
      </c>
      <c r="BA317" s="39">
        <v>1.2392217523121999E-3</v>
      </c>
      <c r="BB317" s="39">
        <v>1.2392217523121999E-3</v>
      </c>
      <c r="BC317" s="39">
        <v>1.2392217523121999E-3</v>
      </c>
      <c r="BD317" s="39">
        <v>1.2392217523121999E-3</v>
      </c>
      <c r="BE317" s="39">
        <v>1.2392217523121999E-3</v>
      </c>
      <c r="BF317" s="39">
        <v>1.2392217523121999E-3</v>
      </c>
      <c r="BH317" s="12">
        <f t="shared" si="199"/>
        <v>0</v>
      </c>
      <c r="BI317" s="12">
        <f t="shared" si="200"/>
        <v>0</v>
      </c>
      <c r="BJ317" s="12">
        <f t="shared" si="201"/>
        <v>0</v>
      </c>
      <c r="BK317" s="12">
        <f t="shared" si="202"/>
        <v>0</v>
      </c>
      <c r="BL317" s="12">
        <f t="shared" si="203"/>
        <v>0</v>
      </c>
      <c r="BM317" s="12">
        <f t="shared" si="204"/>
        <v>0</v>
      </c>
      <c r="BN317" s="12">
        <f t="shared" si="205"/>
        <v>0</v>
      </c>
      <c r="BO317" s="12">
        <f t="shared" si="206"/>
        <v>0</v>
      </c>
      <c r="BP317" s="12">
        <f t="shared" si="207"/>
        <v>0</v>
      </c>
      <c r="BQ317" s="12">
        <f t="shared" si="208"/>
        <v>0</v>
      </c>
      <c r="BR317" s="12">
        <f t="shared" si="210"/>
        <v>0</v>
      </c>
      <c r="BS317" s="12">
        <f t="shared" si="211"/>
        <v>0</v>
      </c>
      <c r="BU317" s="11">
        <f t="shared" si="212"/>
        <v>0</v>
      </c>
      <c r="BV317" s="11">
        <f t="shared" si="213"/>
        <v>0</v>
      </c>
      <c r="BW317" s="11">
        <f t="shared" si="214"/>
        <v>0</v>
      </c>
      <c r="BX317" s="11">
        <f t="shared" si="215"/>
        <v>0</v>
      </c>
      <c r="BY317" s="11">
        <f t="shared" si="216"/>
        <v>0</v>
      </c>
      <c r="BZ317" s="11">
        <f t="shared" si="217"/>
        <v>0</v>
      </c>
      <c r="CA317" s="11">
        <f t="shared" si="218"/>
        <v>0</v>
      </c>
      <c r="CB317" s="11">
        <f t="shared" si="219"/>
        <v>0</v>
      </c>
      <c r="CC317" s="11">
        <f t="shared" si="220"/>
        <v>0</v>
      </c>
      <c r="CD317" s="11">
        <f t="shared" si="221"/>
        <v>0</v>
      </c>
      <c r="CE317" s="11">
        <f t="shared" si="222"/>
        <v>0</v>
      </c>
      <c r="CF317" s="11">
        <f t="shared" si="223"/>
        <v>0</v>
      </c>
      <c r="CG317" s="11"/>
      <c r="CH317" s="41">
        <v>3.23</v>
      </c>
      <c r="CJ317" s="54">
        <f t="shared" si="224"/>
        <v>0</v>
      </c>
      <c r="CK317" s="54">
        <f t="shared" si="225"/>
        <v>0</v>
      </c>
      <c r="CL317" s="54">
        <f t="shared" si="226"/>
        <v>0</v>
      </c>
      <c r="CM317" s="54">
        <f t="shared" si="227"/>
        <v>0</v>
      </c>
      <c r="CN317" s="54">
        <f t="shared" si="228"/>
        <v>0</v>
      </c>
      <c r="CO317" s="54">
        <f t="shared" si="229"/>
        <v>0</v>
      </c>
      <c r="CP317" s="54">
        <f t="shared" si="230"/>
        <v>0</v>
      </c>
      <c r="CQ317" s="54">
        <f t="shared" si="231"/>
        <v>0</v>
      </c>
      <c r="CR317" s="54">
        <f t="shared" si="232"/>
        <v>0</v>
      </c>
      <c r="CS317" s="54">
        <f t="shared" si="233"/>
        <v>0</v>
      </c>
      <c r="CT317" s="54">
        <f t="shared" si="234"/>
        <v>0</v>
      </c>
      <c r="CU317" s="54">
        <f t="shared" si="235"/>
        <v>0</v>
      </c>
      <c r="CV317" s="52">
        <f t="shared" si="236"/>
        <v>0</v>
      </c>
    </row>
    <row r="318" spans="1:100" ht="15.75" x14ac:dyDescent="0.25">
      <c r="A318" s="17"/>
      <c r="B318" s="17"/>
      <c r="C318" s="17"/>
      <c r="D318" s="17"/>
      <c r="E318" s="17"/>
      <c r="F318" s="32" t="s">
        <v>2950</v>
      </c>
      <c r="G318" s="77"/>
      <c r="H318" s="77"/>
      <c r="I318" s="77"/>
      <c r="J318" s="77"/>
      <c r="K318" s="77"/>
      <c r="L318" s="77"/>
      <c r="M318" s="77"/>
      <c r="N318" s="77"/>
      <c r="O318" s="77"/>
      <c r="P318" s="77"/>
      <c r="Q318" s="77"/>
      <c r="R318" s="77"/>
      <c r="S318" s="11">
        <f t="shared" si="237"/>
        <v>0</v>
      </c>
      <c r="T318" s="5"/>
      <c r="V318" s="46">
        <f t="shared" si="209"/>
        <v>0</v>
      </c>
      <c r="W318" s="36">
        <v>0.94</v>
      </c>
      <c r="X318" s="36">
        <v>0.94</v>
      </c>
      <c r="Y318" s="36">
        <v>0.94</v>
      </c>
      <c r="Z318" s="36">
        <v>0.94</v>
      </c>
      <c r="AA318" s="36">
        <v>0.94</v>
      </c>
      <c r="AB318" s="36">
        <v>0.94</v>
      </c>
      <c r="AC318" s="36">
        <v>0.94</v>
      </c>
      <c r="AD318" s="36">
        <v>0.94</v>
      </c>
      <c r="AE318" s="36">
        <v>0.94</v>
      </c>
      <c r="AF318" s="36">
        <v>0.94</v>
      </c>
      <c r="AG318" s="36">
        <v>0.94</v>
      </c>
      <c r="AH318" s="36">
        <v>0.94</v>
      </c>
      <c r="AI318" s="39">
        <v>1.33634708931066E-2</v>
      </c>
      <c r="AJ318" s="39">
        <v>1.33634708931066E-2</v>
      </c>
      <c r="AK318" s="39">
        <v>1.33634708931066E-2</v>
      </c>
      <c r="AL318" s="39">
        <v>1.33634708931066E-2</v>
      </c>
      <c r="AM318" s="39">
        <v>1.33634708931066E-2</v>
      </c>
      <c r="AN318" s="39">
        <v>1.33634708931066E-2</v>
      </c>
      <c r="AO318" s="39">
        <v>1.33634708931066E-2</v>
      </c>
      <c r="AP318" s="39">
        <v>1.33634708931066E-2</v>
      </c>
      <c r="AQ318" s="39">
        <v>1.33634708931066E-2</v>
      </c>
      <c r="AR318" s="39">
        <v>1.33634708931066E-2</v>
      </c>
      <c r="AS318" s="39">
        <v>1.33634708931066E-2</v>
      </c>
      <c r="AT318" s="39">
        <v>1.33634708931066E-2</v>
      </c>
      <c r="AU318" s="39">
        <v>1.2392217523121999E-3</v>
      </c>
      <c r="AV318" s="39">
        <v>1.2392217523121999E-3</v>
      </c>
      <c r="AW318" s="39">
        <v>1.2392217523121999E-3</v>
      </c>
      <c r="AX318" s="39">
        <v>1.2392217523121999E-3</v>
      </c>
      <c r="AY318" s="39">
        <v>1.2392217523121999E-3</v>
      </c>
      <c r="AZ318" s="39">
        <v>1.2392217523121999E-3</v>
      </c>
      <c r="BA318" s="39">
        <v>1.2392217523121999E-3</v>
      </c>
      <c r="BB318" s="39">
        <v>1.2392217523121999E-3</v>
      </c>
      <c r="BC318" s="39">
        <v>1.2392217523121999E-3</v>
      </c>
      <c r="BD318" s="39">
        <v>1.2392217523121999E-3</v>
      </c>
      <c r="BE318" s="39">
        <v>1.2392217523121999E-3</v>
      </c>
      <c r="BF318" s="39">
        <v>1.2392217523121999E-3</v>
      </c>
      <c r="BH318" s="12">
        <f t="shared" si="199"/>
        <v>0</v>
      </c>
      <c r="BI318" s="12">
        <f t="shared" si="200"/>
        <v>0</v>
      </c>
      <c r="BJ318" s="12">
        <f t="shared" si="201"/>
        <v>0</v>
      </c>
      <c r="BK318" s="12">
        <f t="shared" si="202"/>
        <v>0</v>
      </c>
      <c r="BL318" s="12">
        <f t="shared" si="203"/>
        <v>0</v>
      </c>
      <c r="BM318" s="12">
        <f t="shared" si="204"/>
        <v>0</v>
      </c>
      <c r="BN318" s="12">
        <f t="shared" si="205"/>
        <v>0</v>
      </c>
      <c r="BO318" s="12">
        <f t="shared" si="206"/>
        <v>0</v>
      </c>
      <c r="BP318" s="12">
        <f t="shared" si="207"/>
        <v>0</v>
      </c>
      <c r="BQ318" s="12">
        <f t="shared" si="208"/>
        <v>0</v>
      </c>
      <c r="BR318" s="12">
        <f t="shared" si="210"/>
        <v>0</v>
      </c>
      <c r="BS318" s="12">
        <f t="shared" si="211"/>
        <v>0</v>
      </c>
      <c r="BU318" s="11">
        <f t="shared" si="212"/>
        <v>0</v>
      </c>
      <c r="BV318" s="11">
        <f t="shared" si="213"/>
        <v>0</v>
      </c>
      <c r="BW318" s="11">
        <f t="shared" si="214"/>
        <v>0</v>
      </c>
      <c r="BX318" s="11">
        <f t="shared" si="215"/>
        <v>0</v>
      </c>
      <c r="BY318" s="11">
        <f t="shared" si="216"/>
        <v>0</v>
      </c>
      <c r="BZ318" s="11">
        <f t="shared" si="217"/>
        <v>0</v>
      </c>
      <c r="CA318" s="11">
        <f t="shared" si="218"/>
        <v>0</v>
      </c>
      <c r="CB318" s="11">
        <f t="shared" si="219"/>
        <v>0</v>
      </c>
      <c r="CC318" s="11">
        <f t="shared" si="220"/>
        <v>0</v>
      </c>
      <c r="CD318" s="11">
        <f t="shared" si="221"/>
        <v>0</v>
      </c>
      <c r="CE318" s="11">
        <f t="shared" si="222"/>
        <v>0</v>
      </c>
      <c r="CF318" s="11">
        <f t="shared" si="223"/>
        <v>0</v>
      </c>
      <c r="CG318" s="11"/>
      <c r="CH318" s="41">
        <v>3.23</v>
      </c>
      <c r="CJ318" s="54">
        <f t="shared" si="224"/>
        <v>0</v>
      </c>
      <c r="CK318" s="54">
        <f t="shared" si="225"/>
        <v>0</v>
      </c>
      <c r="CL318" s="54">
        <f t="shared" si="226"/>
        <v>0</v>
      </c>
      <c r="CM318" s="54">
        <f t="shared" si="227"/>
        <v>0</v>
      </c>
      <c r="CN318" s="54">
        <f t="shared" si="228"/>
        <v>0</v>
      </c>
      <c r="CO318" s="54">
        <f t="shared" si="229"/>
        <v>0</v>
      </c>
      <c r="CP318" s="54">
        <f t="shared" si="230"/>
        <v>0</v>
      </c>
      <c r="CQ318" s="54">
        <f t="shared" si="231"/>
        <v>0</v>
      </c>
      <c r="CR318" s="54">
        <f t="shared" si="232"/>
        <v>0</v>
      </c>
      <c r="CS318" s="54">
        <f t="shared" si="233"/>
        <v>0</v>
      </c>
      <c r="CT318" s="54">
        <f t="shared" si="234"/>
        <v>0</v>
      </c>
      <c r="CU318" s="54">
        <f t="shared" si="235"/>
        <v>0</v>
      </c>
      <c r="CV318" s="52">
        <f t="shared" si="236"/>
        <v>0</v>
      </c>
    </row>
    <row r="319" spans="1:100" ht="15.75" x14ac:dyDescent="0.25">
      <c r="A319" s="17"/>
      <c r="B319" s="17"/>
      <c r="C319" s="17"/>
      <c r="D319" s="17"/>
      <c r="E319" s="17"/>
      <c r="F319" s="32" t="s">
        <v>2950</v>
      </c>
      <c r="G319" s="77"/>
      <c r="H319" s="77"/>
      <c r="I319" s="77"/>
      <c r="J319" s="77"/>
      <c r="K319" s="77"/>
      <c r="L319" s="77"/>
      <c r="M319" s="77"/>
      <c r="N319" s="77"/>
      <c r="O319" s="77"/>
      <c r="P319" s="77"/>
      <c r="Q319" s="77"/>
      <c r="R319" s="77"/>
      <c r="S319" s="11">
        <f t="shared" si="237"/>
        <v>0</v>
      </c>
      <c r="T319" s="5"/>
      <c r="V319" s="46">
        <f t="shared" si="209"/>
        <v>0</v>
      </c>
      <c r="W319" s="36">
        <v>1.75</v>
      </c>
      <c r="X319" s="36">
        <v>1.75</v>
      </c>
      <c r="Y319" s="36">
        <v>1.75</v>
      </c>
      <c r="Z319" s="36">
        <v>1.75</v>
      </c>
      <c r="AA319" s="36">
        <v>1.75</v>
      </c>
      <c r="AB319" s="36">
        <v>1.75</v>
      </c>
      <c r="AC319" s="36">
        <v>1.75</v>
      </c>
      <c r="AD319" s="36">
        <v>1.75</v>
      </c>
      <c r="AE319" s="36">
        <v>1.75</v>
      </c>
      <c r="AF319" s="36">
        <v>1.75</v>
      </c>
      <c r="AG319" s="36">
        <v>1.75</v>
      </c>
      <c r="AH319" s="36">
        <v>1.75</v>
      </c>
      <c r="AI319" s="39">
        <v>1.33634708931066E-2</v>
      </c>
      <c r="AJ319" s="39">
        <v>1.33634708931066E-2</v>
      </c>
      <c r="AK319" s="39">
        <v>1.33634708931066E-2</v>
      </c>
      <c r="AL319" s="39">
        <v>1.33634708931066E-2</v>
      </c>
      <c r="AM319" s="39">
        <v>1.33634708931066E-2</v>
      </c>
      <c r="AN319" s="39">
        <v>1.33634708931066E-2</v>
      </c>
      <c r="AO319" s="39">
        <v>1.33634708931066E-2</v>
      </c>
      <c r="AP319" s="39">
        <v>1.33634708931066E-2</v>
      </c>
      <c r="AQ319" s="39">
        <v>1.33634708931066E-2</v>
      </c>
      <c r="AR319" s="39">
        <v>1.33634708931066E-2</v>
      </c>
      <c r="AS319" s="39">
        <v>1.33634708931066E-2</v>
      </c>
      <c r="AT319" s="39">
        <v>1.33634708931066E-2</v>
      </c>
      <c r="AU319" s="39">
        <v>1.2392217523121999E-3</v>
      </c>
      <c r="AV319" s="39">
        <v>1.2392217523121999E-3</v>
      </c>
      <c r="AW319" s="39">
        <v>1.2392217523121999E-3</v>
      </c>
      <c r="AX319" s="39">
        <v>1.2392217523121999E-3</v>
      </c>
      <c r="AY319" s="39">
        <v>1.2392217523121999E-3</v>
      </c>
      <c r="AZ319" s="39">
        <v>1.2392217523121999E-3</v>
      </c>
      <c r="BA319" s="39">
        <v>1.2392217523121999E-3</v>
      </c>
      <c r="BB319" s="39">
        <v>1.2392217523121999E-3</v>
      </c>
      <c r="BC319" s="39">
        <v>1.2392217523121999E-3</v>
      </c>
      <c r="BD319" s="39">
        <v>1.2392217523121999E-3</v>
      </c>
      <c r="BE319" s="39">
        <v>1.2392217523121999E-3</v>
      </c>
      <c r="BF319" s="39">
        <v>1.2392217523121999E-3</v>
      </c>
      <c r="BH319" s="12">
        <f t="shared" si="199"/>
        <v>0</v>
      </c>
      <c r="BI319" s="12">
        <f t="shared" si="200"/>
        <v>0</v>
      </c>
      <c r="BJ319" s="12">
        <f t="shared" si="201"/>
        <v>0</v>
      </c>
      <c r="BK319" s="12">
        <f t="shared" si="202"/>
        <v>0</v>
      </c>
      <c r="BL319" s="12">
        <f t="shared" si="203"/>
        <v>0</v>
      </c>
      <c r="BM319" s="12">
        <f t="shared" si="204"/>
        <v>0</v>
      </c>
      <c r="BN319" s="12">
        <f t="shared" si="205"/>
        <v>0</v>
      </c>
      <c r="BO319" s="12">
        <f t="shared" si="206"/>
        <v>0</v>
      </c>
      <c r="BP319" s="12">
        <f t="shared" si="207"/>
        <v>0</v>
      </c>
      <c r="BQ319" s="12">
        <f t="shared" si="208"/>
        <v>0</v>
      </c>
      <c r="BR319" s="12">
        <f t="shared" si="210"/>
        <v>0</v>
      </c>
      <c r="BS319" s="12">
        <f t="shared" si="211"/>
        <v>0</v>
      </c>
      <c r="BU319" s="11">
        <f t="shared" si="212"/>
        <v>0</v>
      </c>
      <c r="BV319" s="11">
        <f t="shared" si="213"/>
        <v>0</v>
      </c>
      <c r="BW319" s="11">
        <f t="shared" si="214"/>
        <v>0</v>
      </c>
      <c r="BX319" s="11">
        <f t="shared" si="215"/>
        <v>0</v>
      </c>
      <c r="BY319" s="11">
        <f t="shared" si="216"/>
        <v>0</v>
      </c>
      <c r="BZ319" s="11">
        <f t="shared" si="217"/>
        <v>0</v>
      </c>
      <c r="CA319" s="11">
        <f t="shared" si="218"/>
        <v>0</v>
      </c>
      <c r="CB319" s="11">
        <f t="shared" si="219"/>
        <v>0</v>
      </c>
      <c r="CC319" s="11">
        <f t="shared" si="220"/>
        <v>0</v>
      </c>
      <c r="CD319" s="11">
        <f t="shared" si="221"/>
        <v>0</v>
      </c>
      <c r="CE319" s="11">
        <f t="shared" si="222"/>
        <v>0</v>
      </c>
      <c r="CF319" s="11">
        <f t="shared" si="223"/>
        <v>0</v>
      </c>
      <c r="CG319" s="11"/>
      <c r="CH319" s="41">
        <v>3.23</v>
      </c>
      <c r="CJ319" s="54">
        <f t="shared" si="224"/>
        <v>0</v>
      </c>
      <c r="CK319" s="54">
        <f t="shared" si="225"/>
        <v>0</v>
      </c>
      <c r="CL319" s="54">
        <f t="shared" si="226"/>
        <v>0</v>
      </c>
      <c r="CM319" s="54">
        <f t="shared" si="227"/>
        <v>0</v>
      </c>
      <c r="CN319" s="54">
        <f t="shared" si="228"/>
        <v>0</v>
      </c>
      <c r="CO319" s="54">
        <f t="shared" si="229"/>
        <v>0</v>
      </c>
      <c r="CP319" s="54">
        <f t="shared" si="230"/>
        <v>0</v>
      </c>
      <c r="CQ319" s="54">
        <f t="shared" si="231"/>
        <v>0</v>
      </c>
      <c r="CR319" s="54">
        <f t="shared" si="232"/>
        <v>0</v>
      </c>
      <c r="CS319" s="54">
        <f t="shared" si="233"/>
        <v>0</v>
      </c>
      <c r="CT319" s="54">
        <f t="shared" si="234"/>
        <v>0</v>
      </c>
      <c r="CU319" s="54">
        <f t="shared" si="235"/>
        <v>0</v>
      </c>
      <c r="CV319" s="52">
        <f t="shared" si="236"/>
        <v>0</v>
      </c>
    </row>
    <row r="320" spans="1:100" ht="15.75" x14ac:dyDescent="0.25">
      <c r="A320" s="17"/>
      <c r="B320" s="17"/>
      <c r="C320" s="17"/>
      <c r="D320" s="17"/>
      <c r="E320" s="17"/>
      <c r="F320" s="32" t="s">
        <v>2950</v>
      </c>
      <c r="G320" s="77"/>
      <c r="H320" s="77"/>
      <c r="I320" s="77"/>
      <c r="J320" s="77"/>
      <c r="K320" s="77"/>
      <c r="L320" s="77"/>
      <c r="M320" s="77"/>
      <c r="N320" s="77"/>
      <c r="O320" s="77"/>
      <c r="P320" s="77"/>
      <c r="Q320" s="77"/>
      <c r="R320" s="77"/>
      <c r="S320" s="11">
        <f t="shared" si="237"/>
        <v>0</v>
      </c>
      <c r="T320" s="5"/>
      <c r="V320" s="46">
        <f t="shared" si="209"/>
        <v>0</v>
      </c>
      <c r="W320" s="36">
        <v>2.367</v>
      </c>
      <c r="X320" s="36">
        <v>2.367</v>
      </c>
      <c r="Y320" s="36">
        <v>2.367</v>
      </c>
      <c r="Z320" s="36">
        <v>2.367</v>
      </c>
      <c r="AA320" s="36">
        <v>2.367</v>
      </c>
      <c r="AB320" s="36">
        <v>2.367</v>
      </c>
      <c r="AC320" s="36">
        <v>2.367</v>
      </c>
      <c r="AD320" s="36">
        <v>2.367</v>
      </c>
      <c r="AE320" s="36">
        <v>2.367</v>
      </c>
      <c r="AF320" s="36">
        <v>2.367</v>
      </c>
      <c r="AG320" s="36">
        <v>2.367</v>
      </c>
      <c r="AH320" s="36">
        <v>2.367</v>
      </c>
      <c r="AI320" s="39">
        <v>1.33634708931066E-2</v>
      </c>
      <c r="AJ320" s="39">
        <v>1.33634708931066E-2</v>
      </c>
      <c r="AK320" s="39">
        <v>1.33634708931066E-2</v>
      </c>
      <c r="AL320" s="39">
        <v>1.33634708931066E-2</v>
      </c>
      <c r="AM320" s="39">
        <v>1.33634708931066E-2</v>
      </c>
      <c r="AN320" s="39">
        <v>1.33634708931066E-2</v>
      </c>
      <c r="AO320" s="39">
        <v>1.33634708931066E-2</v>
      </c>
      <c r="AP320" s="39">
        <v>1.33634708931066E-2</v>
      </c>
      <c r="AQ320" s="39">
        <v>1.33634708931066E-2</v>
      </c>
      <c r="AR320" s="39">
        <v>1.33634708931066E-2</v>
      </c>
      <c r="AS320" s="39">
        <v>1.33634708931066E-2</v>
      </c>
      <c r="AT320" s="39">
        <v>1.33634708931066E-2</v>
      </c>
      <c r="AU320" s="39">
        <v>1.2392217523121999E-3</v>
      </c>
      <c r="AV320" s="39">
        <v>1.2392217523121999E-3</v>
      </c>
      <c r="AW320" s="39">
        <v>1.2392217523121999E-3</v>
      </c>
      <c r="AX320" s="39">
        <v>1.2392217523121999E-3</v>
      </c>
      <c r="AY320" s="39">
        <v>1.2392217523121999E-3</v>
      </c>
      <c r="AZ320" s="39">
        <v>1.2392217523121999E-3</v>
      </c>
      <c r="BA320" s="39">
        <v>1.2392217523121999E-3</v>
      </c>
      <c r="BB320" s="39">
        <v>1.2392217523121999E-3</v>
      </c>
      <c r="BC320" s="39">
        <v>1.2392217523121999E-3</v>
      </c>
      <c r="BD320" s="39">
        <v>1.2392217523121999E-3</v>
      </c>
      <c r="BE320" s="39">
        <v>1.2392217523121999E-3</v>
      </c>
      <c r="BF320" s="39">
        <v>1.2392217523121999E-3</v>
      </c>
      <c r="BH320" s="12">
        <f t="shared" si="199"/>
        <v>0</v>
      </c>
      <c r="BI320" s="12">
        <f t="shared" si="200"/>
        <v>0</v>
      </c>
      <c r="BJ320" s="12">
        <f t="shared" si="201"/>
        <v>0</v>
      </c>
      <c r="BK320" s="12">
        <f t="shared" si="202"/>
        <v>0</v>
      </c>
      <c r="BL320" s="12">
        <f t="shared" si="203"/>
        <v>0</v>
      </c>
      <c r="BM320" s="12">
        <f t="shared" si="204"/>
        <v>0</v>
      </c>
      <c r="BN320" s="12">
        <f t="shared" si="205"/>
        <v>0</v>
      </c>
      <c r="BO320" s="12">
        <f t="shared" si="206"/>
        <v>0</v>
      </c>
      <c r="BP320" s="12">
        <f t="shared" si="207"/>
        <v>0</v>
      </c>
      <c r="BQ320" s="12">
        <f t="shared" si="208"/>
        <v>0</v>
      </c>
      <c r="BR320" s="12">
        <f t="shared" si="210"/>
        <v>0</v>
      </c>
      <c r="BS320" s="12">
        <f t="shared" si="211"/>
        <v>0</v>
      </c>
      <c r="BU320" s="11">
        <f t="shared" si="212"/>
        <v>0</v>
      </c>
      <c r="BV320" s="11">
        <f t="shared" si="213"/>
        <v>0</v>
      </c>
      <c r="BW320" s="11">
        <f t="shared" si="214"/>
        <v>0</v>
      </c>
      <c r="BX320" s="11">
        <f t="shared" si="215"/>
        <v>0</v>
      </c>
      <c r="BY320" s="11">
        <f t="shared" si="216"/>
        <v>0</v>
      </c>
      <c r="BZ320" s="11">
        <f t="shared" si="217"/>
        <v>0</v>
      </c>
      <c r="CA320" s="11">
        <f t="shared" si="218"/>
        <v>0</v>
      </c>
      <c r="CB320" s="11">
        <f t="shared" si="219"/>
        <v>0</v>
      </c>
      <c r="CC320" s="11">
        <f t="shared" si="220"/>
        <v>0</v>
      </c>
      <c r="CD320" s="11">
        <f t="shared" si="221"/>
        <v>0</v>
      </c>
      <c r="CE320" s="11">
        <f t="shared" si="222"/>
        <v>0</v>
      </c>
      <c r="CF320" s="11">
        <f t="shared" si="223"/>
        <v>0</v>
      </c>
      <c r="CG320" s="11"/>
      <c r="CH320" s="41">
        <v>3.23</v>
      </c>
      <c r="CJ320" s="54">
        <f t="shared" si="224"/>
        <v>0</v>
      </c>
      <c r="CK320" s="54">
        <f t="shared" si="225"/>
        <v>0</v>
      </c>
      <c r="CL320" s="54">
        <f t="shared" si="226"/>
        <v>0</v>
      </c>
      <c r="CM320" s="54">
        <f t="shared" si="227"/>
        <v>0</v>
      </c>
      <c r="CN320" s="54">
        <f t="shared" si="228"/>
        <v>0</v>
      </c>
      <c r="CO320" s="54">
        <f t="shared" si="229"/>
        <v>0</v>
      </c>
      <c r="CP320" s="54">
        <f t="shared" si="230"/>
        <v>0</v>
      </c>
      <c r="CQ320" s="54">
        <f t="shared" si="231"/>
        <v>0</v>
      </c>
      <c r="CR320" s="54">
        <f t="shared" si="232"/>
        <v>0</v>
      </c>
      <c r="CS320" s="54">
        <f t="shared" si="233"/>
        <v>0</v>
      </c>
      <c r="CT320" s="54">
        <f t="shared" si="234"/>
        <v>0</v>
      </c>
      <c r="CU320" s="54">
        <f t="shared" si="235"/>
        <v>0</v>
      </c>
      <c r="CV320" s="52">
        <f t="shared" si="236"/>
        <v>0</v>
      </c>
    </row>
    <row r="321" spans="1:100" ht="15.75" x14ac:dyDescent="0.25">
      <c r="A321" s="17"/>
      <c r="B321" s="17"/>
      <c r="C321" s="17"/>
      <c r="D321" s="17"/>
      <c r="E321" s="17"/>
      <c r="F321" s="32" t="s">
        <v>2950</v>
      </c>
      <c r="G321" s="77"/>
      <c r="H321" s="77"/>
      <c r="I321" s="77"/>
      <c r="J321" s="77"/>
      <c r="K321" s="77"/>
      <c r="L321" s="77"/>
      <c r="M321" s="77"/>
      <c r="N321" s="77"/>
      <c r="O321" s="77"/>
      <c r="P321" s="77"/>
      <c r="Q321" s="77"/>
      <c r="R321" s="77"/>
      <c r="S321" s="11">
        <f t="shared" si="237"/>
        <v>0</v>
      </c>
      <c r="T321" s="5"/>
      <c r="V321" s="46">
        <f t="shared" si="209"/>
        <v>0</v>
      </c>
      <c r="W321" s="36">
        <v>1.9370000000000001</v>
      </c>
      <c r="X321" s="36">
        <v>1.9370000000000001</v>
      </c>
      <c r="Y321" s="36">
        <v>1.9370000000000001</v>
      </c>
      <c r="Z321" s="36">
        <v>1.9370000000000001</v>
      </c>
      <c r="AA321" s="36">
        <v>1.9370000000000001</v>
      </c>
      <c r="AB321" s="36">
        <v>1.9370000000000001</v>
      </c>
      <c r="AC321" s="36">
        <v>1.9370000000000001</v>
      </c>
      <c r="AD321" s="36">
        <v>1.9370000000000001</v>
      </c>
      <c r="AE321" s="36">
        <v>1.9370000000000001</v>
      </c>
      <c r="AF321" s="36">
        <v>1.9370000000000001</v>
      </c>
      <c r="AG321" s="36">
        <v>1.9370000000000001</v>
      </c>
      <c r="AH321" s="36">
        <v>1.9370000000000001</v>
      </c>
      <c r="AI321" s="39">
        <v>1.33634708931066E-2</v>
      </c>
      <c r="AJ321" s="39">
        <v>1.33634708931066E-2</v>
      </c>
      <c r="AK321" s="39">
        <v>1.33634708931066E-2</v>
      </c>
      <c r="AL321" s="39">
        <v>1.33634708931066E-2</v>
      </c>
      <c r="AM321" s="39">
        <v>1.33634708931066E-2</v>
      </c>
      <c r="AN321" s="39">
        <v>1.33634708931066E-2</v>
      </c>
      <c r="AO321" s="39">
        <v>1.33634708931066E-2</v>
      </c>
      <c r="AP321" s="39">
        <v>1.33634708931066E-2</v>
      </c>
      <c r="AQ321" s="39">
        <v>1.33634708931066E-2</v>
      </c>
      <c r="AR321" s="39">
        <v>1.33634708931066E-2</v>
      </c>
      <c r="AS321" s="39">
        <v>1.33634708931066E-2</v>
      </c>
      <c r="AT321" s="39">
        <v>1.33634708931066E-2</v>
      </c>
      <c r="AU321" s="39">
        <v>1.2392217523121999E-3</v>
      </c>
      <c r="AV321" s="39">
        <v>1.2392217523121999E-3</v>
      </c>
      <c r="AW321" s="39">
        <v>1.2392217523121999E-3</v>
      </c>
      <c r="AX321" s="39">
        <v>1.2392217523121999E-3</v>
      </c>
      <c r="AY321" s="39">
        <v>1.2392217523121999E-3</v>
      </c>
      <c r="AZ321" s="39">
        <v>1.2392217523121999E-3</v>
      </c>
      <c r="BA321" s="39">
        <v>1.2392217523121999E-3</v>
      </c>
      <c r="BB321" s="39">
        <v>1.2392217523121999E-3</v>
      </c>
      <c r="BC321" s="39">
        <v>1.2392217523121999E-3</v>
      </c>
      <c r="BD321" s="39">
        <v>1.2392217523121999E-3</v>
      </c>
      <c r="BE321" s="39">
        <v>1.2392217523121999E-3</v>
      </c>
      <c r="BF321" s="39">
        <v>1.2392217523121999E-3</v>
      </c>
      <c r="BH321" s="12">
        <f t="shared" si="199"/>
        <v>0</v>
      </c>
      <c r="BI321" s="12">
        <f t="shared" si="200"/>
        <v>0</v>
      </c>
      <c r="BJ321" s="12">
        <f t="shared" si="201"/>
        <v>0</v>
      </c>
      <c r="BK321" s="12">
        <f t="shared" si="202"/>
        <v>0</v>
      </c>
      <c r="BL321" s="12">
        <f t="shared" si="203"/>
        <v>0</v>
      </c>
      <c r="BM321" s="12">
        <f t="shared" si="204"/>
        <v>0</v>
      </c>
      <c r="BN321" s="12">
        <f t="shared" si="205"/>
        <v>0</v>
      </c>
      <c r="BO321" s="12">
        <f t="shared" si="206"/>
        <v>0</v>
      </c>
      <c r="BP321" s="12">
        <f t="shared" si="207"/>
        <v>0</v>
      </c>
      <c r="BQ321" s="12">
        <f t="shared" si="208"/>
        <v>0</v>
      </c>
      <c r="BR321" s="12">
        <f t="shared" si="210"/>
        <v>0</v>
      </c>
      <c r="BS321" s="12">
        <f t="shared" si="211"/>
        <v>0</v>
      </c>
      <c r="BU321" s="11">
        <f t="shared" si="212"/>
        <v>0</v>
      </c>
      <c r="BV321" s="11">
        <f t="shared" si="213"/>
        <v>0</v>
      </c>
      <c r="BW321" s="11">
        <f t="shared" si="214"/>
        <v>0</v>
      </c>
      <c r="BX321" s="11">
        <f t="shared" si="215"/>
        <v>0</v>
      </c>
      <c r="BY321" s="11">
        <f t="shared" si="216"/>
        <v>0</v>
      </c>
      <c r="BZ321" s="11">
        <f t="shared" si="217"/>
        <v>0</v>
      </c>
      <c r="CA321" s="11">
        <f t="shared" si="218"/>
        <v>0</v>
      </c>
      <c r="CB321" s="11">
        <f t="shared" si="219"/>
        <v>0</v>
      </c>
      <c r="CC321" s="11">
        <f t="shared" si="220"/>
        <v>0</v>
      </c>
      <c r="CD321" s="11">
        <f t="shared" si="221"/>
        <v>0</v>
      </c>
      <c r="CE321" s="11">
        <f t="shared" si="222"/>
        <v>0</v>
      </c>
      <c r="CF321" s="11">
        <f t="shared" si="223"/>
        <v>0</v>
      </c>
      <c r="CG321" s="11"/>
      <c r="CH321" s="41">
        <v>3.23</v>
      </c>
      <c r="CJ321" s="54">
        <f t="shared" si="224"/>
        <v>0</v>
      </c>
      <c r="CK321" s="54">
        <f t="shared" si="225"/>
        <v>0</v>
      </c>
      <c r="CL321" s="54">
        <f t="shared" si="226"/>
        <v>0</v>
      </c>
      <c r="CM321" s="54">
        <f t="shared" si="227"/>
        <v>0</v>
      </c>
      <c r="CN321" s="54">
        <f t="shared" si="228"/>
        <v>0</v>
      </c>
      <c r="CO321" s="54">
        <f t="shared" si="229"/>
        <v>0</v>
      </c>
      <c r="CP321" s="54">
        <f t="shared" si="230"/>
        <v>0</v>
      </c>
      <c r="CQ321" s="54">
        <f t="shared" si="231"/>
        <v>0</v>
      </c>
      <c r="CR321" s="54">
        <f t="shared" si="232"/>
        <v>0</v>
      </c>
      <c r="CS321" s="54">
        <f t="shared" si="233"/>
        <v>0</v>
      </c>
      <c r="CT321" s="54">
        <f t="shared" si="234"/>
        <v>0</v>
      </c>
      <c r="CU321" s="54">
        <f t="shared" si="235"/>
        <v>0</v>
      </c>
      <c r="CV321" s="52">
        <f t="shared" si="236"/>
        <v>0</v>
      </c>
    </row>
    <row r="322" spans="1:100" ht="15.75" x14ac:dyDescent="0.25">
      <c r="A322" s="17"/>
      <c r="B322" s="17"/>
      <c r="C322" s="17"/>
      <c r="D322" s="17"/>
      <c r="E322" s="17"/>
      <c r="F322" s="32" t="s">
        <v>2950</v>
      </c>
      <c r="G322" s="77"/>
      <c r="H322" s="77"/>
      <c r="I322" s="77"/>
      <c r="J322" s="77"/>
      <c r="K322" s="77"/>
      <c r="L322" s="77"/>
      <c r="M322" s="77"/>
      <c r="N322" s="77"/>
      <c r="O322" s="77"/>
      <c r="P322" s="77"/>
      <c r="Q322" s="77"/>
      <c r="R322" s="77"/>
      <c r="S322" s="11">
        <f t="shared" si="237"/>
        <v>0</v>
      </c>
      <c r="T322" s="5"/>
      <c r="V322" s="46">
        <f t="shared" si="209"/>
        <v>0</v>
      </c>
      <c r="W322" s="36">
        <v>2.6589999999999998</v>
      </c>
      <c r="X322" s="36">
        <v>2.6589999999999998</v>
      </c>
      <c r="Y322" s="36">
        <v>2.6589999999999998</v>
      </c>
      <c r="Z322" s="36">
        <v>2.6589999999999998</v>
      </c>
      <c r="AA322" s="36">
        <v>2.6589999999999998</v>
      </c>
      <c r="AB322" s="36">
        <v>2.6589999999999998</v>
      </c>
      <c r="AC322" s="36">
        <v>2.6589999999999998</v>
      </c>
      <c r="AD322" s="36">
        <v>2.6589999999999998</v>
      </c>
      <c r="AE322" s="36">
        <v>2.6589999999999998</v>
      </c>
      <c r="AF322" s="36">
        <v>2.6589999999999998</v>
      </c>
      <c r="AG322" s="36">
        <v>2.6589999999999998</v>
      </c>
      <c r="AH322" s="36">
        <v>2.6589999999999998</v>
      </c>
      <c r="AI322" s="39">
        <v>1.33634708931066E-2</v>
      </c>
      <c r="AJ322" s="39">
        <v>1.33634708931066E-2</v>
      </c>
      <c r="AK322" s="39">
        <v>1.33634708931066E-2</v>
      </c>
      <c r="AL322" s="39">
        <v>1.33634708931066E-2</v>
      </c>
      <c r="AM322" s="39">
        <v>1.33634708931066E-2</v>
      </c>
      <c r="AN322" s="39">
        <v>1.33634708931066E-2</v>
      </c>
      <c r="AO322" s="39">
        <v>1.33634708931066E-2</v>
      </c>
      <c r="AP322" s="39">
        <v>1.33634708931066E-2</v>
      </c>
      <c r="AQ322" s="39">
        <v>1.33634708931066E-2</v>
      </c>
      <c r="AR322" s="39">
        <v>1.33634708931066E-2</v>
      </c>
      <c r="AS322" s="39">
        <v>1.33634708931066E-2</v>
      </c>
      <c r="AT322" s="39">
        <v>1.33634708931066E-2</v>
      </c>
      <c r="AU322" s="39">
        <v>1.2392217523121999E-3</v>
      </c>
      <c r="AV322" s="39">
        <v>1.2392217523121999E-3</v>
      </c>
      <c r="AW322" s="39">
        <v>1.2392217523121999E-3</v>
      </c>
      <c r="AX322" s="39">
        <v>1.2392217523121999E-3</v>
      </c>
      <c r="AY322" s="39">
        <v>1.2392217523121999E-3</v>
      </c>
      <c r="AZ322" s="39">
        <v>1.2392217523121999E-3</v>
      </c>
      <c r="BA322" s="39">
        <v>1.2392217523121999E-3</v>
      </c>
      <c r="BB322" s="39">
        <v>1.2392217523121999E-3</v>
      </c>
      <c r="BC322" s="39">
        <v>1.2392217523121999E-3</v>
      </c>
      <c r="BD322" s="39">
        <v>1.2392217523121999E-3</v>
      </c>
      <c r="BE322" s="39">
        <v>1.2392217523121999E-3</v>
      </c>
      <c r="BF322" s="39">
        <v>1.2392217523121999E-3</v>
      </c>
      <c r="BH322" s="12">
        <f t="shared" si="199"/>
        <v>0</v>
      </c>
      <c r="BI322" s="12">
        <f t="shared" si="200"/>
        <v>0</v>
      </c>
      <c r="BJ322" s="12">
        <f t="shared" si="201"/>
        <v>0</v>
      </c>
      <c r="BK322" s="12">
        <f t="shared" si="202"/>
        <v>0</v>
      </c>
      <c r="BL322" s="12">
        <f t="shared" si="203"/>
        <v>0</v>
      </c>
      <c r="BM322" s="12">
        <f t="shared" si="204"/>
        <v>0</v>
      </c>
      <c r="BN322" s="12">
        <f t="shared" si="205"/>
        <v>0</v>
      </c>
      <c r="BO322" s="12">
        <f t="shared" si="206"/>
        <v>0</v>
      </c>
      <c r="BP322" s="12">
        <f t="shared" si="207"/>
        <v>0</v>
      </c>
      <c r="BQ322" s="12">
        <f t="shared" si="208"/>
        <v>0</v>
      </c>
      <c r="BR322" s="12">
        <f t="shared" si="210"/>
        <v>0</v>
      </c>
      <c r="BS322" s="12">
        <f t="shared" si="211"/>
        <v>0</v>
      </c>
      <c r="BU322" s="11">
        <f t="shared" si="212"/>
        <v>0</v>
      </c>
      <c r="BV322" s="11">
        <f t="shared" si="213"/>
        <v>0</v>
      </c>
      <c r="BW322" s="11">
        <f t="shared" si="214"/>
        <v>0</v>
      </c>
      <c r="BX322" s="11">
        <f t="shared" si="215"/>
        <v>0</v>
      </c>
      <c r="BY322" s="11">
        <f t="shared" si="216"/>
        <v>0</v>
      </c>
      <c r="BZ322" s="11">
        <f t="shared" si="217"/>
        <v>0</v>
      </c>
      <c r="CA322" s="11">
        <f t="shared" si="218"/>
        <v>0</v>
      </c>
      <c r="CB322" s="11">
        <f t="shared" si="219"/>
        <v>0</v>
      </c>
      <c r="CC322" s="11">
        <f t="shared" si="220"/>
        <v>0</v>
      </c>
      <c r="CD322" s="11">
        <f t="shared" si="221"/>
        <v>0</v>
      </c>
      <c r="CE322" s="11">
        <f t="shared" si="222"/>
        <v>0</v>
      </c>
      <c r="CF322" s="11">
        <f t="shared" si="223"/>
        <v>0</v>
      </c>
      <c r="CG322" s="11"/>
      <c r="CH322" s="41">
        <v>3.23</v>
      </c>
      <c r="CJ322" s="54">
        <f t="shared" si="224"/>
        <v>0</v>
      </c>
      <c r="CK322" s="54">
        <f t="shared" si="225"/>
        <v>0</v>
      </c>
      <c r="CL322" s="54">
        <f t="shared" si="226"/>
        <v>0</v>
      </c>
      <c r="CM322" s="54">
        <f t="shared" si="227"/>
        <v>0</v>
      </c>
      <c r="CN322" s="54">
        <f t="shared" si="228"/>
        <v>0</v>
      </c>
      <c r="CO322" s="54">
        <f t="shared" si="229"/>
        <v>0</v>
      </c>
      <c r="CP322" s="54">
        <f t="shared" si="230"/>
        <v>0</v>
      </c>
      <c r="CQ322" s="54">
        <f t="shared" si="231"/>
        <v>0</v>
      </c>
      <c r="CR322" s="54">
        <f t="shared" si="232"/>
        <v>0</v>
      </c>
      <c r="CS322" s="54">
        <f t="shared" si="233"/>
        <v>0</v>
      </c>
      <c r="CT322" s="54">
        <f t="shared" si="234"/>
        <v>0</v>
      </c>
      <c r="CU322" s="54">
        <f t="shared" si="235"/>
        <v>0</v>
      </c>
      <c r="CV322" s="52">
        <f t="shared" si="236"/>
        <v>0</v>
      </c>
    </row>
    <row r="323" spans="1:100" ht="15.75" x14ac:dyDescent="0.25">
      <c r="A323" s="17"/>
      <c r="B323" s="17"/>
      <c r="C323" s="17"/>
      <c r="D323" s="17"/>
      <c r="E323" s="17"/>
      <c r="F323" s="32" t="s">
        <v>2950</v>
      </c>
      <c r="G323" s="77"/>
      <c r="H323" s="77"/>
      <c r="I323" s="77"/>
      <c r="J323" s="77"/>
      <c r="K323" s="77"/>
      <c r="L323" s="77"/>
      <c r="M323" s="77"/>
      <c r="N323" s="77"/>
      <c r="O323" s="77"/>
      <c r="P323" s="77"/>
      <c r="Q323" s="77"/>
      <c r="R323" s="77"/>
      <c r="S323" s="11">
        <f t="shared" si="237"/>
        <v>0</v>
      </c>
      <c r="T323" s="5"/>
      <c r="V323" s="46">
        <f t="shared" si="209"/>
        <v>0</v>
      </c>
      <c r="W323" s="36">
        <v>1.8500010816189674</v>
      </c>
      <c r="X323" s="36">
        <v>1.8500010816189674</v>
      </c>
      <c r="Y323" s="36">
        <v>1.8500010816189674</v>
      </c>
      <c r="Z323" s="36">
        <v>1.8500010816189674</v>
      </c>
      <c r="AA323" s="36">
        <v>1.8500010816189674</v>
      </c>
      <c r="AB323" s="36">
        <v>1.8500010816189674</v>
      </c>
      <c r="AC323" s="36">
        <v>1.8500010816189674</v>
      </c>
      <c r="AD323" s="36">
        <v>1.8500010816189674</v>
      </c>
      <c r="AE323" s="36">
        <v>1.8500010816189674</v>
      </c>
      <c r="AF323" s="36">
        <v>1.8500010816189674</v>
      </c>
      <c r="AG323" s="36">
        <v>1.8500010816189674</v>
      </c>
      <c r="AH323" s="36">
        <v>1.8500010816189674</v>
      </c>
      <c r="AI323" s="39">
        <v>0</v>
      </c>
      <c r="AJ323" s="39">
        <v>0</v>
      </c>
      <c r="AK323" s="39">
        <v>0</v>
      </c>
      <c r="AL323" s="39">
        <v>0</v>
      </c>
      <c r="AM323" s="39">
        <v>0</v>
      </c>
      <c r="AN323" s="39">
        <v>0</v>
      </c>
      <c r="AO323" s="39">
        <v>0</v>
      </c>
      <c r="AP323" s="39">
        <v>0</v>
      </c>
      <c r="AQ323" s="39">
        <v>0</v>
      </c>
      <c r="AR323" s="39">
        <v>0</v>
      </c>
      <c r="AS323" s="39">
        <v>0</v>
      </c>
      <c r="AT323" s="39">
        <v>0</v>
      </c>
      <c r="AU323" s="39">
        <v>0</v>
      </c>
      <c r="AV323" s="39">
        <v>0</v>
      </c>
      <c r="AW323" s="39">
        <v>0</v>
      </c>
      <c r="AX323" s="39">
        <v>0</v>
      </c>
      <c r="AY323" s="39">
        <v>0</v>
      </c>
      <c r="AZ323" s="39">
        <v>0</v>
      </c>
      <c r="BA323" s="39">
        <v>0</v>
      </c>
      <c r="BB323" s="39">
        <v>0</v>
      </c>
      <c r="BC323" s="39">
        <v>0</v>
      </c>
      <c r="BD323" s="39">
        <v>0</v>
      </c>
      <c r="BE323" s="39">
        <v>0</v>
      </c>
      <c r="BF323" s="39">
        <v>0</v>
      </c>
      <c r="BH323" s="12">
        <f t="shared" si="199"/>
        <v>0</v>
      </c>
      <c r="BI323" s="12">
        <f t="shared" si="200"/>
        <v>0</v>
      </c>
      <c r="BJ323" s="12">
        <f t="shared" si="201"/>
        <v>0</v>
      </c>
      <c r="BK323" s="12">
        <f t="shared" si="202"/>
        <v>0</v>
      </c>
      <c r="BL323" s="12">
        <f t="shared" si="203"/>
        <v>0</v>
      </c>
      <c r="BM323" s="12">
        <f t="shared" si="204"/>
        <v>0</v>
      </c>
      <c r="BN323" s="12">
        <f t="shared" si="205"/>
        <v>0</v>
      </c>
      <c r="BO323" s="12">
        <f t="shared" si="206"/>
        <v>0</v>
      </c>
      <c r="BP323" s="12">
        <f t="shared" si="207"/>
        <v>0</v>
      </c>
      <c r="BQ323" s="12">
        <f t="shared" si="208"/>
        <v>0</v>
      </c>
      <c r="BR323" s="12">
        <f t="shared" si="210"/>
        <v>0</v>
      </c>
      <c r="BS323" s="12">
        <f t="shared" si="211"/>
        <v>0</v>
      </c>
      <c r="BU323" s="11">
        <f t="shared" si="212"/>
        <v>0</v>
      </c>
      <c r="BV323" s="11">
        <f t="shared" si="213"/>
        <v>0</v>
      </c>
      <c r="BW323" s="11">
        <f t="shared" si="214"/>
        <v>0</v>
      </c>
      <c r="BX323" s="11">
        <f t="shared" si="215"/>
        <v>0</v>
      </c>
      <c r="BY323" s="11">
        <f t="shared" si="216"/>
        <v>0</v>
      </c>
      <c r="BZ323" s="11">
        <f t="shared" si="217"/>
        <v>0</v>
      </c>
      <c r="CA323" s="11">
        <f t="shared" si="218"/>
        <v>0</v>
      </c>
      <c r="CB323" s="11">
        <f t="shared" si="219"/>
        <v>0</v>
      </c>
      <c r="CC323" s="11">
        <f t="shared" si="220"/>
        <v>0</v>
      </c>
      <c r="CD323" s="11">
        <f t="shared" si="221"/>
        <v>0</v>
      </c>
      <c r="CE323" s="11">
        <f t="shared" si="222"/>
        <v>0</v>
      </c>
      <c r="CF323" s="11">
        <f t="shared" si="223"/>
        <v>0</v>
      </c>
      <c r="CG323" s="11"/>
      <c r="CH323" s="41">
        <v>1</v>
      </c>
      <c r="CJ323" s="54">
        <f t="shared" si="224"/>
        <v>0</v>
      </c>
      <c r="CK323" s="54">
        <f t="shared" si="225"/>
        <v>0</v>
      </c>
      <c r="CL323" s="54">
        <f t="shared" si="226"/>
        <v>0</v>
      </c>
      <c r="CM323" s="54">
        <f t="shared" si="227"/>
        <v>0</v>
      </c>
      <c r="CN323" s="54">
        <f t="shared" si="228"/>
        <v>0</v>
      </c>
      <c r="CO323" s="54">
        <f t="shared" si="229"/>
        <v>0</v>
      </c>
      <c r="CP323" s="54">
        <f t="shared" si="230"/>
        <v>0</v>
      </c>
      <c r="CQ323" s="54">
        <f t="shared" si="231"/>
        <v>0</v>
      </c>
      <c r="CR323" s="54">
        <f t="shared" si="232"/>
        <v>0</v>
      </c>
      <c r="CS323" s="54">
        <f t="shared" si="233"/>
        <v>0</v>
      </c>
      <c r="CT323" s="54">
        <f t="shared" si="234"/>
        <v>0</v>
      </c>
      <c r="CU323" s="54">
        <f t="shared" si="235"/>
        <v>0</v>
      </c>
      <c r="CV323" s="52">
        <f t="shared" si="236"/>
        <v>0</v>
      </c>
    </row>
    <row r="324" spans="1:100" ht="15.75" x14ac:dyDescent="0.25">
      <c r="A324" s="17"/>
      <c r="B324" s="17"/>
      <c r="C324" s="17"/>
      <c r="D324" s="17"/>
      <c r="E324" s="17"/>
      <c r="F324" s="32" t="s">
        <v>2950</v>
      </c>
      <c r="G324" s="77"/>
      <c r="H324" s="77"/>
      <c r="I324" s="77"/>
      <c r="J324" s="77"/>
      <c r="K324" s="77"/>
      <c r="L324" s="77"/>
      <c r="M324" s="77"/>
      <c r="N324" s="77"/>
      <c r="O324" s="77"/>
      <c r="P324" s="77"/>
      <c r="Q324" s="77"/>
      <c r="R324" s="77"/>
      <c r="S324" s="11">
        <f t="shared" si="237"/>
        <v>0</v>
      </c>
      <c r="T324" s="5"/>
      <c r="V324" s="46">
        <f t="shared" si="209"/>
        <v>0</v>
      </c>
      <c r="W324" s="36">
        <v>3.17</v>
      </c>
      <c r="X324" s="36">
        <v>3.17</v>
      </c>
      <c r="Y324" s="36">
        <v>3.17</v>
      </c>
      <c r="Z324" s="36">
        <v>3.17</v>
      </c>
      <c r="AA324" s="36">
        <v>3.17</v>
      </c>
      <c r="AB324" s="36">
        <v>3.17</v>
      </c>
      <c r="AC324" s="36">
        <v>3.17</v>
      </c>
      <c r="AD324" s="36">
        <v>3.17</v>
      </c>
      <c r="AE324" s="36">
        <v>3.17</v>
      </c>
      <c r="AF324" s="36">
        <v>3.17</v>
      </c>
      <c r="AG324" s="36">
        <v>3.17</v>
      </c>
      <c r="AH324" s="36">
        <v>3.17</v>
      </c>
      <c r="AI324" s="39">
        <v>0</v>
      </c>
      <c r="AJ324" s="39">
        <v>0</v>
      </c>
      <c r="AK324" s="39">
        <v>0</v>
      </c>
      <c r="AL324" s="39">
        <v>0</v>
      </c>
      <c r="AM324" s="39">
        <v>0</v>
      </c>
      <c r="AN324" s="39">
        <v>0</v>
      </c>
      <c r="AO324" s="39">
        <v>0</v>
      </c>
      <c r="AP324" s="39">
        <v>0</v>
      </c>
      <c r="AQ324" s="39">
        <v>0</v>
      </c>
      <c r="AR324" s="39">
        <v>0</v>
      </c>
      <c r="AS324" s="39">
        <v>0</v>
      </c>
      <c r="AT324" s="39">
        <v>0</v>
      </c>
      <c r="AU324" s="39">
        <v>0</v>
      </c>
      <c r="AV324" s="39">
        <v>0</v>
      </c>
      <c r="AW324" s="39">
        <v>0</v>
      </c>
      <c r="AX324" s="39">
        <v>0</v>
      </c>
      <c r="AY324" s="39">
        <v>0</v>
      </c>
      <c r="AZ324" s="39">
        <v>0</v>
      </c>
      <c r="BA324" s="39">
        <v>0</v>
      </c>
      <c r="BB324" s="39">
        <v>0</v>
      </c>
      <c r="BC324" s="39">
        <v>0</v>
      </c>
      <c r="BD324" s="39">
        <v>0</v>
      </c>
      <c r="BE324" s="39">
        <v>0</v>
      </c>
      <c r="BF324" s="39">
        <v>0</v>
      </c>
      <c r="BH324" s="12">
        <f t="shared" si="199"/>
        <v>0</v>
      </c>
      <c r="BI324" s="12">
        <f t="shared" si="200"/>
        <v>0</v>
      </c>
      <c r="BJ324" s="12">
        <f t="shared" si="201"/>
        <v>0</v>
      </c>
      <c r="BK324" s="12">
        <f t="shared" si="202"/>
        <v>0</v>
      </c>
      <c r="BL324" s="12">
        <f t="shared" si="203"/>
        <v>0</v>
      </c>
      <c r="BM324" s="12">
        <f t="shared" si="204"/>
        <v>0</v>
      </c>
      <c r="BN324" s="12">
        <f t="shared" si="205"/>
        <v>0</v>
      </c>
      <c r="BO324" s="12">
        <f t="shared" si="206"/>
        <v>0</v>
      </c>
      <c r="BP324" s="12">
        <f t="shared" si="207"/>
        <v>0</v>
      </c>
      <c r="BQ324" s="12">
        <f t="shared" si="208"/>
        <v>0</v>
      </c>
      <c r="BR324" s="12">
        <f t="shared" si="210"/>
        <v>0</v>
      </c>
      <c r="BS324" s="12">
        <f t="shared" si="211"/>
        <v>0</v>
      </c>
      <c r="BU324" s="11">
        <f t="shared" si="212"/>
        <v>0</v>
      </c>
      <c r="BV324" s="11">
        <f t="shared" si="213"/>
        <v>0</v>
      </c>
      <c r="BW324" s="11">
        <f t="shared" si="214"/>
        <v>0</v>
      </c>
      <c r="BX324" s="11">
        <f t="shared" si="215"/>
        <v>0</v>
      </c>
      <c r="BY324" s="11">
        <f t="shared" si="216"/>
        <v>0</v>
      </c>
      <c r="BZ324" s="11">
        <f t="shared" si="217"/>
        <v>0</v>
      </c>
      <c r="CA324" s="11">
        <f t="shared" si="218"/>
        <v>0</v>
      </c>
      <c r="CB324" s="11">
        <f t="shared" si="219"/>
        <v>0</v>
      </c>
      <c r="CC324" s="11">
        <f t="shared" si="220"/>
        <v>0</v>
      </c>
      <c r="CD324" s="11">
        <f t="shared" si="221"/>
        <v>0</v>
      </c>
      <c r="CE324" s="11">
        <f t="shared" si="222"/>
        <v>0</v>
      </c>
      <c r="CF324" s="11">
        <f t="shared" si="223"/>
        <v>0</v>
      </c>
      <c r="CG324" s="11"/>
      <c r="CH324" s="41">
        <v>1</v>
      </c>
      <c r="CJ324" s="54">
        <f t="shared" si="224"/>
        <v>0</v>
      </c>
      <c r="CK324" s="54">
        <f t="shared" si="225"/>
        <v>0</v>
      </c>
      <c r="CL324" s="54">
        <f t="shared" si="226"/>
        <v>0</v>
      </c>
      <c r="CM324" s="54">
        <f t="shared" si="227"/>
        <v>0</v>
      </c>
      <c r="CN324" s="54">
        <f t="shared" si="228"/>
        <v>0</v>
      </c>
      <c r="CO324" s="54">
        <f t="shared" si="229"/>
        <v>0</v>
      </c>
      <c r="CP324" s="54">
        <f t="shared" si="230"/>
        <v>0</v>
      </c>
      <c r="CQ324" s="54">
        <f t="shared" si="231"/>
        <v>0</v>
      </c>
      <c r="CR324" s="54">
        <f t="shared" si="232"/>
        <v>0</v>
      </c>
      <c r="CS324" s="54">
        <f t="shared" si="233"/>
        <v>0</v>
      </c>
      <c r="CT324" s="54">
        <f t="shared" si="234"/>
        <v>0</v>
      </c>
      <c r="CU324" s="54">
        <f t="shared" si="235"/>
        <v>0</v>
      </c>
      <c r="CV324" s="52">
        <f t="shared" si="236"/>
        <v>0</v>
      </c>
    </row>
    <row r="325" spans="1:100" ht="15.75" x14ac:dyDescent="0.25">
      <c r="A325" s="17"/>
      <c r="B325" s="17"/>
      <c r="C325" s="17"/>
      <c r="D325" s="17"/>
      <c r="E325" s="17"/>
      <c r="F325" s="32" t="s">
        <v>2950</v>
      </c>
      <c r="G325" s="77"/>
      <c r="H325" s="77"/>
      <c r="I325" s="77"/>
      <c r="J325" s="77"/>
      <c r="K325" s="77"/>
      <c r="L325" s="77"/>
      <c r="M325" s="77"/>
      <c r="N325" s="77"/>
      <c r="O325" s="77"/>
      <c r="P325" s="77"/>
      <c r="Q325" s="77"/>
      <c r="R325" s="77"/>
      <c r="S325" s="11">
        <f t="shared" si="237"/>
        <v>0</v>
      </c>
      <c r="T325" s="5"/>
      <c r="V325" s="46">
        <f t="shared" si="209"/>
        <v>0</v>
      </c>
      <c r="W325" s="36">
        <v>3.149</v>
      </c>
      <c r="X325" s="36">
        <v>3.149</v>
      </c>
      <c r="Y325" s="36">
        <v>3.149</v>
      </c>
      <c r="Z325" s="36">
        <v>3.149</v>
      </c>
      <c r="AA325" s="36">
        <v>3.149</v>
      </c>
      <c r="AB325" s="36">
        <v>3.149</v>
      </c>
      <c r="AC325" s="36">
        <v>3.149</v>
      </c>
      <c r="AD325" s="36">
        <v>3.149</v>
      </c>
      <c r="AE325" s="36">
        <v>3.149</v>
      </c>
      <c r="AF325" s="36">
        <v>3.149</v>
      </c>
      <c r="AG325" s="36">
        <v>3.149</v>
      </c>
      <c r="AH325" s="36">
        <v>3.149</v>
      </c>
      <c r="AI325" s="39">
        <v>1.33634708931066E-2</v>
      </c>
      <c r="AJ325" s="39">
        <v>1.33634708931066E-2</v>
      </c>
      <c r="AK325" s="39">
        <v>1.33634708931066E-2</v>
      </c>
      <c r="AL325" s="39">
        <v>1.33634708931066E-2</v>
      </c>
      <c r="AM325" s="39">
        <v>1.33634708931066E-2</v>
      </c>
      <c r="AN325" s="39">
        <v>1.33634708931066E-2</v>
      </c>
      <c r="AO325" s="39">
        <v>1.33634708931066E-2</v>
      </c>
      <c r="AP325" s="39">
        <v>1.33634708931066E-2</v>
      </c>
      <c r="AQ325" s="39">
        <v>1.33634708931066E-2</v>
      </c>
      <c r="AR325" s="39">
        <v>1.33634708931066E-2</v>
      </c>
      <c r="AS325" s="39">
        <v>1.33634708931066E-2</v>
      </c>
      <c r="AT325" s="39">
        <v>1.33634708931066E-2</v>
      </c>
      <c r="AU325" s="39">
        <v>1.2392217523121999E-3</v>
      </c>
      <c r="AV325" s="39">
        <v>1.2392217523121999E-3</v>
      </c>
      <c r="AW325" s="39">
        <v>1.2392217523121999E-3</v>
      </c>
      <c r="AX325" s="39">
        <v>1.2392217523121999E-3</v>
      </c>
      <c r="AY325" s="39">
        <v>1.2392217523121999E-3</v>
      </c>
      <c r="AZ325" s="39">
        <v>1.2392217523121999E-3</v>
      </c>
      <c r="BA325" s="39">
        <v>1.2392217523121999E-3</v>
      </c>
      <c r="BB325" s="39">
        <v>1.2392217523121999E-3</v>
      </c>
      <c r="BC325" s="39">
        <v>1.2392217523121999E-3</v>
      </c>
      <c r="BD325" s="39">
        <v>1.2392217523121999E-3</v>
      </c>
      <c r="BE325" s="39">
        <v>1.2392217523121999E-3</v>
      </c>
      <c r="BF325" s="39">
        <v>1.2392217523121999E-3</v>
      </c>
      <c r="BH325" s="12">
        <f t="shared" si="199"/>
        <v>0</v>
      </c>
      <c r="BI325" s="12">
        <f t="shared" si="200"/>
        <v>0</v>
      </c>
      <c r="BJ325" s="12">
        <f t="shared" si="201"/>
        <v>0</v>
      </c>
      <c r="BK325" s="12">
        <f t="shared" si="202"/>
        <v>0</v>
      </c>
      <c r="BL325" s="12">
        <f t="shared" si="203"/>
        <v>0</v>
      </c>
      <c r="BM325" s="12">
        <f t="shared" si="204"/>
        <v>0</v>
      </c>
      <c r="BN325" s="12">
        <f t="shared" si="205"/>
        <v>0</v>
      </c>
      <c r="BO325" s="12">
        <f t="shared" si="206"/>
        <v>0</v>
      </c>
      <c r="BP325" s="12">
        <f t="shared" si="207"/>
        <v>0</v>
      </c>
      <c r="BQ325" s="12">
        <f t="shared" si="208"/>
        <v>0</v>
      </c>
      <c r="BR325" s="12">
        <f t="shared" si="210"/>
        <v>0</v>
      </c>
      <c r="BS325" s="12">
        <f t="shared" si="211"/>
        <v>0</v>
      </c>
      <c r="BU325" s="11">
        <f t="shared" si="212"/>
        <v>0</v>
      </c>
      <c r="BV325" s="11">
        <f t="shared" si="213"/>
        <v>0</v>
      </c>
      <c r="BW325" s="11">
        <f t="shared" si="214"/>
        <v>0</v>
      </c>
      <c r="BX325" s="11">
        <f t="shared" si="215"/>
        <v>0</v>
      </c>
      <c r="BY325" s="11">
        <f t="shared" si="216"/>
        <v>0</v>
      </c>
      <c r="BZ325" s="11">
        <f t="shared" si="217"/>
        <v>0</v>
      </c>
      <c r="CA325" s="11">
        <f t="shared" si="218"/>
        <v>0</v>
      </c>
      <c r="CB325" s="11">
        <f t="shared" si="219"/>
        <v>0</v>
      </c>
      <c r="CC325" s="11">
        <f t="shared" si="220"/>
        <v>0</v>
      </c>
      <c r="CD325" s="11">
        <f t="shared" si="221"/>
        <v>0</v>
      </c>
      <c r="CE325" s="11">
        <f t="shared" si="222"/>
        <v>0</v>
      </c>
      <c r="CF325" s="11">
        <f t="shared" si="223"/>
        <v>0</v>
      </c>
      <c r="CG325" s="11"/>
      <c r="CH325" s="41">
        <v>3.23</v>
      </c>
      <c r="CJ325" s="54">
        <f t="shared" si="224"/>
        <v>0</v>
      </c>
      <c r="CK325" s="54">
        <f t="shared" si="225"/>
        <v>0</v>
      </c>
      <c r="CL325" s="54">
        <f t="shared" si="226"/>
        <v>0</v>
      </c>
      <c r="CM325" s="54">
        <f t="shared" si="227"/>
        <v>0</v>
      </c>
      <c r="CN325" s="54">
        <f t="shared" si="228"/>
        <v>0</v>
      </c>
      <c r="CO325" s="54">
        <f t="shared" si="229"/>
        <v>0</v>
      </c>
      <c r="CP325" s="54">
        <f t="shared" si="230"/>
        <v>0</v>
      </c>
      <c r="CQ325" s="54">
        <f t="shared" si="231"/>
        <v>0</v>
      </c>
      <c r="CR325" s="54">
        <f t="shared" si="232"/>
        <v>0</v>
      </c>
      <c r="CS325" s="54">
        <f t="shared" si="233"/>
        <v>0</v>
      </c>
      <c r="CT325" s="54">
        <f t="shared" si="234"/>
        <v>0</v>
      </c>
      <c r="CU325" s="54">
        <f t="shared" si="235"/>
        <v>0</v>
      </c>
      <c r="CV325" s="52">
        <f t="shared" si="236"/>
        <v>0</v>
      </c>
    </row>
    <row r="326" spans="1:100" ht="15.75" x14ac:dyDescent="0.25">
      <c r="A326" s="17"/>
      <c r="B326" s="17"/>
      <c r="C326" s="17"/>
      <c r="D326" s="17"/>
      <c r="E326" s="17"/>
      <c r="F326" s="32" t="s">
        <v>2950</v>
      </c>
      <c r="G326" s="77"/>
      <c r="H326" s="77"/>
      <c r="I326" s="77"/>
      <c r="J326" s="77"/>
      <c r="K326" s="77"/>
      <c r="L326" s="77"/>
      <c r="M326" s="77"/>
      <c r="N326" s="77"/>
      <c r="O326" s="77"/>
      <c r="P326" s="77"/>
      <c r="Q326" s="77"/>
      <c r="R326" s="77"/>
      <c r="S326" s="11">
        <f t="shared" si="237"/>
        <v>0</v>
      </c>
      <c r="T326" s="5"/>
      <c r="V326" s="46">
        <f t="shared" si="209"/>
        <v>0</v>
      </c>
      <c r="W326" s="36">
        <v>1.4379999999999999</v>
      </c>
      <c r="X326" s="36">
        <v>1.4379999999999999</v>
      </c>
      <c r="Y326" s="36">
        <v>1.4379999999999999</v>
      </c>
      <c r="Z326" s="36">
        <v>1.4379999999999999</v>
      </c>
      <c r="AA326" s="36">
        <v>1.4379999999999999</v>
      </c>
      <c r="AB326" s="36">
        <v>1.4379999999999999</v>
      </c>
      <c r="AC326" s="36">
        <v>1.4379999999999999</v>
      </c>
      <c r="AD326" s="36">
        <v>1.4379999999999999</v>
      </c>
      <c r="AE326" s="36">
        <v>1.4379999999999999</v>
      </c>
      <c r="AF326" s="36">
        <v>1.4379999999999999</v>
      </c>
      <c r="AG326" s="36">
        <v>1.4379999999999999</v>
      </c>
      <c r="AH326" s="36">
        <v>1.4379999999999999</v>
      </c>
      <c r="AI326" s="39">
        <v>1.33634708931066E-2</v>
      </c>
      <c r="AJ326" s="39">
        <v>1.33634708931066E-2</v>
      </c>
      <c r="AK326" s="39">
        <v>1.33634708931066E-2</v>
      </c>
      <c r="AL326" s="39">
        <v>1.33634708931066E-2</v>
      </c>
      <c r="AM326" s="39">
        <v>1.33634708931066E-2</v>
      </c>
      <c r="AN326" s="39">
        <v>1.33634708931066E-2</v>
      </c>
      <c r="AO326" s="39">
        <v>1.33634708931066E-2</v>
      </c>
      <c r="AP326" s="39">
        <v>1.33634708931066E-2</v>
      </c>
      <c r="AQ326" s="39">
        <v>1.33634708931066E-2</v>
      </c>
      <c r="AR326" s="39">
        <v>1.33634708931066E-2</v>
      </c>
      <c r="AS326" s="39">
        <v>1.33634708931066E-2</v>
      </c>
      <c r="AT326" s="39">
        <v>1.33634708931066E-2</v>
      </c>
      <c r="AU326" s="39">
        <v>1.2392217523121999E-3</v>
      </c>
      <c r="AV326" s="39">
        <v>1.2392217523121999E-3</v>
      </c>
      <c r="AW326" s="39">
        <v>1.2392217523121999E-3</v>
      </c>
      <c r="AX326" s="39">
        <v>1.2392217523121999E-3</v>
      </c>
      <c r="AY326" s="39">
        <v>1.2392217523121999E-3</v>
      </c>
      <c r="AZ326" s="39">
        <v>1.2392217523121999E-3</v>
      </c>
      <c r="BA326" s="39">
        <v>1.2392217523121999E-3</v>
      </c>
      <c r="BB326" s="39">
        <v>1.2392217523121999E-3</v>
      </c>
      <c r="BC326" s="39">
        <v>1.2392217523121999E-3</v>
      </c>
      <c r="BD326" s="39">
        <v>1.2392217523121999E-3</v>
      </c>
      <c r="BE326" s="39">
        <v>1.2392217523121999E-3</v>
      </c>
      <c r="BF326" s="39">
        <v>1.2392217523121999E-3</v>
      </c>
      <c r="BH326" s="12">
        <f t="shared" si="199"/>
        <v>0</v>
      </c>
      <c r="BI326" s="12">
        <f t="shared" si="200"/>
        <v>0</v>
      </c>
      <c r="BJ326" s="12">
        <f t="shared" si="201"/>
        <v>0</v>
      </c>
      <c r="BK326" s="12">
        <f t="shared" si="202"/>
        <v>0</v>
      </c>
      <c r="BL326" s="12">
        <f t="shared" si="203"/>
        <v>0</v>
      </c>
      <c r="BM326" s="12">
        <f t="shared" si="204"/>
        <v>0</v>
      </c>
      <c r="BN326" s="12">
        <f t="shared" si="205"/>
        <v>0</v>
      </c>
      <c r="BO326" s="12">
        <f t="shared" si="206"/>
        <v>0</v>
      </c>
      <c r="BP326" s="12">
        <f t="shared" si="207"/>
        <v>0</v>
      </c>
      <c r="BQ326" s="12">
        <f t="shared" si="208"/>
        <v>0</v>
      </c>
      <c r="BR326" s="12">
        <f t="shared" si="210"/>
        <v>0</v>
      </c>
      <c r="BS326" s="12">
        <f t="shared" si="211"/>
        <v>0</v>
      </c>
      <c r="BU326" s="11">
        <f t="shared" si="212"/>
        <v>0</v>
      </c>
      <c r="BV326" s="11">
        <f t="shared" si="213"/>
        <v>0</v>
      </c>
      <c r="BW326" s="11">
        <f t="shared" si="214"/>
        <v>0</v>
      </c>
      <c r="BX326" s="11">
        <f t="shared" si="215"/>
        <v>0</v>
      </c>
      <c r="BY326" s="11">
        <f t="shared" si="216"/>
        <v>0</v>
      </c>
      <c r="BZ326" s="11">
        <f t="shared" si="217"/>
        <v>0</v>
      </c>
      <c r="CA326" s="11">
        <f t="shared" si="218"/>
        <v>0</v>
      </c>
      <c r="CB326" s="11">
        <f t="shared" si="219"/>
        <v>0</v>
      </c>
      <c r="CC326" s="11">
        <f t="shared" si="220"/>
        <v>0</v>
      </c>
      <c r="CD326" s="11">
        <f t="shared" si="221"/>
        <v>0</v>
      </c>
      <c r="CE326" s="11">
        <f t="shared" si="222"/>
        <v>0</v>
      </c>
      <c r="CF326" s="11">
        <f t="shared" si="223"/>
        <v>0</v>
      </c>
      <c r="CG326" s="11"/>
      <c r="CH326" s="41">
        <v>3.23</v>
      </c>
      <c r="CJ326" s="54">
        <f t="shared" si="224"/>
        <v>0</v>
      </c>
      <c r="CK326" s="54">
        <f t="shared" si="225"/>
        <v>0</v>
      </c>
      <c r="CL326" s="54">
        <f t="shared" si="226"/>
        <v>0</v>
      </c>
      <c r="CM326" s="54">
        <f t="shared" si="227"/>
        <v>0</v>
      </c>
      <c r="CN326" s="54">
        <f t="shared" si="228"/>
        <v>0</v>
      </c>
      <c r="CO326" s="54">
        <f t="shared" si="229"/>
        <v>0</v>
      </c>
      <c r="CP326" s="54">
        <f t="shared" si="230"/>
        <v>0</v>
      </c>
      <c r="CQ326" s="54">
        <f t="shared" si="231"/>
        <v>0</v>
      </c>
      <c r="CR326" s="54">
        <f t="shared" si="232"/>
        <v>0</v>
      </c>
      <c r="CS326" s="54">
        <f t="shared" si="233"/>
        <v>0</v>
      </c>
      <c r="CT326" s="54">
        <f t="shared" si="234"/>
        <v>0</v>
      </c>
      <c r="CU326" s="54">
        <f t="shared" si="235"/>
        <v>0</v>
      </c>
      <c r="CV326" s="52">
        <f t="shared" si="236"/>
        <v>0</v>
      </c>
    </row>
    <row r="327" spans="1:100" ht="15.75" x14ac:dyDescent="0.25">
      <c r="A327" s="17"/>
      <c r="B327" s="17"/>
      <c r="C327" s="17"/>
      <c r="D327" s="17"/>
      <c r="E327" s="17"/>
      <c r="F327" s="32" t="s">
        <v>2950</v>
      </c>
      <c r="G327" s="77"/>
      <c r="H327" s="77"/>
      <c r="I327" s="77"/>
      <c r="J327" s="77"/>
      <c r="K327" s="77"/>
      <c r="L327" s="77"/>
      <c r="M327" s="77"/>
      <c r="N327" s="77"/>
      <c r="O327" s="77"/>
      <c r="P327" s="77"/>
      <c r="Q327" s="77"/>
      <c r="R327" s="77"/>
      <c r="S327" s="11">
        <f t="shared" si="237"/>
        <v>0</v>
      </c>
      <c r="T327" s="5"/>
      <c r="V327" s="46">
        <f t="shared" si="209"/>
        <v>0</v>
      </c>
      <c r="W327" s="36">
        <v>1.6339999999999999</v>
      </c>
      <c r="X327" s="36">
        <v>1.6339999999999999</v>
      </c>
      <c r="Y327" s="36">
        <v>1.6339999999999999</v>
      </c>
      <c r="Z327" s="36">
        <v>1.6339999999999999</v>
      </c>
      <c r="AA327" s="36">
        <v>1.6339999999999999</v>
      </c>
      <c r="AB327" s="36">
        <v>1.6339999999999999</v>
      </c>
      <c r="AC327" s="36">
        <v>1.6339999999999999</v>
      </c>
      <c r="AD327" s="36">
        <v>1.6339999999999999</v>
      </c>
      <c r="AE327" s="36">
        <v>1.6339999999999999</v>
      </c>
      <c r="AF327" s="36">
        <v>1.6339999999999999</v>
      </c>
      <c r="AG327" s="36">
        <v>1.6339999999999999</v>
      </c>
      <c r="AH327" s="36">
        <v>1.6339999999999999</v>
      </c>
      <c r="AI327" s="39">
        <v>1.33634708931066E-2</v>
      </c>
      <c r="AJ327" s="39">
        <v>1.33634708931066E-2</v>
      </c>
      <c r="AK327" s="39">
        <v>1.33634708931066E-2</v>
      </c>
      <c r="AL327" s="39">
        <v>1.33634708931066E-2</v>
      </c>
      <c r="AM327" s="39">
        <v>1.33634708931066E-2</v>
      </c>
      <c r="AN327" s="39">
        <v>1.33634708931066E-2</v>
      </c>
      <c r="AO327" s="39">
        <v>1.33634708931066E-2</v>
      </c>
      <c r="AP327" s="39">
        <v>1.33634708931066E-2</v>
      </c>
      <c r="AQ327" s="39">
        <v>1.33634708931066E-2</v>
      </c>
      <c r="AR327" s="39">
        <v>1.33634708931066E-2</v>
      </c>
      <c r="AS327" s="39">
        <v>1.33634708931066E-2</v>
      </c>
      <c r="AT327" s="39">
        <v>1.33634708931066E-2</v>
      </c>
      <c r="AU327" s="39">
        <v>1.2392217523121999E-3</v>
      </c>
      <c r="AV327" s="39">
        <v>1.2392217523121999E-3</v>
      </c>
      <c r="AW327" s="39">
        <v>1.2392217523121999E-3</v>
      </c>
      <c r="AX327" s="39">
        <v>1.2392217523121999E-3</v>
      </c>
      <c r="AY327" s="39">
        <v>1.2392217523121999E-3</v>
      </c>
      <c r="AZ327" s="39">
        <v>1.2392217523121999E-3</v>
      </c>
      <c r="BA327" s="39">
        <v>1.2392217523121999E-3</v>
      </c>
      <c r="BB327" s="39">
        <v>1.2392217523121999E-3</v>
      </c>
      <c r="BC327" s="39">
        <v>1.2392217523121999E-3</v>
      </c>
      <c r="BD327" s="39">
        <v>1.2392217523121999E-3</v>
      </c>
      <c r="BE327" s="39">
        <v>1.2392217523121999E-3</v>
      </c>
      <c r="BF327" s="39">
        <v>1.2392217523121999E-3</v>
      </c>
      <c r="BH327" s="12">
        <f t="shared" si="199"/>
        <v>0</v>
      </c>
      <c r="BI327" s="12">
        <f t="shared" si="200"/>
        <v>0</v>
      </c>
      <c r="BJ327" s="12">
        <f t="shared" si="201"/>
        <v>0</v>
      </c>
      <c r="BK327" s="12">
        <f t="shared" si="202"/>
        <v>0</v>
      </c>
      <c r="BL327" s="12">
        <f t="shared" si="203"/>
        <v>0</v>
      </c>
      <c r="BM327" s="12">
        <f t="shared" si="204"/>
        <v>0</v>
      </c>
      <c r="BN327" s="12">
        <f t="shared" si="205"/>
        <v>0</v>
      </c>
      <c r="BO327" s="12">
        <f t="shared" si="206"/>
        <v>0</v>
      </c>
      <c r="BP327" s="12">
        <f t="shared" si="207"/>
        <v>0</v>
      </c>
      <c r="BQ327" s="12">
        <f t="shared" si="208"/>
        <v>0</v>
      </c>
      <c r="BR327" s="12">
        <f t="shared" si="210"/>
        <v>0</v>
      </c>
      <c r="BS327" s="12">
        <f t="shared" si="211"/>
        <v>0</v>
      </c>
      <c r="BU327" s="11">
        <f t="shared" si="212"/>
        <v>0</v>
      </c>
      <c r="BV327" s="11">
        <f t="shared" si="213"/>
        <v>0</v>
      </c>
      <c r="BW327" s="11">
        <f t="shared" si="214"/>
        <v>0</v>
      </c>
      <c r="BX327" s="11">
        <f t="shared" si="215"/>
        <v>0</v>
      </c>
      <c r="BY327" s="11">
        <f t="shared" si="216"/>
        <v>0</v>
      </c>
      <c r="BZ327" s="11">
        <f t="shared" si="217"/>
        <v>0</v>
      </c>
      <c r="CA327" s="11">
        <f t="shared" si="218"/>
        <v>0</v>
      </c>
      <c r="CB327" s="11">
        <f t="shared" si="219"/>
        <v>0</v>
      </c>
      <c r="CC327" s="11">
        <f t="shared" si="220"/>
        <v>0</v>
      </c>
      <c r="CD327" s="11">
        <f t="shared" si="221"/>
        <v>0</v>
      </c>
      <c r="CE327" s="11">
        <f t="shared" si="222"/>
        <v>0</v>
      </c>
      <c r="CF327" s="11">
        <f t="shared" si="223"/>
        <v>0</v>
      </c>
      <c r="CG327" s="11"/>
      <c r="CH327" s="41">
        <v>3.23</v>
      </c>
      <c r="CJ327" s="54">
        <f t="shared" si="224"/>
        <v>0</v>
      </c>
      <c r="CK327" s="54">
        <f t="shared" si="225"/>
        <v>0</v>
      </c>
      <c r="CL327" s="54">
        <f t="shared" si="226"/>
        <v>0</v>
      </c>
      <c r="CM327" s="54">
        <f t="shared" si="227"/>
        <v>0</v>
      </c>
      <c r="CN327" s="54">
        <f t="shared" si="228"/>
        <v>0</v>
      </c>
      <c r="CO327" s="54">
        <f t="shared" si="229"/>
        <v>0</v>
      </c>
      <c r="CP327" s="54">
        <f t="shared" si="230"/>
        <v>0</v>
      </c>
      <c r="CQ327" s="54">
        <f t="shared" si="231"/>
        <v>0</v>
      </c>
      <c r="CR327" s="54">
        <f t="shared" si="232"/>
        <v>0</v>
      </c>
      <c r="CS327" s="54">
        <f t="shared" si="233"/>
        <v>0</v>
      </c>
      <c r="CT327" s="54">
        <f t="shared" si="234"/>
        <v>0</v>
      </c>
      <c r="CU327" s="54">
        <f t="shared" si="235"/>
        <v>0</v>
      </c>
      <c r="CV327" s="52">
        <f t="shared" si="236"/>
        <v>0</v>
      </c>
    </row>
    <row r="328" spans="1:100" ht="15.75" x14ac:dyDescent="0.25">
      <c r="A328" s="17"/>
      <c r="B328" s="17"/>
      <c r="C328" s="17"/>
      <c r="D328" s="17"/>
      <c r="E328" s="17"/>
      <c r="F328" s="32" t="s">
        <v>2950</v>
      </c>
      <c r="G328" s="77"/>
      <c r="H328" s="77"/>
      <c r="I328" s="77"/>
      <c r="J328" s="77"/>
      <c r="K328" s="77"/>
      <c r="L328" s="77"/>
      <c r="M328" s="77"/>
      <c r="N328" s="77"/>
      <c r="O328" s="77"/>
      <c r="P328" s="77"/>
      <c r="Q328" s="77"/>
      <c r="R328" s="77"/>
      <c r="S328" s="11">
        <f t="shared" si="237"/>
        <v>0</v>
      </c>
      <c r="T328" s="5"/>
      <c r="V328" s="46">
        <f t="shared" si="209"/>
        <v>0</v>
      </c>
      <c r="W328" s="36">
        <v>2.6459999999999999</v>
      </c>
      <c r="X328" s="36">
        <v>2.6459999999999999</v>
      </c>
      <c r="Y328" s="36">
        <v>2.6459999999999999</v>
      </c>
      <c r="Z328" s="36">
        <v>2.6459999999999999</v>
      </c>
      <c r="AA328" s="36">
        <v>2.6459999999999999</v>
      </c>
      <c r="AB328" s="36">
        <v>2.6459999999999999</v>
      </c>
      <c r="AC328" s="36">
        <v>2.6459999999999999</v>
      </c>
      <c r="AD328" s="36">
        <v>2.6459999999999999</v>
      </c>
      <c r="AE328" s="36">
        <v>2.6459999999999999</v>
      </c>
      <c r="AF328" s="36">
        <v>2.6459999999999999</v>
      </c>
      <c r="AG328" s="36">
        <v>2.6459999999999999</v>
      </c>
      <c r="AH328" s="36">
        <v>2.6459999999999999</v>
      </c>
      <c r="AI328" s="39">
        <v>1.33634708931066E-2</v>
      </c>
      <c r="AJ328" s="39">
        <v>1.33634708931066E-2</v>
      </c>
      <c r="AK328" s="39">
        <v>1.33634708931066E-2</v>
      </c>
      <c r="AL328" s="39">
        <v>1.33634708931066E-2</v>
      </c>
      <c r="AM328" s="39">
        <v>1.33634708931066E-2</v>
      </c>
      <c r="AN328" s="39">
        <v>1.33634708931066E-2</v>
      </c>
      <c r="AO328" s="39">
        <v>1.33634708931066E-2</v>
      </c>
      <c r="AP328" s="39">
        <v>1.33634708931066E-2</v>
      </c>
      <c r="AQ328" s="39">
        <v>1.33634708931066E-2</v>
      </c>
      <c r="AR328" s="39">
        <v>1.33634708931066E-2</v>
      </c>
      <c r="AS328" s="39">
        <v>1.33634708931066E-2</v>
      </c>
      <c r="AT328" s="39">
        <v>1.33634708931066E-2</v>
      </c>
      <c r="AU328" s="39">
        <v>1.2392217523121999E-3</v>
      </c>
      <c r="AV328" s="39">
        <v>1.2392217523121999E-3</v>
      </c>
      <c r="AW328" s="39">
        <v>1.2392217523121999E-3</v>
      </c>
      <c r="AX328" s="39">
        <v>1.2392217523121999E-3</v>
      </c>
      <c r="AY328" s="39">
        <v>1.2392217523121999E-3</v>
      </c>
      <c r="AZ328" s="39">
        <v>1.2392217523121999E-3</v>
      </c>
      <c r="BA328" s="39">
        <v>1.2392217523121999E-3</v>
      </c>
      <c r="BB328" s="39">
        <v>1.2392217523121999E-3</v>
      </c>
      <c r="BC328" s="39">
        <v>1.2392217523121999E-3</v>
      </c>
      <c r="BD328" s="39">
        <v>1.2392217523121999E-3</v>
      </c>
      <c r="BE328" s="39">
        <v>1.2392217523121999E-3</v>
      </c>
      <c r="BF328" s="39">
        <v>1.2392217523121999E-3</v>
      </c>
      <c r="BH328" s="12">
        <f t="shared" si="199"/>
        <v>0</v>
      </c>
      <c r="BI328" s="12">
        <f t="shared" si="200"/>
        <v>0</v>
      </c>
      <c r="BJ328" s="12">
        <f t="shared" si="201"/>
        <v>0</v>
      </c>
      <c r="BK328" s="12">
        <f t="shared" si="202"/>
        <v>0</v>
      </c>
      <c r="BL328" s="12">
        <f t="shared" si="203"/>
        <v>0</v>
      </c>
      <c r="BM328" s="12">
        <f t="shared" si="204"/>
        <v>0</v>
      </c>
      <c r="BN328" s="12">
        <f t="shared" si="205"/>
        <v>0</v>
      </c>
      <c r="BO328" s="12">
        <f t="shared" si="206"/>
        <v>0</v>
      </c>
      <c r="BP328" s="12">
        <f t="shared" si="207"/>
        <v>0</v>
      </c>
      <c r="BQ328" s="12">
        <f t="shared" si="208"/>
        <v>0</v>
      </c>
      <c r="BR328" s="12">
        <f t="shared" si="210"/>
        <v>0</v>
      </c>
      <c r="BS328" s="12">
        <f t="shared" si="211"/>
        <v>0</v>
      </c>
      <c r="BU328" s="11">
        <f t="shared" si="212"/>
        <v>0</v>
      </c>
      <c r="BV328" s="11">
        <f t="shared" si="213"/>
        <v>0</v>
      </c>
      <c r="BW328" s="11">
        <f t="shared" si="214"/>
        <v>0</v>
      </c>
      <c r="BX328" s="11">
        <f t="shared" si="215"/>
        <v>0</v>
      </c>
      <c r="BY328" s="11">
        <f t="shared" si="216"/>
        <v>0</v>
      </c>
      <c r="BZ328" s="11">
        <f t="shared" si="217"/>
        <v>0</v>
      </c>
      <c r="CA328" s="11">
        <f t="shared" si="218"/>
        <v>0</v>
      </c>
      <c r="CB328" s="11">
        <f t="shared" si="219"/>
        <v>0</v>
      </c>
      <c r="CC328" s="11">
        <f t="shared" si="220"/>
        <v>0</v>
      </c>
      <c r="CD328" s="11">
        <f t="shared" si="221"/>
        <v>0</v>
      </c>
      <c r="CE328" s="11">
        <f t="shared" si="222"/>
        <v>0</v>
      </c>
      <c r="CF328" s="11">
        <f t="shared" si="223"/>
        <v>0</v>
      </c>
      <c r="CG328" s="11"/>
      <c r="CH328" s="41">
        <v>3.23</v>
      </c>
      <c r="CJ328" s="54">
        <f t="shared" si="224"/>
        <v>0</v>
      </c>
      <c r="CK328" s="54">
        <f t="shared" si="225"/>
        <v>0</v>
      </c>
      <c r="CL328" s="54">
        <f t="shared" si="226"/>
        <v>0</v>
      </c>
      <c r="CM328" s="54">
        <f t="shared" si="227"/>
        <v>0</v>
      </c>
      <c r="CN328" s="54">
        <f t="shared" si="228"/>
        <v>0</v>
      </c>
      <c r="CO328" s="54">
        <f t="shared" si="229"/>
        <v>0</v>
      </c>
      <c r="CP328" s="54">
        <f t="shared" si="230"/>
        <v>0</v>
      </c>
      <c r="CQ328" s="54">
        <f t="shared" si="231"/>
        <v>0</v>
      </c>
      <c r="CR328" s="54">
        <f t="shared" si="232"/>
        <v>0</v>
      </c>
      <c r="CS328" s="54">
        <f t="shared" si="233"/>
        <v>0</v>
      </c>
      <c r="CT328" s="54">
        <f t="shared" si="234"/>
        <v>0</v>
      </c>
      <c r="CU328" s="54">
        <f t="shared" si="235"/>
        <v>0</v>
      </c>
      <c r="CV328" s="52">
        <f t="shared" si="236"/>
        <v>0</v>
      </c>
    </row>
    <row r="329" spans="1:100" ht="15.75" x14ac:dyDescent="0.25">
      <c r="A329" s="17"/>
      <c r="B329" s="17"/>
      <c r="C329" s="17"/>
      <c r="D329" s="17"/>
      <c r="E329" s="17"/>
      <c r="F329" s="32" t="s">
        <v>2950</v>
      </c>
      <c r="G329" s="77"/>
      <c r="H329" s="77"/>
      <c r="I329" s="77"/>
      <c r="J329" s="77"/>
      <c r="K329" s="77"/>
      <c r="L329" s="77"/>
      <c r="M329" s="77"/>
      <c r="N329" s="77"/>
      <c r="O329" s="77"/>
      <c r="P329" s="77"/>
      <c r="Q329" s="77"/>
      <c r="R329" s="77"/>
      <c r="S329" s="11">
        <f t="shared" si="237"/>
        <v>0</v>
      </c>
      <c r="T329" s="5"/>
      <c r="V329" s="46">
        <f t="shared" si="209"/>
        <v>0</v>
      </c>
      <c r="W329" s="36">
        <v>2.367</v>
      </c>
      <c r="X329" s="36">
        <v>2.367</v>
      </c>
      <c r="Y329" s="36">
        <v>2.367</v>
      </c>
      <c r="Z329" s="36">
        <v>2.367</v>
      </c>
      <c r="AA329" s="36">
        <v>2.367</v>
      </c>
      <c r="AB329" s="36">
        <v>2.367</v>
      </c>
      <c r="AC329" s="36">
        <v>2.367</v>
      </c>
      <c r="AD329" s="36">
        <v>2.367</v>
      </c>
      <c r="AE329" s="36">
        <v>2.367</v>
      </c>
      <c r="AF329" s="36">
        <v>2.367</v>
      </c>
      <c r="AG329" s="36">
        <v>2.367</v>
      </c>
      <c r="AH329" s="36">
        <v>2.367</v>
      </c>
      <c r="AI329" s="39">
        <v>1.33634708931066E-2</v>
      </c>
      <c r="AJ329" s="39">
        <v>1.33634708931066E-2</v>
      </c>
      <c r="AK329" s="39">
        <v>1.33634708931066E-2</v>
      </c>
      <c r="AL329" s="39">
        <v>1.33634708931066E-2</v>
      </c>
      <c r="AM329" s="39">
        <v>1.33634708931066E-2</v>
      </c>
      <c r="AN329" s="39">
        <v>1.33634708931066E-2</v>
      </c>
      <c r="AO329" s="39">
        <v>1.33634708931066E-2</v>
      </c>
      <c r="AP329" s="39">
        <v>1.33634708931066E-2</v>
      </c>
      <c r="AQ329" s="39">
        <v>1.33634708931066E-2</v>
      </c>
      <c r="AR329" s="39">
        <v>1.33634708931066E-2</v>
      </c>
      <c r="AS329" s="39">
        <v>1.33634708931066E-2</v>
      </c>
      <c r="AT329" s="39">
        <v>1.33634708931066E-2</v>
      </c>
      <c r="AU329" s="39">
        <v>1.2392217523121999E-3</v>
      </c>
      <c r="AV329" s="39">
        <v>1.2392217523121999E-3</v>
      </c>
      <c r="AW329" s="39">
        <v>1.2392217523121999E-3</v>
      </c>
      <c r="AX329" s="39">
        <v>1.2392217523121999E-3</v>
      </c>
      <c r="AY329" s="39">
        <v>1.2392217523121999E-3</v>
      </c>
      <c r="AZ329" s="39">
        <v>1.2392217523121999E-3</v>
      </c>
      <c r="BA329" s="39">
        <v>1.2392217523121999E-3</v>
      </c>
      <c r="BB329" s="39">
        <v>1.2392217523121999E-3</v>
      </c>
      <c r="BC329" s="39">
        <v>1.2392217523121999E-3</v>
      </c>
      <c r="BD329" s="39">
        <v>1.2392217523121999E-3</v>
      </c>
      <c r="BE329" s="39">
        <v>1.2392217523121999E-3</v>
      </c>
      <c r="BF329" s="39">
        <v>1.2392217523121999E-3</v>
      </c>
      <c r="BH329" s="12">
        <f t="shared" si="199"/>
        <v>0</v>
      </c>
      <c r="BI329" s="12">
        <f t="shared" si="200"/>
        <v>0</v>
      </c>
      <c r="BJ329" s="12">
        <f t="shared" si="201"/>
        <v>0</v>
      </c>
      <c r="BK329" s="12">
        <f t="shared" si="202"/>
        <v>0</v>
      </c>
      <c r="BL329" s="12">
        <f t="shared" si="203"/>
        <v>0</v>
      </c>
      <c r="BM329" s="12">
        <f t="shared" si="204"/>
        <v>0</v>
      </c>
      <c r="BN329" s="12">
        <f t="shared" si="205"/>
        <v>0</v>
      </c>
      <c r="BO329" s="12">
        <f t="shared" si="206"/>
        <v>0</v>
      </c>
      <c r="BP329" s="12">
        <f t="shared" si="207"/>
        <v>0</v>
      </c>
      <c r="BQ329" s="12">
        <f t="shared" si="208"/>
        <v>0</v>
      </c>
      <c r="BR329" s="12">
        <f t="shared" si="210"/>
        <v>0</v>
      </c>
      <c r="BS329" s="12">
        <f t="shared" si="211"/>
        <v>0</v>
      </c>
      <c r="BU329" s="11">
        <f t="shared" si="212"/>
        <v>0</v>
      </c>
      <c r="BV329" s="11">
        <f t="shared" si="213"/>
        <v>0</v>
      </c>
      <c r="BW329" s="11">
        <f t="shared" si="214"/>
        <v>0</v>
      </c>
      <c r="BX329" s="11">
        <f t="shared" si="215"/>
        <v>0</v>
      </c>
      <c r="BY329" s="11">
        <f t="shared" si="216"/>
        <v>0</v>
      </c>
      <c r="BZ329" s="11">
        <f t="shared" si="217"/>
        <v>0</v>
      </c>
      <c r="CA329" s="11">
        <f t="shared" si="218"/>
        <v>0</v>
      </c>
      <c r="CB329" s="11">
        <f t="shared" si="219"/>
        <v>0</v>
      </c>
      <c r="CC329" s="11">
        <f t="shared" si="220"/>
        <v>0</v>
      </c>
      <c r="CD329" s="11">
        <f t="shared" si="221"/>
        <v>0</v>
      </c>
      <c r="CE329" s="11">
        <f t="shared" si="222"/>
        <v>0</v>
      </c>
      <c r="CF329" s="11">
        <f t="shared" si="223"/>
        <v>0</v>
      </c>
      <c r="CG329" s="11"/>
      <c r="CH329" s="41">
        <v>3.23</v>
      </c>
      <c r="CJ329" s="54">
        <f t="shared" si="224"/>
        <v>0</v>
      </c>
      <c r="CK329" s="54">
        <f t="shared" si="225"/>
        <v>0</v>
      </c>
      <c r="CL329" s="54">
        <f t="shared" si="226"/>
        <v>0</v>
      </c>
      <c r="CM329" s="54">
        <f t="shared" si="227"/>
        <v>0</v>
      </c>
      <c r="CN329" s="54">
        <f t="shared" si="228"/>
        <v>0</v>
      </c>
      <c r="CO329" s="54">
        <f t="shared" si="229"/>
        <v>0</v>
      </c>
      <c r="CP329" s="54">
        <f t="shared" si="230"/>
        <v>0</v>
      </c>
      <c r="CQ329" s="54">
        <f t="shared" si="231"/>
        <v>0</v>
      </c>
      <c r="CR329" s="54">
        <f t="shared" si="232"/>
        <v>0</v>
      </c>
      <c r="CS329" s="54">
        <f t="shared" si="233"/>
        <v>0</v>
      </c>
      <c r="CT329" s="54">
        <f t="shared" si="234"/>
        <v>0</v>
      </c>
      <c r="CU329" s="54">
        <f t="shared" si="235"/>
        <v>0</v>
      </c>
      <c r="CV329" s="52">
        <f t="shared" si="236"/>
        <v>0</v>
      </c>
    </row>
    <row r="330" spans="1:100" ht="15.75" x14ac:dyDescent="0.25">
      <c r="A330" s="17"/>
      <c r="B330" s="17"/>
      <c r="C330" s="17"/>
      <c r="D330" s="17"/>
      <c r="E330" s="17"/>
      <c r="F330" s="32" t="s">
        <v>2950</v>
      </c>
      <c r="G330" s="77"/>
      <c r="H330" s="77"/>
      <c r="I330" s="77"/>
      <c r="J330" s="77"/>
      <c r="K330" s="77"/>
      <c r="L330" s="77"/>
      <c r="M330" s="77"/>
      <c r="N330" s="77"/>
      <c r="O330" s="77"/>
      <c r="P330" s="77"/>
      <c r="Q330" s="77"/>
      <c r="R330" s="77"/>
      <c r="S330" s="11">
        <f t="shared" si="237"/>
        <v>0</v>
      </c>
      <c r="T330" s="5"/>
      <c r="V330" s="46">
        <f t="shared" si="209"/>
        <v>0</v>
      </c>
      <c r="W330" s="36">
        <v>3.0640000000000001</v>
      </c>
      <c r="X330" s="36">
        <v>3.0640000000000001</v>
      </c>
      <c r="Y330" s="36">
        <v>3.0640000000000001</v>
      </c>
      <c r="Z330" s="36">
        <v>3.0640000000000001</v>
      </c>
      <c r="AA330" s="36">
        <v>3.0640000000000001</v>
      </c>
      <c r="AB330" s="36">
        <v>3.0640000000000001</v>
      </c>
      <c r="AC330" s="36">
        <v>3.0640000000000001</v>
      </c>
      <c r="AD330" s="36">
        <v>3.0640000000000001</v>
      </c>
      <c r="AE330" s="36">
        <v>3.0640000000000001</v>
      </c>
      <c r="AF330" s="36">
        <v>3.0640000000000001</v>
      </c>
      <c r="AG330" s="36">
        <v>3.0640000000000001</v>
      </c>
      <c r="AH330" s="36">
        <v>3.0640000000000001</v>
      </c>
      <c r="AI330" s="39">
        <v>1.33634708931066E-2</v>
      </c>
      <c r="AJ330" s="39">
        <v>1.33634708931066E-2</v>
      </c>
      <c r="AK330" s="39">
        <v>1.33634708931066E-2</v>
      </c>
      <c r="AL330" s="39">
        <v>1.33634708931066E-2</v>
      </c>
      <c r="AM330" s="39">
        <v>1.33634708931066E-2</v>
      </c>
      <c r="AN330" s="39">
        <v>1.33634708931066E-2</v>
      </c>
      <c r="AO330" s="39">
        <v>1.33634708931066E-2</v>
      </c>
      <c r="AP330" s="39">
        <v>1.33634708931066E-2</v>
      </c>
      <c r="AQ330" s="39">
        <v>1.33634708931066E-2</v>
      </c>
      <c r="AR330" s="39">
        <v>1.33634708931066E-2</v>
      </c>
      <c r="AS330" s="39">
        <v>1.33634708931066E-2</v>
      </c>
      <c r="AT330" s="39">
        <v>1.33634708931066E-2</v>
      </c>
      <c r="AU330" s="39">
        <v>1.2392217523121999E-3</v>
      </c>
      <c r="AV330" s="39">
        <v>1.2392217523121999E-3</v>
      </c>
      <c r="AW330" s="39">
        <v>1.2392217523121999E-3</v>
      </c>
      <c r="AX330" s="39">
        <v>1.2392217523121999E-3</v>
      </c>
      <c r="AY330" s="39">
        <v>1.2392217523121999E-3</v>
      </c>
      <c r="AZ330" s="39">
        <v>1.2392217523121999E-3</v>
      </c>
      <c r="BA330" s="39">
        <v>1.2392217523121999E-3</v>
      </c>
      <c r="BB330" s="39">
        <v>1.2392217523121999E-3</v>
      </c>
      <c r="BC330" s="39">
        <v>1.2392217523121999E-3</v>
      </c>
      <c r="BD330" s="39">
        <v>1.2392217523121999E-3</v>
      </c>
      <c r="BE330" s="39">
        <v>1.2392217523121999E-3</v>
      </c>
      <c r="BF330" s="39">
        <v>1.2392217523121999E-3</v>
      </c>
      <c r="BH330" s="12">
        <f t="shared" si="199"/>
        <v>0</v>
      </c>
      <c r="BI330" s="12">
        <f t="shared" si="200"/>
        <v>0</v>
      </c>
      <c r="BJ330" s="12">
        <f t="shared" si="201"/>
        <v>0</v>
      </c>
      <c r="BK330" s="12">
        <f t="shared" si="202"/>
        <v>0</v>
      </c>
      <c r="BL330" s="12">
        <f t="shared" si="203"/>
        <v>0</v>
      </c>
      <c r="BM330" s="12">
        <f t="shared" si="204"/>
        <v>0</v>
      </c>
      <c r="BN330" s="12">
        <f t="shared" si="205"/>
        <v>0</v>
      </c>
      <c r="BO330" s="12">
        <f t="shared" si="206"/>
        <v>0</v>
      </c>
      <c r="BP330" s="12">
        <f t="shared" si="207"/>
        <v>0</v>
      </c>
      <c r="BQ330" s="12">
        <f t="shared" si="208"/>
        <v>0</v>
      </c>
      <c r="BR330" s="12">
        <f t="shared" si="210"/>
        <v>0</v>
      </c>
      <c r="BS330" s="12">
        <f t="shared" si="211"/>
        <v>0</v>
      </c>
      <c r="BU330" s="11">
        <f t="shared" si="212"/>
        <v>0</v>
      </c>
      <c r="BV330" s="11">
        <f t="shared" si="213"/>
        <v>0</v>
      </c>
      <c r="BW330" s="11">
        <f t="shared" si="214"/>
        <v>0</v>
      </c>
      <c r="BX330" s="11">
        <f t="shared" si="215"/>
        <v>0</v>
      </c>
      <c r="BY330" s="11">
        <f t="shared" si="216"/>
        <v>0</v>
      </c>
      <c r="BZ330" s="11">
        <f t="shared" si="217"/>
        <v>0</v>
      </c>
      <c r="CA330" s="11">
        <f t="shared" si="218"/>
        <v>0</v>
      </c>
      <c r="CB330" s="11">
        <f t="shared" si="219"/>
        <v>0</v>
      </c>
      <c r="CC330" s="11">
        <f t="shared" si="220"/>
        <v>0</v>
      </c>
      <c r="CD330" s="11">
        <f t="shared" si="221"/>
        <v>0</v>
      </c>
      <c r="CE330" s="11">
        <f t="shared" si="222"/>
        <v>0</v>
      </c>
      <c r="CF330" s="11">
        <f t="shared" si="223"/>
        <v>0</v>
      </c>
      <c r="CG330" s="11"/>
      <c r="CH330" s="41">
        <v>3.23</v>
      </c>
      <c r="CJ330" s="54">
        <f t="shared" si="224"/>
        <v>0</v>
      </c>
      <c r="CK330" s="54">
        <f t="shared" si="225"/>
        <v>0</v>
      </c>
      <c r="CL330" s="54">
        <f t="shared" si="226"/>
        <v>0</v>
      </c>
      <c r="CM330" s="54">
        <f t="shared" si="227"/>
        <v>0</v>
      </c>
      <c r="CN330" s="54">
        <f t="shared" si="228"/>
        <v>0</v>
      </c>
      <c r="CO330" s="54">
        <f t="shared" si="229"/>
        <v>0</v>
      </c>
      <c r="CP330" s="54">
        <f t="shared" si="230"/>
        <v>0</v>
      </c>
      <c r="CQ330" s="54">
        <f t="shared" si="231"/>
        <v>0</v>
      </c>
      <c r="CR330" s="54">
        <f t="shared" si="232"/>
        <v>0</v>
      </c>
      <c r="CS330" s="54">
        <f t="shared" si="233"/>
        <v>0</v>
      </c>
      <c r="CT330" s="54">
        <f t="shared" si="234"/>
        <v>0</v>
      </c>
      <c r="CU330" s="54">
        <f t="shared" si="235"/>
        <v>0</v>
      </c>
      <c r="CV330" s="52">
        <f t="shared" si="236"/>
        <v>0</v>
      </c>
    </row>
    <row r="331" spans="1:100" ht="15.75" x14ac:dyDescent="0.25">
      <c r="A331" s="17"/>
      <c r="B331" s="17"/>
      <c r="C331" s="17"/>
      <c r="D331" s="17"/>
      <c r="E331" s="17"/>
      <c r="F331" s="32" t="s">
        <v>2950</v>
      </c>
      <c r="G331" s="77"/>
      <c r="H331" s="77"/>
      <c r="I331" s="77"/>
      <c r="J331" s="77"/>
      <c r="K331" s="77"/>
      <c r="L331" s="77"/>
      <c r="M331" s="77"/>
      <c r="N331" s="77"/>
      <c r="O331" s="77"/>
      <c r="P331" s="77"/>
      <c r="Q331" s="77"/>
      <c r="R331" s="77"/>
      <c r="S331" s="11">
        <f t="shared" si="237"/>
        <v>0</v>
      </c>
      <c r="T331" s="5"/>
      <c r="V331" s="46">
        <f t="shared" si="209"/>
        <v>0</v>
      </c>
      <c r="W331" s="36">
        <v>2.6280000000000001</v>
      </c>
      <c r="X331" s="36">
        <v>2.6280000000000001</v>
      </c>
      <c r="Y331" s="36">
        <v>2.6280000000000001</v>
      </c>
      <c r="Z331" s="36">
        <v>2.6280000000000001</v>
      </c>
      <c r="AA331" s="36">
        <v>2.6280000000000001</v>
      </c>
      <c r="AB331" s="36">
        <v>2.6280000000000001</v>
      </c>
      <c r="AC331" s="36">
        <v>2.6280000000000001</v>
      </c>
      <c r="AD331" s="36">
        <v>2.6280000000000001</v>
      </c>
      <c r="AE331" s="36">
        <v>2.6280000000000001</v>
      </c>
      <c r="AF331" s="36">
        <v>2.6280000000000001</v>
      </c>
      <c r="AG331" s="36">
        <v>2.6280000000000001</v>
      </c>
      <c r="AH331" s="36">
        <v>2.6280000000000001</v>
      </c>
      <c r="AI331" s="39">
        <v>1.33634708931066E-2</v>
      </c>
      <c r="AJ331" s="39">
        <v>1.33634708931066E-2</v>
      </c>
      <c r="AK331" s="39">
        <v>1.33634708931066E-2</v>
      </c>
      <c r="AL331" s="39">
        <v>1.33634708931066E-2</v>
      </c>
      <c r="AM331" s="39">
        <v>1.33634708931066E-2</v>
      </c>
      <c r="AN331" s="39">
        <v>1.33634708931066E-2</v>
      </c>
      <c r="AO331" s="39">
        <v>1.33634708931066E-2</v>
      </c>
      <c r="AP331" s="39">
        <v>1.33634708931066E-2</v>
      </c>
      <c r="AQ331" s="39">
        <v>1.33634708931066E-2</v>
      </c>
      <c r="AR331" s="39">
        <v>1.33634708931066E-2</v>
      </c>
      <c r="AS331" s="39">
        <v>1.33634708931066E-2</v>
      </c>
      <c r="AT331" s="39">
        <v>1.33634708931066E-2</v>
      </c>
      <c r="AU331" s="39">
        <v>1.2392217523121999E-3</v>
      </c>
      <c r="AV331" s="39">
        <v>1.2392217523121999E-3</v>
      </c>
      <c r="AW331" s="39">
        <v>1.2392217523121999E-3</v>
      </c>
      <c r="AX331" s="39">
        <v>1.2392217523121999E-3</v>
      </c>
      <c r="AY331" s="39">
        <v>1.2392217523121999E-3</v>
      </c>
      <c r="AZ331" s="39">
        <v>1.2392217523121999E-3</v>
      </c>
      <c r="BA331" s="39">
        <v>1.2392217523121999E-3</v>
      </c>
      <c r="BB331" s="39">
        <v>1.2392217523121999E-3</v>
      </c>
      <c r="BC331" s="39">
        <v>1.2392217523121999E-3</v>
      </c>
      <c r="BD331" s="39">
        <v>1.2392217523121999E-3</v>
      </c>
      <c r="BE331" s="39">
        <v>1.2392217523121999E-3</v>
      </c>
      <c r="BF331" s="39">
        <v>1.2392217523121999E-3</v>
      </c>
      <c r="BH331" s="12">
        <f t="shared" si="199"/>
        <v>0</v>
      </c>
      <c r="BI331" s="12">
        <f t="shared" si="200"/>
        <v>0</v>
      </c>
      <c r="BJ331" s="12">
        <f t="shared" si="201"/>
        <v>0</v>
      </c>
      <c r="BK331" s="12">
        <f t="shared" si="202"/>
        <v>0</v>
      </c>
      <c r="BL331" s="12">
        <f t="shared" si="203"/>
        <v>0</v>
      </c>
      <c r="BM331" s="12">
        <f t="shared" si="204"/>
        <v>0</v>
      </c>
      <c r="BN331" s="12">
        <f t="shared" si="205"/>
        <v>0</v>
      </c>
      <c r="BO331" s="12">
        <f t="shared" si="206"/>
        <v>0</v>
      </c>
      <c r="BP331" s="12">
        <f t="shared" si="207"/>
        <v>0</v>
      </c>
      <c r="BQ331" s="12">
        <f t="shared" si="208"/>
        <v>0</v>
      </c>
      <c r="BR331" s="12">
        <f t="shared" si="210"/>
        <v>0</v>
      </c>
      <c r="BS331" s="12">
        <f t="shared" si="211"/>
        <v>0</v>
      </c>
      <c r="BU331" s="11">
        <f t="shared" si="212"/>
        <v>0</v>
      </c>
      <c r="BV331" s="11">
        <f t="shared" si="213"/>
        <v>0</v>
      </c>
      <c r="BW331" s="11">
        <f t="shared" si="214"/>
        <v>0</v>
      </c>
      <c r="BX331" s="11">
        <f t="shared" si="215"/>
        <v>0</v>
      </c>
      <c r="BY331" s="11">
        <f t="shared" si="216"/>
        <v>0</v>
      </c>
      <c r="BZ331" s="11">
        <f t="shared" si="217"/>
        <v>0</v>
      </c>
      <c r="CA331" s="11">
        <f t="shared" si="218"/>
        <v>0</v>
      </c>
      <c r="CB331" s="11">
        <f t="shared" si="219"/>
        <v>0</v>
      </c>
      <c r="CC331" s="11">
        <f t="shared" si="220"/>
        <v>0</v>
      </c>
      <c r="CD331" s="11">
        <f t="shared" si="221"/>
        <v>0</v>
      </c>
      <c r="CE331" s="11">
        <f t="shared" si="222"/>
        <v>0</v>
      </c>
      <c r="CF331" s="11">
        <f t="shared" si="223"/>
        <v>0</v>
      </c>
      <c r="CG331" s="11"/>
      <c r="CH331" s="41">
        <v>3.23</v>
      </c>
      <c r="CJ331" s="54">
        <f t="shared" si="224"/>
        <v>0</v>
      </c>
      <c r="CK331" s="54">
        <f t="shared" si="225"/>
        <v>0</v>
      </c>
      <c r="CL331" s="54">
        <f t="shared" si="226"/>
        <v>0</v>
      </c>
      <c r="CM331" s="54">
        <f t="shared" si="227"/>
        <v>0</v>
      </c>
      <c r="CN331" s="54">
        <f t="shared" si="228"/>
        <v>0</v>
      </c>
      <c r="CO331" s="54">
        <f t="shared" si="229"/>
        <v>0</v>
      </c>
      <c r="CP331" s="54">
        <f t="shared" si="230"/>
        <v>0</v>
      </c>
      <c r="CQ331" s="54">
        <f t="shared" si="231"/>
        <v>0</v>
      </c>
      <c r="CR331" s="54">
        <f t="shared" si="232"/>
        <v>0</v>
      </c>
      <c r="CS331" s="54">
        <f t="shared" si="233"/>
        <v>0</v>
      </c>
      <c r="CT331" s="54">
        <f t="shared" si="234"/>
        <v>0</v>
      </c>
      <c r="CU331" s="54">
        <f t="shared" si="235"/>
        <v>0</v>
      </c>
      <c r="CV331" s="52">
        <f t="shared" si="236"/>
        <v>0</v>
      </c>
    </row>
    <row r="332" spans="1:100" ht="15.75" x14ac:dyDescent="0.25">
      <c r="A332" s="17"/>
      <c r="B332" s="17"/>
      <c r="C332" s="17"/>
      <c r="D332" s="17"/>
      <c r="E332" s="17"/>
      <c r="F332" s="32" t="s">
        <v>2950</v>
      </c>
      <c r="G332" s="77"/>
      <c r="H332" s="77"/>
      <c r="I332" s="77"/>
      <c r="J332" s="77"/>
      <c r="K332" s="77"/>
      <c r="L332" s="77"/>
      <c r="M332" s="77"/>
      <c r="N332" s="77"/>
      <c r="O332" s="77"/>
      <c r="P332" s="77"/>
      <c r="Q332" s="77"/>
      <c r="R332" s="77"/>
      <c r="S332" s="11">
        <f t="shared" si="237"/>
        <v>0</v>
      </c>
      <c r="T332" s="5"/>
      <c r="V332" s="46">
        <f t="shared" si="209"/>
        <v>0</v>
      </c>
      <c r="W332" s="36">
        <v>5.1070000000000002</v>
      </c>
      <c r="X332" s="36">
        <v>5.1070000000000002</v>
      </c>
      <c r="Y332" s="36">
        <v>5.1070000000000002</v>
      </c>
      <c r="Z332" s="36">
        <v>5.1070000000000002</v>
      </c>
      <c r="AA332" s="36">
        <v>5.1070000000000002</v>
      </c>
      <c r="AB332" s="36">
        <v>5.1070000000000002</v>
      </c>
      <c r="AC332" s="36">
        <v>5.1070000000000002</v>
      </c>
      <c r="AD332" s="36">
        <v>5.1070000000000002</v>
      </c>
      <c r="AE332" s="36">
        <v>5.1070000000000002</v>
      </c>
      <c r="AF332" s="36">
        <v>5.1070000000000002</v>
      </c>
      <c r="AG332" s="36">
        <v>5.1070000000000002</v>
      </c>
      <c r="AH332" s="36">
        <v>5.1070000000000002</v>
      </c>
      <c r="AI332" s="39">
        <v>1.33634708931066E-2</v>
      </c>
      <c r="AJ332" s="39">
        <v>1.33634708931066E-2</v>
      </c>
      <c r="AK332" s="39">
        <v>1.33634708931066E-2</v>
      </c>
      <c r="AL332" s="39">
        <v>1.33634708931066E-2</v>
      </c>
      <c r="AM332" s="39">
        <v>1.33634708931066E-2</v>
      </c>
      <c r="AN332" s="39">
        <v>1.33634708931066E-2</v>
      </c>
      <c r="AO332" s="39">
        <v>1.33634708931066E-2</v>
      </c>
      <c r="AP332" s="39">
        <v>1.33634708931066E-2</v>
      </c>
      <c r="AQ332" s="39">
        <v>1.33634708931066E-2</v>
      </c>
      <c r="AR332" s="39">
        <v>1.33634708931066E-2</v>
      </c>
      <c r="AS332" s="39">
        <v>1.33634708931066E-2</v>
      </c>
      <c r="AT332" s="39">
        <v>1.33634708931066E-2</v>
      </c>
      <c r="AU332" s="39">
        <v>1.2392217523121999E-3</v>
      </c>
      <c r="AV332" s="39">
        <v>1.2392217523121999E-3</v>
      </c>
      <c r="AW332" s="39">
        <v>1.2392217523121999E-3</v>
      </c>
      <c r="AX332" s="39">
        <v>1.2392217523121999E-3</v>
      </c>
      <c r="AY332" s="39">
        <v>1.2392217523121999E-3</v>
      </c>
      <c r="AZ332" s="39">
        <v>1.2392217523121999E-3</v>
      </c>
      <c r="BA332" s="39">
        <v>1.2392217523121999E-3</v>
      </c>
      <c r="BB332" s="39">
        <v>1.2392217523121999E-3</v>
      </c>
      <c r="BC332" s="39">
        <v>1.2392217523121999E-3</v>
      </c>
      <c r="BD332" s="39">
        <v>1.2392217523121999E-3</v>
      </c>
      <c r="BE332" s="39">
        <v>1.2392217523121999E-3</v>
      </c>
      <c r="BF332" s="39">
        <v>1.2392217523121999E-3</v>
      </c>
      <c r="BH332" s="12">
        <f t="shared" si="199"/>
        <v>0</v>
      </c>
      <c r="BI332" s="12">
        <f t="shared" si="200"/>
        <v>0</v>
      </c>
      <c r="BJ332" s="12">
        <f t="shared" si="201"/>
        <v>0</v>
      </c>
      <c r="BK332" s="12">
        <f t="shared" si="202"/>
        <v>0</v>
      </c>
      <c r="BL332" s="12">
        <f t="shared" si="203"/>
        <v>0</v>
      </c>
      <c r="BM332" s="12">
        <f t="shared" si="204"/>
        <v>0</v>
      </c>
      <c r="BN332" s="12">
        <f t="shared" si="205"/>
        <v>0</v>
      </c>
      <c r="BO332" s="12">
        <f t="shared" si="206"/>
        <v>0</v>
      </c>
      <c r="BP332" s="12">
        <f t="shared" si="207"/>
        <v>0</v>
      </c>
      <c r="BQ332" s="12">
        <f t="shared" si="208"/>
        <v>0</v>
      </c>
      <c r="BR332" s="12">
        <f t="shared" si="210"/>
        <v>0</v>
      </c>
      <c r="BS332" s="12">
        <f t="shared" si="211"/>
        <v>0</v>
      </c>
      <c r="BU332" s="11">
        <f t="shared" si="212"/>
        <v>0</v>
      </c>
      <c r="BV332" s="11">
        <f t="shared" si="213"/>
        <v>0</v>
      </c>
      <c r="BW332" s="11">
        <f t="shared" si="214"/>
        <v>0</v>
      </c>
      <c r="BX332" s="11">
        <f t="shared" si="215"/>
        <v>0</v>
      </c>
      <c r="BY332" s="11">
        <f t="shared" si="216"/>
        <v>0</v>
      </c>
      <c r="BZ332" s="11">
        <f t="shared" si="217"/>
        <v>0</v>
      </c>
      <c r="CA332" s="11">
        <f t="shared" si="218"/>
        <v>0</v>
      </c>
      <c r="CB332" s="11">
        <f t="shared" si="219"/>
        <v>0</v>
      </c>
      <c r="CC332" s="11">
        <f t="shared" si="220"/>
        <v>0</v>
      </c>
      <c r="CD332" s="11">
        <f t="shared" si="221"/>
        <v>0</v>
      </c>
      <c r="CE332" s="11">
        <f t="shared" si="222"/>
        <v>0</v>
      </c>
      <c r="CF332" s="11">
        <f t="shared" si="223"/>
        <v>0</v>
      </c>
      <c r="CG332" s="11"/>
      <c r="CH332" s="41">
        <v>3.23</v>
      </c>
      <c r="CJ332" s="54">
        <f t="shared" si="224"/>
        <v>0</v>
      </c>
      <c r="CK332" s="54">
        <f t="shared" si="225"/>
        <v>0</v>
      </c>
      <c r="CL332" s="54">
        <f t="shared" si="226"/>
        <v>0</v>
      </c>
      <c r="CM332" s="54">
        <f t="shared" si="227"/>
        <v>0</v>
      </c>
      <c r="CN332" s="54">
        <f t="shared" si="228"/>
        <v>0</v>
      </c>
      <c r="CO332" s="54">
        <f t="shared" si="229"/>
        <v>0</v>
      </c>
      <c r="CP332" s="54">
        <f t="shared" si="230"/>
        <v>0</v>
      </c>
      <c r="CQ332" s="54">
        <f t="shared" si="231"/>
        <v>0</v>
      </c>
      <c r="CR332" s="54">
        <f t="shared" si="232"/>
        <v>0</v>
      </c>
      <c r="CS332" s="54">
        <f t="shared" si="233"/>
        <v>0</v>
      </c>
      <c r="CT332" s="54">
        <f t="shared" si="234"/>
        <v>0</v>
      </c>
      <c r="CU332" s="54">
        <f t="shared" si="235"/>
        <v>0</v>
      </c>
      <c r="CV332" s="52">
        <f t="shared" si="236"/>
        <v>0</v>
      </c>
    </row>
    <row r="333" spans="1:100" ht="15.75" x14ac:dyDescent="0.25">
      <c r="A333" s="17"/>
      <c r="B333" s="17"/>
      <c r="C333" s="17"/>
      <c r="D333" s="17"/>
      <c r="E333" s="17"/>
      <c r="F333" s="32" t="s">
        <v>2950</v>
      </c>
      <c r="G333" s="77"/>
      <c r="H333" s="77"/>
      <c r="I333" s="77"/>
      <c r="J333" s="77"/>
      <c r="K333" s="77"/>
      <c r="L333" s="77"/>
      <c r="M333" s="77"/>
      <c r="N333" s="77"/>
      <c r="O333" s="77"/>
      <c r="P333" s="77"/>
      <c r="Q333" s="77"/>
      <c r="R333" s="77"/>
      <c r="S333" s="11">
        <f t="shared" si="237"/>
        <v>0</v>
      </c>
      <c r="T333" s="5"/>
      <c r="V333" s="46">
        <f t="shared" si="209"/>
        <v>0</v>
      </c>
      <c r="W333" s="36">
        <v>3.2559999999999998</v>
      </c>
      <c r="X333" s="36">
        <v>3.2559999999999998</v>
      </c>
      <c r="Y333" s="36">
        <v>3.2559999999999998</v>
      </c>
      <c r="Z333" s="36">
        <v>3.2559999999999998</v>
      </c>
      <c r="AA333" s="36">
        <v>3.2559999999999998</v>
      </c>
      <c r="AB333" s="36">
        <v>3.2559999999999998</v>
      </c>
      <c r="AC333" s="36">
        <v>3.2559999999999998</v>
      </c>
      <c r="AD333" s="36">
        <v>3.2559999999999998</v>
      </c>
      <c r="AE333" s="36">
        <v>3.2559999999999998</v>
      </c>
      <c r="AF333" s="36">
        <v>3.2559999999999998</v>
      </c>
      <c r="AG333" s="36">
        <v>3.2559999999999998</v>
      </c>
      <c r="AH333" s="36">
        <v>3.2559999999999998</v>
      </c>
      <c r="AI333" s="39">
        <v>1.33634708931066E-2</v>
      </c>
      <c r="AJ333" s="39">
        <v>1.33634708931066E-2</v>
      </c>
      <c r="AK333" s="39">
        <v>1.33634708931066E-2</v>
      </c>
      <c r="AL333" s="39">
        <v>1.33634708931066E-2</v>
      </c>
      <c r="AM333" s="39">
        <v>1.33634708931066E-2</v>
      </c>
      <c r="AN333" s="39">
        <v>1.33634708931066E-2</v>
      </c>
      <c r="AO333" s="39">
        <v>1.33634708931066E-2</v>
      </c>
      <c r="AP333" s="39">
        <v>1.33634708931066E-2</v>
      </c>
      <c r="AQ333" s="39">
        <v>1.33634708931066E-2</v>
      </c>
      <c r="AR333" s="39">
        <v>1.33634708931066E-2</v>
      </c>
      <c r="AS333" s="39">
        <v>1.33634708931066E-2</v>
      </c>
      <c r="AT333" s="39">
        <v>1.33634708931066E-2</v>
      </c>
      <c r="AU333" s="39">
        <v>1.2392217523121999E-3</v>
      </c>
      <c r="AV333" s="39">
        <v>1.2392217523121999E-3</v>
      </c>
      <c r="AW333" s="39">
        <v>1.2392217523121999E-3</v>
      </c>
      <c r="AX333" s="39">
        <v>1.2392217523121999E-3</v>
      </c>
      <c r="AY333" s="39">
        <v>1.2392217523121999E-3</v>
      </c>
      <c r="AZ333" s="39">
        <v>1.2392217523121999E-3</v>
      </c>
      <c r="BA333" s="39">
        <v>1.2392217523121999E-3</v>
      </c>
      <c r="BB333" s="39">
        <v>1.2392217523121999E-3</v>
      </c>
      <c r="BC333" s="39">
        <v>1.2392217523121999E-3</v>
      </c>
      <c r="BD333" s="39">
        <v>1.2392217523121999E-3</v>
      </c>
      <c r="BE333" s="39">
        <v>1.2392217523121999E-3</v>
      </c>
      <c r="BF333" s="39">
        <v>1.2392217523121999E-3</v>
      </c>
      <c r="BH333" s="12">
        <f t="shared" si="199"/>
        <v>0</v>
      </c>
      <c r="BI333" s="12">
        <f t="shared" si="200"/>
        <v>0</v>
      </c>
      <c r="BJ333" s="12">
        <f t="shared" si="201"/>
        <v>0</v>
      </c>
      <c r="BK333" s="12">
        <f t="shared" si="202"/>
        <v>0</v>
      </c>
      <c r="BL333" s="12">
        <f t="shared" si="203"/>
        <v>0</v>
      </c>
      <c r="BM333" s="12">
        <f t="shared" si="204"/>
        <v>0</v>
      </c>
      <c r="BN333" s="12">
        <f t="shared" si="205"/>
        <v>0</v>
      </c>
      <c r="BO333" s="12">
        <f t="shared" si="206"/>
        <v>0</v>
      </c>
      <c r="BP333" s="12">
        <f t="shared" si="207"/>
        <v>0</v>
      </c>
      <c r="BQ333" s="12">
        <f t="shared" si="208"/>
        <v>0</v>
      </c>
      <c r="BR333" s="12">
        <f t="shared" si="210"/>
        <v>0</v>
      </c>
      <c r="BS333" s="12">
        <f t="shared" si="211"/>
        <v>0</v>
      </c>
      <c r="BU333" s="11">
        <f t="shared" si="212"/>
        <v>0</v>
      </c>
      <c r="BV333" s="11">
        <f t="shared" si="213"/>
        <v>0</v>
      </c>
      <c r="BW333" s="11">
        <f t="shared" si="214"/>
        <v>0</v>
      </c>
      <c r="BX333" s="11">
        <f t="shared" si="215"/>
        <v>0</v>
      </c>
      <c r="BY333" s="11">
        <f t="shared" si="216"/>
        <v>0</v>
      </c>
      <c r="BZ333" s="11">
        <f t="shared" si="217"/>
        <v>0</v>
      </c>
      <c r="CA333" s="11">
        <f t="shared" si="218"/>
        <v>0</v>
      </c>
      <c r="CB333" s="11">
        <f t="shared" si="219"/>
        <v>0</v>
      </c>
      <c r="CC333" s="11">
        <f t="shared" si="220"/>
        <v>0</v>
      </c>
      <c r="CD333" s="11">
        <f t="shared" si="221"/>
        <v>0</v>
      </c>
      <c r="CE333" s="11">
        <f t="shared" si="222"/>
        <v>0</v>
      </c>
      <c r="CF333" s="11">
        <f t="shared" si="223"/>
        <v>0</v>
      </c>
      <c r="CG333" s="11"/>
      <c r="CH333" s="41">
        <v>3.23</v>
      </c>
      <c r="CJ333" s="54">
        <f t="shared" si="224"/>
        <v>0</v>
      </c>
      <c r="CK333" s="54">
        <f t="shared" si="225"/>
        <v>0</v>
      </c>
      <c r="CL333" s="54">
        <f t="shared" si="226"/>
        <v>0</v>
      </c>
      <c r="CM333" s="54">
        <f t="shared" si="227"/>
        <v>0</v>
      </c>
      <c r="CN333" s="54">
        <f t="shared" si="228"/>
        <v>0</v>
      </c>
      <c r="CO333" s="54">
        <f t="shared" si="229"/>
        <v>0</v>
      </c>
      <c r="CP333" s="54">
        <f t="shared" si="230"/>
        <v>0</v>
      </c>
      <c r="CQ333" s="54">
        <f t="shared" si="231"/>
        <v>0</v>
      </c>
      <c r="CR333" s="54">
        <f t="shared" si="232"/>
        <v>0</v>
      </c>
      <c r="CS333" s="54">
        <f t="shared" si="233"/>
        <v>0</v>
      </c>
      <c r="CT333" s="54">
        <f t="shared" si="234"/>
        <v>0</v>
      </c>
      <c r="CU333" s="54">
        <f t="shared" si="235"/>
        <v>0</v>
      </c>
      <c r="CV333" s="52">
        <f t="shared" si="236"/>
        <v>0</v>
      </c>
    </row>
    <row r="334" spans="1:100" ht="15.75" x14ac:dyDescent="0.25">
      <c r="A334" s="17"/>
      <c r="B334" s="17"/>
      <c r="C334" s="17"/>
      <c r="D334" s="17"/>
      <c r="E334" s="17"/>
      <c r="F334" s="32" t="s">
        <v>2950</v>
      </c>
      <c r="G334" s="77"/>
      <c r="H334" s="77"/>
      <c r="I334" s="77"/>
      <c r="J334" s="77"/>
      <c r="K334" s="77"/>
      <c r="L334" s="77"/>
      <c r="M334" s="77"/>
      <c r="N334" s="77"/>
      <c r="O334" s="77"/>
      <c r="P334" s="77"/>
      <c r="Q334" s="77"/>
      <c r="R334" s="77"/>
      <c r="S334" s="11">
        <f t="shared" si="237"/>
        <v>0</v>
      </c>
      <c r="T334" s="5"/>
      <c r="V334" s="46">
        <f t="shared" si="209"/>
        <v>0</v>
      </c>
      <c r="W334" s="36">
        <v>1.4350000000000001</v>
      </c>
      <c r="X334" s="36">
        <v>1.4350000000000001</v>
      </c>
      <c r="Y334" s="36">
        <v>1.4350000000000001</v>
      </c>
      <c r="Z334" s="36">
        <v>1.4350000000000001</v>
      </c>
      <c r="AA334" s="36">
        <v>1.4350000000000001</v>
      </c>
      <c r="AB334" s="36">
        <v>1.4350000000000001</v>
      </c>
      <c r="AC334" s="36">
        <v>1.4350000000000001</v>
      </c>
      <c r="AD334" s="36">
        <v>1.4350000000000001</v>
      </c>
      <c r="AE334" s="36">
        <v>1.4350000000000001</v>
      </c>
      <c r="AF334" s="36">
        <v>1.4350000000000001</v>
      </c>
      <c r="AG334" s="36">
        <v>1.4350000000000001</v>
      </c>
      <c r="AH334" s="36">
        <v>1.4350000000000001</v>
      </c>
      <c r="AI334" s="39">
        <v>1.33634708931066E-2</v>
      </c>
      <c r="AJ334" s="39">
        <v>1.33634708931066E-2</v>
      </c>
      <c r="AK334" s="39">
        <v>1.33634708931066E-2</v>
      </c>
      <c r="AL334" s="39">
        <v>1.33634708931066E-2</v>
      </c>
      <c r="AM334" s="39">
        <v>1.33634708931066E-2</v>
      </c>
      <c r="AN334" s="39">
        <v>1.33634708931066E-2</v>
      </c>
      <c r="AO334" s="39">
        <v>1.33634708931066E-2</v>
      </c>
      <c r="AP334" s="39">
        <v>1.33634708931066E-2</v>
      </c>
      <c r="AQ334" s="39">
        <v>1.33634708931066E-2</v>
      </c>
      <c r="AR334" s="39">
        <v>1.33634708931066E-2</v>
      </c>
      <c r="AS334" s="39">
        <v>1.33634708931066E-2</v>
      </c>
      <c r="AT334" s="39">
        <v>1.33634708931066E-2</v>
      </c>
      <c r="AU334" s="39">
        <v>1.2392217523121999E-3</v>
      </c>
      <c r="AV334" s="39">
        <v>1.2392217523121999E-3</v>
      </c>
      <c r="AW334" s="39">
        <v>1.2392217523121999E-3</v>
      </c>
      <c r="AX334" s="39">
        <v>1.2392217523121999E-3</v>
      </c>
      <c r="AY334" s="39">
        <v>1.2392217523121999E-3</v>
      </c>
      <c r="AZ334" s="39">
        <v>1.2392217523121999E-3</v>
      </c>
      <c r="BA334" s="39">
        <v>1.2392217523121999E-3</v>
      </c>
      <c r="BB334" s="39">
        <v>1.2392217523121999E-3</v>
      </c>
      <c r="BC334" s="39">
        <v>1.2392217523121999E-3</v>
      </c>
      <c r="BD334" s="39">
        <v>1.2392217523121999E-3</v>
      </c>
      <c r="BE334" s="39">
        <v>1.2392217523121999E-3</v>
      </c>
      <c r="BF334" s="39">
        <v>1.2392217523121999E-3</v>
      </c>
      <c r="BH334" s="12">
        <f t="shared" si="199"/>
        <v>0</v>
      </c>
      <c r="BI334" s="12">
        <f t="shared" si="200"/>
        <v>0</v>
      </c>
      <c r="BJ334" s="12">
        <f t="shared" si="201"/>
        <v>0</v>
      </c>
      <c r="BK334" s="12">
        <f t="shared" si="202"/>
        <v>0</v>
      </c>
      <c r="BL334" s="12">
        <f t="shared" si="203"/>
        <v>0</v>
      </c>
      <c r="BM334" s="12">
        <f t="shared" si="204"/>
        <v>0</v>
      </c>
      <c r="BN334" s="12">
        <f t="shared" si="205"/>
        <v>0</v>
      </c>
      <c r="BO334" s="12">
        <f t="shared" si="206"/>
        <v>0</v>
      </c>
      <c r="BP334" s="12">
        <f t="shared" si="207"/>
        <v>0</v>
      </c>
      <c r="BQ334" s="12">
        <f t="shared" si="208"/>
        <v>0</v>
      </c>
      <c r="BR334" s="12">
        <f t="shared" si="210"/>
        <v>0</v>
      </c>
      <c r="BS334" s="12">
        <f t="shared" si="211"/>
        <v>0</v>
      </c>
      <c r="BU334" s="11">
        <f t="shared" si="212"/>
        <v>0</v>
      </c>
      <c r="BV334" s="11">
        <f t="shared" si="213"/>
        <v>0</v>
      </c>
      <c r="BW334" s="11">
        <f t="shared" si="214"/>
        <v>0</v>
      </c>
      <c r="BX334" s="11">
        <f t="shared" si="215"/>
        <v>0</v>
      </c>
      <c r="BY334" s="11">
        <f t="shared" si="216"/>
        <v>0</v>
      </c>
      <c r="BZ334" s="11">
        <f t="shared" si="217"/>
        <v>0</v>
      </c>
      <c r="CA334" s="11">
        <f t="shared" si="218"/>
        <v>0</v>
      </c>
      <c r="CB334" s="11">
        <f t="shared" si="219"/>
        <v>0</v>
      </c>
      <c r="CC334" s="11">
        <f t="shared" si="220"/>
        <v>0</v>
      </c>
      <c r="CD334" s="11">
        <f t="shared" si="221"/>
        <v>0</v>
      </c>
      <c r="CE334" s="11">
        <f t="shared" si="222"/>
        <v>0</v>
      </c>
      <c r="CF334" s="11">
        <f t="shared" si="223"/>
        <v>0</v>
      </c>
      <c r="CG334" s="11"/>
      <c r="CH334" s="41">
        <v>3.23</v>
      </c>
      <c r="CJ334" s="54">
        <f t="shared" si="224"/>
        <v>0</v>
      </c>
      <c r="CK334" s="54">
        <f t="shared" si="225"/>
        <v>0</v>
      </c>
      <c r="CL334" s="54">
        <f t="shared" si="226"/>
        <v>0</v>
      </c>
      <c r="CM334" s="54">
        <f t="shared" si="227"/>
        <v>0</v>
      </c>
      <c r="CN334" s="54">
        <f t="shared" si="228"/>
        <v>0</v>
      </c>
      <c r="CO334" s="54">
        <f t="shared" si="229"/>
        <v>0</v>
      </c>
      <c r="CP334" s="54">
        <f t="shared" si="230"/>
        <v>0</v>
      </c>
      <c r="CQ334" s="54">
        <f t="shared" si="231"/>
        <v>0</v>
      </c>
      <c r="CR334" s="54">
        <f t="shared" si="232"/>
        <v>0</v>
      </c>
      <c r="CS334" s="54">
        <f t="shared" si="233"/>
        <v>0</v>
      </c>
      <c r="CT334" s="54">
        <f t="shared" si="234"/>
        <v>0</v>
      </c>
      <c r="CU334" s="54">
        <f t="shared" si="235"/>
        <v>0</v>
      </c>
      <c r="CV334" s="52">
        <f t="shared" si="236"/>
        <v>0</v>
      </c>
    </row>
    <row r="335" spans="1:100" ht="15.75" x14ac:dyDescent="0.25">
      <c r="A335" s="17"/>
      <c r="B335" s="17"/>
      <c r="C335" s="17"/>
      <c r="D335" s="17"/>
      <c r="E335" s="17"/>
      <c r="F335" s="32" t="s">
        <v>2950</v>
      </c>
      <c r="G335" s="77"/>
      <c r="H335" s="77"/>
      <c r="I335" s="77"/>
      <c r="J335" s="77"/>
      <c r="K335" s="77"/>
      <c r="L335" s="77"/>
      <c r="M335" s="77"/>
      <c r="N335" s="77"/>
      <c r="O335" s="77"/>
      <c r="P335" s="77"/>
      <c r="Q335" s="77"/>
      <c r="R335" s="77"/>
      <c r="S335" s="11">
        <f t="shared" si="237"/>
        <v>0</v>
      </c>
      <c r="T335" s="5"/>
      <c r="V335" s="46">
        <f t="shared" si="209"/>
        <v>0</v>
      </c>
      <c r="W335" s="36">
        <v>2.956</v>
      </c>
      <c r="X335" s="36">
        <v>2.956</v>
      </c>
      <c r="Y335" s="36">
        <v>2.956</v>
      </c>
      <c r="Z335" s="36">
        <v>2.956</v>
      </c>
      <c r="AA335" s="36">
        <v>2.956</v>
      </c>
      <c r="AB335" s="36">
        <v>2.956</v>
      </c>
      <c r="AC335" s="36">
        <v>2.956</v>
      </c>
      <c r="AD335" s="36">
        <v>2.956</v>
      </c>
      <c r="AE335" s="36">
        <v>2.956</v>
      </c>
      <c r="AF335" s="36">
        <v>2.956</v>
      </c>
      <c r="AG335" s="36">
        <v>2.956</v>
      </c>
      <c r="AH335" s="36">
        <v>2.956</v>
      </c>
      <c r="AI335" s="39">
        <v>1.33634708931066E-2</v>
      </c>
      <c r="AJ335" s="39">
        <v>1.33634708931066E-2</v>
      </c>
      <c r="AK335" s="39">
        <v>1.33634708931066E-2</v>
      </c>
      <c r="AL335" s="39">
        <v>1.33634708931066E-2</v>
      </c>
      <c r="AM335" s="39">
        <v>1.33634708931066E-2</v>
      </c>
      <c r="AN335" s="39">
        <v>1.33634708931066E-2</v>
      </c>
      <c r="AO335" s="39">
        <v>1.33634708931066E-2</v>
      </c>
      <c r="AP335" s="39">
        <v>1.33634708931066E-2</v>
      </c>
      <c r="AQ335" s="39">
        <v>1.33634708931066E-2</v>
      </c>
      <c r="AR335" s="39">
        <v>1.33634708931066E-2</v>
      </c>
      <c r="AS335" s="39">
        <v>1.33634708931066E-2</v>
      </c>
      <c r="AT335" s="39">
        <v>1.33634708931066E-2</v>
      </c>
      <c r="AU335" s="39">
        <v>1.2392217523121999E-3</v>
      </c>
      <c r="AV335" s="39">
        <v>1.2392217523121999E-3</v>
      </c>
      <c r="AW335" s="39">
        <v>1.2392217523121999E-3</v>
      </c>
      <c r="AX335" s="39">
        <v>1.2392217523121999E-3</v>
      </c>
      <c r="AY335" s="39">
        <v>1.2392217523121999E-3</v>
      </c>
      <c r="AZ335" s="39">
        <v>1.2392217523121999E-3</v>
      </c>
      <c r="BA335" s="39">
        <v>1.2392217523121999E-3</v>
      </c>
      <c r="BB335" s="39">
        <v>1.2392217523121999E-3</v>
      </c>
      <c r="BC335" s="39">
        <v>1.2392217523121999E-3</v>
      </c>
      <c r="BD335" s="39">
        <v>1.2392217523121999E-3</v>
      </c>
      <c r="BE335" s="39">
        <v>1.2392217523121999E-3</v>
      </c>
      <c r="BF335" s="39">
        <v>1.2392217523121999E-3</v>
      </c>
      <c r="BH335" s="12">
        <f t="shared" si="199"/>
        <v>0</v>
      </c>
      <c r="BI335" s="12">
        <f t="shared" si="200"/>
        <v>0</v>
      </c>
      <c r="BJ335" s="12">
        <f t="shared" si="201"/>
        <v>0</v>
      </c>
      <c r="BK335" s="12">
        <f t="shared" si="202"/>
        <v>0</v>
      </c>
      <c r="BL335" s="12">
        <f t="shared" si="203"/>
        <v>0</v>
      </c>
      <c r="BM335" s="12">
        <f t="shared" si="204"/>
        <v>0</v>
      </c>
      <c r="BN335" s="12">
        <f t="shared" si="205"/>
        <v>0</v>
      </c>
      <c r="BO335" s="12">
        <f t="shared" si="206"/>
        <v>0</v>
      </c>
      <c r="BP335" s="12">
        <f t="shared" si="207"/>
        <v>0</v>
      </c>
      <c r="BQ335" s="12">
        <f t="shared" si="208"/>
        <v>0</v>
      </c>
      <c r="BR335" s="12">
        <f t="shared" si="210"/>
        <v>0</v>
      </c>
      <c r="BS335" s="12">
        <f t="shared" si="211"/>
        <v>0</v>
      </c>
      <c r="BU335" s="11">
        <f t="shared" si="212"/>
        <v>0</v>
      </c>
      <c r="BV335" s="11">
        <f t="shared" si="213"/>
        <v>0</v>
      </c>
      <c r="BW335" s="11">
        <f t="shared" si="214"/>
        <v>0</v>
      </c>
      <c r="BX335" s="11">
        <f t="shared" si="215"/>
        <v>0</v>
      </c>
      <c r="BY335" s="11">
        <f t="shared" si="216"/>
        <v>0</v>
      </c>
      <c r="BZ335" s="11">
        <f t="shared" si="217"/>
        <v>0</v>
      </c>
      <c r="CA335" s="11">
        <f t="shared" si="218"/>
        <v>0</v>
      </c>
      <c r="CB335" s="11">
        <f t="shared" si="219"/>
        <v>0</v>
      </c>
      <c r="CC335" s="11">
        <f t="shared" si="220"/>
        <v>0</v>
      </c>
      <c r="CD335" s="11">
        <f t="shared" si="221"/>
        <v>0</v>
      </c>
      <c r="CE335" s="11">
        <f t="shared" si="222"/>
        <v>0</v>
      </c>
      <c r="CF335" s="11">
        <f t="shared" si="223"/>
        <v>0</v>
      </c>
      <c r="CG335" s="11"/>
      <c r="CH335" s="41">
        <v>3.23</v>
      </c>
      <c r="CJ335" s="54">
        <f t="shared" si="224"/>
        <v>0</v>
      </c>
      <c r="CK335" s="54">
        <f t="shared" si="225"/>
        <v>0</v>
      </c>
      <c r="CL335" s="54">
        <f t="shared" si="226"/>
        <v>0</v>
      </c>
      <c r="CM335" s="54">
        <f t="shared" si="227"/>
        <v>0</v>
      </c>
      <c r="CN335" s="54">
        <f t="shared" si="228"/>
        <v>0</v>
      </c>
      <c r="CO335" s="54">
        <f t="shared" si="229"/>
        <v>0</v>
      </c>
      <c r="CP335" s="54">
        <f t="shared" si="230"/>
        <v>0</v>
      </c>
      <c r="CQ335" s="54">
        <f t="shared" si="231"/>
        <v>0</v>
      </c>
      <c r="CR335" s="54">
        <f t="shared" si="232"/>
        <v>0</v>
      </c>
      <c r="CS335" s="54">
        <f t="shared" si="233"/>
        <v>0</v>
      </c>
      <c r="CT335" s="54">
        <f t="shared" si="234"/>
        <v>0</v>
      </c>
      <c r="CU335" s="54">
        <f t="shared" si="235"/>
        <v>0</v>
      </c>
      <c r="CV335" s="52">
        <f t="shared" si="236"/>
        <v>0</v>
      </c>
    </row>
    <row r="336" spans="1:100" ht="15.75" x14ac:dyDescent="0.25">
      <c r="A336" s="17"/>
      <c r="B336" s="17"/>
      <c r="C336" s="17"/>
      <c r="D336" s="17"/>
      <c r="E336" s="17"/>
      <c r="F336" s="32" t="s">
        <v>2950</v>
      </c>
      <c r="G336" s="77"/>
      <c r="H336" s="77"/>
      <c r="I336" s="77"/>
      <c r="J336" s="77"/>
      <c r="K336" s="77"/>
      <c r="L336" s="77"/>
      <c r="M336" s="77"/>
      <c r="N336" s="77"/>
      <c r="O336" s="77"/>
      <c r="P336" s="77"/>
      <c r="Q336" s="77"/>
      <c r="R336" s="77"/>
      <c r="S336" s="11">
        <f t="shared" si="237"/>
        <v>0</v>
      </c>
      <c r="T336" s="5"/>
      <c r="V336" s="46">
        <f t="shared" si="209"/>
        <v>0</v>
      </c>
      <c r="W336" s="36">
        <v>3.476</v>
      </c>
      <c r="X336" s="36">
        <v>3.476</v>
      </c>
      <c r="Y336" s="36">
        <v>3.476</v>
      </c>
      <c r="Z336" s="36">
        <v>3.476</v>
      </c>
      <c r="AA336" s="36">
        <v>3.476</v>
      </c>
      <c r="AB336" s="36">
        <v>3.476</v>
      </c>
      <c r="AC336" s="36">
        <v>3.476</v>
      </c>
      <c r="AD336" s="36">
        <v>3.476</v>
      </c>
      <c r="AE336" s="36">
        <v>3.476</v>
      </c>
      <c r="AF336" s="36">
        <v>3.476</v>
      </c>
      <c r="AG336" s="36">
        <v>3.476</v>
      </c>
      <c r="AH336" s="36">
        <v>3.476</v>
      </c>
      <c r="AI336" s="39">
        <v>1.33634708931066E-2</v>
      </c>
      <c r="AJ336" s="39">
        <v>1.33634708931066E-2</v>
      </c>
      <c r="AK336" s="39">
        <v>1.33634708931066E-2</v>
      </c>
      <c r="AL336" s="39">
        <v>1.33634708931066E-2</v>
      </c>
      <c r="AM336" s="39">
        <v>1.33634708931066E-2</v>
      </c>
      <c r="AN336" s="39">
        <v>1.33634708931066E-2</v>
      </c>
      <c r="AO336" s="39">
        <v>1.33634708931066E-2</v>
      </c>
      <c r="AP336" s="39">
        <v>1.33634708931066E-2</v>
      </c>
      <c r="AQ336" s="39">
        <v>1.33634708931066E-2</v>
      </c>
      <c r="AR336" s="39">
        <v>1.33634708931066E-2</v>
      </c>
      <c r="AS336" s="39">
        <v>1.33634708931066E-2</v>
      </c>
      <c r="AT336" s="39">
        <v>1.33634708931066E-2</v>
      </c>
      <c r="AU336" s="39">
        <v>1.2392217523121999E-3</v>
      </c>
      <c r="AV336" s="39">
        <v>1.2392217523121999E-3</v>
      </c>
      <c r="AW336" s="39">
        <v>1.2392217523121999E-3</v>
      </c>
      <c r="AX336" s="39">
        <v>1.2392217523121999E-3</v>
      </c>
      <c r="AY336" s="39">
        <v>1.2392217523121999E-3</v>
      </c>
      <c r="AZ336" s="39">
        <v>1.2392217523121999E-3</v>
      </c>
      <c r="BA336" s="39">
        <v>1.2392217523121999E-3</v>
      </c>
      <c r="BB336" s="39">
        <v>1.2392217523121999E-3</v>
      </c>
      <c r="BC336" s="39">
        <v>1.2392217523121999E-3</v>
      </c>
      <c r="BD336" s="39">
        <v>1.2392217523121999E-3</v>
      </c>
      <c r="BE336" s="39">
        <v>1.2392217523121999E-3</v>
      </c>
      <c r="BF336" s="39">
        <v>1.2392217523121999E-3</v>
      </c>
      <c r="BH336" s="12">
        <f t="shared" si="199"/>
        <v>0</v>
      </c>
      <c r="BI336" s="12">
        <f t="shared" si="200"/>
        <v>0</v>
      </c>
      <c r="BJ336" s="12">
        <f t="shared" si="201"/>
        <v>0</v>
      </c>
      <c r="BK336" s="12">
        <f t="shared" si="202"/>
        <v>0</v>
      </c>
      <c r="BL336" s="12">
        <f t="shared" si="203"/>
        <v>0</v>
      </c>
      <c r="BM336" s="12">
        <f t="shared" si="204"/>
        <v>0</v>
      </c>
      <c r="BN336" s="12">
        <f t="shared" si="205"/>
        <v>0</v>
      </c>
      <c r="BO336" s="12">
        <f t="shared" si="206"/>
        <v>0</v>
      </c>
      <c r="BP336" s="12">
        <f t="shared" si="207"/>
        <v>0</v>
      </c>
      <c r="BQ336" s="12">
        <f t="shared" si="208"/>
        <v>0</v>
      </c>
      <c r="BR336" s="12">
        <f t="shared" si="210"/>
        <v>0</v>
      </c>
      <c r="BS336" s="12">
        <f t="shared" si="211"/>
        <v>0</v>
      </c>
      <c r="BU336" s="11">
        <f t="shared" si="212"/>
        <v>0</v>
      </c>
      <c r="BV336" s="11">
        <f t="shared" si="213"/>
        <v>0</v>
      </c>
      <c r="BW336" s="11">
        <f t="shared" si="214"/>
        <v>0</v>
      </c>
      <c r="BX336" s="11">
        <f t="shared" si="215"/>
        <v>0</v>
      </c>
      <c r="BY336" s="11">
        <f t="shared" si="216"/>
        <v>0</v>
      </c>
      <c r="BZ336" s="11">
        <f t="shared" si="217"/>
        <v>0</v>
      </c>
      <c r="CA336" s="11">
        <f t="shared" si="218"/>
        <v>0</v>
      </c>
      <c r="CB336" s="11">
        <f t="shared" si="219"/>
        <v>0</v>
      </c>
      <c r="CC336" s="11">
        <f t="shared" si="220"/>
        <v>0</v>
      </c>
      <c r="CD336" s="11">
        <f t="shared" si="221"/>
        <v>0</v>
      </c>
      <c r="CE336" s="11">
        <f t="shared" si="222"/>
        <v>0</v>
      </c>
      <c r="CF336" s="11">
        <f t="shared" si="223"/>
        <v>0</v>
      </c>
      <c r="CG336" s="11"/>
      <c r="CH336" s="41">
        <v>3.23</v>
      </c>
      <c r="CJ336" s="54">
        <f t="shared" si="224"/>
        <v>0</v>
      </c>
      <c r="CK336" s="54">
        <f t="shared" si="225"/>
        <v>0</v>
      </c>
      <c r="CL336" s="54">
        <f t="shared" si="226"/>
        <v>0</v>
      </c>
      <c r="CM336" s="54">
        <f t="shared" si="227"/>
        <v>0</v>
      </c>
      <c r="CN336" s="54">
        <f t="shared" si="228"/>
        <v>0</v>
      </c>
      <c r="CO336" s="54">
        <f t="shared" si="229"/>
        <v>0</v>
      </c>
      <c r="CP336" s="54">
        <f t="shared" si="230"/>
        <v>0</v>
      </c>
      <c r="CQ336" s="54">
        <f t="shared" si="231"/>
        <v>0</v>
      </c>
      <c r="CR336" s="54">
        <f t="shared" si="232"/>
        <v>0</v>
      </c>
      <c r="CS336" s="54">
        <f t="shared" si="233"/>
        <v>0</v>
      </c>
      <c r="CT336" s="54">
        <f t="shared" si="234"/>
        <v>0</v>
      </c>
      <c r="CU336" s="54">
        <f t="shared" si="235"/>
        <v>0</v>
      </c>
      <c r="CV336" s="52">
        <f t="shared" si="236"/>
        <v>0</v>
      </c>
    </row>
    <row r="337" spans="1:100" ht="15.75" x14ac:dyDescent="0.25">
      <c r="A337" s="17"/>
      <c r="B337" s="17"/>
      <c r="C337" s="17"/>
      <c r="D337" s="17"/>
      <c r="E337" s="17"/>
      <c r="F337" s="32" t="s">
        <v>2950</v>
      </c>
      <c r="G337" s="77"/>
      <c r="H337" s="77"/>
      <c r="I337" s="77"/>
      <c r="J337" s="77"/>
      <c r="K337" s="77"/>
      <c r="L337" s="77"/>
      <c r="M337" s="77"/>
      <c r="N337" s="77"/>
      <c r="O337" s="77"/>
      <c r="P337" s="77"/>
      <c r="Q337" s="77"/>
      <c r="R337" s="77"/>
      <c r="S337" s="11">
        <f t="shared" si="237"/>
        <v>0</v>
      </c>
      <c r="T337" s="5"/>
      <c r="V337" s="46">
        <f t="shared" si="209"/>
        <v>0</v>
      </c>
      <c r="W337" s="36">
        <v>3.915</v>
      </c>
      <c r="X337" s="36">
        <v>3.915</v>
      </c>
      <c r="Y337" s="36">
        <v>3.915</v>
      </c>
      <c r="Z337" s="36">
        <v>3.915</v>
      </c>
      <c r="AA337" s="36">
        <v>3.915</v>
      </c>
      <c r="AB337" s="36">
        <v>3.915</v>
      </c>
      <c r="AC337" s="36">
        <v>3.915</v>
      </c>
      <c r="AD337" s="36">
        <v>3.915</v>
      </c>
      <c r="AE337" s="36">
        <v>3.915</v>
      </c>
      <c r="AF337" s="36">
        <v>3.915</v>
      </c>
      <c r="AG337" s="36">
        <v>3.915</v>
      </c>
      <c r="AH337" s="36">
        <v>3.915</v>
      </c>
      <c r="AI337" s="39">
        <v>1.33634708931066E-2</v>
      </c>
      <c r="AJ337" s="39">
        <v>1.33634708931066E-2</v>
      </c>
      <c r="AK337" s="39">
        <v>1.33634708931066E-2</v>
      </c>
      <c r="AL337" s="39">
        <v>1.33634708931066E-2</v>
      </c>
      <c r="AM337" s="39">
        <v>1.33634708931066E-2</v>
      </c>
      <c r="AN337" s="39">
        <v>1.33634708931066E-2</v>
      </c>
      <c r="AO337" s="39">
        <v>1.33634708931066E-2</v>
      </c>
      <c r="AP337" s="39">
        <v>1.33634708931066E-2</v>
      </c>
      <c r="AQ337" s="39">
        <v>1.33634708931066E-2</v>
      </c>
      <c r="AR337" s="39">
        <v>1.33634708931066E-2</v>
      </c>
      <c r="AS337" s="39">
        <v>1.33634708931066E-2</v>
      </c>
      <c r="AT337" s="39">
        <v>1.33634708931066E-2</v>
      </c>
      <c r="AU337" s="39">
        <v>1.2392217523121999E-3</v>
      </c>
      <c r="AV337" s="39">
        <v>1.2392217523121999E-3</v>
      </c>
      <c r="AW337" s="39">
        <v>1.2392217523121999E-3</v>
      </c>
      <c r="AX337" s="39">
        <v>1.2392217523121999E-3</v>
      </c>
      <c r="AY337" s="39">
        <v>1.2392217523121999E-3</v>
      </c>
      <c r="AZ337" s="39">
        <v>1.2392217523121999E-3</v>
      </c>
      <c r="BA337" s="39">
        <v>1.2392217523121999E-3</v>
      </c>
      <c r="BB337" s="39">
        <v>1.2392217523121999E-3</v>
      </c>
      <c r="BC337" s="39">
        <v>1.2392217523121999E-3</v>
      </c>
      <c r="BD337" s="39">
        <v>1.2392217523121999E-3</v>
      </c>
      <c r="BE337" s="39">
        <v>1.2392217523121999E-3</v>
      </c>
      <c r="BF337" s="39">
        <v>1.2392217523121999E-3</v>
      </c>
      <c r="BH337" s="12">
        <f t="shared" ref="BH337:BH366" si="238">(W337*G337)</f>
        <v>0</v>
      </c>
      <c r="BI337" s="12">
        <f t="shared" ref="BI337:BI366" si="239">(X337*H337)</f>
        <v>0</v>
      </c>
      <c r="BJ337" s="12">
        <f t="shared" ref="BJ337:BJ366" si="240">(Y337*I337)</f>
        <v>0</v>
      </c>
      <c r="BK337" s="12">
        <f t="shared" ref="BK337:BK366" si="241">(Z337*J337)</f>
        <v>0</v>
      </c>
      <c r="BL337" s="12">
        <f t="shared" ref="BL337:BL366" si="242">(AA337*K337)</f>
        <v>0</v>
      </c>
      <c r="BM337" s="12">
        <f t="shared" ref="BM337:BM366" si="243">(AB337*L337)</f>
        <v>0</v>
      </c>
      <c r="BN337" s="12">
        <f t="shared" ref="BN337:BN366" si="244">(AC337*M337)</f>
        <v>0</v>
      </c>
      <c r="BO337" s="12">
        <f t="shared" ref="BO337:BO366" si="245">(AD337*N337)</f>
        <v>0</v>
      </c>
      <c r="BP337" s="12">
        <f t="shared" ref="BP337:BP366" si="246">(AE337*O337)</f>
        <v>0</v>
      </c>
      <c r="BQ337" s="12">
        <f t="shared" ref="BQ337:BQ366" si="247">(AF337*P337)</f>
        <v>0</v>
      </c>
      <c r="BR337" s="12">
        <f t="shared" si="210"/>
        <v>0</v>
      </c>
      <c r="BS337" s="12">
        <f t="shared" si="211"/>
        <v>0</v>
      </c>
      <c r="BU337" s="11">
        <f t="shared" si="212"/>
        <v>0</v>
      </c>
      <c r="BV337" s="11">
        <f t="shared" si="213"/>
        <v>0</v>
      </c>
      <c r="BW337" s="11">
        <f t="shared" si="214"/>
        <v>0</v>
      </c>
      <c r="BX337" s="11">
        <f t="shared" si="215"/>
        <v>0</v>
      </c>
      <c r="BY337" s="11">
        <f t="shared" si="216"/>
        <v>0</v>
      </c>
      <c r="BZ337" s="11">
        <f t="shared" si="217"/>
        <v>0</v>
      </c>
      <c r="CA337" s="11">
        <f t="shared" si="218"/>
        <v>0</v>
      </c>
      <c r="CB337" s="11">
        <f t="shared" si="219"/>
        <v>0</v>
      </c>
      <c r="CC337" s="11">
        <f t="shared" si="220"/>
        <v>0</v>
      </c>
      <c r="CD337" s="11">
        <f t="shared" si="221"/>
        <v>0</v>
      </c>
      <c r="CE337" s="11">
        <f t="shared" si="222"/>
        <v>0</v>
      </c>
      <c r="CF337" s="11">
        <f t="shared" si="223"/>
        <v>0</v>
      </c>
      <c r="CG337" s="11"/>
      <c r="CH337" s="41">
        <v>3.23</v>
      </c>
      <c r="CJ337" s="54">
        <f t="shared" si="224"/>
        <v>0</v>
      </c>
      <c r="CK337" s="54">
        <f t="shared" si="225"/>
        <v>0</v>
      </c>
      <c r="CL337" s="54">
        <f t="shared" si="226"/>
        <v>0</v>
      </c>
      <c r="CM337" s="54">
        <f t="shared" si="227"/>
        <v>0</v>
      </c>
      <c r="CN337" s="54">
        <f t="shared" si="228"/>
        <v>0</v>
      </c>
      <c r="CO337" s="54">
        <f t="shared" si="229"/>
        <v>0</v>
      </c>
      <c r="CP337" s="54">
        <f t="shared" si="230"/>
        <v>0</v>
      </c>
      <c r="CQ337" s="54">
        <f t="shared" si="231"/>
        <v>0</v>
      </c>
      <c r="CR337" s="54">
        <f t="shared" si="232"/>
        <v>0</v>
      </c>
      <c r="CS337" s="54">
        <f t="shared" si="233"/>
        <v>0</v>
      </c>
      <c r="CT337" s="54">
        <f t="shared" si="234"/>
        <v>0</v>
      </c>
      <c r="CU337" s="54">
        <f t="shared" si="235"/>
        <v>0</v>
      </c>
      <c r="CV337" s="52">
        <f t="shared" si="236"/>
        <v>0</v>
      </c>
    </row>
    <row r="338" spans="1:100" ht="15.75" x14ac:dyDescent="0.25">
      <c r="A338" s="17"/>
      <c r="B338" s="17"/>
      <c r="C338" s="17"/>
      <c r="D338" s="17"/>
      <c r="E338" s="17"/>
      <c r="F338" s="32" t="s">
        <v>2950</v>
      </c>
      <c r="G338" s="77"/>
      <c r="H338" s="77"/>
      <c r="I338" s="77"/>
      <c r="J338" s="77"/>
      <c r="K338" s="77"/>
      <c r="L338" s="77"/>
      <c r="M338" s="77"/>
      <c r="N338" s="77"/>
      <c r="O338" s="77"/>
      <c r="P338" s="77"/>
      <c r="Q338" s="77"/>
      <c r="R338" s="77"/>
      <c r="S338" s="11">
        <f t="shared" si="237"/>
        <v>0</v>
      </c>
      <c r="T338" s="5"/>
      <c r="V338" s="46">
        <f t="shared" si="209"/>
        <v>0</v>
      </c>
      <c r="W338" s="36">
        <v>9.06</v>
      </c>
      <c r="X338" s="36">
        <v>9.06</v>
      </c>
      <c r="Y338" s="36">
        <v>9.06</v>
      </c>
      <c r="Z338" s="36">
        <v>9.06</v>
      </c>
      <c r="AA338" s="36">
        <v>9.06</v>
      </c>
      <c r="AB338" s="36">
        <v>9.06</v>
      </c>
      <c r="AC338" s="36">
        <v>9.06</v>
      </c>
      <c r="AD338" s="36">
        <v>9.06</v>
      </c>
      <c r="AE338" s="36">
        <v>9.06</v>
      </c>
      <c r="AF338" s="36">
        <v>9.06</v>
      </c>
      <c r="AG338" s="36">
        <v>9.06</v>
      </c>
      <c r="AH338" s="36">
        <v>9.06</v>
      </c>
      <c r="AI338" s="39">
        <v>0</v>
      </c>
      <c r="AJ338" s="39">
        <v>0</v>
      </c>
      <c r="AK338" s="39">
        <v>0</v>
      </c>
      <c r="AL338" s="39">
        <v>0</v>
      </c>
      <c r="AM338" s="39">
        <v>0</v>
      </c>
      <c r="AN338" s="39">
        <v>0</v>
      </c>
      <c r="AO338" s="39">
        <v>0</v>
      </c>
      <c r="AP338" s="39">
        <v>0</v>
      </c>
      <c r="AQ338" s="39">
        <v>0</v>
      </c>
      <c r="AR338" s="39">
        <v>0</v>
      </c>
      <c r="AS338" s="39">
        <v>0</v>
      </c>
      <c r="AT338" s="39">
        <v>0</v>
      </c>
      <c r="AU338" s="39">
        <v>0</v>
      </c>
      <c r="AV338" s="39">
        <v>0</v>
      </c>
      <c r="AW338" s="39">
        <v>0</v>
      </c>
      <c r="AX338" s="39">
        <v>0</v>
      </c>
      <c r="AY338" s="39">
        <v>0</v>
      </c>
      <c r="AZ338" s="39">
        <v>0</v>
      </c>
      <c r="BA338" s="39">
        <v>0</v>
      </c>
      <c r="BB338" s="39">
        <v>0</v>
      </c>
      <c r="BC338" s="39">
        <v>0</v>
      </c>
      <c r="BD338" s="39">
        <v>0</v>
      </c>
      <c r="BE338" s="39">
        <v>0</v>
      </c>
      <c r="BF338" s="39">
        <v>0</v>
      </c>
      <c r="BH338" s="12">
        <f t="shared" si="238"/>
        <v>0</v>
      </c>
      <c r="BI338" s="12">
        <f t="shared" si="239"/>
        <v>0</v>
      </c>
      <c r="BJ338" s="12">
        <f t="shared" si="240"/>
        <v>0</v>
      </c>
      <c r="BK338" s="12">
        <f t="shared" si="241"/>
        <v>0</v>
      </c>
      <c r="BL338" s="12">
        <f t="shared" si="242"/>
        <v>0</v>
      </c>
      <c r="BM338" s="12">
        <f t="shared" si="243"/>
        <v>0</v>
      </c>
      <c r="BN338" s="12">
        <f t="shared" si="244"/>
        <v>0</v>
      </c>
      <c r="BO338" s="12">
        <f t="shared" si="245"/>
        <v>0</v>
      </c>
      <c r="BP338" s="12">
        <f t="shared" si="246"/>
        <v>0</v>
      </c>
      <c r="BQ338" s="12">
        <f t="shared" si="247"/>
        <v>0</v>
      </c>
      <c r="BR338" s="12">
        <f t="shared" si="210"/>
        <v>0</v>
      </c>
      <c r="BS338" s="12">
        <f t="shared" si="211"/>
        <v>0</v>
      </c>
      <c r="BU338" s="11">
        <f t="shared" si="212"/>
        <v>0</v>
      </c>
      <c r="BV338" s="11">
        <f t="shared" si="213"/>
        <v>0</v>
      </c>
      <c r="BW338" s="11">
        <f t="shared" si="214"/>
        <v>0</v>
      </c>
      <c r="BX338" s="11">
        <f t="shared" si="215"/>
        <v>0</v>
      </c>
      <c r="BY338" s="11">
        <f t="shared" si="216"/>
        <v>0</v>
      </c>
      <c r="BZ338" s="11">
        <f t="shared" si="217"/>
        <v>0</v>
      </c>
      <c r="CA338" s="11">
        <f t="shared" si="218"/>
        <v>0</v>
      </c>
      <c r="CB338" s="11">
        <f t="shared" si="219"/>
        <v>0</v>
      </c>
      <c r="CC338" s="11">
        <f t="shared" si="220"/>
        <v>0</v>
      </c>
      <c r="CD338" s="11">
        <f t="shared" si="221"/>
        <v>0</v>
      </c>
      <c r="CE338" s="11">
        <f t="shared" si="222"/>
        <v>0</v>
      </c>
      <c r="CF338" s="11">
        <f t="shared" si="223"/>
        <v>0</v>
      </c>
      <c r="CG338" s="11"/>
      <c r="CH338" s="41">
        <v>1</v>
      </c>
      <c r="CJ338" s="54">
        <f t="shared" si="224"/>
        <v>0</v>
      </c>
      <c r="CK338" s="54">
        <f t="shared" si="225"/>
        <v>0</v>
      </c>
      <c r="CL338" s="54">
        <f t="shared" si="226"/>
        <v>0</v>
      </c>
      <c r="CM338" s="54">
        <f t="shared" si="227"/>
        <v>0</v>
      </c>
      <c r="CN338" s="54">
        <f t="shared" si="228"/>
        <v>0</v>
      </c>
      <c r="CO338" s="54">
        <f t="shared" si="229"/>
        <v>0</v>
      </c>
      <c r="CP338" s="54">
        <f t="shared" si="230"/>
        <v>0</v>
      </c>
      <c r="CQ338" s="54">
        <f t="shared" si="231"/>
        <v>0</v>
      </c>
      <c r="CR338" s="54">
        <f t="shared" si="232"/>
        <v>0</v>
      </c>
      <c r="CS338" s="54">
        <f t="shared" si="233"/>
        <v>0</v>
      </c>
      <c r="CT338" s="54">
        <f t="shared" si="234"/>
        <v>0</v>
      </c>
      <c r="CU338" s="54">
        <f t="shared" si="235"/>
        <v>0</v>
      </c>
      <c r="CV338" s="52">
        <f t="shared" si="236"/>
        <v>0</v>
      </c>
    </row>
    <row r="339" spans="1:100" ht="15.75" x14ac:dyDescent="0.25">
      <c r="A339" s="17"/>
      <c r="B339" s="17"/>
      <c r="C339" s="17"/>
      <c r="D339" s="17"/>
      <c r="E339" s="17"/>
      <c r="F339" s="32" t="s">
        <v>2950</v>
      </c>
      <c r="G339" s="77"/>
      <c r="H339" s="77"/>
      <c r="I339" s="77"/>
      <c r="J339" s="77"/>
      <c r="K339" s="77"/>
      <c r="L339" s="77"/>
      <c r="M339" s="77"/>
      <c r="N339" s="77"/>
      <c r="O339" s="77"/>
      <c r="P339" s="77"/>
      <c r="Q339" s="77"/>
      <c r="R339" s="77"/>
      <c r="S339" s="11">
        <f t="shared" si="237"/>
        <v>0</v>
      </c>
      <c r="T339" s="5"/>
      <c r="V339" s="46">
        <f t="shared" si="209"/>
        <v>0</v>
      </c>
      <c r="W339" s="36">
        <v>1.69</v>
      </c>
      <c r="X339" s="36">
        <v>1.69</v>
      </c>
      <c r="Y339" s="36">
        <v>1.69</v>
      </c>
      <c r="Z339" s="36">
        <v>1.69</v>
      </c>
      <c r="AA339" s="36">
        <v>1.69</v>
      </c>
      <c r="AB339" s="36">
        <v>1.69</v>
      </c>
      <c r="AC339" s="36">
        <v>1.69</v>
      </c>
      <c r="AD339" s="36">
        <v>1.69</v>
      </c>
      <c r="AE339" s="36">
        <v>1.69</v>
      </c>
      <c r="AF339" s="36">
        <v>1.69</v>
      </c>
      <c r="AG339" s="36">
        <v>1.69</v>
      </c>
      <c r="AH339" s="36">
        <v>1.69</v>
      </c>
      <c r="AI339" s="39">
        <v>0</v>
      </c>
      <c r="AJ339" s="39">
        <v>0</v>
      </c>
      <c r="AK339" s="39">
        <v>0</v>
      </c>
      <c r="AL339" s="39">
        <v>0</v>
      </c>
      <c r="AM339" s="39">
        <v>0</v>
      </c>
      <c r="AN339" s="39">
        <v>0</v>
      </c>
      <c r="AO339" s="39">
        <v>0</v>
      </c>
      <c r="AP339" s="39">
        <v>0</v>
      </c>
      <c r="AQ339" s="39">
        <v>0</v>
      </c>
      <c r="AR339" s="39">
        <v>0</v>
      </c>
      <c r="AS339" s="39">
        <v>0</v>
      </c>
      <c r="AT339" s="39">
        <v>0</v>
      </c>
      <c r="AU339" s="39">
        <v>0</v>
      </c>
      <c r="AV339" s="39">
        <v>0</v>
      </c>
      <c r="AW339" s="39">
        <v>0</v>
      </c>
      <c r="AX339" s="39">
        <v>0</v>
      </c>
      <c r="AY339" s="39">
        <v>0</v>
      </c>
      <c r="AZ339" s="39">
        <v>0</v>
      </c>
      <c r="BA339" s="39">
        <v>0</v>
      </c>
      <c r="BB339" s="39">
        <v>0</v>
      </c>
      <c r="BC339" s="39">
        <v>0</v>
      </c>
      <c r="BD339" s="39">
        <v>0</v>
      </c>
      <c r="BE339" s="39">
        <v>0</v>
      </c>
      <c r="BF339" s="39">
        <v>0</v>
      </c>
      <c r="BH339" s="12">
        <f t="shared" si="238"/>
        <v>0</v>
      </c>
      <c r="BI339" s="12">
        <f t="shared" si="239"/>
        <v>0</v>
      </c>
      <c r="BJ339" s="12">
        <f t="shared" si="240"/>
        <v>0</v>
      </c>
      <c r="BK339" s="12">
        <f t="shared" si="241"/>
        <v>0</v>
      </c>
      <c r="BL339" s="12">
        <f t="shared" si="242"/>
        <v>0</v>
      </c>
      <c r="BM339" s="12">
        <f t="shared" si="243"/>
        <v>0</v>
      </c>
      <c r="BN339" s="12">
        <f t="shared" si="244"/>
        <v>0</v>
      </c>
      <c r="BO339" s="12">
        <f t="shared" si="245"/>
        <v>0</v>
      </c>
      <c r="BP339" s="12">
        <f t="shared" si="246"/>
        <v>0</v>
      </c>
      <c r="BQ339" s="12">
        <f t="shared" si="247"/>
        <v>0</v>
      </c>
      <c r="BR339" s="12">
        <f t="shared" si="210"/>
        <v>0</v>
      </c>
      <c r="BS339" s="12">
        <f t="shared" si="211"/>
        <v>0</v>
      </c>
      <c r="BU339" s="11">
        <f t="shared" si="212"/>
        <v>0</v>
      </c>
      <c r="BV339" s="11">
        <f t="shared" si="213"/>
        <v>0</v>
      </c>
      <c r="BW339" s="11">
        <f t="shared" si="214"/>
        <v>0</v>
      </c>
      <c r="BX339" s="11">
        <f t="shared" si="215"/>
        <v>0</v>
      </c>
      <c r="BY339" s="11">
        <f t="shared" si="216"/>
        <v>0</v>
      </c>
      <c r="BZ339" s="11">
        <f t="shared" si="217"/>
        <v>0</v>
      </c>
      <c r="CA339" s="11">
        <f t="shared" si="218"/>
        <v>0</v>
      </c>
      <c r="CB339" s="11">
        <f t="shared" si="219"/>
        <v>0</v>
      </c>
      <c r="CC339" s="11">
        <f t="shared" si="220"/>
        <v>0</v>
      </c>
      <c r="CD339" s="11">
        <f t="shared" si="221"/>
        <v>0</v>
      </c>
      <c r="CE339" s="11">
        <f t="shared" si="222"/>
        <v>0</v>
      </c>
      <c r="CF339" s="11">
        <f t="shared" si="223"/>
        <v>0</v>
      </c>
      <c r="CG339" s="11"/>
      <c r="CH339" s="41">
        <v>1</v>
      </c>
      <c r="CJ339" s="54">
        <f t="shared" si="224"/>
        <v>0</v>
      </c>
      <c r="CK339" s="54">
        <f t="shared" si="225"/>
        <v>0</v>
      </c>
      <c r="CL339" s="54">
        <f t="shared" si="226"/>
        <v>0</v>
      </c>
      <c r="CM339" s="54">
        <f t="shared" si="227"/>
        <v>0</v>
      </c>
      <c r="CN339" s="54">
        <f t="shared" si="228"/>
        <v>0</v>
      </c>
      <c r="CO339" s="54">
        <f t="shared" si="229"/>
        <v>0</v>
      </c>
      <c r="CP339" s="54">
        <f t="shared" si="230"/>
        <v>0</v>
      </c>
      <c r="CQ339" s="54">
        <f t="shared" si="231"/>
        <v>0</v>
      </c>
      <c r="CR339" s="54">
        <f t="shared" si="232"/>
        <v>0</v>
      </c>
      <c r="CS339" s="54">
        <f t="shared" si="233"/>
        <v>0</v>
      </c>
      <c r="CT339" s="54">
        <f t="shared" si="234"/>
        <v>0</v>
      </c>
      <c r="CU339" s="54">
        <f t="shared" si="235"/>
        <v>0</v>
      </c>
      <c r="CV339" s="52">
        <f t="shared" si="236"/>
        <v>0</v>
      </c>
    </row>
    <row r="340" spans="1:100" ht="15.75" x14ac:dyDescent="0.25">
      <c r="A340" s="17"/>
      <c r="B340" s="17"/>
      <c r="C340" s="17"/>
      <c r="D340" s="17"/>
      <c r="E340" s="17"/>
      <c r="F340" s="32" t="s">
        <v>2950</v>
      </c>
      <c r="G340" s="77"/>
      <c r="H340" s="77"/>
      <c r="I340" s="77"/>
      <c r="J340" s="77"/>
      <c r="K340" s="77"/>
      <c r="L340" s="77"/>
      <c r="M340" s="77"/>
      <c r="N340" s="77"/>
      <c r="O340" s="77"/>
      <c r="P340" s="77"/>
      <c r="Q340" s="77"/>
      <c r="R340" s="77"/>
      <c r="S340" s="11">
        <f t="shared" si="237"/>
        <v>0</v>
      </c>
      <c r="T340" s="5"/>
      <c r="V340" s="46">
        <f t="shared" si="209"/>
        <v>0</v>
      </c>
      <c r="W340" s="36">
        <v>1.8400042087542088</v>
      </c>
      <c r="X340" s="36">
        <v>1.8400042087542088</v>
      </c>
      <c r="Y340" s="36">
        <v>1.8400042087542088</v>
      </c>
      <c r="Z340" s="36">
        <v>1.8400042087542088</v>
      </c>
      <c r="AA340" s="36">
        <v>1.8400042087542088</v>
      </c>
      <c r="AB340" s="36">
        <v>1.8400042087542088</v>
      </c>
      <c r="AC340" s="36">
        <v>1.8400042087542088</v>
      </c>
      <c r="AD340" s="36">
        <v>1.8400042087542088</v>
      </c>
      <c r="AE340" s="36">
        <v>1.8400042087542088</v>
      </c>
      <c r="AF340" s="36">
        <v>1.8400042087542088</v>
      </c>
      <c r="AG340" s="36">
        <v>1.8400042087542088</v>
      </c>
      <c r="AH340" s="36">
        <v>1.8400042087542088</v>
      </c>
      <c r="AI340" s="39">
        <v>0</v>
      </c>
      <c r="AJ340" s="39">
        <v>0</v>
      </c>
      <c r="AK340" s="39">
        <v>0</v>
      </c>
      <c r="AL340" s="39">
        <v>0</v>
      </c>
      <c r="AM340" s="39">
        <v>0</v>
      </c>
      <c r="AN340" s="39">
        <v>0</v>
      </c>
      <c r="AO340" s="39">
        <v>0</v>
      </c>
      <c r="AP340" s="39">
        <v>0</v>
      </c>
      <c r="AQ340" s="39">
        <v>0</v>
      </c>
      <c r="AR340" s="39">
        <v>0</v>
      </c>
      <c r="AS340" s="39">
        <v>0</v>
      </c>
      <c r="AT340" s="39">
        <v>0</v>
      </c>
      <c r="AU340" s="39">
        <v>0</v>
      </c>
      <c r="AV340" s="39">
        <v>0</v>
      </c>
      <c r="AW340" s="39">
        <v>0</v>
      </c>
      <c r="AX340" s="39">
        <v>0</v>
      </c>
      <c r="AY340" s="39">
        <v>0</v>
      </c>
      <c r="AZ340" s="39">
        <v>0</v>
      </c>
      <c r="BA340" s="39">
        <v>0</v>
      </c>
      <c r="BB340" s="39">
        <v>0</v>
      </c>
      <c r="BC340" s="39">
        <v>0</v>
      </c>
      <c r="BD340" s="39">
        <v>0</v>
      </c>
      <c r="BE340" s="39">
        <v>0</v>
      </c>
      <c r="BF340" s="39">
        <v>0</v>
      </c>
      <c r="BH340" s="12">
        <f t="shared" si="238"/>
        <v>0</v>
      </c>
      <c r="BI340" s="12">
        <f t="shared" si="239"/>
        <v>0</v>
      </c>
      <c r="BJ340" s="12">
        <f t="shared" si="240"/>
        <v>0</v>
      </c>
      <c r="BK340" s="12">
        <f t="shared" si="241"/>
        <v>0</v>
      </c>
      <c r="BL340" s="12">
        <f t="shared" si="242"/>
        <v>0</v>
      </c>
      <c r="BM340" s="12">
        <f t="shared" si="243"/>
        <v>0</v>
      </c>
      <c r="BN340" s="12">
        <f t="shared" si="244"/>
        <v>0</v>
      </c>
      <c r="BO340" s="12">
        <f t="shared" si="245"/>
        <v>0</v>
      </c>
      <c r="BP340" s="12">
        <f t="shared" si="246"/>
        <v>0</v>
      </c>
      <c r="BQ340" s="12">
        <f t="shared" si="247"/>
        <v>0</v>
      </c>
      <c r="BR340" s="12">
        <f t="shared" si="210"/>
        <v>0</v>
      </c>
      <c r="BS340" s="12">
        <f t="shared" si="211"/>
        <v>0</v>
      </c>
      <c r="BU340" s="11">
        <f t="shared" si="212"/>
        <v>0</v>
      </c>
      <c r="BV340" s="11">
        <f t="shared" si="213"/>
        <v>0</v>
      </c>
      <c r="BW340" s="11">
        <f t="shared" si="214"/>
        <v>0</v>
      </c>
      <c r="BX340" s="11">
        <f t="shared" si="215"/>
        <v>0</v>
      </c>
      <c r="BY340" s="11">
        <f t="shared" si="216"/>
        <v>0</v>
      </c>
      <c r="BZ340" s="11">
        <f t="shared" si="217"/>
        <v>0</v>
      </c>
      <c r="CA340" s="11">
        <f t="shared" si="218"/>
        <v>0</v>
      </c>
      <c r="CB340" s="11">
        <f t="shared" si="219"/>
        <v>0</v>
      </c>
      <c r="CC340" s="11">
        <f t="shared" si="220"/>
        <v>0</v>
      </c>
      <c r="CD340" s="11">
        <f t="shared" si="221"/>
        <v>0</v>
      </c>
      <c r="CE340" s="11">
        <f t="shared" si="222"/>
        <v>0</v>
      </c>
      <c r="CF340" s="11">
        <f t="shared" si="223"/>
        <v>0</v>
      </c>
      <c r="CG340" s="11"/>
      <c r="CH340" s="41">
        <v>1</v>
      </c>
      <c r="CJ340" s="54">
        <f t="shared" si="224"/>
        <v>0</v>
      </c>
      <c r="CK340" s="54">
        <f t="shared" si="225"/>
        <v>0</v>
      </c>
      <c r="CL340" s="54">
        <f t="shared" si="226"/>
        <v>0</v>
      </c>
      <c r="CM340" s="54">
        <f t="shared" si="227"/>
        <v>0</v>
      </c>
      <c r="CN340" s="54">
        <f t="shared" si="228"/>
        <v>0</v>
      </c>
      <c r="CO340" s="54">
        <f t="shared" si="229"/>
        <v>0</v>
      </c>
      <c r="CP340" s="54">
        <f t="shared" si="230"/>
        <v>0</v>
      </c>
      <c r="CQ340" s="54">
        <f t="shared" si="231"/>
        <v>0</v>
      </c>
      <c r="CR340" s="54">
        <f t="shared" si="232"/>
        <v>0</v>
      </c>
      <c r="CS340" s="54">
        <f t="shared" si="233"/>
        <v>0</v>
      </c>
      <c r="CT340" s="54">
        <f t="shared" si="234"/>
        <v>0</v>
      </c>
      <c r="CU340" s="54">
        <f t="shared" si="235"/>
        <v>0</v>
      </c>
      <c r="CV340" s="52">
        <f t="shared" si="236"/>
        <v>0</v>
      </c>
    </row>
    <row r="341" spans="1:100" ht="15.75" x14ac:dyDescent="0.25">
      <c r="A341" s="17"/>
      <c r="B341" s="17"/>
      <c r="C341" s="17"/>
      <c r="D341" s="17"/>
      <c r="E341" s="17"/>
      <c r="F341" s="32" t="s">
        <v>2950</v>
      </c>
      <c r="G341" s="77"/>
      <c r="H341" s="77"/>
      <c r="I341" s="77"/>
      <c r="J341" s="77"/>
      <c r="K341" s="77"/>
      <c r="L341" s="77"/>
      <c r="M341" s="77"/>
      <c r="N341" s="77"/>
      <c r="O341" s="77"/>
      <c r="P341" s="77"/>
      <c r="Q341" s="77"/>
      <c r="R341" s="77"/>
      <c r="S341" s="11">
        <f>SUM(G341:R341)</f>
        <v>0</v>
      </c>
      <c r="T341" s="5"/>
      <c r="V341" s="46">
        <f t="shared" si="209"/>
        <v>0</v>
      </c>
      <c r="W341" s="36">
        <v>11.423999999999999</v>
      </c>
      <c r="X341" s="36">
        <v>11.423999999999999</v>
      </c>
      <c r="Y341" s="36">
        <v>11.423999999999999</v>
      </c>
      <c r="Z341" s="36">
        <v>11.423999999999999</v>
      </c>
      <c r="AA341" s="36">
        <v>11.423999999999999</v>
      </c>
      <c r="AB341" s="36">
        <v>11.423999999999999</v>
      </c>
      <c r="AC341" s="36">
        <v>11.423999999999999</v>
      </c>
      <c r="AD341" s="36">
        <v>11.423999999999999</v>
      </c>
      <c r="AE341" s="36">
        <v>11.423999999999999</v>
      </c>
      <c r="AF341" s="36">
        <v>11.423999999999999</v>
      </c>
      <c r="AG341" s="36">
        <v>11.423999999999999</v>
      </c>
      <c r="AH341" s="36">
        <v>11.423999999999999</v>
      </c>
      <c r="AI341" s="39">
        <v>0.22999999999999998</v>
      </c>
      <c r="AJ341" s="39">
        <v>0.22999999999999998</v>
      </c>
      <c r="AK341" s="39">
        <v>0.22999999999999998</v>
      </c>
      <c r="AL341" s="39">
        <v>0.22999999999999998</v>
      </c>
      <c r="AM341" s="39">
        <v>0.22999999999999998</v>
      </c>
      <c r="AN341" s="39">
        <v>0.22999999999999998</v>
      </c>
      <c r="AO341" s="39">
        <v>0.22999999999999998</v>
      </c>
      <c r="AP341" s="39">
        <v>0.22999999999999998</v>
      </c>
      <c r="AQ341" s="39">
        <v>0.22999999999999998</v>
      </c>
      <c r="AR341" s="39">
        <v>0.22999999999999998</v>
      </c>
      <c r="AS341" s="39">
        <v>0.22999999999999998</v>
      </c>
      <c r="AT341" s="39">
        <v>0.22999999999999998</v>
      </c>
      <c r="AU341" s="39">
        <v>0</v>
      </c>
      <c r="AV341" s="39">
        <v>0</v>
      </c>
      <c r="AW341" s="39">
        <v>0</v>
      </c>
      <c r="AX341" s="39">
        <v>0</v>
      </c>
      <c r="AY341" s="39">
        <v>0</v>
      </c>
      <c r="AZ341" s="39">
        <v>0</v>
      </c>
      <c r="BA341" s="39">
        <v>0</v>
      </c>
      <c r="BB341" s="39">
        <v>0</v>
      </c>
      <c r="BC341" s="39">
        <v>0</v>
      </c>
      <c r="BD341" s="39">
        <v>0</v>
      </c>
      <c r="BE341" s="39">
        <v>0</v>
      </c>
      <c r="BF341" s="39">
        <v>0</v>
      </c>
      <c r="BH341" s="12">
        <f t="shared" si="238"/>
        <v>0</v>
      </c>
      <c r="BI341" s="12">
        <f t="shared" si="239"/>
        <v>0</v>
      </c>
      <c r="BJ341" s="12">
        <f t="shared" si="240"/>
        <v>0</v>
      </c>
      <c r="BK341" s="12">
        <f t="shared" si="241"/>
        <v>0</v>
      </c>
      <c r="BL341" s="12">
        <f t="shared" si="242"/>
        <v>0</v>
      </c>
      <c r="BM341" s="12">
        <f t="shared" si="243"/>
        <v>0</v>
      </c>
      <c r="BN341" s="12">
        <f t="shared" si="244"/>
        <v>0</v>
      </c>
      <c r="BO341" s="12">
        <f t="shared" si="245"/>
        <v>0</v>
      </c>
      <c r="BP341" s="12">
        <f t="shared" si="246"/>
        <v>0</v>
      </c>
      <c r="BQ341" s="12">
        <f t="shared" si="247"/>
        <v>0</v>
      </c>
      <c r="BR341" s="12">
        <f t="shared" si="210"/>
        <v>0</v>
      </c>
      <c r="BS341" s="12">
        <f t="shared" si="211"/>
        <v>0</v>
      </c>
      <c r="BU341" s="11">
        <f t="shared" si="212"/>
        <v>0</v>
      </c>
      <c r="BV341" s="11">
        <f t="shared" si="213"/>
        <v>0</v>
      </c>
      <c r="BW341" s="11">
        <f t="shared" si="214"/>
        <v>0</v>
      </c>
      <c r="BX341" s="11">
        <f t="shared" si="215"/>
        <v>0</v>
      </c>
      <c r="BY341" s="11">
        <f t="shared" si="216"/>
        <v>0</v>
      </c>
      <c r="BZ341" s="11">
        <f t="shared" si="217"/>
        <v>0</v>
      </c>
      <c r="CA341" s="11">
        <f t="shared" si="218"/>
        <v>0</v>
      </c>
      <c r="CB341" s="11">
        <f t="shared" si="219"/>
        <v>0</v>
      </c>
      <c r="CC341" s="11">
        <f t="shared" si="220"/>
        <v>0</v>
      </c>
      <c r="CD341" s="11">
        <f t="shared" si="221"/>
        <v>0</v>
      </c>
      <c r="CE341" s="11">
        <f t="shared" si="222"/>
        <v>0</v>
      </c>
      <c r="CF341" s="11">
        <f t="shared" si="223"/>
        <v>0</v>
      </c>
      <c r="CG341" s="11"/>
      <c r="CH341" s="41">
        <v>1</v>
      </c>
      <c r="CJ341" s="54">
        <f t="shared" si="224"/>
        <v>0</v>
      </c>
      <c r="CK341" s="54">
        <f t="shared" si="225"/>
        <v>0</v>
      </c>
      <c r="CL341" s="54">
        <f t="shared" si="226"/>
        <v>0</v>
      </c>
      <c r="CM341" s="54">
        <f t="shared" si="227"/>
        <v>0</v>
      </c>
      <c r="CN341" s="54">
        <f t="shared" si="228"/>
        <v>0</v>
      </c>
      <c r="CO341" s="54">
        <f t="shared" si="229"/>
        <v>0</v>
      </c>
      <c r="CP341" s="54">
        <f t="shared" si="230"/>
        <v>0</v>
      </c>
      <c r="CQ341" s="54">
        <f t="shared" si="231"/>
        <v>0</v>
      </c>
      <c r="CR341" s="54">
        <f t="shared" si="232"/>
        <v>0</v>
      </c>
      <c r="CS341" s="54">
        <f t="shared" si="233"/>
        <v>0</v>
      </c>
      <c r="CT341" s="54">
        <f t="shared" si="234"/>
        <v>0</v>
      </c>
      <c r="CU341" s="54">
        <f t="shared" si="235"/>
        <v>0</v>
      </c>
      <c r="CV341" s="52">
        <f t="shared" si="236"/>
        <v>0</v>
      </c>
    </row>
    <row r="342" spans="1:100" ht="15.75" x14ac:dyDescent="0.25">
      <c r="A342" s="17"/>
      <c r="B342" s="17"/>
      <c r="C342" s="17"/>
      <c r="D342" s="17"/>
      <c r="E342" s="17"/>
      <c r="F342" s="18" t="s">
        <v>3604</v>
      </c>
      <c r="G342" s="78"/>
      <c r="H342" s="78"/>
      <c r="I342" s="78"/>
      <c r="J342" s="78"/>
      <c r="K342" s="78"/>
      <c r="L342" s="78"/>
      <c r="M342" s="78"/>
      <c r="N342" s="78"/>
      <c r="O342" s="78"/>
      <c r="P342" s="78"/>
      <c r="Q342" s="78"/>
      <c r="R342" s="78"/>
      <c r="S342" s="12">
        <f t="shared" si="237"/>
        <v>0</v>
      </c>
      <c r="V342" s="46">
        <f t="shared" si="209"/>
        <v>0</v>
      </c>
      <c r="W342" s="36">
        <v>3.766</v>
      </c>
      <c r="X342" s="36">
        <v>3.766</v>
      </c>
      <c r="Y342" s="36">
        <v>3.766</v>
      </c>
      <c r="Z342" s="36">
        <v>3.766</v>
      </c>
      <c r="AA342" s="36">
        <v>3.766</v>
      </c>
      <c r="AB342" s="36">
        <v>3.766</v>
      </c>
      <c r="AC342" s="36">
        <v>3.766</v>
      </c>
      <c r="AD342" s="36">
        <v>3.766</v>
      </c>
      <c r="AE342" s="36">
        <v>3.766</v>
      </c>
      <c r="AF342" s="36">
        <v>3.766</v>
      </c>
      <c r="AG342" s="36">
        <v>3.766</v>
      </c>
      <c r="AH342" s="36">
        <v>3.766</v>
      </c>
      <c r="AI342" s="39">
        <v>1.33634708931066E-2</v>
      </c>
      <c r="AJ342" s="39">
        <v>1.33634708931066E-2</v>
      </c>
      <c r="AK342" s="39">
        <v>1.33634708931066E-2</v>
      </c>
      <c r="AL342" s="39">
        <v>1.33634708931066E-2</v>
      </c>
      <c r="AM342" s="39">
        <v>1.33634708931066E-2</v>
      </c>
      <c r="AN342" s="39">
        <v>1.33634708931066E-2</v>
      </c>
      <c r="AO342" s="39">
        <v>1.33634708931066E-2</v>
      </c>
      <c r="AP342" s="39">
        <v>1.33634708931066E-2</v>
      </c>
      <c r="AQ342" s="39">
        <v>1.33634708931066E-2</v>
      </c>
      <c r="AR342" s="39">
        <v>1.33634708931066E-2</v>
      </c>
      <c r="AS342" s="39">
        <v>1.33634708931066E-2</v>
      </c>
      <c r="AT342" s="39">
        <v>1.33634708931066E-2</v>
      </c>
      <c r="AU342" s="39">
        <v>1.2392217523121999E-3</v>
      </c>
      <c r="AV342" s="39">
        <v>1.2392217523121999E-3</v>
      </c>
      <c r="AW342" s="39">
        <v>1.2392217523121999E-3</v>
      </c>
      <c r="AX342" s="39">
        <v>1.2392217523121999E-3</v>
      </c>
      <c r="AY342" s="39">
        <v>1.2392217523121999E-3</v>
      </c>
      <c r="AZ342" s="39">
        <v>1.2392217523121999E-3</v>
      </c>
      <c r="BA342" s="39">
        <v>1.2392217523121999E-3</v>
      </c>
      <c r="BB342" s="39">
        <v>1.2392217523121999E-3</v>
      </c>
      <c r="BC342" s="39">
        <v>1.2392217523121999E-3</v>
      </c>
      <c r="BD342" s="39">
        <v>1.2392217523121999E-3</v>
      </c>
      <c r="BE342" s="39">
        <v>1.2392217523121999E-3</v>
      </c>
      <c r="BF342" s="39">
        <v>1.2392217523121999E-3</v>
      </c>
      <c r="BH342" s="12">
        <f t="shared" si="238"/>
        <v>0</v>
      </c>
      <c r="BI342" s="12">
        <f t="shared" si="239"/>
        <v>0</v>
      </c>
      <c r="BJ342" s="12">
        <f t="shared" si="240"/>
        <v>0</v>
      </c>
      <c r="BK342" s="12">
        <f t="shared" si="241"/>
        <v>0</v>
      </c>
      <c r="BL342" s="12">
        <f t="shared" si="242"/>
        <v>0</v>
      </c>
      <c r="BM342" s="12">
        <f t="shared" si="243"/>
        <v>0</v>
      </c>
      <c r="BN342" s="12">
        <f t="shared" si="244"/>
        <v>0</v>
      </c>
      <c r="BO342" s="12">
        <f t="shared" si="245"/>
        <v>0</v>
      </c>
      <c r="BP342" s="12">
        <f t="shared" si="246"/>
        <v>0</v>
      </c>
      <c r="BQ342" s="12">
        <f t="shared" si="247"/>
        <v>0</v>
      </c>
      <c r="BR342" s="12">
        <f t="shared" si="210"/>
        <v>0</v>
      </c>
      <c r="BS342" s="12">
        <f t="shared" si="211"/>
        <v>0</v>
      </c>
      <c r="BU342" s="11">
        <f t="shared" si="212"/>
        <v>0</v>
      </c>
      <c r="BV342" s="11">
        <f t="shared" si="213"/>
        <v>0</v>
      </c>
      <c r="BW342" s="11">
        <f t="shared" si="214"/>
        <v>0</v>
      </c>
      <c r="BX342" s="11">
        <f t="shared" si="215"/>
        <v>0</v>
      </c>
      <c r="BY342" s="11">
        <f t="shared" si="216"/>
        <v>0</v>
      </c>
      <c r="BZ342" s="11">
        <f t="shared" si="217"/>
        <v>0</v>
      </c>
      <c r="CA342" s="11">
        <f t="shared" si="218"/>
        <v>0</v>
      </c>
      <c r="CB342" s="11">
        <f t="shared" si="219"/>
        <v>0</v>
      </c>
      <c r="CC342" s="11">
        <f t="shared" si="220"/>
        <v>0</v>
      </c>
      <c r="CD342" s="11">
        <f t="shared" si="221"/>
        <v>0</v>
      </c>
      <c r="CE342" s="11">
        <f t="shared" si="222"/>
        <v>0</v>
      </c>
      <c r="CF342" s="11">
        <f t="shared" si="223"/>
        <v>0</v>
      </c>
      <c r="CG342" s="11"/>
      <c r="CH342" s="41">
        <v>3.23</v>
      </c>
      <c r="CJ342" s="54">
        <f t="shared" si="224"/>
        <v>0</v>
      </c>
      <c r="CK342" s="54">
        <f t="shared" si="225"/>
        <v>0</v>
      </c>
      <c r="CL342" s="54">
        <f t="shared" si="226"/>
        <v>0</v>
      </c>
      <c r="CM342" s="54">
        <f t="shared" si="227"/>
        <v>0</v>
      </c>
      <c r="CN342" s="54">
        <f t="shared" si="228"/>
        <v>0</v>
      </c>
      <c r="CO342" s="54">
        <f t="shared" si="229"/>
        <v>0</v>
      </c>
      <c r="CP342" s="54">
        <f t="shared" si="230"/>
        <v>0</v>
      </c>
      <c r="CQ342" s="54">
        <f t="shared" si="231"/>
        <v>0</v>
      </c>
      <c r="CR342" s="54">
        <f t="shared" si="232"/>
        <v>0</v>
      </c>
      <c r="CS342" s="54">
        <f t="shared" si="233"/>
        <v>0</v>
      </c>
      <c r="CT342" s="54">
        <f t="shared" si="234"/>
        <v>0</v>
      </c>
      <c r="CU342" s="54">
        <f t="shared" si="235"/>
        <v>0</v>
      </c>
      <c r="CV342" s="52">
        <f t="shared" si="236"/>
        <v>0</v>
      </c>
    </row>
    <row r="343" spans="1:100" ht="15.75" x14ac:dyDescent="0.25">
      <c r="A343" s="17"/>
      <c r="B343" s="17"/>
      <c r="C343" s="17"/>
      <c r="D343" s="17"/>
      <c r="E343" s="17"/>
      <c r="F343" s="18" t="s">
        <v>3604</v>
      </c>
      <c r="G343" s="78"/>
      <c r="H343" s="78"/>
      <c r="I343" s="78"/>
      <c r="J343" s="78"/>
      <c r="K343" s="78"/>
      <c r="L343" s="78"/>
      <c r="M343" s="78"/>
      <c r="N343" s="78"/>
      <c r="O343" s="78"/>
      <c r="P343" s="78"/>
      <c r="Q343" s="78"/>
      <c r="R343" s="78"/>
      <c r="S343" s="12">
        <f t="shared" si="237"/>
        <v>0</v>
      </c>
      <c r="V343" s="46">
        <f t="shared" si="209"/>
        <v>0</v>
      </c>
      <c r="W343" s="36">
        <v>0.94</v>
      </c>
      <c r="X343" s="36">
        <v>0.94</v>
      </c>
      <c r="Y343" s="36">
        <v>0.94</v>
      </c>
      <c r="Z343" s="36">
        <v>0.94</v>
      </c>
      <c r="AA343" s="36">
        <v>0.94</v>
      </c>
      <c r="AB343" s="36">
        <v>0.94</v>
      </c>
      <c r="AC343" s="36">
        <v>0.94</v>
      </c>
      <c r="AD343" s="36">
        <v>0.94</v>
      </c>
      <c r="AE343" s="36">
        <v>0.94</v>
      </c>
      <c r="AF343" s="36">
        <v>0.94</v>
      </c>
      <c r="AG343" s="36">
        <v>0.94</v>
      </c>
      <c r="AH343" s="36">
        <v>0.94</v>
      </c>
      <c r="AI343" s="39">
        <v>1.33634708931066E-2</v>
      </c>
      <c r="AJ343" s="39">
        <v>1.33634708931066E-2</v>
      </c>
      <c r="AK343" s="39">
        <v>1.33634708931066E-2</v>
      </c>
      <c r="AL343" s="39">
        <v>1.33634708931066E-2</v>
      </c>
      <c r="AM343" s="39">
        <v>1.33634708931066E-2</v>
      </c>
      <c r="AN343" s="39">
        <v>1.33634708931066E-2</v>
      </c>
      <c r="AO343" s="39">
        <v>1.33634708931066E-2</v>
      </c>
      <c r="AP343" s="39">
        <v>1.33634708931066E-2</v>
      </c>
      <c r="AQ343" s="39">
        <v>1.33634708931066E-2</v>
      </c>
      <c r="AR343" s="39">
        <v>1.33634708931066E-2</v>
      </c>
      <c r="AS343" s="39">
        <v>1.33634708931066E-2</v>
      </c>
      <c r="AT343" s="39">
        <v>1.33634708931066E-2</v>
      </c>
      <c r="AU343" s="39">
        <v>1.2392217523121999E-3</v>
      </c>
      <c r="AV343" s="39">
        <v>1.2392217523121999E-3</v>
      </c>
      <c r="AW343" s="39">
        <v>1.2392217523121999E-3</v>
      </c>
      <c r="AX343" s="39">
        <v>1.2392217523121999E-3</v>
      </c>
      <c r="AY343" s="39">
        <v>1.2392217523121999E-3</v>
      </c>
      <c r="AZ343" s="39">
        <v>1.2392217523121999E-3</v>
      </c>
      <c r="BA343" s="39">
        <v>1.2392217523121999E-3</v>
      </c>
      <c r="BB343" s="39">
        <v>1.2392217523121999E-3</v>
      </c>
      <c r="BC343" s="39">
        <v>1.2392217523121999E-3</v>
      </c>
      <c r="BD343" s="39">
        <v>1.2392217523121999E-3</v>
      </c>
      <c r="BE343" s="39">
        <v>1.2392217523121999E-3</v>
      </c>
      <c r="BF343" s="39">
        <v>1.2392217523121999E-3</v>
      </c>
      <c r="BH343" s="12">
        <f t="shared" si="238"/>
        <v>0</v>
      </c>
      <c r="BI343" s="12">
        <f t="shared" si="239"/>
        <v>0</v>
      </c>
      <c r="BJ343" s="12">
        <f t="shared" si="240"/>
        <v>0</v>
      </c>
      <c r="BK343" s="12">
        <f t="shared" si="241"/>
        <v>0</v>
      </c>
      <c r="BL343" s="12">
        <f t="shared" si="242"/>
        <v>0</v>
      </c>
      <c r="BM343" s="12">
        <f t="shared" si="243"/>
        <v>0</v>
      </c>
      <c r="BN343" s="12">
        <f t="shared" si="244"/>
        <v>0</v>
      </c>
      <c r="BO343" s="12">
        <f t="shared" si="245"/>
        <v>0</v>
      </c>
      <c r="BP343" s="12">
        <f t="shared" si="246"/>
        <v>0</v>
      </c>
      <c r="BQ343" s="12">
        <f t="shared" si="247"/>
        <v>0</v>
      </c>
      <c r="BR343" s="12">
        <f t="shared" si="210"/>
        <v>0</v>
      </c>
      <c r="BS343" s="12">
        <f t="shared" si="211"/>
        <v>0</v>
      </c>
      <c r="BU343" s="11">
        <f t="shared" si="212"/>
        <v>0</v>
      </c>
      <c r="BV343" s="11">
        <f t="shared" si="213"/>
        <v>0</v>
      </c>
      <c r="BW343" s="11">
        <f t="shared" si="214"/>
        <v>0</v>
      </c>
      <c r="BX343" s="11">
        <f t="shared" si="215"/>
        <v>0</v>
      </c>
      <c r="BY343" s="11">
        <f t="shared" si="216"/>
        <v>0</v>
      </c>
      <c r="BZ343" s="11">
        <f t="shared" si="217"/>
        <v>0</v>
      </c>
      <c r="CA343" s="11">
        <f t="shared" si="218"/>
        <v>0</v>
      </c>
      <c r="CB343" s="11">
        <f t="shared" si="219"/>
        <v>0</v>
      </c>
      <c r="CC343" s="11">
        <f t="shared" si="220"/>
        <v>0</v>
      </c>
      <c r="CD343" s="11">
        <f t="shared" si="221"/>
        <v>0</v>
      </c>
      <c r="CE343" s="11">
        <f t="shared" si="222"/>
        <v>0</v>
      </c>
      <c r="CF343" s="11">
        <f t="shared" si="223"/>
        <v>0</v>
      </c>
      <c r="CG343" s="11"/>
      <c r="CH343" s="41">
        <v>3.23</v>
      </c>
      <c r="CJ343" s="54">
        <f t="shared" si="224"/>
        <v>0</v>
      </c>
      <c r="CK343" s="54">
        <f t="shared" si="225"/>
        <v>0</v>
      </c>
      <c r="CL343" s="54">
        <f t="shared" si="226"/>
        <v>0</v>
      </c>
      <c r="CM343" s="54">
        <f t="shared" si="227"/>
        <v>0</v>
      </c>
      <c r="CN343" s="54">
        <f t="shared" si="228"/>
        <v>0</v>
      </c>
      <c r="CO343" s="54">
        <f t="shared" si="229"/>
        <v>0</v>
      </c>
      <c r="CP343" s="54">
        <f t="shared" si="230"/>
        <v>0</v>
      </c>
      <c r="CQ343" s="54">
        <f t="shared" si="231"/>
        <v>0</v>
      </c>
      <c r="CR343" s="54">
        <f t="shared" si="232"/>
        <v>0</v>
      </c>
      <c r="CS343" s="54">
        <f t="shared" si="233"/>
        <v>0</v>
      </c>
      <c r="CT343" s="54">
        <f t="shared" si="234"/>
        <v>0</v>
      </c>
      <c r="CU343" s="54">
        <f t="shared" si="235"/>
        <v>0</v>
      </c>
      <c r="CV343" s="52">
        <f t="shared" si="236"/>
        <v>0</v>
      </c>
    </row>
    <row r="344" spans="1:100" ht="15.75" x14ac:dyDescent="0.25">
      <c r="A344" s="17"/>
      <c r="B344" s="17"/>
      <c r="C344" s="17"/>
      <c r="D344" s="17"/>
      <c r="E344" s="17"/>
      <c r="F344" s="18" t="s">
        <v>3604</v>
      </c>
      <c r="G344" s="78"/>
      <c r="H344" s="78"/>
      <c r="I344" s="78"/>
      <c r="J344" s="78"/>
      <c r="K344" s="78"/>
      <c r="L344" s="78"/>
      <c r="M344" s="78"/>
      <c r="N344" s="78"/>
      <c r="O344" s="78"/>
      <c r="P344" s="78"/>
      <c r="Q344" s="78"/>
      <c r="R344" s="78"/>
      <c r="S344" s="12">
        <f t="shared" si="237"/>
        <v>0</v>
      </c>
      <c r="V344" s="46">
        <f t="shared" si="209"/>
        <v>0</v>
      </c>
      <c r="W344" s="36">
        <v>1.75</v>
      </c>
      <c r="X344" s="36">
        <v>1.75</v>
      </c>
      <c r="Y344" s="36">
        <v>1.75</v>
      </c>
      <c r="Z344" s="36">
        <v>1.75</v>
      </c>
      <c r="AA344" s="36">
        <v>1.75</v>
      </c>
      <c r="AB344" s="36">
        <v>1.75</v>
      </c>
      <c r="AC344" s="36">
        <v>1.75</v>
      </c>
      <c r="AD344" s="36">
        <v>1.75</v>
      </c>
      <c r="AE344" s="36">
        <v>1.75</v>
      </c>
      <c r="AF344" s="36">
        <v>1.75</v>
      </c>
      <c r="AG344" s="36">
        <v>1.75</v>
      </c>
      <c r="AH344" s="36">
        <v>1.75</v>
      </c>
      <c r="AI344" s="39">
        <v>1.33634708931066E-2</v>
      </c>
      <c r="AJ344" s="39">
        <v>1.33634708931066E-2</v>
      </c>
      <c r="AK344" s="39">
        <v>1.33634708931066E-2</v>
      </c>
      <c r="AL344" s="39">
        <v>1.33634708931066E-2</v>
      </c>
      <c r="AM344" s="39">
        <v>1.33634708931066E-2</v>
      </c>
      <c r="AN344" s="39">
        <v>1.33634708931066E-2</v>
      </c>
      <c r="AO344" s="39">
        <v>1.33634708931066E-2</v>
      </c>
      <c r="AP344" s="39">
        <v>1.33634708931066E-2</v>
      </c>
      <c r="AQ344" s="39">
        <v>1.33634708931066E-2</v>
      </c>
      <c r="AR344" s="39">
        <v>1.33634708931066E-2</v>
      </c>
      <c r="AS344" s="39">
        <v>1.33634708931066E-2</v>
      </c>
      <c r="AT344" s="39">
        <v>1.33634708931066E-2</v>
      </c>
      <c r="AU344" s="39">
        <v>1.2392217523121999E-3</v>
      </c>
      <c r="AV344" s="39">
        <v>1.2392217523121999E-3</v>
      </c>
      <c r="AW344" s="39">
        <v>1.2392217523121999E-3</v>
      </c>
      <c r="AX344" s="39">
        <v>1.2392217523121999E-3</v>
      </c>
      <c r="AY344" s="39">
        <v>1.2392217523121999E-3</v>
      </c>
      <c r="AZ344" s="39">
        <v>1.2392217523121999E-3</v>
      </c>
      <c r="BA344" s="39">
        <v>1.2392217523121999E-3</v>
      </c>
      <c r="BB344" s="39">
        <v>1.2392217523121999E-3</v>
      </c>
      <c r="BC344" s="39">
        <v>1.2392217523121999E-3</v>
      </c>
      <c r="BD344" s="39">
        <v>1.2392217523121999E-3</v>
      </c>
      <c r="BE344" s="39">
        <v>1.2392217523121999E-3</v>
      </c>
      <c r="BF344" s="39">
        <v>1.2392217523121999E-3</v>
      </c>
      <c r="BH344" s="12">
        <f t="shared" si="238"/>
        <v>0</v>
      </c>
      <c r="BI344" s="12">
        <f t="shared" si="239"/>
        <v>0</v>
      </c>
      <c r="BJ344" s="12">
        <f t="shared" si="240"/>
        <v>0</v>
      </c>
      <c r="BK344" s="12">
        <f t="shared" si="241"/>
        <v>0</v>
      </c>
      <c r="BL344" s="12">
        <f t="shared" si="242"/>
        <v>0</v>
      </c>
      <c r="BM344" s="12">
        <f t="shared" si="243"/>
        <v>0</v>
      </c>
      <c r="BN344" s="12">
        <f t="shared" si="244"/>
        <v>0</v>
      </c>
      <c r="BO344" s="12">
        <f t="shared" si="245"/>
        <v>0</v>
      </c>
      <c r="BP344" s="12">
        <f t="shared" si="246"/>
        <v>0</v>
      </c>
      <c r="BQ344" s="12">
        <f t="shared" si="247"/>
        <v>0</v>
      </c>
      <c r="BR344" s="12">
        <f t="shared" si="210"/>
        <v>0</v>
      </c>
      <c r="BS344" s="12">
        <f t="shared" si="211"/>
        <v>0</v>
      </c>
      <c r="BU344" s="11">
        <f t="shared" si="212"/>
        <v>0</v>
      </c>
      <c r="BV344" s="11">
        <f t="shared" si="213"/>
        <v>0</v>
      </c>
      <c r="BW344" s="11">
        <f t="shared" si="214"/>
        <v>0</v>
      </c>
      <c r="BX344" s="11">
        <f t="shared" si="215"/>
        <v>0</v>
      </c>
      <c r="BY344" s="11">
        <f t="shared" si="216"/>
        <v>0</v>
      </c>
      <c r="BZ344" s="11">
        <f t="shared" si="217"/>
        <v>0</v>
      </c>
      <c r="CA344" s="11">
        <f t="shared" si="218"/>
        <v>0</v>
      </c>
      <c r="CB344" s="11">
        <f t="shared" si="219"/>
        <v>0</v>
      </c>
      <c r="CC344" s="11">
        <f t="shared" si="220"/>
        <v>0</v>
      </c>
      <c r="CD344" s="11">
        <f t="shared" si="221"/>
        <v>0</v>
      </c>
      <c r="CE344" s="11">
        <f t="shared" si="222"/>
        <v>0</v>
      </c>
      <c r="CF344" s="11">
        <f t="shared" si="223"/>
        <v>0</v>
      </c>
      <c r="CG344" s="11"/>
      <c r="CH344" s="41">
        <v>3.23</v>
      </c>
      <c r="CJ344" s="54">
        <f t="shared" si="224"/>
        <v>0</v>
      </c>
      <c r="CK344" s="54">
        <f t="shared" si="225"/>
        <v>0</v>
      </c>
      <c r="CL344" s="54">
        <f t="shared" si="226"/>
        <v>0</v>
      </c>
      <c r="CM344" s="54">
        <f t="shared" si="227"/>
        <v>0</v>
      </c>
      <c r="CN344" s="54">
        <f t="shared" si="228"/>
        <v>0</v>
      </c>
      <c r="CO344" s="54">
        <f t="shared" si="229"/>
        <v>0</v>
      </c>
      <c r="CP344" s="54">
        <f t="shared" si="230"/>
        <v>0</v>
      </c>
      <c r="CQ344" s="54">
        <f t="shared" si="231"/>
        <v>0</v>
      </c>
      <c r="CR344" s="54">
        <f t="shared" si="232"/>
        <v>0</v>
      </c>
      <c r="CS344" s="54">
        <f t="shared" si="233"/>
        <v>0</v>
      </c>
      <c r="CT344" s="54">
        <f t="shared" si="234"/>
        <v>0</v>
      </c>
      <c r="CU344" s="54">
        <f t="shared" si="235"/>
        <v>0</v>
      </c>
      <c r="CV344" s="52">
        <f t="shared" si="236"/>
        <v>0</v>
      </c>
    </row>
    <row r="345" spans="1:100" ht="15.75" x14ac:dyDescent="0.25">
      <c r="A345" s="17"/>
      <c r="B345" s="17"/>
      <c r="C345" s="17"/>
      <c r="D345" s="17"/>
      <c r="E345" s="17"/>
      <c r="F345" s="18" t="s">
        <v>3604</v>
      </c>
      <c r="G345" s="78"/>
      <c r="H345" s="78"/>
      <c r="I345" s="78"/>
      <c r="J345" s="78"/>
      <c r="K345" s="78"/>
      <c r="L345" s="78"/>
      <c r="M345" s="78"/>
      <c r="N345" s="78"/>
      <c r="O345" s="78"/>
      <c r="P345" s="78"/>
      <c r="Q345" s="78"/>
      <c r="R345" s="78"/>
      <c r="S345" s="12">
        <f t="shared" si="237"/>
        <v>0</v>
      </c>
      <c r="V345" s="46">
        <f t="shared" si="209"/>
        <v>0</v>
      </c>
      <c r="W345" s="36">
        <v>2.367</v>
      </c>
      <c r="X345" s="36">
        <v>2.367</v>
      </c>
      <c r="Y345" s="36">
        <v>2.367</v>
      </c>
      <c r="Z345" s="36">
        <v>2.367</v>
      </c>
      <c r="AA345" s="36">
        <v>2.367</v>
      </c>
      <c r="AB345" s="36">
        <v>2.367</v>
      </c>
      <c r="AC345" s="36">
        <v>2.367</v>
      </c>
      <c r="AD345" s="36">
        <v>2.367</v>
      </c>
      <c r="AE345" s="36">
        <v>2.367</v>
      </c>
      <c r="AF345" s="36">
        <v>2.367</v>
      </c>
      <c r="AG345" s="36">
        <v>2.367</v>
      </c>
      <c r="AH345" s="36">
        <v>2.367</v>
      </c>
      <c r="AI345" s="39">
        <v>1.33634708931066E-2</v>
      </c>
      <c r="AJ345" s="39">
        <v>1.33634708931066E-2</v>
      </c>
      <c r="AK345" s="39">
        <v>1.33634708931066E-2</v>
      </c>
      <c r="AL345" s="39">
        <v>1.33634708931066E-2</v>
      </c>
      <c r="AM345" s="39">
        <v>1.33634708931066E-2</v>
      </c>
      <c r="AN345" s="39">
        <v>1.33634708931066E-2</v>
      </c>
      <c r="AO345" s="39">
        <v>1.33634708931066E-2</v>
      </c>
      <c r="AP345" s="39">
        <v>1.33634708931066E-2</v>
      </c>
      <c r="AQ345" s="39">
        <v>1.33634708931066E-2</v>
      </c>
      <c r="AR345" s="39">
        <v>1.33634708931066E-2</v>
      </c>
      <c r="AS345" s="39">
        <v>1.33634708931066E-2</v>
      </c>
      <c r="AT345" s="39">
        <v>1.33634708931066E-2</v>
      </c>
      <c r="AU345" s="39">
        <v>1.2392217523121999E-3</v>
      </c>
      <c r="AV345" s="39">
        <v>1.2392217523121999E-3</v>
      </c>
      <c r="AW345" s="39">
        <v>1.2392217523121999E-3</v>
      </c>
      <c r="AX345" s="39">
        <v>1.2392217523121999E-3</v>
      </c>
      <c r="AY345" s="39">
        <v>1.2392217523121999E-3</v>
      </c>
      <c r="AZ345" s="39">
        <v>1.2392217523121999E-3</v>
      </c>
      <c r="BA345" s="39">
        <v>1.2392217523121999E-3</v>
      </c>
      <c r="BB345" s="39">
        <v>1.2392217523121999E-3</v>
      </c>
      <c r="BC345" s="39">
        <v>1.2392217523121999E-3</v>
      </c>
      <c r="BD345" s="39">
        <v>1.2392217523121999E-3</v>
      </c>
      <c r="BE345" s="39">
        <v>1.2392217523121999E-3</v>
      </c>
      <c r="BF345" s="39">
        <v>1.2392217523121999E-3</v>
      </c>
      <c r="BH345" s="12">
        <f t="shared" si="238"/>
        <v>0</v>
      </c>
      <c r="BI345" s="12">
        <f t="shared" si="239"/>
        <v>0</v>
      </c>
      <c r="BJ345" s="12">
        <f t="shared" si="240"/>
        <v>0</v>
      </c>
      <c r="BK345" s="12">
        <f t="shared" si="241"/>
        <v>0</v>
      </c>
      <c r="BL345" s="12">
        <f t="shared" si="242"/>
        <v>0</v>
      </c>
      <c r="BM345" s="12">
        <f t="shared" si="243"/>
        <v>0</v>
      </c>
      <c r="BN345" s="12">
        <f t="shared" si="244"/>
        <v>0</v>
      </c>
      <c r="BO345" s="12">
        <f t="shared" si="245"/>
        <v>0</v>
      </c>
      <c r="BP345" s="12">
        <f t="shared" si="246"/>
        <v>0</v>
      </c>
      <c r="BQ345" s="12">
        <f t="shared" si="247"/>
        <v>0</v>
      </c>
      <c r="BR345" s="12">
        <f t="shared" si="210"/>
        <v>0</v>
      </c>
      <c r="BS345" s="12">
        <f t="shared" si="211"/>
        <v>0</v>
      </c>
      <c r="BU345" s="11">
        <f t="shared" si="212"/>
        <v>0</v>
      </c>
      <c r="BV345" s="11">
        <f t="shared" si="213"/>
        <v>0</v>
      </c>
      <c r="BW345" s="11">
        <f t="shared" si="214"/>
        <v>0</v>
      </c>
      <c r="BX345" s="11">
        <f t="shared" si="215"/>
        <v>0</v>
      </c>
      <c r="BY345" s="11">
        <f t="shared" si="216"/>
        <v>0</v>
      </c>
      <c r="BZ345" s="11">
        <f t="shared" si="217"/>
        <v>0</v>
      </c>
      <c r="CA345" s="11">
        <f t="shared" si="218"/>
        <v>0</v>
      </c>
      <c r="CB345" s="11">
        <f t="shared" si="219"/>
        <v>0</v>
      </c>
      <c r="CC345" s="11">
        <f t="shared" si="220"/>
        <v>0</v>
      </c>
      <c r="CD345" s="11">
        <f t="shared" si="221"/>
        <v>0</v>
      </c>
      <c r="CE345" s="11">
        <f t="shared" si="222"/>
        <v>0</v>
      </c>
      <c r="CF345" s="11">
        <f t="shared" si="223"/>
        <v>0</v>
      </c>
      <c r="CG345" s="11"/>
      <c r="CH345" s="41">
        <v>3.23</v>
      </c>
      <c r="CJ345" s="54">
        <f t="shared" si="224"/>
        <v>0</v>
      </c>
      <c r="CK345" s="54">
        <f t="shared" si="225"/>
        <v>0</v>
      </c>
      <c r="CL345" s="54">
        <f t="shared" si="226"/>
        <v>0</v>
      </c>
      <c r="CM345" s="54">
        <f t="shared" si="227"/>
        <v>0</v>
      </c>
      <c r="CN345" s="54">
        <f t="shared" si="228"/>
        <v>0</v>
      </c>
      <c r="CO345" s="54">
        <f t="shared" si="229"/>
        <v>0</v>
      </c>
      <c r="CP345" s="54">
        <f t="shared" si="230"/>
        <v>0</v>
      </c>
      <c r="CQ345" s="54">
        <f t="shared" si="231"/>
        <v>0</v>
      </c>
      <c r="CR345" s="54">
        <f t="shared" si="232"/>
        <v>0</v>
      </c>
      <c r="CS345" s="54">
        <f t="shared" si="233"/>
        <v>0</v>
      </c>
      <c r="CT345" s="54">
        <f t="shared" si="234"/>
        <v>0</v>
      </c>
      <c r="CU345" s="54">
        <f t="shared" si="235"/>
        <v>0</v>
      </c>
      <c r="CV345" s="52">
        <f t="shared" si="236"/>
        <v>0</v>
      </c>
    </row>
    <row r="346" spans="1:100" ht="15.75" x14ac:dyDescent="0.25">
      <c r="A346" s="17"/>
      <c r="B346" s="17"/>
      <c r="C346" s="17"/>
      <c r="D346" s="17"/>
      <c r="E346" s="17"/>
      <c r="F346" s="18" t="s">
        <v>3604</v>
      </c>
      <c r="G346" s="78"/>
      <c r="H346" s="78"/>
      <c r="I346" s="78"/>
      <c r="J346" s="78"/>
      <c r="K346" s="78"/>
      <c r="L346" s="78"/>
      <c r="M346" s="78"/>
      <c r="N346" s="78"/>
      <c r="O346" s="78"/>
      <c r="P346" s="78"/>
      <c r="Q346" s="78"/>
      <c r="R346" s="78"/>
      <c r="S346" s="12">
        <f t="shared" si="237"/>
        <v>0</v>
      </c>
      <c r="V346" s="46">
        <f t="shared" si="209"/>
        <v>0</v>
      </c>
      <c r="W346" s="36">
        <v>1.9370000000000001</v>
      </c>
      <c r="X346" s="36">
        <v>1.9370000000000001</v>
      </c>
      <c r="Y346" s="36">
        <v>1.9370000000000001</v>
      </c>
      <c r="Z346" s="36">
        <v>1.9370000000000001</v>
      </c>
      <c r="AA346" s="36">
        <v>1.9370000000000001</v>
      </c>
      <c r="AB346" s="36">
        <v>1.9370000000000001</v>
      </c>
      <c r="AC346" s="36">
        <v>1.9370000000000001</v>
      </c>
      <c r="AD346" s="36">
        <v>1.9370000000000001</v>
      </c>
      <c r="AE346" s="36">
        <v>1.9370000000000001</v>
      </c>
      <c r="AF346" s="36">
        <v>1.9370000000000001</v>
      </c>
      <c r="AG346" s="36">
        <v>1.9370000000000001</v>
      </c>
      <c r="AH346" s="36">
        <v>1.9370000000000001</v>
      </c>
      <c r="AI346" s="39">
        <v>1.33634708931066E-2</v>
      </c>
      <c r="AJ346" s="39">
        <v>1.33634708931066E-2</v>
      </c>
      <c r="AK346" s="39">
        <v>1.33634708931066E-2</v>
      </c>
      <c r="AL346" s="39">
        <v>1.33634708931066E-2</v>
      </c>
      <c r="AM346" s="39">
        <v>1.33634708931066E-2</v>
      </c>
      <c r="AN346" s="39">
        <v>1.33634708931066E-2</v>
      </c>
      <c r="AO346" s="39">
        <v>1.33634708931066E-2</v>
      </c>
      <c r="AP346" s="39">
        <v>1.33634708931066E-2</v>
      </c>
      <c r="AQ346" s="39">
        <v>1.33634708931066E-2</v>
      </c>
      <c r="AR346" s="39">
        <v>1.33634708931066E-2</v>
      </c>
      <c r="AS346" s="39">
        <v>1.33634708931066E-2</v>
      </c>
      <c r="AT346" s="39">
        <v>1.33634708931066E-2</v>
      </c>
      <c r="AU346" s="39">
        <v>1.2392217523121999E-3</v>
      </c>
      <c r="AV346" s="39">
        <v>1.2392217523121999E-3</v>
      </c>
      <c r="AW346" s="39">
        <v>1.2392217523121999E-3</v>
      </c>
      <c r="AX346" s="39">
        <v>1.2392217523121999E-3</v>
      </c>
      <c r="AY346" s="39">
        <v>1.2392217523121999E-3</v>
      </c>
      <c r="AZ346" s="39">
        <v>1.2392217523121999E-3</v>
      </c>
      <c r="BA346" s="39">
        <v>1.2392217523121999E-3</v>
      </c>
      <c r="BB346" s="39">
        <v>1.2392217523121999E-3</v>
      </c>
      <c r="BC346" s="39">
        <v>1.2392217523121999E-3</v>
      </c>
      <c r="BD346" s="39">
        <v>1.2392217523121999E-3</v>
      </c>
      <c r="BE346" s="39">
        <v>1.2392217523121999E-3</v>
      </c>
      <c r="BF346" s="39">
        <v>1.2392217523121999E-3</v>
      </c>
      <c r="BH346" s="12">
        <f t="shared" si="238"/>
        <v>0</v>
      </c>
      <c r="BI346" s="12">
        <f t="shared" si="239"/>
        <v>0</v>
      </c>
      <c r="BJ346" s="12">
        <f t="shared" si="240"/>
        <v>0</v>
      </c>
      <c r="BK346" s="12">
        <f t="shared" si="241"/>
        <v>0</v>
      </c>
      <c r="BL346" s="12">
        <f t="shared" si="242"/>
        <v>0</v>
      </c>
      <c r="BM346" s="12">
        <f t="shared" si="243"/>
        <v>0</v>
      </c>
      <c r="BN346" s="12">
        <f t="shared" si="244"/>
        <v>0</v>
      </c>
      <c r="BO346" s="12">
        <f t="shared" si="245"/>
        <v>0</v>
      </c>
      <c r="BP346" s="12">
        <f t="shared" si="246"/>
        <v>0</v>
      </c>
      <c r="BQ346" s="12">
        <f t="shared" si="247"/>
        <v>0</v>
      </c>
      <c r="BR346" s="12">
        <f t="shared" si="210"/>
        <v>0</v>
      </c>
      <c r="BS346" s="12">
        <f t="shared" si="211"/>
        <v>0</v>
      </c>
      <c r="BU346" s="11">
        <f t="shared" si="212"/>
        <v>0</v>
      </c>
      <c r="BV346" s="11">
        <f t="shared" si="213"/>
        <v>0</v>
      </c>
      <c r="BW346" s="11">
        <f t="shared" si="214"/>
        <v>0</v>
      </c>
      <c r="BX346" s="11">
        <f t="shared" si="215"/>
        <v>0</v>
      </c>
      <c r="BY346" s="11">
        <f t="shared" si="216"/>
        <v>0</v>
      </c>
      <c r="BZ346" s="11">
        <f t="shared" si="217"/>
        <v>0</v>
      </c>
      <c r="CA346" s="11">
        <f t="shared" si="218"/>
        <v>0</v>
      </c>
      <c r="CB346" s="11">
        <f t="shared" si="219"/>
        <v>0</v>
      </c>
      <c r="CC346" s="11">
        <f t="shared" si="220"/>
        <v>0</v>
      </c>
      <c r="CD346" s="11">
        <f t="shared" si="221"/>
        <v>0</v>
      </c>
      <c r="CE346" s="11">
        <f t="shared" si="222"/>
        <v>0</v>
      </c>
      <c r="CF346" s="11">
        <f t="shared" si="223"/>
        <v>0</v>
      </c>
      <c r="CG346" s="11"/>
      <c r="CH346" s="41">
        <v>3.23</v>
      </c>
      <c r="CJ346" s="54">
        <f t="shared" si="224"/>
        <v>0</v>
      </c>
      <c r="CK346" s="54">
        <f t="shared" si="225"/>
        <v>0</v>
      </c>
      <c r="CL346" s="54">
        <f t="shared" si="226"/>
        <v>0</v>
      </c>
      <c r="CM346" s="54">
        <f t="shared" si="227"/>
        <v>0</v>
      </c>
      <c r="CN346" s="54">
        <f t="shared" si="228"/>
        <v>0</v>
      </c>
      <c r="CO346" s="54">
        <f t="shared" si="229"/>
        <v>0</v>
      </c>
      <c r="CP346" s="54">
        <f t="shared" si="230"/>
        <v>0</v>
      </c>
      <c r="CQ346" s="54">
        <f t="shared" si="231"/>
        <v>0</v>
      </c>
      <c r="CR346" s="54">
        <f t="shared" si="232"/>
        <v>0</v>
      </c>
      <c r="CS346" s="54">
        <f t="shared" si="233"/>
        <v>0</v>
      </c>
      <c r="CT346" s="54">
        <f t="shared" si="234"/>
        <v>0</v>
      </c>
      <c r="CU346" s="54">
        <f t="shared" si="235"/>
        <v>0</v>
      </c>
      <c r="CV346" s="52">
        <f t="shared" si="236"/>
        <v>0</v>
      </c>
    </row>
    <row r="347" spans="1:100" ht="15.75" x14ac:dyDescent="0.25">
      <c r="A347" s="17"/>
      <c r="B347" s="17"/>
      <c r="C347" s="17"/>
      <c r="D347" s="17"/>
      <c r="E347" s="17"/>
      <c r="F347" s="18" t="s">
        <v>3604</v>
      </c>
      <c r="G347" s="78"/>
      <c r="H347" s="78"/>
      <c r="I347" s="78"/>
      <c r="J347" s="78"/>
      <c r="K347" s="78"/>
      <c r="L347" s="78"/>
      <c r="M347" s="78"/>
      <c r="N347" s="78"/>
      <c r="O347" s="78"/>
      <c r="P347" s="78"/>
      <c r="Q347" s="78"/>
      <c r="R347" s="78"/>
      <c r="S347" s="12">
        <f t="shared" si="237"/>
        <v>0</v>
      </c>
      <c r="V347" s="46">
        <f t="shared" si="209"/>
        <v>0</v>
      </c>
      <c r="W347" s="36">
        <v>2.6589999999999998</v>
      </c>
      <c r="X347" s="36">
        <v>2.6589999999999998</v>
      </c>
      <c r="Y347" s="36">
        <v>2.6589999999999998</v>
      </c>
      <c r="Z347" s="36">
        <v>2.6589999999999998</v>
      </c>
      <c r="AA347" s="36">
        <v>2.6589999999999998</v>
      </c>
      <c r="AB347" s="36">
        <v>2.6589999999999998</v>
      </c>
      <c r="AC347" s="36">
        <v>2.6589999999999998</v>
      </c>
      <c r="AD347" s="36">
        <v>2.6589999999999998</v>
      </c>
      <c r="AE347" s="36">
        <v>2.6589999999999998</v>
      </c>
      <c r="AF347" s="36">
        <v>2.6589999999999998</v>
      </c>
      <c r="AG347" s="36">
        <v>2.6589999999999998</v>
      </c>
      <c r="AH347" s="36">
        <v>2.6589999999999998</v>
      </c>
      <c r="AI347" s="39">
        <v>1.33634708931066E-2</v>
      </c>
      <c r="AJ347" s="39">
        <v>1.33634708931066E-2</v>
      </c>
      <c r="AK347" s="39">
        <v>1.33634708931066E-2</v>
      </c>
      <c r="AL347" s="39">
        <v>1.33634708931066E-2</v>
      </c>
      <c r="AM347" s="39">
        <v>1.33634708931066E-2</v>
      </c>
      <c r="AN347" s="39">
        <v>1.33634708931066E-2</v>
      </c>
      <c r="AO347" s="39">
        <v>1.33634708931066E-2</v>
      </c>
      <c r="AP347" s="39">
        <v>1.33634708931066E-2</v>
      </c>
      <c r="AQ347" s="39">
        <v>1.33634708931066E-2</v>
      </c>
      <c r="AR347" s="39">
        <v>1.33634708931066E-2</v>
      </c>
      <c r="AS347" s="39">
        <v>1.33634708931066E-2</v>
      </c>
      <c r="AT347" s="39">
        <v>1.33634708931066E-2</v>
      </c>
      <c r="AU347" s="39">
        <v>1.2392217523121999E-3</v>
      </c>
      <c r="AV347" s="39">
        <v>1.2392217523121999E-3</v>
      </c>
      <c r="AW347" s="39">
        <v>1.2392217523121999E-3</v>
      </c>
      <c r="AX347" s="39">
        <v>1.2392217523121999E-3</v>
      </c>
      <c r="AY347" s="39">
        <v>1.2392217523121999E-3</v>
      </c>
      <c r="AZ347" s="39">
        <v>1.2392217523121999E-3</v>
      </c>
      <c r="BA347" s="39">
        <v>1.2392217523121999E-3</v>
      </c>
      <c r="BB347" s="39">
        <v>1.2392217523121999E-3</v>
      </c>
      <c r="BC347" s="39">
        <v>1.2392217523121999E-3</v>
      </c>
      <c r="BD347" s="39">
        <v>1.2392217523121999E-3</v>
      </c>
      <c r="BE347" s="39">
        <v>1.2392217523121999E-3</v>
      </c>
      <c r="BF347" s="39">
        <v>1.2392217523121999E-3</v>
      </c>
      <c r="BH347" s="12">
        <f t="shared" si="238"/>
        <v>0</v>
      </c>
      <c r="BI347" s="12">
        <f t="shared" si="239"/>
        <v>0</v>
      </c>
      <c r="BJ347" s="12">
        <f t="shared" si="240"/>
        <v>0</v>
      </c>
      <c r="BK347" s="12">
        <f t="shared" si="241"/>
        <v>0</v>
      </c>
      <c r="BL347" s="12">
        <f t="shared" si="242"/>
        <v>0</v>
      </c>
      <c r="BM347" s="12">
        <f t="shared" si="243"/>
        <v>0</v>
      </c>
      <c r="BN347" s="12">
        <f t="shared" si="244"/>
        <v>0</v>
      </c>
      <c r="BO347" s="12">
        <f t="shared" si="245"/>
        <v>0</v>
      </c>
      <c r="BP347" s="12">
        <f t="shared" si="246"/>
        <v>0</v>
      </c>
      <c r="BQ347" s="12">
        <f t="shared" si="247"/>
        <v>0</v>
      </c>
      <c r="BR347" s="12">
        <f t="shared" si="210"/>
        <v>0</v>
      </c>
      <c r="BS347" s="12">
        <f t="shared" si="211"/>
        <v>0</v>
      </c>
      <c r="BU347" s="11">
        <f t="shared" si="212"/>
        <v>0</v>
      </c>
      <c r="BV347" s="11">
        <f t="shared" si="213"/>
        <v>0</v>
      </c>
      <c r="BW347" s="11">
        <f t="shared" si="214"/>
        <v>0</v>
      </c>
      <c r="BX347" s="11">
        <f t="shared" si="215"/>
        <v>0</v>
      </c>
      <c r="BY347" s="11">
        <f t="shared" si="216"/>
        <v>0</v>
      </c>
      <c r="BZ347" s="11">
        <f t="shared" si="217"/>
        <v>0</v>
      </c>
      <c r="CA347" s="11">
        <f t="shared" si="218"/>
        <v>0</v>
      </c>
      <c r="CB347" s="11">
        <f t="shared" si="219"/>
        <v>0</v>
      </c>
      <c r="CC347" s="11">
        <f t="shared" si="220"/>
        <v>0</v>
      </c>
      <c r="CD347" s="11">
        <f t="shared" si="221"/>
        <v>0</v>
      </c>
      <c r="CE347" s="11">
        <f t="shared" si="222"/>
        <v>0</v>
      </c>
      <c r="CF347" s="11">
        <f t="shared" si="223"/>
        <v>0</v>
      </c>
      <c r="CG347" s="11"/>
      <c r="CH347" s="41">
        <v>3.23</v>
      </c>
      <c r="CJ347" s="54">
        <f t="shared" si="224"/>
        <v>0</v>
      </c>
      <c r="CK347" s="54">
        <f t="shared" si="225"/>
        <v>0</v>
      </c>
      <c r="CL347" s="54">
        <f t="shared" si="226"/>
        <v>0</v>
      </c>
      <c r="CM347" s="54">
        <f t="shared" si="227"/>
        <v>0</v>
      </c>
      <c r="CN347" s="54">
        <f t="shared" si="228"/>
        <v>0</v>
      </c>
      <c r="CO347" s="54">
        <f t="shared" si="229"/>
        <v>0</v>
      </c>
      <c r="CP347" s="54">
        <f t="shared" si="230"/>
        <v>0</v>
      </c>
      <c r="CQ347" s="54">
        <f t="shared" si="231"/>
        <v>0</v>
      </c>
      <c r="CR347" s="54">
        <f t="shared" si="232"/>
        <v>0</v>
      </c>
      <c r="CS347" s="54">
        <f t="shared" si="233"/>
        <v>0</v>
      </c>
      <c r="CT347" s="54">
        <f t="shared" si="234"/>
        <v>0</v>
      </c>
      <c r="CU347" s="54">
        <f t="shared" si="235"/>
        <v>0</v>
      </c>
      <c r="CV347" s="52">
        <f t="shared" si="236"/>
        <v>0</v>
      </c>
    </row>
    <row r="348" spans="1:100" ht="15.75" x14ac:dyDescent="0.25">
      <c r="A348" s="17"/>
      <c r="B348" s="17"/>
      <c r="C348" s="17"/>
      <c r="D348" s="17"/>
      <c r="E348" s="17"/>
      <c r="F348" s="18" t="s">
        <v>3604</v>
      </c>
      <c r="G348" s="78"/>
      <c r="H348" s="78"/>
      <c r="I348" s="78"/>
      <c r="J348" s="78"/>
      <c r="K348" s="78"/>
      <c r="L348" s="78"/>
      <c r="M348" s="78"/>
      <c r="N348" s="78"/>
      <c r="O348" s="78"/>
      <c r="P348" s="78"/>
      <c r="Q348" s="78"/>
      <c r="R348" s="78"/>
      <c r="S348" s="12">
        <f t="shared" si="237"/>
        <v>0</v>
      </c>
      <c r="V348" s="46">
        <f t="shared" si="209"/>
        <v>0</v>
      </c>
      <c r="W348" s="36">
        <v>1.8500010816189674</v>
      </c>
      <c r="X348" s="36">
        <v>1.8500010816189674</v>
      </c>
      <c r="Y348" s="36">
        <v>1.8500010816189674</v>
      </c>
      <c r="Z348" s="36">
        <v>1.8500010816189674</v>
      </c>
      <c r="AA348" s="36">
        <v>1.8500010816189674</v>
      </c>
      <c r="AB348" s="36">
        <v>1.8500010816189674</v>
      </c>
      <c r="AC348" s="36">
        <v>1.8500010816189674</v>
      </c>
      <c r="AD348" s="36">
        <v>1.8500010816189674</v>
      </c>
      <c r="AE348" s="36">
        <v>1.8500010816189674</v>
      </c>
      <c r="AF348" s="36">
        <v>1.8500010816189674</v>
      </c>
      <c r="AG348" s="36">
        <v>1.8500010816189674</v>
      </c>
      <c r="AH348" s="36">
        <v>1.8500010816189674</v>
      </c>
      <c r="AI348" s="39">
        <v>0</v>
      </c>
      <c r="AJ348" s="39">
        <v>0</v>
      </c>
      <c r="AK348" s="39">
        <v>0</v>
      </c>
      <c r="AL348" s="39">
        <v>0</v>
      </c>
      <c r="AM348" s="39">
        <v>0</v>
      </c>
      <c r="AN348" s="39">
        <v>0</v>
      </c>
      <c r="AO348" s="39">
        <v>0</v>
      </c>
      <c r="AP348" s="39">
        <v>0</v>
      </c>
      <c r="AQ348" s="39">
        <v>0</v>
      </c>
      <c r="AR348" s="39">
        <v>0</v>
      </c>
      <c r="AS348" s="39">
        <v>0</v>
      </c>
      <c r="AT348" s="39">
        <v>0</v>
      </c>
      <c r="AU348" s="39">
        <v>0</v>
      </c>
      <c r="AV348" s="39">
        <v>0</v>
      </c>
      <c r="AW348" s="39">
        <v>0</v>
      </c>
      <c r="AX348" s="39">
        <v>0</v>
      </c>
      <c r="AY348" s="39">
        <v>0</v>
      </c>
      <c r="AZ348" s="39">
        <v>0</v>
      </c>
      <c r="BA348" s="39">
        <v>0</v>
      </c>
      <c r="BB348" s="39">
        <v>0</v>
      </c>
      <c r="BC348" s="39">
        <v>0</v>
      </c>
      <c r="BD348" s="39">
        <v>0</v>
      </c>
      <c r="BE348" s="39">
        <v>0</v>
      </c>
      <c r="BF348" s="39">
        <v>0</v>
      </c>
      <c r="BH348" s="12">
        <f t="shared" si="238"/>
        <v>0</v>
      </c>
      <c r="BI348" s="12">
        <f t="shared" si="239"/>
        <v>0</v>
      </c>
      <c r="BJ348" s="12">
        <f t="shared" si="240"/>
        <v>0</v>
      </c>
      <c r="BK348" s="12">
        <f t="shared" si="241"/>
        <v>0</v>
      </c>
      <c r="BL348" s="12">
        <f t="shared" si="242"/>
        <v>0</v>
      </c>
      <c r="BM348" s="12">
        <f t="shared" si="243"/>
        <v>0</v>
      </c>
      <c r="BN348" s="12">
        <f t="shared" si="244"/>
        <v>0</v>
      </c>
      <c r="BO348" s="12">
        <f t="shared" si="245"/>
        <v>0</v>
      </c>
      <c r="BP348" s="12">
        <f t="shared" si="246"/>
        <v>0</v>
      </c>
      <c r="BQ348" s="12">
        <f t="shared" si="247"/>
        <v>0</v>
      </c>
      <c r="BR348" s="12">
        <f t="shared" si="210"/>
        <v>0</v>
      </c>
      <c r="BS348" s="12">
        <f t="shared" si="211"/>
        <v>0</v>
      </c>
      <c r="BU348" s="11">
        <f t="shared" si="212"/>
        <v>0</v>
      </c>
      <c r="BV348" s="11">
        <f t="shared" si="213"/>
        <v>0</v>
      </c>
      <c r="BW348" s="11">
        <f t="shared" si="214"/>
        <v>0</v>
      </c>
      <c r="BX348" s="11">
        <f t="shared" si="215"/>
        <v>0</v>
      </c>
      <c r="BY348" s="11">
        <f t="shared" si="216"/>
        <v>0</v>
      </c>
      <c r="BZ348" s="11">
        <f t="shared" si="217"/>
        <v>0</v>
      </c>
      <c r="CA348" s="11">
        <f t="shared" si="218"/>
        <v>0</v>
      </c>
      <c r="CB348" s="11">
        <f t="shared" si="219"/>
        <v>0</v>
      </c>
      <c r="CC348" s="11">
        <f t="shared" si="220"/>
        <v>0</v>
      </c>
      <c r="CD348" s="11">
        <f t="shared" si="221"/>
        <v>0</v>
      </c>
      <c r="CE348" s="11">
        <f t="shared" si="222"/>
        <v>0</v>
      </c>
      <c r="CF348" s="11">
        <f t="shared" si="223"/>
        <v>0</v>
      </c>
      <c r="CG348" s="11"/>
      <c r="CH348" s="41">
        <v>1</v>
      </c>
      <c r="CJ348" s="54">
        <f t="shared" si="224"/>
        <v>0</v>
      </c>
      <c r="CK348" s="54">
        <f t="shared" si="225"/>
        <v>0</v>
      </c>
      <c r="CL348" s="54">
        <f t="shared" si="226"/>
        <v>0</v>
      </c>
      <c r="CM348" s="54">
        <f t="shared" si="227"/>
        <v>0</v>
      </c>
      <c r="CN348" s="54">
        <f t="shared" si="228"/>
        <v>0</v>
      </c>
      <c r="CO348" s="54">
        <f t="shared" si="229"/>
        <v>0</v>
      </c>
      <c r="CP348" s="54">
        <f t="shared" si="230"/>
        <v>0</v>
      </c>
      <c r="CQ348" s="54">
        <f t="shared" si="231"/>
        <v>0</v>
      </c>
      <c r="CR348" s="54">
        <f t="shared" si="232"/>
        <v>0</v>
      </c>
      <c r="CS348" s="54">
        <f t="shared" si="233"/>
        <v>0</v>
      </c>
      <c r="CT348" s="54">
        <f t="shared" si="234"/>
        <v>0</v>
      </c>
      <c r="CU348" s="54">
        <f t="shared" si="235"/>
        <v>0</v>
      </c>
      <c r="CV348" s="52">
        <f t="shared" si="236"/>
        <v>0</v>
      </c>
    </row>
    <row r="349" spans="1:100" ht="15.75" x14ac:dyDescent="0.25">
      <c r="A349" s="17"/>
      <c r="B349" s="17"/>
      <c r="C349" s="17"/>
      <c r="D349" s="17"/>
      <c r="E349" s="17"/>
      <c r="F349" s="18" t="s">
        <v>3604</v>
      </c>
      <c r="G349" s="78"/>
      <c r="H349" s="78"/>
      <c r="I349" s="78"/>
      <c r="J349" s="78"/>
      <c r="K349" s="78"/>
      <c r="L349" s="78"/>
      <c r="M349" s="78"/>
      <c r="N349" s="78"/>
      <c r="O349" s="78"/>
      <c r="P349" s="78"/>
      <c r="Q349" s="78"/>
      <c r="R349" s="78"/>
      <c r="S349" s="12">
        <f t="shared" si="237"/>
        <v>0</v>
      </c>
      <c r="V349" s="46">
        <f t="shared" si="209"/>
        <v>0</v>
      </c>
      <c r="W349" s="36">
        <v>3.17</v>
      </c>
      <c r="X349" s="36">
        <v>3.17</v>
      </c>
      <c r="Y349" s="36">
        <v>3.17</v>
      </c>
      <c r="Z349" s="36">
        <v>3.17</v>
      </c>
      <c r="AA349" s="36">
        <v>3.17</v>
      </c>
      <c r="AB349" s="36">
        <v>3.17</v>
      </c>
      <c r="AC349" s="36">
        <v>3.17</v>
      </c>
      <c r="AD349" s="36">
        <v>3.17</v>
      </c>
      <c r="AE349" s="36">
        <v>3.17</v>
      </c>
      <c r="AF349" s="36">
        <v>3.17</v>
      </c>
      <c r="AG349" s="36">
        <v>3.17</v>
      </c>
      <c r="AH349" s="36">
        <v>3.17</v>
      </c>
      <c r="AI349" s="39">
        <v>0</v>
      </c>
      <c r="AJ349" s="39">
        <v>0</v>
      </c>
      <c r="AK349" s="39">
        <v>0</v>
      </c>
      <c r="AL349" s="39">
        <v>0</v>
      </c>
      <c r="AM349" s="39">
        <v>0</v>
      </c>
      <c r="AN349" s="39">
        <v>0</v>
      </c>
      <c r="AO349" s="39">
        <v>0</v>
      </c>
      <c r="AP349" s="39">
        <v>0</v>
      </c>
      <c r="AQ349" s="39">
        <v>0</v>
      </c>
      <c r="AR349" s="39">
        <v>0</v>
      </c>
      <c r="AS349" s="39">
        <v>0</v>
      </c>
      <c r="AT349" s="39">
        <v>0</v>
      </c>
      <c r="AU349" s="39">
        <v>0</v>
      </c>
      <c r="AV349" s="39">
        <v>0</v>
      </c>
      <c r="AW349" s="39">
        <v>0</v>
      </c>
      <c r="AX349" s="39">
        <v>0</v>
      </c>
      <c r="AY349" s="39">
        <v>0</v>
      </c>
      <c r="AZ349" s="39">
        <v>0</v>
      </c>
      <c r="BA349" s="39">
        <v>0</v>
      </c>
      <c r="BB349" s="39">
        <v>0</v>
      </c>
      <c r="BC349" s="39">
        <v>0</v>
      </c>
      <c r="BD349" s="39">
        <v>0</v>
      </c>
      <c r="BE349" s="39">
        <v>0</v>
      </c>
      <c r="BF349" s="39">
        <v>0</v>
      </c>
      <c r="BH349" s="12">
        <f t="shared" si="238"/>
        <v>0</v>
      </c>
      <c r="BI349" s="12">
        <f t="shared" si="239"/>
        <v>0</v>
      </c>
      <c r="BJ349" s="12">
        <f t="shared" si="240"/>
        <v>0</v>
      </c>
      <c r="BK349" s="12">
        <f t="shared" si="241"/>
        <v>0</v>
      </c>
      <c r="BL349" s="12">
        <f t="shared" si="242"/>
        <v>0</v>
      </c>
      <c r="BM349" s="12">
        <f t="shared" si="243"/>
        <v>0</v>
      </c>
      <c r="BN349" s="12">
        <f t="shared" si="244"/>
        <v>0</v>
      </c>
      <c r="BO349" s="12">
        <f t="shared" si="245"/>
        <v>0</v>
      </c>
      <c r="BP349" s="12">
        <f t="shared" si="246"/>
        <v>0</v>
      </c>
      <c r="BQ349" s="12">
        <f t="shared" si="247"/>
        <v>0</v>
      </c>
      <c r="BR349" s="12">
        <f t="shared" si="210"/>
        <v>0</v>
      </c>
      <c r="BS349" s="12">
        <f t="shared" si="211"/>
        <v>0</v>
      </c>
      <c r="BU349" s="11">
        <f t="shared" si="212"/>
        <v>0</v>
      </c>
      <c r="BV349" s="11">
        <f t="shared" si="213"/>
        <v>0</v>
      </c>
      <c r="BW349" s="11">
        <f t="shared" si="214"/>
        <v>0</v>
      </c>
      <c r="BX349" s="11">
        <f t="shared" si="215"/>
        <v>0</v>
      </c>
      <c r="BY349" s="11">
        <f t="shared" si="216"/>
        <v>0</v>
      </c>
      <c r="BZ349" s="11">
        <f t="shared" si="217"/>
        <v>0</v>
      </c>
      <c r="CA349" s="11">
        <f t="shared" si="218"/>
        <v>0</v>
      </c>
      <c r="CB349" s="11">
        <f t="shared" si="219"/>
        <v>0</v>
      </c>
      <c r="CC349" s="11">
        <f t="shared" si="220"/>
        <v>0</v>
      </c>
      <c r="CD349" s="11">
        <f t="shared" si="221"/>
        <v>0</v>
      </c>
      <c r="CE349" s="11">
        <f t="shared" si="222"/>
        <v>0</v>
      </c>
      <c r="CF349" s="11">
        <f t="shared" si="223"/>
        <v>0</v>
      </c>
      <c r="CG349" s="11"/>
      <c r="CH349" s="41">
        <v>1</v>
      </c>
      <c r="CJ349" s="54">
        <f t="shared" si="224"/>
        <v>0</v>
      </c>
      <c r="CK349" s="54">
        <f t="shared" si="225"/>
        <v>0</v>
      </c>
      <c r="CL349" s="54">
        <f t="shared" si="226"/>
        <v>0</v>
      </c>
      <c r="CM349" s="54">
        <f t="shared" si="227"/>
        <v>0</v>
      </c>
      <c r="CN349" s="54">
        <f t="shared" si="228"/>
        <v>0</v>
      </c>
      <c r="CO349" s="54">
        <f t="shared" si="229"/>
        <v>0</v>
      </c>
      <c r="CP349" s="54">
        <f t="shared" si="230"/>
        <v>0</v>
      </c>
      <c r="CQ349" s="54">
        <f t="shared" si="231"/>
        <v>0</v>
      </c>
      <c r="CR349" s="54">
        <f t="shared" si="232"/>
        <v>0</v>
      </c>
      <c r="CS349" s="54">
        <f t="shared" si="233"/>
        <v>0</v>
      </c>
      <c r="CT349" s="54">
        <f t="shared" si="234"/>
        <v>0</v>
      </c>
      <c r="CU349" s="54">
        <f t="shared" si="235"/>
        <v>0</v>
      </c>
      <c r="CV349" s="52">
        <f t="shared" si="236"/>
        <v>0</v>
      </c>
    </row>
    <row r="350" spans="1:100" ht="15.75" x14ac:dyDescent="0.25">
      <c r="A350" s="17"/>
      <c r="B350" s="17"/>
      <c r="C350" s="17"/>
      <c r="D350" s="17"/>
      <c r="E350" s="17"/>
      <c r="F350" s="18" t="s">
        <v>3604</v>
      </c>
      <c r="G350" s="78"/>
      <c r="H350" s="78"/>
      <c r="I350" s="78"/>
      <c r="J350" s="78"/>
      <c r="K350" s="78"/>
      <c r="L350" s="78"/>
      <c r="M350" s="78"/>
      <c r="N350" s="78"/>
      <c r="O350" s="78"/>
      <c r="P350" s="78"/>
      <c r="Q350" s="78"/>
      <c r="R350" s="78"/>
      <c r="S350" s="12">
        <f t="shared" si="237"/>
        <v>0</v>
      </c>
      <c r="V350" s="46">
        <f t="shared" si="209"/>
        <v>0</v>
      </c>
      <c r="W350" s="36">
        <v>3.149</v>
      </c>
      <c r="X350" s="36">
        <v>3.149</v>
      </c>
      <c r="Y350" s="36">
        <v>3.149</v>
      </c>
      <c r="Z350" s="36">
        <v>3.149</v>
      </c>
      <c r="AA350" s="36">
        <v>3.149</v>
      </c>
      <c r="AB350" s="36">
        <v>3.149</v>
      </c>
      <c r="AC350" s="36">
        <v>3.149</v>
      </c>
      <c r="AD350" s="36">
        <v>3.149</v>
      </c>
      <c r="AE350" s="36">
        <v>3.149</v>
      </c>
      <c r="AF350" s="36">
        <v>3.149</v>
      </c>
      <c r="AG350" s="36">
        <v>3.149</v>
      </c>
      <c r="AH350" s="36">
        <v>3.149</v>
      </c>
      <c r="AI350" s="39">
        <v>1.33634708931066E-2</v>
      </c>
      <c r="AJ350" s="39">
        <v>1.33634708931066E-2</v>
      </c>
      <c r="AK350" s="39">
        <v>1.33634708931066E-2</v>
      </c>
      <c r="AL350" s="39">
        <v>1.33634708931066E-2</v>
      </c>
      <c r="AM350" s="39">
        <v>1.33634708931066E-2</v>
      </c>
      <c r="AN350" s="39">
        <v>1.33634708931066E-2</v>
      </c>
      <c r="AO350" s="39">
        <v>1.33634708931066E-2</v>
      </c>
      <c r="AP350" s="39">
        <v>1.33634708931066E-2</v>
      </c>
      <c r="AQ350" s="39">
        <v>1.33634708931066E-2</v>
      </c>
      <c r="AR350" s="39">
        <v>1.33634708931066E-2</v>
      </c>
      <c r="AS350" s="39">
        <v>1.33634708931066E-2</v>
      </c>
      <c r="AT350" s="39">
        <v>1.33634708931066E-2</v>
      </c>
      <c r="AU350" s="39">
        <v>1.2392217523121999E-3</v>
      </c>
      <c r="AV350" s="39">
        <v>1.2392217523121999E-3</v>
      </c>
      <c r="AW350" s="39">
        <v>1.2392217523121999E-3</v>
      </c>
      <c r="AX350" s="39">
        <v>1.2392217523121999E-3</v>
      </c>
      <c r="AY350" s="39">
        <v>1.2392217523121999E-3</v>
      </c>
      <c r="AZ350" s="39">
        <v>1.2392217523121999E-3</v>
      </c>
      <c r="BA350" s="39">
        <v>1.2392217523121999E-3</v>
      </c>
      <c r="BB350" s="39">
        <v>1.2392217523121999E-3</v>
      </c>
      <c r="BC350" s="39">
        <v>1.2392217523121999E-3</v>
      </c>
      <c r="BD350" s="39">
        <v>1.2392217523121999E-3</v>
      </c>
      <c r="BE350" s="39">
        <v>1.2392217523121999E-3</v>
      </c>
      <c r="BF350" s="39">
        <v>1.2392217523121999E-3</v>
      </c>
      <c r="BH350" s="12">
        <f t="shared" si="238"/>
        <v>0</v>
      </c>
      <c r="BI350" s="12">
        <f t="shared" si="239"/>
        <v>0</v>
      </c>
      <c r="BJ350" s="12">
        <f t="shared" si="240"/>
        <v>0</v>
      </c>
      <c r="BK350" s="12">
        <f t="shared" si="241"/>
        <v>0</v>
      </c>
      <c r="BL350" s="12">
        <f t="shared" si="242"/>
        <v>0</v>
      </c>
      <c r="BM350" s="12">
        <f t="shared" si="243"/>
        <v>0</v>
      </c>
      <c r="BN350" s="12">
        <f t="shared" si="244"/>
        <v>0</v>
      </c>
      <c r="BO350" s="12">
        <f t="shared" si="245"/>
        <v>0</v>
      </c>
      <c r="BP350" s="12">
        <f t="shared" si="246"/>
        <v>0</v>
      </c>
      <c r="BQ350" s="12">
        <f t="shared" si="247"/>
        <v>0</v>
      </c>
      <c r="BR350" s="12">
        <f t="shared" si="210"/>
        <v>0</v>
      </c>
      <c r="BS350" s="12">
        <f t="shared" si="211"/>
        <v>0</v>
      </c>
      <c r="BU350" s="11">
        <f t="shared" si="212"/>
        <v>0</v>
      </c>
      <c r="BV350" s="11">
        <f t="shared" si="213"/>
        <v>0</v>
      </c>
      <c r="BW350" s="11">
        <f t="shared" si="214"/>
        <v>0</v>
      </c>
      <c r="BX350" s="11">
        <f t="shared" si="215"/>
        <v>0</v>
      </c>
      <c r="BY350" s="11">
        <f t="shared" si="216"/>
        <v>0</v>
      </c>
      <c r="BZ350" s="11">
        <f t="shared" si="217"/>
        <v>0</v>
      </c>
      <c r="CA350" s="11">
        <f t="shared" si="218"/>
        <v>0</v>
      </c>
      <c r="CB350" s="11">
        <f t="shared" si="219"/>
        <v>0</v>
      </c>
      <c r="CC350" s="11">
        <f t="shared" si="220"/>
        <v>0</v>
      </c>
      <c r="CD350" s="11">
        <f t="shared" si="221"/>
        <v>0</v>
      </c>
      <c r="CE350" s="11">
        <f t="shared" si="222"/>
        <v>0</v>
      </c>
      <c r="CF350" s="11">
        <f t="shared" si="223"/>
        <v>0</v>
      </c>
      <c r="CG350" s="11"/>
      <c r="CH350" s="41">
        <v>3.23</v>
      </c>
      <c r="CJ350" s="54">
        <f t="shared" si="224"/>
        <v>0</v>
      </c>
      <c r="CK350" s="54">
        <f t="shared" si="225"/>
        <v>0</v>
      </c>
      <c r="CL350" s="54">
        <f t="shared" si="226"/>
        <v>0</v>
      </c>
      <c r="CM350" s="54">
        <f t="shared" si="227"/>
        <v>0</v>
      </c>
      <c r="CN350" s="54">
        <f t="shared" si="228"/>
        <v>0</v>
      </c>
      <c r="CO350" s="54">
        <f t="shared" si="229"/>
        <v>0</v>
      </c>
      <c r="CP350" s="54">
        <f t="shared" si="230"/>
        <v>0</v>
      </c>
      <c r="CQ350" s="54">
        <f t="shared" si="231"/>
        <v>0</v>
      </c>
      <c r="CR350" s="54">
        <f t="shared" si="232"/>
        <v>0</v>
      </c>
      <c r="CS350" s="54">
        <f t="shared" si="233"/>
        <v>0</v>
      </c>
      <c r="CT350" s="54">
        <f t="shared" si="234"/>
        <v>0</v>
      </c>
      <c r="CU350" s="54">
        <f t="shared" si="235"/>
        <v>0</v>
      </c>
      <c r="CV350" s="52">
        <f t="shared" si="236"/>
        <v>0</v>
      </c>
    </row>
    <row r="351" spans="1:100" ht="15.75" x14ac:dyDescent="0.25">
      <c r="A351" s="17"/>
      <c r="B351" s="17"/>
      <c r="C351" s="17"/>
      <c r="D351" s="17"/>
      <c r="E351" s="17"/>
      <c r="F351" s="18" t="s">
        <v>3604</v>
      </c>
      <c r="G351" s="78"/>
      <c r="H351" s="78"/>
      <c r="I351" s="78"/>
      <c r="J351" s="78"/>
      <c r="K351" s="78"/>
      <c r="L351" s="78"/>
      <c r="M351" s="78"/>
      <c r="N351" s="78"/>
      <c r="O351" s="78"/>
      <c r="P351" s="78"/>
      <c r="Q351" s="78"/>
      <c r="R351" s="78"/>
      <c r="S351" s="12">
        <f t="shared" si="237"/>
        <v>0</v>
      </c>
      <c r="V351" s="46">
        <f t="shared" si="209"/>
        <v>0</v>
      </c>
      <c r="W351" s="36">
        <v>1.4379999999999999</v>
      </c>
      <c r="X351" s="36">
        <v>1.4379999999999999</v>
      </c>
      <c r="Y351" s="36">
        <v>1.4379999999999999</v>
      </c>
      <c r="Z351" s="36">
        <v>1.4379999999999999</v>
      </c>
      <c r="AA351" s="36">
        <v>1.4379999999999999</v>
      </c>
      <c r="AB351" s="36">
        <v>1.4379999999999999</v>
      </c>
      <c r="AC351" s="36">
        <v>1.4379999999999999</v>
      </c>
      <c r="AD351" s="36">
        <v>1.4379999999999999</v>
      </c>
      <c r="AE351" s="36">
        <v>1.4379999999999999</v>
      </c>
      <c r="AF351" s="36">
        <v>1.4379999999999999</v>
      </c>
      <c r="AG351" s="36">
        <v>1.4379999999999999</v>
      </c>
      <c r="AH351" s="36">
        <v>1.4379999999999999</v>
      </c>
      <c r="AI351" s="39">
        <v>1.33634708931066E-2</v>
      </c>
      <c r="AJ351" s="39">
        <v>1.33634708931066E-2</v>
      </c>
      <c r="AK351" s="39">
        <v>1.33634708931066E-2</v>
      </c>
      <c r="AL351" s="39">
        <v>1.33634708931066E-2</v>
      </c>
      <c r="AM351" s="39">
        <v>1.33634708931066E-2</v>
      </c>
      <c r="AN351" s="39">
        <v>1.33634708931066E-2</v>
      </c>
      <c r="AO351" s="39">
        <v>1.33634708931066E-2</v>
      </c>
      <c r="AP351" s="39">
        <v>1.33634708931066E-2</v>
      </c>
      <c r="AQ351" s="39">
        <v>1.33634708931066E-2</v>
      </c>
      <c r="AR351" s="39">
        <v>1.33634708931066E-2</v>
      </c>
      <c r="AS351" s="39">
        <v>1.33634708931066E-2</v>
      </c>
      <c r="AT351" s="39">
        <v>1.33634708931066E-2</v>
      </c>
      <c r="AU351" s="39">
        <v>1.2392217523121999E-3</v>
      </c>
      <c r="AV351" s="39">
        <v>1.2392217523121999E-3</v>
      </c>
      <c r="AW351" s="39">
        <v>1.2392217523121999E-3</v>
      </c>
      <c r="AX351" s="39">
        <v>1.2392217523121999E-3</v>
      </c>
      <c r="AY351" s="39">
        <v>1.2392217523121999E-3</v>
      </c>
      <c r="AZ351" s="39">
        <v>1.2392217523121999E-3</v>
      </c>
      <c r="BA351" s="39">
        <v>1.2392217523121999E-3</v>
      </c>
      <c r="BB351" s="39">
        <v>1.2392217523121999E-3</v>
      </c>
      <c r="BC351" s="39">
        <v>1.2392217523121999E-3</v>
      </c>
      <c r="BD351" s="39">
        <v>1.2392217523121999E-3</v>
      </c>
      <c r="BE351" s="39">
        <v>1.2392217523121999E-3</v>
      </c>
      <c r="BF351" s="39">
        <v>1.2392217523121999E-3</v>
      </c>
      <c r="BH351" s="12">
        <f t="shared" si="238"/>
        <v>0</v>
      </c>
      <c r="BI351" s="12">
        <f t="shared" si="239"/>
        <v>0</v>
      </c>
      <c r="BJ351" s="12">
        <f t="shared" si="240"/>
        <v>0</v>
      </c>
      <c r="BK351" s="12">
        <f t="shared" si="241"/>
        <v>0</v>
      </c>
      <c r="BL351" s="12">
        <f t="shared" si="242"/>
        <v>0</v>
      </c>
      <c r="BM351" s="12">
        <f t="shared" si="243"/>
        <v>0</v>
      </c>
      <c r="BN351" s="12">
        <f t="shared" si="244"/>
        <v>0</v>
      </c>
      <c r="BO351" s="12">
        <f t="shared" si="245"/>
        <v>0</v>
      </c>
      <c r="BP351" s="12">
        <f t="shared" si="246"/>
        <v>0</v>
      </c>
      <c r="BQ351" s="12">
        <f t="shared" si="247"/>
        <v>0</v>
      </c>
      <c r="BR351" s="12">
        <f t="shared" si="210"/>
        <v>0</v>
      </c>
      <c r="BS351" s="12">
        <f t="shared" si="211"/>
        <v>0</v>
      </c>
      <c r="BU351" s="11">
        <f t="shared" si="212"/>
        <v>0</v>
      </c>
      <c r="BV351" s="11">
        <f t="shared" si="213"/>
        <v>0</v>
      </c>
      <c r="BW351" s="11">
        <f t="shared" si="214"/>
        <v>0</v>
      </c>
      <c r="BX351" s="11">
        <f t="shared" si="215"/>
        <v>0</v>
      </c>
      <c r="BY351" s="11">
        <f t="shared" si="216"/>
        <v>0</v>
      </c>
      <c r="BZ351" s="11">
        <f t="shared" si="217"/>
        <v>0</v>
      </c>
      <c r="CA351" s="11">
        <f t="shared" si="218"/>
        <v>0</v>
      </c>
      <c r="CB351" s="11">
        <f t="shared" si="219"/>
        <v>0</v>
      </c>
      <c r="CC351" s="11">
        <f t="shared" si="220"/>
        <v>0</v>
      </c>
      <c r="CD351" s="11">
        <f t="shared" si="221"/>
        <v>0</v>
      </c>
      <c r="CE351" s="11">
        <f t="shared" si="222"/>
        <v>0</v>
      </c>
      <c r="CF351" s="11">
        <f t="shared" si="223"/>
        <v>0</v>
      </c>
      <c r="CG351" s="11"/>
      <c r="CH351" s="41">
        <v>3.23</v>
      </c>
      <c r="CJ351" s="54">
        <f t="shared" si="224"/>
        <v>0</v>
      </c>
      <c r="CK351" s="54">
        <f t="shared" si="225"/>
        <v>0</v>
      </c>
      <c r="CL351" s="54">
        <f t="shared" si="226"/>
        <v>0</v>
      </c>
      <c r="CM351" s="54">
        <f t="shared" si="227"/>
        <v>0</v>
      </c>
      <c r="CN351" s="54">
        <f t="shared" si="228"/>
        <v>0</v>
      </c>
      <c r="CO351" s="54">
        <f t="shared" si="229"/>
        <v>0</v>
      </c>
      <c r="CP351" s="54">
        <f t="shared" si="230"/>
        <v>0</v>
      </c>
      <c r="CQ351" s="54">
        <f t="shared" si="231"/>
        <v>0</v>
      </c>
      <c r="CR351" s="54">
        <f t="shared" si="232"/>
        <v>0</v>
      </c>
      <c r="CS351" s="54">
        <f t="shared" si="233"/>
        <v>0</v>
      </c>
      <c r="CT351" s="54">
        <f t="shared" si="234"/>
        <v>0</v>
      </c>
      <c r="CU351" s="54">
        <f t="shared" si="235"/>
        <v>0</v>
      </c>
      <c r="CV351" s="52">
        <f t="shared" si="236"/>
        <v>0</v>
      </c>
    </row>
    <row r="352" spans="1:100" ht="15.75" x14ac:dyDescent="0.25">
      <c r="A352" s="17"/>
      <c r="B352" s="17"/>
      <c r="C352" s="17"/>
      <c r="D352" s="17"/>
      <c r="E352" s="17"/>
      <c r="F352" s="18" t="s">
        <v>3604</v>
      </c>
      <c r="G352" s="78"/>
      <c r="H352" s="78"/>
      <c r="I352" s="78"/>
      <c r="J352" s="78"/>
      <c r="K352" s="78"/>
      <c r="L352" s="78"/>
      <c r="M352" s="78"/>
      <c r="N352" s="78"/>
      <c r="O352" s="78"/>
      <c r="P352" s="78"/>
      <c r="Q352" s="78"/>
      <c r="R352" s="78"/>
      <c r="S352" s="12">
        <f t="shared" si="237"/>
        <v>0</v>
      </c>
      <c r="V352" s="46">
        <f t="shared" si="209"/>
        <v>0</v>
      </c>
      <c r="W352" s="36">
        <v>1.6339999999999999</v>
      </c>
      <c r="X352" s="36">
        <v>1.6339999999999999</v>
      </c>
      <c r="Y352" s="36">
        <v>1.6339999999999999</v>
      </c>
      <c r="Z352" s="36">
        <v>1.6339999999999999</v>
      </c>
      <c r="AA352" s="36">
        <v>1.6339999999999999</v>
      </c>
      <c r="AB352" s="36">
        <v>1.6339999999999999</v>
      </c>
      <c r="AC352" s="36">
        <v>1.6339999999999999</v>
      </c>
      <c r="AD352" s="36">
        <v>1.6339999999999999</v>
      </c>
      <c r="AE352" s="36">
        <v>1.6339999999999999</v>
      </c>
      <c r="AF352" s="36">
        <v>1.6339999999999999</v>
      </c>
      <c r="AG352" s="36">
        <v>1.6339999999999999</v>
      </c>
      <c r="AH352" s="36">
        <v>1.6339999999999999</v>
      </c>
      <c r="AI352" s="39">
        <v>1.33634708931066E-2</v>
      </c>
      <c r="AJ352" s="39">
        <v>1.33634708931066E-2</v>
      </c>
      <c r="AK352" s="39">
        <v>1.33634708931066E-2</v>
      </c>
      <c r="AL352" s="39">
        <v>1.33634708931066E-2</v>
      </c>
      <c r="AM352" s="39">
        <v>1.33634708931066E-2</v>
      </c>
      <c r="AN352" s="39">
        <v>1.33634708931066E-2</v>
      </c>
      <c r="AO352" s="39">
        <v>1.33634708931066E-2</v>
      </c>
      <c r="AP352" s="39">
        <v>1.33634708931066E-2</v>
      </c>
      <c r="AQ352" s="39">
        <v>1.33634708931066E-2</v>
      </c>
      <c r="AR352" s="39">
        <v>1.33634708931066E-2</v>
      </c>
      <c r="AS352" s="39">
        <v>1.33634708931066E-2</v>
      </c>
      <c r="AT352" s="39">
        <v>1.33634708931066E-2</v>
      </c>
      <c r="AU352" s="39">
        <v>1.2392217523121999E-3</v>
      </c>
      <c r="AV352" s="39">
        <v>1.2392217523121999E-3</v>
      </c>
      <c r="AW352" s="39">
        <v>1.2392217523121999E-3</v>
      </c>
      <c r="AX352" s="39">
        <v>1.2392217523121999E-3</v>
      </c>
      <c r="AY352" s="39">
        <v>1.2392217523121999E-3</v>
      </c>
      <c r="AZ352" s="39">
        <v>1.2392217523121999E-3</v>
      </c>
      <c r="BA352" s="39">
        <v>1.2392217523121999E-3</v>
      </c>
      <c r="BB352" s="39">
        <v>1.2392217523121999E-3</v>
      </c>
      <c r="BC352" s="39">
        <v>1.2392217523121999E-3</v>
      </c>
      <c r="BD352" s="39">
        <v>1.2392217523121999E-3</v>
      </c>
      <c r="BE352" s="39">
        <v>1.2392217523121999E-3</v>
      </c>
      <c r="BF352" s="39">
        <v>1.2392217523121999E-3</v>
      </c>
      <c r="BH352" s="12">
        <f t="shared" si="238"/>
        <v>0</v>
      </c>
      <c r="BI352" s="12">
        <f t="shared" si="239"/>
        <v>0</v>
      </c>
      <c r="BJ352" s="12">
        <f t="shared" si="240"/>
        <v>0</v>
      </c>
      <c r="BK352" s="12">
        <f t="shared" si="241"/>
        <v>0</v>
      </c>
      <c r="BL352" s="12">
        <f t="shared" si="242"/>
        <v>0</v>
      </c>
      <c r="BM352" s="12">
        <f t="shared" si="243"/>
        <v>0</v>
      </c>
      <c r="BN352" s="12">
        <f t="shared" si="244"/>
        <v>0</v>
      </c>
      <c r="BO352" s="12">
        <f t="shared" si="245"/>
        <v>0</v>
      </c>
      <c r="BP352" s="12">
        <f t="shared" si="246"/>
        <v>0</v>
      </c>
      <c r="BQ352" s="12">
        <f t="shared" si="247"/>
        <v>0</v>
      </c>
      <c r="BR352" s="12">
        <f t="shared" si="210"/>
        <v>0</v>
      </c>
      <c r="BS352" s="12">
        <f t="shared" si="211"/>
        <v>0</v>
      </c>
      <c r="BU352" s="11">
        <f t="shared" si="212"/>
        <v>0</v>
      </c>
      <c r="BV352" s="11">
        <f t="shared" si="213"/>
        <v>0</v>
      </c>
      <c r="BW352" s="11">
        <f t="shared" si="214"/>
        <v>0</v>
      </c>
      <c r="BX352" s="11">
        <f t="shared" si="215"/>
        <v>0</v>
      </c>
      <c r="BY352" s="11">
        <f t="shared" si="216"/>
        <v>0</v>
      </c>
      <c r="BZ352" s="11">
        <f t="shared" si="217"/>
        <v>0</v>
      </c>
      <c r="CA352" s="11">
        <f t="shared" si="218"/>
        <v>0</v>
      </c>
      <c r="CB352" s="11">
        <f t="shared" si="219"/>
        <v>0</v>
      </c>
      <c r="CC352" s="11">
        <f t="shared" si="220"/>
        <v>0</v>
      </c>
      <c r="CD352" s="11">
        <f t="shared" si="221"/>
        <v>0</v>
      </c>
      <c r="CE352" s="11">
        <f t="shared" si="222"/>
        <v>0</v>
      </c>
      <c r="CF352" s="11">
        <f t="shared" si="223"/>
        <v>0</v>
      </c>
      <c r="CG352" s="11"/>
      <c r="CH352" s="41">
        <v>3.23</v>
      </c>
      <c r="CJ352" s="54">
        <f t="shared" si="224"/>
        <v>0</v>
      </c>
      <c r="CK352" s="54">
        <f t="shared" si="225"/>
        <v>0</v>
      </c>
      <c r="CL352" s="54">
        <f t="shared" si="226"/>
        <v>0</v>
      </c>
      <c r="CM352" s="54">
        <f t="shared" si="227"/>
        <v>0</v>
      </c>
      <c r="CN352" s="54">
        <f t="shared" si="228"/>
        <v>0</v>
      </c>
      <c r="CO352" s="54">
        <f t="shared" si="229"/>
        <v>0</v>
      </c>
      <c r="CP352" s="54">
        <f t="shared" si="230"/>
        <v>0</v>
      </c>
      <c r="CQ352" s="54">
        <f t="shared" si="231"/>
        <v>0</v>
      </c>
      <c r="CR352" s="54">
        <f t="shared" si="232"/>
        <v>0</v>
      </c>
      <c r="CS352" s="54">
        <f t="shared" si="233"/>
        <v>0</v>
      </c>
      <c r="CT352" s="54">
        <f t="shared" si="234"/>
        <v>0</v>
      </c>
      <c r="CU352" s="54">
        <f t="shared" si="235"/>
        <v>0</v>
      </c>
      <c r="CV352" s="52">
        <f t="shared" si="236"/>
        <v>0</v>
      </c>
    </row>
    <row r="353" spans="1:100" ht="15.75" x14ac:dyDescent="0.25">
      <c r="A353" s="17"/>
      <c r="B353" s="17"/>
      <c r="C353" s="17"/>
      <c r="D353" s="17"/>
      <c r="E353" s="17"/>
      <c r="F353" s="18" t="s">
        <v>3604</v>
      </c>
      <c r="G353" s="78"/>
      <c r="H353" s="78"/>
      <c r="I353" s="78"/>
      <c r="J353" s="78"/>
      <c r="K353" s="78"/>
      <c r="L353" s="78"/>
      <c r="M353" s="78"/>
      <c r="N353" s="78"/>
      <c r="O353" s="78"/>
      <c r="P353" s="78"/>
      <c r="Q353" s="78"/>
      <c r="R353" s="78"/>
      <c r="S353" s="12">
        <f t="shared" si="237"/>
        <v>0</v>
      </c>
      <c r="V353" s="46">
        <f t="shared" si="209"/>
        <v>0</v>
      </c>
      <c r="W353" s="36">
        <v>2.6459999999999999</v>
      </c>
      <c r="X353" s="36">
        <v>2.6459999999999999</v>
      </c>
      <c r="Y353" s="36">
        <v>2.6459999999999999</v>
      </c>
      <c r="Z353" s="36">
        <v>2.6459999999999999</v>
      </c>
      <c r="AA353" s="36">
        <v>2.6459999999999999</v>
      </c>
      <c r="AB353" s="36">
        <v>2.6459999999999999</v>
      </c>
      <c r="AC353" s="36">
        <v>2.6459999999999999</v>
      </c>
      <c r="AD353" s="36">
        <v>2.6459999999999999</v>
      </c>
      <c r="AE353" s="36">
        <v>2.6459999999999999</v>
      </c>
      <c r="AF353" s="36">
        <v>2.6459999999999999</v>
      </c>
      <c r="AG353" s="36">
        <v>2.6459999999999999</v>
      </c>
      <c r="AH353" s="36">
        <v>2.6459999999999999</v>
      </c>
      <c r="AI353" s="39">
        <v>1.33634708931066E-2</v>
      </c>
      <c r="AJ353" s="39">
        <v>1.33634708931066E-2</v>
      </c>
      <c r="AK353" s="39">
        <v>1.33634708931066E-2</v>
      </c>
      <c r="AL353" s="39">
        <v>1.33634708931066E-2</v>
      </c>
      <c r="AM353" s="39">
        <v>1.33634708931066E-2</v>
      </c>
      <c r="AN353" s="39">
        <v>1.33634708931066E-2</v>
      </c>
      <c r="AO353" s="39">
        <v>1.33634708931066E-2</v>
      </c>
      <c r="AP353" s="39">
        <v>1.33634708931066E-2</v>
      </c>
      <c r="AQ353" s="39">
        <v>1.33634708931066E-2</v>
      </c>
      <c r="AR353" s="39">
        <v>1.33634708931066E-2</v>
      </c>
      <c r="AS353" s="39">
        <v>1.33634708931066E-2</v>
      </c>
      <c r="AT353" s="39">
        <v>1.33634708931066E-2</v>
      </c>
      <c r="AU353" s="39">
        <v>1.2392217523121999E-3</v>
      </c>
      <c r="AV353" s="39">
        <v>1.2392217523121999E-3</v>
      </c>
      <c r="AW353" s="39">
        <v>1.2392217523121999E-3</v>
      </c>
      <c r="AX353" s="39">
        <v>1.2392217523121999E-3</v>
      </c>
      <c r="AY353" s="39">
        <v>1.2392217523121999E-3</v>
      </c>
      <c r="AZ353" s="39">
        <v>1.2392217523121999E-3</v>
      </c>
      <c r="BA353" s="39">
        <v>1.2392217523121999E-3</v>
      </c>
      <c r="BB353" s="39">
        <v>1.2392217523121999E-3</v>
      </c>
      <c r="BC353" s="39">
        <v>1.2392217523121999E-3</v>
      </c>
      <c r="BD353" s="39">
        <v>1.2392217523121999E-3</v>
      </c>
      <c r="BE353" s="39">
        <v>1.2392217523121999E-3</v>
      </c>
      <c r="BF353" s="39">
        <v>1.2392217523121999E-3</v>
      </c>
      <c r="BH353" s="12">
        <f t="shared" si="238"/>
        <v>0</v>
      </c>
      <c r="BI353" s="12">
        <f t="shared" si="239"/>
        <v>0</v>
      </c>
      <c r="BJ353" s="12">
        <f t="shared" si="240"/>
        <v>0</v>
      </c>
      <c r="BK353" s="12">
        <f t="shared" si="241"/>
        <v>0</v>
      </c>
      <c r="BL353" s="12">
        <f t="shared" si="242"/>
        <v>0</v>
      </c>
      <c r="BM353" s="12">
        <f t="shared" si="243"/>
        <v>0</v>
      </c>
      <c r="BN353" s="12">
        <f t="shared" si="244"/>
        <v>0</v>
      </c>
      <c r="BO353" s="12">
        <f t="shared" si="245"/>
        <v>0</v>
      </c>
      <c r="BP353" s="12">
        <f t="shared" si="246"/>
        <v>0</v>
      </c>
      <c r="BQ353" s="12">
        <f t="shared" si="247"/>
        <v>0</v>
      </c>
      <c r="BR353" s="12">
        <f t="shared" si="210"/>
        <v>0</v>
      </c>
      <c r="BS353" s="12">
        <f t="shared" si="211"/>
        <v>0</v>
      </c>
      <c r="BU353" s="11">
        <f t="shared" si="212"/>
        <v>0</v>
      </c>
      <c r="BV353" s="11">
        <f t="shared" si="213"/>
        <v>0</v>
      </c>
      <c r="BW353" s="11">
        <f t="shared" si="214"/>
        <v>0</v>
      </c>
      <c r="BX353" s="11">
        <f t="shared" si="215"/>
        <v>0</v>
      </c>
      <c r="BY353" s="11">
        <f t="shared" si="216"/>
        <v>0</v>
      </c>
      <c r="BZ353" s="11">
        <f t="shared" si="217"/>
        <v>0</v>
      </c>
      <c r="CA353" s="11">
        <f t="shared" si="218"/>
        <v>0</v>
      </c>
      <c r="CB353" s="11">
        <f t="shared" si="219"/>
        <v>0</v>
      </c>
      <c r="CC353" s="11">
        <f t="shared" si="220"/>
        <v>0</v>
      </c>
      <c r="CD353" s="11">
        <f t="shared" si="221"/>
        <v>0</v>
      </c>
      <c r="CE353" s="11">
        <f t="shared" si="222"/>
        <v>0</v>
      </c>
      <c r="CF353" s="11">
        <f t="shared" si="223"/>
        <v>0</v>
      </c>
      <c r="CG353" s="11"/>
      <c r="CH353" s="41">
        <v>3.23</v>
      </c>
      <c r="CJ353" s="54">
        <f t="shared" si="224"/>
        <v>0</v>
      </c>
      <c r="CK353" s="54">
        <f t="shared" si="225"/>
        <v>0</v>
      </c>
      <c r="CL353" s="54">
        <f t="shared" si="226"/>
        <v>0</v>
      </c>
      <c r="CM353" s="54">
        <f t="shared" si="227"/>
        <v>0</v>
      </c>
      <c r="CN353" s="54">
        <f t="shared" si="228"/>
        <v>0</v>
      </c>
      <c r="CO353" s="54">
        <f t="shared" si="229"/>
        <v>0</v>
      </c>
      <c r="CP353" s="54">
        <f t="shared" si="230"/>
        <v>0</v>
      </c>
      <c r="CQ353" s="54">
        <f t="shared" si="231"/>
        <v>0</v>
      </c>
      <c r="CR353" s="54">
        <f t="shared" si="232"/>
        <v>0</v>
      </c>
      <c r="CS353" s="54">
        <f t="shared" si="233"/>
        <v>0</v>
      </c>
      <c r="CT353" s="54">
        <f t="shared" si="234"/>
        <v>0</v>
      </c>
      <c r="CU353" s="54">
        <f t="shared" si="235"/>
        <v>0</v>
      </c>
      <c r="CV353" s="52">
        <f t="shared" si="236"/>
        <v>0</v>
      </c>
    </row>
    <row r="354" spans="1:100" ht="15.75" x14ac:dyDescent="0.25">
      <c r="A354" s="17"/>
      <c r="B354" s="17"/>
      <c r="C354" s="17"/>
      <c r="D354" s="17"/>
      <c r="E354" s="17"/>
      <c r="F354" s="18" t="s">
        <v>3604</v>
      </c>
      <c r="G354" s="78"/>
      <c r="H354" s="78"/>
      <c r="I354" s="78"/>
      <c r="J354" s="78"/>
      <c r="K354" s="78"/>
      <c r="L354" s="78"/>
      <c r="M354" s="78"/>
      <c r="N354" s="78"/>
      <c r="O354" s="78"/>
      <c r="P354" s="78"/>
      <c r="Q354" s="78"/>
      <c r="R354" s="78"/>
      <c r="S354" s="12">
        <f t="shared" si="237"/>
        <v>0</v>
      </c>
      <c r="V354" s="46">
        <f t="shared" si="209"/>
        <v>0</v>
      </c>
      <c r="W354" s="36">
        <v>2.367</v>
      </c>
      <c r="X354" s="36">
        <v>2.367</v>
      </c>
      <c r="Y354" s="36">
        <v>2.367</v>
      </c>
      <c r="Z354" s="36">
        <v>2.367</v>
      </c>
      <c r="AA354" s="36">
        <v>2.367</v>
      </c>
      <c r="AB354" s="36">
        <v>2.367</v>
      </c>
      <c r="AC354" s="36">
        <v>2.367</v>
      </c>
      <c r="AD354" s="36">
        <v>2.367</v>
      </c>
      <c r="AE354" s="36">
        <v>2.367</v>
      </c>
      <c r="AF354" s="36">
        <v>2.367</v>
      </c>
      <c r="AG354" s="36">
        <v>2.367</v>
      </c>
      <c r="AH354" s="36">
        <v>2.367</v>
      </c>
      <c r="AI354" s="39">
        <v>1.33634708931066E-2</v>
      </c>
      <c r="AJ354" s="39">
        <v>1.33634708931066E-2</v>
      </c>
      <c r="AK354" s="39">
        <v>1.33634708931066E-2</v>
      </c>
      <c r="AL354" s="39">
        <v>1.33634708931066E-2</v>
      </c>
      <c r="AM354" s="39">
        <v>1.33634708931066E-2</v>
      </c>
      <c r="AN354" s="39">
        <v>1.33634708931066E-2</v>
      </c>
      <c r="AO354" s="39">
        <v>1.33634708931066E-2</v>
      </c>
      <c r="AP354" s="39">
        <v>1.33634708931066E-2</v>
      </c>
      <c r="AQ354" s="39">
        <v>1.33634708931066E-2</v>
      </c>
      <c r="AR354" s="39">
        <v>1.33634708931066E-2</v>
      </c>
      <c r="AS354" s="39">
        <v>1.33634708931066E-2</v>
      </c>
      <c r="AT354" s="39">
        <v>1.33634708931066E-2</v>
      </c>
      <c r="AU354" s="39">
        <v>1.2392217523121999E-3</v>
      </c>
      <c r="AV354" s="39">
        <v>1.2392217523121999E-3</v>
      </c>
      <c r="AW354" s="39">
        <v>1.2392217523121999E-3</v>
      </c>
      <c r="AX354" s="39">
        <v>1.2392217523121999E-3</v>
      </c>
      <c r="AY354" s="39">
        <v>1.2392217523121999E-3</v>
      </c>
      <c r="AZ354" s="39">
        <v>1.2392217523121999E-3</v>
      </c>
      <c r="BA354" s="39">
        <v>1.2392217523121999E-3</v>
      </c>
      <c r="BB354" s="39">
        <v>1.2392217523121999E-3</v>
      </c>
      <c r="BC354" s="39">
        <v>1.2392217523121999E-3</v>
      </c>
      <c r="BD354" s="39">
        <v>1.2392217523121999E-3</v>
      </c>
      <c r="BE354" s="39">
        <v>1.2392217523121999E-3</v>
      </c>
      <c r="BF354" s="39">
        <v>1.2392217523121999E-3</v>
      </c>
      <c r="BH354" s="12">
        <f t="shared" si="238"/>
        <v>0</v>
      </c>
      <c r="BI354" s="12">
        <f t="shared" si="239"/>
        <v>0</v>
      </c>
      <c r="BJ354" s="12">
        <f t="shared" si="240"/>
        <v>0</v>
      </c>
      <c r="BK354" s="12">
        <f t="shared" si="241"/>
        <v>0</v>
      </c>
      <c r="BL354" s="12">
        <f t="shared" si="242"/>
        <v>0</v>
      </c>
      <c r="BM354" s="12">
        <f t="shared" si="243"/>
        <v>0</v>
      </c>
      <c r="BN354" s="12">
        <f t="shared" si="244"/>
        <v>0</v>
      </c>
      <c r="BO354" s="12">
        <f t="shared" si="245"/>
        <v>0</v>
      </c>
      <c r="BP354" s="12">
        <f t="shared" si="246"/>
        <v>0</v>
      </c>
      <c r="BQ354" s="12">
        <f t="shared" si="247"/>
        <v>0</v>
      </c>
      <c r="BR354" s="12">
        <f t="shared" si="210"/>
        <v>0</v>
      </c>
      <c r="BS354" s="12">
        <f t="shared" si="211"/>
        <v>0</v>
      </c>
      <c r="BU354" s="11">
        <f t="shared" si="212"/>
        <v>0</v>
      </c>
      <c r="BV354" s="11">
        <f t="shared" si="213"/>
        <v>0</v>
      </c>
      <c r="BW354" s="11">
        <f t="shared" si="214"/>
        <v>0</v>
      </c>
      <c r="BX354" s="11">
        <f t="shared" si="215"/>
        <v>0</v>
      </c>
      <c r="BY354" s="11">
        <f t="shared" si="216"/>
        <v>0</v>
      </c>
      <c r="BZ354" s="11">
        <f t="shared" si="217"/>
        <v>0</v>
      </c>
      <c r="CA354" s="11">
        <f t="shared" si="218"/>
        <v>0</v>
      </c>
      <c r="CB354" s="11">
        <f t="shared" si="219"/>
        <v>0</v>
      </c>
      <c r="CC354" s="11">
        <f t="shared" si="220"/>
        <v>0</v>
      </c>
      <c r="CD354" s="11">
        <f t="shared" si="221"/>
        <v>0</v>
      </c>
      <c r="CE354" s="11">
        <f t="shared" si="222"/>
        <v>0</v>
      </c>
      <c r="CF354" s="11">
        <f t="shared" si="223"/>
        <v>0</v>
      </c>
      <c r="CG354" s="11"/>
      <c r="CH354" s="41">
        <v>3.23</v>
      </c>
      <c r="CJ354" s="54">
        <f t="shared" si="224"/>
        <v>0</v>
      </c>
      <c r="CK354" s="54">
        <f t="shared" si="225"/>
        <v>0</v>
      </c>
      <c r="CL354" s="54">
        <f t="shared" si="226"/>
        <v>0</v>
      </c>
      <c r="CM354" s="54">
        <f t="shared" si="227"/>
        <v>0</v>
      </c>
      <c r="CN354" s="54">
        <f t="shared" si="228"/>
        <v>0</v>
      </c>
      <c r="CO354" s="54">
        <f t="shared" si="229"/>
        <v>0</v>
      </c>
      <c r="CP354" s="54">
        <f t="shared" si="230"/>
        <v>0</v>
      </c>
      <c r="CQ354" s="54">
        <f t="shared" si="231"/>
        <v>0</v>
      </c>
      <c r="CR354" s="54">
        <f t="shared" si="232"/>
        <v>0</v>
      </c>
      <c r="CS354" s="54">
        <f t="shared" si="233"/>
        <v>0</v>
      </c>
      <c r="CT354" s="54">
        <f t="shared" si="234"/>
        <v>0</v>
      </c>
      <c r="CU354" s="54">
        <f t="shared" si="235"/>
        <v>0</v>
      </c>
      <c r="CV354" s="52">
        <f t="shared" si="236"/>
        <v>0</v>
      </c>
    </row>
    <row r="355" spans="1:100" ht="15.75" x14ac:dyDescent="0.25">
      <c r="A355" s="17"/>
      <c r="B355" s="17"/>
      <c r="C355" s="17"/>
      <c r="D355" s="17"/>
      <c r="E355" s="17"/>
      <c r="F355" s="18" t="s">
        <v>3604</v>
      </c>
      <c r="G355" s="78"/>
      <c r="H355" s="78"/>
      <c r="I355" s="78"/>
      <c r="J355" s="78"/>
      <c r="K355" s="78"/>
      <c r="L355" s="78"/>
      <c r="M355" s="78"/>
      <c r="N355" s="78"/>
      <c r="O355" s="78"/>
      <c r="P355" s="78"/>
      <c r="Q355" s="78"/>
      <c r="R355" s="78"/>
      <c r="S355" s="12">
        <f t="shared" si="237"/>
        <v>0</v>
      </c>
      <c r="V355" s="46">
        <f t="shared" si="209"/>
        <v>0</v>
      </c>
      <c r="W355" s="36">
        <v>3.0640000000000001</v>
      </c>
      <c r="X355" s="36">
        <v>3.0640000000000001</v>
      </c>
      <c r="Y355" s="36">
        <v>3.0640000000000001</v>
      </c>
      <c r="Z355" s="36">
        <v>3.0640000000000001</v>
      </c>
      <c r="AA355" s="36">
        <v>3.0640000000000001</v>
      </c>
      <c r="AB355" s="36">
        <v>3.0640000000000001</v>
      </c>
      <c r="AC355" s="36">
        <v>3.0640000000000001</v>
      </c>
      <c r="AD355" s="36">
        <v>3.0640000000000001</v>
      </c>
      <c r="AE355" s="36">
        <v>3.0640000000000001</v>
      </c>
      <c r="AF355" s="36">
        <v>3.0640000000000001</v>
      </c>
      <c r="AG355" s="36">
        <v>3.0640000000000001</v>
      </c>
      <c r="AH355" s="36">
        <v>3.0640000000000001</v>
      </c>
      <c r="AI355" s="39">
        <v>1.33634708931066E-2</v>
      </c>
      <c r="AJ355" s="39">
        <v>1.33634708931066E-2</v>
      </c>
      <c r="AK355" s="39">
        <v>1.33634708931066E-2</v>
      </c>
      <c r="AL355" s="39">
        <v>1.33634708931066E-2</v>
      </c>
      <c r="AM355" s="39">
        <v>1.33634708931066E-2</v>
      </c>
      <c r="AN355" s="39">
        <v>1.33634708931066E-2</v>
      </c>
      <c r="AO355" s="39">
        <v>1.33634708931066E-2</v>
      </c>
      <c r="AP355" s="39">
        <v>1.33634708931066E-2</v>
      </c>
      <c r="AQ355" s="39">
        <v>1.33634708931066E-2</v>
      </c>
      <c r="AR355" s="39">
        <v>1.33634708931066E-2</v>
      </c>
      <c r="AS355" s="39">
        <v>1.33634708931066E-2</v>
      </c>
      <c r="AT355" s="39">
        <v>1.33634708931066E-2</v>
      </c>
      <c r="AU355" s="39">
        <v>1.2392217523121999E-3</v>
      </c>
      <c r="AV355" s="39">
        <v>1.2392217523121999E-3</v>
      </c>
      <c r="AW355" s="39">
        <v>1.2392217523121999E-3</v>
      </c>
      <c r="AX355" s="39">
        <v>1.2392217523121999E-3</v>
      </c>
      <c r="AY355" s="39">
        <v>1.2392217523121999E-3</v>
      </c>
      <c r="AZ355" s="39">
        <v>1.2392217523121999E-3</v>
      </c>
      <c r="BA355" s="39">
        <v>1.2392217523121999E-3</v>
      </c>
      <c r="BB355" s="39">
        <v>1.2392217523121999E-3</v>
      </c>
      <c r="BC355" s="39">
        <v>1.2392217523121999E-3</v>
      </c>
      <c r="BD355" s="39">
        <v>1.2392217523121999E-3</v>
      </c>
      <c r="BE355" s="39">
        <v>1.2392217523121999E-3</v>
      </c>
      <c r="BF355" s="39">
        <v>1.2392217523121999E-3</v>
      </c>
      <c r="BH355" s="12">
        <f t="shared" si="238"/>
        <v>0</v>
      </c>
      <c r="BI355" s="12">
        <f t="shared" si="239"/>
        <v>0</v>
      </c>
      <c r="BJ355" s="12">
        <f t="shared" si="240"/>
        <v>0</v>
      </c>
      <c r="BK355" s="12">
        <f t="shared" si="241"/>
        <v>0</v>
      </c>
      <c r="BL355" s="12">
        <f t="shared" si="242"/>
        <v>0</v>
      </c>
      <c r="BM355" s="12">
        <f t="shared" si="243"/>
        <v>0</v>
      </c>
      <c r="BN355" s="12">
        <f t="shared" si="244"/>
        <v>0</v>
      </c>
      <c r="BO355" s="12">
        <f t="shared" si="245"/>
        <v>0</v>
      </c>
      <c r="BP355" s="12">
        <f t="shared" si="246"/>
        <v>0</v>
      </c>
      <c r="BQ355" s="12">
        <f t="shared" si="247"/>
        <v>0</v>
      </c>
      <c r="BR355" s="12">
        <f t="shared" si="210"/>
        <v>0</v>
      </c>
      <c r="BS355" s="12">
        <f t="shared" si="211"/>
        <v>0</v>
      </c>
      <c r="BU355" s="11">
        <f t="shared" si="212"/>
        <v>0</v>
      </c>
      <c r="BV355" s="11">
        <f t="shared" si="213"/>
        <v>0</v>
      </c>
      <c r="BW355" s="11">
        <f t="shared" si="214"/>
        <v>0</v>
      </c>
      <c r="BX355" s="11">
        <f t="shared" si="215"/>
        <v>0</v>
      </c>
      <c r="BY355" s="11">
        <f t="shared" si="216"/>
        <v>0</v>
      </c>
      <c r="BZ355" s="11">
        <f t="shared" si="217"/>
        <v>0</v>
      </c>
      <c r="CA355" s="11">
        <f t="shared" si="218"/>
        <v>0</v>
      </c>
      <c r="CB355" s="11">
        <f t="shared" si="219"/>
        <v>0</v>
      </c>
      <c r="CC355" s="11">
        <f t="shared" si="220"/>
        <v>0</v>
      </c>
      <c r="CD355" s="11">
        <f t="shared" si="221"/>
        <v>0</v>
      </c>
      <c r="CE355" s="11">
        <f t="shared" si="222"/>
        <v>0</v>
      </c>
      <c r="CF355" s="11">
        <f t="shared" si="223"/>
        <v>0</v>
      </c>
      <c r="CG355" s="11"/>
      <c r="CH355" s="41">
        <v>3.23</v>
      </c>
      <c r="CJ355" s="54">
        <f t="shared" si="224"/>
        <v>0</v>
      </c>
      <c r="CK355" s="54">
        <f t="shared" si="225"/>
        <v>0</v>
      </c>
      <c r="CL355" s="54">
        <f t="shared" si="226"/>
        <v>0</v>
      </c>
      <c r="CM355" s="54">
        <f t="shared" si="227"/>
        <v>0</v>
      </c>
      <c r="CN355" s="54">
        <f t="shared" si="228"/>
        <v>0</v>
      </c>
      <c r="CO355" s="54">
        <f t="shared" si="229"/>
        <v>0</v>
      </c>
      <c r="CP355" s="54">
        <f t="shared" si="230"/>
        <v>0</v>
      </c>
      <c r="CQ355" s="54">
        <f t="shared" si="231"/>
        <v>0</v>
      </c>
      <c r="CR355" s="54">
        <f t="shared" si="232"/>
        <v>0</v>
      </c>
      <c r="CS355" s="54">
        <f t="shared" si="233"/>
        <v>0</v>
      </c>
      <c r="CT355" s="54">
        <f t="shared" si="234"/>
        <v>0</v>
      </c>
      <c r="CU355" s="54">
        <f t="shared" si="235"/>
        <v>0</v>
      </c>
      <c r="CV355" s="52">
        <f t="shared" si="236"/>
        <v>0</v>
      </c>
    </row>
    <row r="356" spans="1:100" ht="15.75" x14ac:dyDescent="0.25">
      <c r="A356" s="17"/>
      <c r="B356" s="17"/>
      <c r="C356" s="17"/>
      <c r="D356" s="17"/>
      <c r="E356" s="17"/>
      <c r="F356" s="18" t="s">
        <v>3604</v>
      </c>
      <c r="G356" s="78"/>
      <c r="H356" s="78"/>
      <c r="I356" s="78"/>
      <c r="J356" s="78"/>
      <c r="K356" s="78"/>
      <c r="L356" s="78"/>
      <c r="M356" s="78"/>
      <c r="N356" s="78"/>
      <c r="O356" s="78"/>
      <c r="P356" s="78"/>
      <c r="Q356" s="78"/>
      <c r="R356" s="78"/>
      <c r="S356" s="12">
        <f t="shared" si="237"/>
        <v>0</v>
      </c>
      <c r="V356" s="46">
        <f t="shared" si="209"/>
        <v>0</v>
      </c>
      <c r="W356" s="36">
        <v>2.6280000000000001</v>
      </c>
      <c r="X356" s="36">
        <v>2.6280000000000001</v>
      </c>
      <c r="Y356" s="36">
        <v>2.6280000000000001</v>
      </c>
      <c r="Z356" s="36">
        <v>2.6280000000000001</v>
      </c>
      <c r="AA356" s="36">
        <v>2.6280000000000001</v>
      </c>
      <c r="AB356" s="36">
        <v>2.6280000000000001</v>
      </c>
      <c r="AC356" s="36">
        <v>2.6280000000000001</v>
      </c>
      <c r="AD356" s="36">
        <v>2.6280000000000001</v>
      </c>
      <c r="AE356" s="36">
        <v>2.6280000000000001</v>
      </c>
      <c r="AF356" s="36">
        <v>2.6280000000000001</v>
      </c>
      <c r="AG356" s="36">
        <v>2.6280000000000001</v>
      </c>
      <c r="AH356" s="36">
        <v>2.6280000000000001</v>
      </c>
      <c r="AI356" s="39">
        <v>1.33634708931066E-2</v>
      </c>
      <c r="AJ356" s="39">
        <v>1.33634708931066E-2</v>
      </c>
      <c r="AK356" s="39">
        <v>1.33634708931066E-2</v>
      </c>
      <c r="AL356" s="39">
        <v>1.33634708931066E-2</v>
      </c>
      <c r="AM356" s="39">
        <v>1.33634708931066E-2</v>
      </c>
      <c r="AN356" s="39">
        <v>1.33634708931066E-2</v>
      </c>
      <c r="AO356" s="39">
        <v>1.33634708931066E-2</v>
      </c>
      <c r="AP356" s="39">
        <v>1.33634708931066E-2</v>
      </c>
      <c r="AQ356" s="39">
        <v>1.33634708931066E-2</v>
      </c>
      <c r="AR356" s="39">
        <v>1.33634708931066E-2</v>
      </c>
      <c r="AS356" s="39">
        <v>1.33634708931066E-2</v>
      </c>
      <c r="AT356" s="39">
        <v>1.33634708931066E-2</v>
      </c>
      <c r="AU356" s="39">
        <v>1.2392217523121999E-3</v>
      </c>
      <c r="AV356" s="39">
        <v>1.2392217523121999E-3</v>
      </c>
      <c r="AW356" s="39">
        <v>1.2392217523121999E-3</v>
      </c>
      <c r="AX356" s="39">
        <v>1.2392217523121999E-3</v>
      </c>
      <c r="AY356" s="39">
        <v>1.2392217523121999E-3</v>
      </c>
      <c r="AZ356" s="39">
        <v>1.2392217523121999E-3</v>
      </c>
      <c r="BA356" s="39">
        <v>1.2392217523121999E-3</v>
      </c>
      <c r="BB356" s="39">
        <v>1.2392217523121999E-3</v>
      </c>
      <c r="BC356" s="39">
        <v>1.2392217523121999E-3</v>
      </c>
      <c r="BD356" s="39">
        <v>1.2392217523121999E-3</v>
      </c>
      <c r="BE356" s="39">
        <v>1.2392217523121999E-3</v>
      </c>
      <c r="BF356" s="39">
        <v>1.2392217523121999E-3</v>
      </c>
      <c r="BH356" s="12">
        <f t="shared" si="238"/>
        <v>0</v>
      </c>
      <c r="BI356" s="12">
        <f t="shared" si="239"/>
        <v>0</v>
      </c>
      <c r="BJ356" s="12">
        <f t="shared" si="240"/>
        <v>0</v>
      </c>
      <c r="BK356" s="12">
        <f t="shared" si="241"/>
        <v>0</v>
      </c>
      <c r="BL356" s="12">
        <f t="shared" si="242"/>
        <v>0</v>
      </c>
      <c r="BM356" s="12">
        <f t="shared" si="243"/>
        <v>0</v>
      </c>
      <c r="BN356" s="12">
        <f t="shared" si="244"/>
        <v>0</v>
      </c>
      <c r="BO356" s="12">
        <f t="shared" si="245"/>
        <v>0</v>
      </c>
      <c r="BP356" s="12">
        <f t="shared" si="246"/>
        <v>0</v>
      </c>
      <c r="BQ356" s="12">
        <f t="shared" si="247"/>
        <v>0</v>
      </c>
      <c r="BR356" s="12">
        <f t="shared" si="210"/>
        <v>0</v>
      </c>
      <c r="BS356" s="12">
        <f t="shared" si="211"/>
        <v>0</v>
      </c>
      <c r="BU356" s="11">
        <f t="shared" si="212"/>
        <v>0</v>
      </c>
      <c r="BV356" s="11">
        <f t="shared" si="213"/>
        <v>0</v>
      </c>
      <c r="BW356" s="11">
        <f t="shared" si="214"/>
        <v>0</v>
      </c>
      <c r="BX356" s="11">
        <f t="shared" si="215"/>
        <v>0</v>
      </c>
      <c r="BY356" s="11">
        <f t="shared" si="216"/>
        <v>0</v>
      </c>
      <c r="BZ356" s="11">
        <f t="shared" si="217"/>
        <v>0</v>
      </c>
      <c r="CA356" s="11">
        <f t="shared" si="218"/>
        <v>0</v>
      </c>
      <c r="CB356" s="11">
        <f t="shared" si="219"/>
        <v>0</v>
      </c>
      <c r="CC356" s="11">
        <f t="shared" si="220"/>
        <v>0</v>
      </c>
      <c r="CD356" s="11">
        <f t="shared" si="221"/>
        <v>0</v>
      </c>
      <c r="CE356" s="11">
        <f t="shared" si="222"/>
        <v>0</v>
      </c>
      <c r="CF356" s="11">
        <f t="shared" si="223"/>
        <v>0</v>
      </c>
      <c r="CG356" s="11"/>
      <c r="CH356" s="41">
        <v>3.23</v>
      </c>
      <c r="CJ356" s="54">
        <f t="shared" si="224"/>
        <v>0</v>
      </c>
      <c r="CK356" s="54">
        <f t="shared" si="225"/>
        <v>0</v>
      </c>
      <c r="CL356" s="54">
        <f t="shared" si="226"/>
        <v>0</v>
      </c>
      <c r="CM356" s="54">
        <f t="shared" si="227"/>
        <v>0</v>
      </c>
      <c r="CN356" s="54">
        <f t="shared" si="228"/>
        <v>0</v>
      </c>
      <c r="CO356" s="54">
        <f t="shared" si="229"/>
        <v>0</v>
      </c>
      <c r="CP356" s="54">
        <f t="shared" si="230"/>
        <v>0</v>
      </c>
      <c r="CQ356" s="54">
        <f t="shared" si="231"/>
        <v>0</v>
      </c>
      <c r="CR356" s="54">
        <f t="shared" si="232"/>
        <v>0</v>
      </c>
      <c r="CS356" s="54">
        <f t="shared" si="233"/>
        <v>0</v>
      </c>
      <c r="CT356" s="54">
        <f t="shared" si="234"/>
        <v>0</v>
      </c>
      <c r="CU356" s="54">
        <f t="shared" si="235"/>
        <v>0</v>
      </c>
      <c r="CV356" s="52">
        <f t="shared" si="236"/>
        <v>0</v>
      </c>
    </row>
    <row r="357" spans="1:100" ht="15.75" x14ac:dyDescent="0.25">
      <c r="A357" s="17"/>
      <c r="B357" s="17"/>
      <c r="C357" s="17"/>
      <c r="D357" s="17"/>
      <c r="E357" s="17"/>
      <c r="F357" s="18" t="s">
        <v>3604</v>
      </c>
      <c r="G357" s="78"/>
      <c r="H357" s="78"/>
      <c r="I357" s="78"/>
      <c r="J357" s="78"/>
      <c r="K357" s="78"/>
      <c r="L357" s="78"/>
      <c r="M357" s="78"/>
      <c r="N357" s="78"/>
      <c r="O357" s="78"/>
      <c r="P357" s="78"/>
      <c r="Q357" s="78"/>
      <c r="R357" s="78"/>
      <c r="S357" s="12">
        <f t="shared" si="237"/>
        <v>0</v>
      </c>
      <c r="V357" s="46">
        <f t="shared" si="209"/>
        <v>0</v>
      </c>
      <c r="W357" s="36">
        <v>5.1070000000000002</v>
      </c>
      <c r="X357" s="36">
        <v>5.1070000000000002</v>
      </c>
      <c r="Y357" s="36">
        <v>5.1070000000000002</v>
      </c>
      <c r="Z357" s="36">
        <v>5.1070000000000002</v>
      </c>
      <c r="AA357" s="36">
        <v>5.1070000000000002</v>
      </c>
      <c r="AB357" s="36">
        <v>5.1070000000000002</v>
      </c>
      <c r="AC357" s="36">
        <v>5.1070000000000002</v>
      </c>
      <c r="AD357" s="36">
        <v>5.1070000000000002</v>
      </c>
      <c r="AE357" s="36">
        <v>5.1070000000000002</v>
      </c>
      <c r="AF357" s="36">
        <v>5.1070000000000002</v>
      </c>
      <c r="AG357" s="36">
        <v>5.1070000000000002</v>
      </c>
      <c r="AH357" s="36">
        <v>5.1070000000000002</v>
      </c>
      <c r="AI357" s="39">
        <v>1.33634708931066E-2</v>
      </c>
      <c r="AJ357" s="39">
        <v>1.33634708931066E-2</v>
      </c>
      <c r="AK357" s="39">
        <v>1.33634708931066E-2</v>
      </c>
      <c r="AL357" s="39">
        <v>1.33634708931066E-2</v>
      </c>
      <c r="AM357" s="39">
        <v>1.33634708931066E-2</v>
      </c>
      <c r="AN357" s="39">
        <v>1.33634708931066E-2</v>
      </c>
      <c r="AO357" s="39">
        <v>1.33634708931066E-2</v>
      </c>
      <c r="AP357" s="39">
        <v>1.33634708931066E-2</v>
      </c>
      <c r="AQ357" s="39">
        <v>1.33634708931066E-2</v>
      </c>
      <c r="AR357" s="39">
        <v>1.33634708931066E-2</v>
      </c>
      <c r="AS357" s="39">
        <v>1.33634708931066E-2</v>
      </c>
      <c r="AT357" s="39">
        <v>1.33634708931066E-2</v>
      </c>
      <c r="AU357" s="39">
        <v>1.2392217523121999E-3</v>
      </c>
      <c r="AV357" s="39">
        <v>1.2392217523121999E-3</v>
      </c>
      <c r="AW357" s="39">
        <v>1.2392217523121999E-3</v>
      </c>
      <c r="AX357" s="39">
        <v>1.2392217523121999E-3</v>
      </c>
      <c r="AY357" s="39">
        <v>1.2392217523121999E-3</v>
      </c>
      <c r="AZ357" s="39">
        <v>1.2392217523121999E-3</v>
      </c>
      <c r="BA357" s="39">
        <v>1.2392217523121999E-3</v>
      </c>
      <c r="BB357" s="39">
        <v>1.2392217523121999E-3</v>
      </c>
      <c r="BC357" s="39">
        <v>1.2392217523121999E-3</v>
      </c>
      <c r="BD357" s="39">
        <v>1.2392217523121999E-3</v>
      </c>
      <c r="BE357" s="39">
        <v>1.2392217523121999E-3</v>
      </c>
      <c r="BF357" s="39">
        <v>1.2392217523121999E-3</v>
      </c>
      <c r="BH357" s="12">
        <f t="shared" si="238"/>
        <v>0</v>
      </c>
      <c r="BI357" s="12">
        <f t="shared" si="239"/>
        <v>0</v>
      </c>
      <c r="BJ357" s="12">
        <f t="shared" si="240"/>
        <v>0</v>
      </c>
      <c r="BK357" s="12">
        <f t="shared" si="241"/>
        <v>0</v>
      </c>
      <c r="BL357" s="12">
        <f t="shared" si="242"/>
        <v>0</v>
      </c>
      <c r="BM357" s="12">
        <f t="shared" si="243"/>
        <v>0</v>
      </c>
      <c r="BN357" s="12">
        <f t="shared" si="244"/>
        <v>0</v>
      </c>
      <c r="BO357" s="12">
        <f t="shared" si="245"/>
        <v>0</v>
      </c>
      <c r="BP357" s="12">
        <f t="shared" si="246"/>
        <v>0</v>
      </c>
      <c r="BQ357" s="12">
        <f t="shared" si="247"/>
        <v>0</v>
      </c>
      <c r="BR357" s="12">
        <f t="shared" si="210"/>
        <v>0</v>
      </c>
      <c r="BS357" s="12">
        <f t="shared" si="211"/>
        <v>0</v>
      </c>
      <c r="BU357" s="11">
        <f t="shared" si="212"/>
        <v>0</v>
      </c>
      <c r="BV357" s="11">
        <f t="shared" si="213"/>
        <v>0</v>
      </c>
      <c r="BW357" s="11">
        <f t="shared" si="214"/>
        <v>0</v>
      </c>
      <c r="BX357" s="11">
        <f t="shared" si="215"/>
        <v>0</v>
      </c>
      <c r="BY357" s="11">
        <f t="shared" si="216"/>
        <v>0</v>
      </c>
      <c r="BZ357" s="11">
        <f t="shared" si="217"/>
        <v>0</v>
      </c>
      <c r="CA357" s="11">
        <f t="shared" si="218"/>
        <v>0</v>
      </c>
      <c r="CB357" s="11">
        <f t="shared" si="219"/>
        <v>0</v>
      </c>
      <c r="CC357" s="11">
        <f t="shared" si="220"/>
        <v>0</v>
      </c>
      <c r="CD357" s="11">
        <f t="shared" si="221"/>
        <v>0</v>
      </c>
      <c r="CE357" s="11">
        <f t="shared" si="222"/>
        <v>0</v>
      </c>
      <c r="CF357" s="11">
        <f t="shared" si="223"/>
        <v>0</v>
      </c>
      <c r="CG357" s="11"/>
      <c r="CH357" s="41">
        <v>3.23</v>
      </c>
      <c r="CJ357" s="54">
        <f t="shared" si="224"/>
        <v>0</v>
      </c>
      <c r="CK357" s="54">
        <f t="shared" si="225"/>
        <v>0</v>
      </c>
      <c r="CL357" s="54">
        <f t="shared" si="226"/>
        <v>0</v>
      </c>
      <c r="CM357" s="54">
        <f t="shared" si="227"/>
        <v>0</v>
      </c>
      <c r="CN357" s="54">
        <f t="shared" si="228"/>
        <v>0</v>
      </c>
      <c r="CO357" s="54">
        <f t="shared" si="229"/>
        <v>0</v>
      </c>
      <c r="CP357" s="54">
        <f t="shared" si="230"/>
        <v>0</v>
      </c>
      <c r="CQ357" s="54">
        <f t="shared" si="231"/>
        <v>0</v>
      </c>
      <c r="CR357" s="54">
        <f t="shared" si="232"/>
        <v>0</v>
      </c>
      <c r="CS357" s="54">
        <f t="shared" si="233"/>
        <v>0</v>
      </c>
      <c r="CT357" s="54">
        <f t="shared" si="234"/>
        <v>0</v>
      </c>
      <c r="CU357" s="54">
        <f t="shared" si="235"/>
        <v>0</v>
      </c>
      <c r="CV357" s="52">
        <f t="shared" si="236"/>
        <v>0</v>
      </c>
    </row>
    <row r="358" spans="1:100" ht="15.75" x14ac:dyDescent="0.25">
      <c r="A358" s="17"/>
      <c r="B358" s="17"/>
      <c r="C358" s="17"/>
      <c r="D358" s="17"/>
      <c r="E358" s="17"/>
      <c r="F358" s="18" t="s">
        <v>3604</v>
      </c>
      <c r="G358" s="78"/>
      <c r="H358" s="78"/>
      <c r="I358" s="78"/>
      <c r="J358" s="78"/>
      <c r="K358" s="78"/>
      <c r="L358" s="78"/>
      <c r="M358" s="78"/>
      <c r="N358" s="78"/>
      <c r="O358" s="78"/>
      <c r="P358" s="78"/>
      <c r="Q358" s="78"/>
      <c r="R358" s="78"/>
      <c r="S358" s="12">
        <f t="shared" si="237"/>
        <v>0</v>
      </c>
      <c r="V358" s="46">
        <f t="shared" si="209"/>
        <v>0</v>
      </c>
      <c r="W358" s="36">
        <v>3.2559999999999998</v>
      </c>
      <c r="X358" s="36">
        <v>3.2559999999999998</v>
      </c>
      <c r="Y358" s="36">
        <v>3.2559999999999998</v>
      </c>
      <c r="Z358" s="36">
        <v>3.2559999999999998</v>
      </c>
      <c r="AA358" s="36">
        <v>3.2559999999999998</v>
      </c>
      <c r="AB358" s="36">
        <v>3.2559999999999998</v>
      </c>
      <c r="AC358" s="36">
        <v>3.2559999999999998</v>
      </c>
      <c r="AD358" s="36">
        <v>3.2559999999999998</v>
      </c>
      <c r="AE358" s="36">
        <v>3.2559999999999998</v>
      </c>
      <c r="AF358" s="36">
        <v>3.2559999999999998</v>
      </c>
      <c r="AG358" s="36">
        <v>3.2559999999999998</v>
      </c>
      <c r="AH358" s="36">
        <v>3.2559999999999998</v>
      </c>
      <c r="AI358" s="39">
        <v>1.33634708931066E-2</v>
      </c>
      <c r="AJ358" s="39">
        <v>1.33634708931066E-2</v>
      </c>
      <c r="AK358" s="39">
        <v>1.33634708931066E-2</v>
      </c>
      <c r="AL358" s="39">
        <v>1.33634708931066E-2</v>
      </c>
      <c r="AM358" s="39">
        <v>1.33634708931066E-2</v>
      </c>
      <c r="AN358" s="39">
        <v>1.33634708931066E-2</v>
      </c>
      <c r="AO358" s="39">
        <v>1.33634708931066E-2</v>
      </c>
      <c r="AP358" s="39">
        <v>1.33634708931066E-2</v>
      </c>
      <c r="AQ358" s="39">
        <v>1.33634708931066E-2</v>
      </c>
      <c r="AR358" s="39">
        <v>1.33634708931066E-2</v>
      </c>
      <c r="AS358" s="39">
        <v>1.33634708931066E-2</v>
      </c>
      <c r="AT358" s="39">
        <v>1.33634708931066E-2</v>
      </c>
      <c r="AU358" s="39">
        <v>1.2392217523121999E-3</v>
      </c>
      <c r="AV358" s="39">
        <v>1.2392217523121999E-3</v>
      </c>
      <c r="AW358" s="39">
        <v>1.2392217523121999E-3</v>
      </c>
      <c r="AX358" s="39">
        <v>1.2392217523121999E-3</v>
      </c>
      <c r="AY358" s="39">
        <v>1.2392217523121999E-3</v>
      </c>
      <c r="AZ358" s="39">
        <v>1.2392217523121999E-3</v>
      </c>
      <c r="BA358" s="39">
        <v>1.2392217523121999E-3</v>
      </c>
      <c r="BB358" s="39">
        <v>1.2392217523121999E-3</v>
      </c>
      <c r="BC358" s="39">
        <v>1.2392217523121999E-3</v>
      </c>
      <c r="BD358" s="39">
        <v>1.2392217523121999E-3</v>
      </c>
      <c r="BE358" s="39">
        <v>1.2392217523121999E-3</v>
      </c>
      <c r="BF358" s="39">
        <v>1.2392217523121999E-3</v>
      </c>
      <c r="BH358" s="12">
        <f t="shared" si="238"/>
        <v>0</v>
      </c>
      <c r="BI358" s="12">
        <f t="shared" si="239"/>
        <v>0</v>
      </c>
      <c r="BJ358" s="12">
        <f t="shared" si="240"/>
        <v>0</v>
      </c>
      <c r="BK358" s="12">
        <f t="shared" si="241"/>
        <v>0</v>
      </c>
      <c r="BL358" s="12">
        <f t="shared" si="242"/>
        <v>0</v>
      </c>
      <c r="BM358" s="12">
        <f t="shared" si="243"/>
        <v>0</v>
      </c>
      <c r="BN358" s="12">
        <f t="shared" si="244"/>
        <v>0</v>
      </c>
      <c r="BO358" s="12">
        <f t="shared" si="245"/>
        <v>0</v>
      </c>
      <c r="BP358" s="12">
        <f t="shared" si="246"/>
        <v>0</v>
      </c>
      <c r="BQ358" s="12">
        <f t="shared" si="247"/>
        <v>0</v>
      </c>
      <c r="BR358" s="12">
        <f t="shared" si="210"/>
        <v>0</v>
      </c>
      <c r="BS358" s="12">
        <f t="shared" si="211"/>
        <v>0</v>
      </c>
      <c r="BU358" s="11">
        <f t="shared" si="212"/>
        <v>0</v>
      </c>
      <c r="BV358" s="11">
        <f t="shared" si="213"/>
        <v>0</v>
      </c>
      <c r="BW358" s="11">
        <f t="shared" si="214"/>
        <v>0</v>
      </c>
      <c r="BX358" s="11">
        <f t="shared" si="215"/>
        <v>0</v>
      </c>
      <c r="BY358" s="11">
        <f t="shared" si="216"/>
        <v>0</v>
      </c>
      <c r="BZ358" s="11">
        <f t="shared" si="217"/>
        <v>0</v>
      </c>
      <c r="CA358" s="11">
        <f t="shared" si="218"/>
        <v>0</v>
      </c>
      <c r="CB358" s="11">
        <f t="shared" si="219"/>
        <v>0</v>
      </c>
      <c r="CC358" s="11">
        <f t="shared" si="220"/>
        <v>0</v>
      </c>
      <c r="CD358" s="11">
        <f t="shared" si="221"/>
        <v>0</v>
      </c>
      <c r="CE358" s="11">
        <f t="shared" si="222"/>
        <v>0</v>
      </c>
      <c r="CF358" s="11">
        <f t="shared" si="223"/>
        <v>0</v>
      </c>
      <c r="CG358" s="11"/>
      <c r="CH358" s="41">
        <v>3.23</v>
      </c>
      <c r="CJ358" s="54">
        <f t="shared" si="224"/>
        <v>0</v>
      </c>
      <c r="CK358" s="54">
        <f t="shared" si="225"/>
        <v>0</v>
      </c>
      <c r="CL358" s="54">
        <f t="shared" si="226"/>
        <v>0</v>
      </c>
      <c r="CM358" s="54">
        <f t="shared" si="227"/>
        <v>0</v>
      </c>
      <c r="CN358" s="54">
        <f t="shared" si="228"/>
        <v>0</v>
      </c>
      <c r="CO358" s="54">
        <f t="shared" si="229"/>
        <v>0</v>
      </c>
      <c r="CP358" s="54">
        <f t="shared" si="230"/>
        <v>0</v>
      </c>
      <c r="CQ358" s="54">
        <f t="shared" si="231"/>
        <v>0</v>
      </c>
      <c r="CR358" s="54">
        <f t="shared" si="232"/>
        <v>0</v>
      </c>
      <c r="CS358" s="54">
        <f t="shared" si="233"/>
        <v>0</v>
      </c>
      <c r="CT358" s="54">
        <f t="shared" si="234"/>
        <v>0</v>
      </c>
      <c r="CU358" s="54">
        <f t="shared" si="235"/>
        <v>0</v>
      </c>
      <c r="CV358" s="52">
        <f t="shared" si="236"/>
        <v>0</v>
      </c>
    </row>
    <row r="359" spans="1:100" ht="15.75" x14ac:dyDescent="0.25">
      <c r="A359" s="17"/>
      <c r="B359" s="17"/>
      <c r="C359" s="17"/>
      <c r="D359" s="17"/>
      <c r="E359" s="17"/>
      <c r="F359" s="18" t="s">
        <v>3604</v>
      </c>
      <c r="G359" s="78"/>
      <c r="H359" s="78"/>
      <c r="I359" s="78"/>
      <c r="J359" s="78"/>
      <c r="K359" s="78"/>
      <c r="L359" s="78"/>
      <c r="M359" s="78"/>
      <c r="N359" s="78"/>
      <c r="O359" s="78"/>
      <c r="P359" s="78"/>
      <c r="Q359" s="78"/>
      <c r="R359" s="78"/>
      <c r="S359" s="12">
        <f t="shared" si="237"/>
        <v>0</v>
      </c>
      <c r="V359" s="46">
        <f t="shared" si="209"/>
        <v>0</v>
      </c>
      <c r="W359" s="36">
        <v>1.4350000000000001</v>
      </c>
      <c r="X359" s="36">
        <v>1.4350000000000001</v>
      </c>
      <c r="Y359" s="36">
        <v>1.4350000000000001</v>
      </c>
      <c r="Z359" s="36">
        <v>1.4350000000000001</v>
      </c>
      <c r="AA359" s="36">
        <v>1.4350000000000001</v>
      </c>
      <c r="AB359" s="36">
        <v>1.4350000000000001</v>
      </c>
      <c r="AC359" s="36">
        <v>1.4350000000000001</v>
      </c>
      <c r="AD359" s="36">
        <v>1.4350000000000001</v>
      </c>
      <c r="AE359" s="36">
        <v>1.4350000000000001</v>
      </c>
      <c r="AF359" s="36">
        <v>1.4350000000000001</v>
      </c>
      <c r="AG359" s="36">
        <v>1.4350000000000001</v>
      </c>
      <c r="AH359" s="36">
        <v>1.4350000000000001</v>
      </c>
      <c r="AI359" s="39">
        <v>1.33634708931066E-2</v>
      </c>
      <c r="AJ359" s="39">
        <v>1.33634708931066E-2</v>
      </c>
      <c r="AK359" s="39">
        <v>1.33634708931066E-2</v>
      </c>
      <c r="AL359" s="39">
        <v>1.33634708931066E-2</v>
      </c>
      <c r="AM359" s="39">
        <v>1.33634708931066E-2</v>
      </c>
      <c r="AN359" s="39">
        <v>1.33634708931066E-2</v>
      </c>
      <c r="AO359" s="39">
        <v>1.33634708931066E-2</v>
      </c>
      <c r="AP359" s="39">
        <v>1.33634708931066E-2</v>
      </c>
      <c r="AQ359" s="39">
        <v>1.33634708931066E-2</v>
      </c>
      <c r="AR359" s="39">
        <v>1.33634708931066E-2</v>
      </c>
      <c r="AS359" s="39">
        <v>1.33634708931066E-2</v>
      </c>
      <c r="AT359" s="39">
        <v>1.33634708931066E-2</v>
      </c>
      <c r="AU359" s="39">
        <v>1.2392217523121999E-3</v>
      </c>
      <c r="AV359" s="39">
        <v>1.2392217523121999E-3</v>
      </c>
      <c r="AW359" s="39">
        <v>1.2392217523121999E-3</v>
      </c>
      <c r="AX359" s="39">
        <v>1.2392217523121999E-3</v>
      </c>
      <c r="AY359" s="39">
        <v>1.2392217523121999E-3</v>
      </c>
      <c r="AZ359" s="39">
        <v>1.2392217523121999E-3</v>
      </c>
      <c r="BA359" s="39">
        <v>1.2392217523121999E-3</v>
      </c>
      <c r="BB359" s="39">
        <v>1.2392217523121999E-3</v>
      </c>
      <c r="BC359" s="39">
        <v>1.2392217523121999E-3</v>
      </c>
      <c r="BD359" s="39">
        <v>1.2392217523121999E-3</v>
      </c>
      <c r="BE359" s="39">
        <v>1.2392217523121999E-3</v>
      </c>
      <c r="BF359" s="39">
        <v>1.2392217523121999E-3</v>
      </c>
      <c r="BH359" s="12">
        <f t="shared" si="238"/>
        <v>0</v>
      </c>
      <c r="BI359" s="12">
        <f t="shared" si="239"/>
        <v>0</v>
      </c>
      <c r="BJ359" s="12">
        <f t="shared" si="240"/>
        <v>0</v>
      </c>
      <c r="BK359" s="12">
        <f t="shared" si="241"/>
        <v>0</v>
      </c>
      <c r="BL359" s="12">
        <f t="shared" si="242"/>
        <v>0</v>
      </c>
      <c r="BM359" s="12">
        <f t="shared" si="243"/>
        <v>0</v>
      </c>
      <c r="BN359" s="12">
        <f t="shared" si="244"/>
        <v>0</v>
      </c>
      <c r="BO359" s="12">
        <f t="shared" si="245"/>
        <v>0</v>
      </c>
      <c r="BP359" s="12">
        <f t="shared" si="246"/>
        <v>0</v>
      </c>
      <c r="BQ359" s="12">
        <f t="shared" si="247"/>
        <v>0</v>
      </c>
      <c r="BR359" s="12">
        <f t="shared" si="210"/>
        <v>0</v>
      </c>
      <c r="BS359" s="12">
        <f t="shared" si="211"/>
        <v>0</v>
      </c>
      <c r="BU359" s="11">
        <f t="shared" si="212"/>
        <v>0</v>
      </c>
      <c r="BV359" s="11">
        <f t="shared" si="213"/>
        <v>0</v>
      </c>
      <c r="BW359" s="11">
        <f t="shared" si="214"/>
        <v>0</v>
      </c>
      <c r="BX359" s="11">
        <f t="shared" si="215"/>
        <v>0</v>
      </c>
      <c r="BY359" s="11">
        <f t="shared" si="216"/>
        <v>0</v>
      </c>
      <c r="BZ359" s="11">
        <f t="shared" si="217"/>
        <v>0</v>
      </c>
      <c r="CA359" s="11">
        <f t="shared" si="218"/>
        <v>0</v>
      </c>
      <c r="CB359" s="11">
        <f t="shared" si="219"/>
        <v>0</v>
      </c>
      <c r="CC359" s="11">
        <f t="shared" si="220"/>
        <v>0</v>
      </c>
      <c r="CD359" s="11">
        <f t="shared" si="221"/>
        <v>0</v>
      </c>
      <c r="CE359" s="11">
        <f t="shared" si="222"/>
        <v>0</v>
      </c>
      <c r="CF359" s="11">
        <f t="shared" si="223"/>
        <v>0</v>
      </c>
      <c r="CG359" s="11"/>
      <c r="CH359" s="41">
        <v>3.23</v>
      </c>
      <c r="CJ359" s="54">
        <f t="shared" si="224"/>
        <v>0</v>
      </c>
      <c r="CK359" s="54">
        <f t="shared" si="225"/>
        <v>0</v>
      </c>
      <c r="CL359" s="54">
        <f t="shared" si="226"/>
        <v>0</v>
      </c>
      <c r="CM359" s="54">
        <f t="shared" si="227"/>
        <v>0</v>
      </c>
      <c r="CN359" s="54">
        <f t="shared" si="228"/>
        <v>0</v>
      </c>
      <c r="CO359" s="54">
        <f t="shared" si="229"/>
        <v>0</v>
      </c>
      <c r="CP359" s="54">
        <f t="shared" si="230"/>
        <v>0</v>
      </c>
      <c r="CQ359" s="54">
        <f t="shared" si="231"/>
        <v>0</v>
      </c>
      <c r="CR359" s="54">
        <f t="shared" si="232"/>
        <v>0</v>
      </c>
      <c r="CS359" s="54">
        <f t="shared" si="233"/>
        <v>0</v>
      </c>
      <c r="CT359" s="54">
        <f t="shared" si="234"/>
        <v>0</v>
      </c>
      <c r="CU359" s="54">
        <f t="shared" si="235"/>
        <v>0</v>
      </c>
      <c r="CV359" s="52">
        <f t="shared" si="236"/>
        <v>0</v>
      </c>
    </row>
    <row r="360" spans="1:100" ht="15.75" x14ac:dyDescent="0.25">
      <c r="A360" s="17"/>
      <c r="B360" s="17"/>
      <c r="C360" s="17"/>
      <c r="D360" s="17"/>
      <c r="E360" s="17"/>
      <c r="F360" s="18" t="s">
        <v>3604</v>
      </c>
      <c r="G360" s="78"/>
      <c r="H360" s="78"/>
      <c r="I360" s="78"/>
      <c r="J360" s="78"/>
      <c r="K360" s="78"/>
      <c r="L360" s="78"/>
      <c r="M360" s="78"/>
      <c r="N360" s="78"/>
      <c r="O360" s="78"/>
      <c r="P360" s="78"/>
      <c r="Q360" s="78"/>
      <c r="R360" s="78"/>
      <c r="S360" s="12">
        <f t="shared" si="237"/>
        <v>0</v>
      </c>
      <c r="V360" s="46">
        <f t="shared" si="209"/>
        <v>0</v>
      </c>
      <c r="W360" s="36">
        <v>2.956</v>
      </c>
      <c r="X360" s="36">
        <v>2.956</v>
      </c>
      <c r="Y360" s="36">
        <v>2.956</v>
      </c>
      <c r="Z360" s="36">
        <v>2.956</v>
      </c>
      <c r="AA360" s="36">
        <v>2.956</v>
      </c>
      <c r="AB360" s="36">
        <v>2.956</v>
      </c>
      <c r="AC360" s="36">
        <v>2.956</v>
      </c>
      <c r="AD360" s="36">
        <v>2.956</v>
      </c>
      <c r="AE360" s="36">
        <v>2.956</v>
      </c>
      <c r="AF360" s="36">
        <v>2.956</v>
      </c>
      <c r="AG360" s="36">
        <v>2.956</v>
      </c>
      <c r="AH360" s="36">
        <v>2.956</v>
      </c>
      <c r="AI360" s="39">
        <v>1.33634708931066E-2</v>
      </c>
      <c r="AJ360" s="39">
        <v>1.33634708931066E-2</v>
      </c>
      <c r="AK360" s="39">
        <v>1.33634708931066E-2</v>
      </c>
      <c r="AL360" s="39">
        <v>1.33634708931066E-2</v>
      </c>
      <c r="AM360" s="39">
        <v>1.33634708931066E-2</v>
      </c>
      <c r="AN360" s="39">
        <v>1.33634708931066E-2</v>
      </c>
      <c r="AO360" s="39">
        <v>1.33634708931066E-2</v>
      </c>
      <c r="AP360" s="39">
        <v>1.33634708931066E-2</v>
      </c>
      <c r="AQ360" s="39">
        <v>1.33634708931066E-2</v>
      </c>
      <c r="AR360" s="39">
        <v>1.33634708931066E-2</v>
      </c>
      <c r="AS360" s="39">
        <v>1.33634708931066E-2</v>
      </c>
      <c r="AT360" s="39">
        <v>1.33634708931066E-2</v>
      </c>
      <c r="AU360" s="39">
        <v>1.2392217523121999E-3</v>
      </c>
      <c r="AV360" s="39">
        <v>1.2392217523121999E-3</v>
      </c>
      <c r="AW360" s="39">
        <v>1.2392217523121999E-3</v>
      </c>
      <c r="AX360" s="39">
        <v>1.2392217523121999E-3</v>
      </c>
      <c r="AY360" s="39">
        <v>1.2392217523121999E-3</v>
      </c>
      <c r="AZ360" s="39">
        <v>1.2392217523121999E-3</v>
      </c>
      <c r="BA360" s="39">
        <v>1.2392217523121999E-3</v>
      </c>
      <c r="BB360" s="39">
        <v>1.2392217523121999E-3</v>
      </c>
      <c r="BC360" s="39">
        <v>1.2392217523121999E-3</v>
      </c>
      <c r="BD360" s="39">
        <v>1.2392217523121999E-3</v>
      </c>
      <c r="BE360" s="39">
        <v>1.2392217523121999E-3</v>
      </c>
      <c r="BF360" s="39">
        <v>1.2392217523121999E-3</v>
      </c>
      <c r="BH360" s="12">
        <f t="shared" si="238"/>
        <v>0</v>
      </c>
      <c r="BI360" s="12">
        <f t="shared" si="239"/>
        <v>0</v>
      </c>
      <c r="BJ360" s="12">
        <f t="shared" si="240"/>
        <v>0</v>
      </c>
      <c r="BK360" s="12">
        <f t="shared" si="241"/>
        <v>0</v>
      </c>
      <c r="BL360" s="12">
        <f t="shared" si="242"/>
        <v>0</v>
      </c>
      <c r="BM360" s="12">
        <f t="shared" si="243"/>
        <v>0</v>
      </c>
      <c r="BN360" s="12">
        <f t="shared" si="244"/>
        <v>0</v>
      </c>
      <c r="BO360" s="12">
        <f t="shared" si="245"/>
        <v>0</v>
      </c>
      <c r="BP360" s="12">
        <f t="shared" si="246"/>
        <v>0</v>
      </c>
      <c r="BQ360" s="12">
        <f t="shared" si="247"/>
        <v>0</v>
      </c>
      <c r="BR360" s="12">
        <f t="shared" si="210"/>
        <v>0</v>
      </c>
      <c r="BS360" s="12">
        <f t="shared" si="211"/>
        <v>0</v>
      </c>
      <c r="BU360" s="11">
        <f t="shared" si="212"/>
        <v>0</v>
      </c>
      <c r="BV360" s="11">
        <f t="shared" si="213"/>
        <v>0</v>
      </c>
      <c r="BW360" s="11">
        <f t="shared" si="214"/>
        <v>0</v>
      </c>
      <c r="BX360" s="11">
        <f t="shared" si="215"/>
        <v>0</v>
      </c>
      <c r="BY360" s="11">
        <f t="shared" si="216"/>
        <v>0</v>
      </c>
      <c r="BZ360" s="11">
        <f t="shared" si="217"/>
        <v>0</v>
      </c>
      <c r="CA360" s="11">
        <f t="shared" si="218"/>
        <v>0</v>
      </c>
      <c r="CB360" s="11">
        <f t="shared" si="219"/>
        <v>0</v>
      </c>
      <c r="CC360" s="11">
        <f t="shared" si="220"/>
        <v>0</v>
      </c>
      <c r="CD360" s="11">
        <f t="shared" si="221"/>
        <v>0</v>
      </c>
      <c r="CE360" s="11">
        <f t="shared" si="222"/>
        <v>0</v>
      </c>
      <c r="CF360" s="11">
        <f t="shared" si="223"/>
        <v>0</v>
      </c>
      <c r="CG360" s="11"/>
      <c r="CH360" s="41">
        <v>3.23</v>
      </c>
      <c r="CJ360" s="54">
        <f t="shared" si="224"/>
        <v>0</v>
      </c>
      <c r="CK360" s="54">
        <f t="shared" si="225"/>
        <v>0</v>
      </c>
      <c r="CL360" s="54">
        <f t="shared" si="226"/>
        <v>0</v>
      </c>
      <c r="CM360" s="54">
        <f t="shared" si="227"/>
        <v>0</v>
      </c>
      <c r="CN360" s="54">
        <f t="shared" si="228"/>
        <v>0</v>
      </c>
      <c r="CO360" s="54">
        <f t="shared" si="229"/>
        <v>0</v>
      </c>
      <c r="CP360" s="54">
        <f t="shared" si="230"/>
        <v>0</v>
      </c>
      <c r="CQ360" s="54">
        <f t="shared" si="231"/>
        <v>0</v>
      </c>
      <c r="CR360" s="54">
        <f t="shared" si="232"/>
        <v>0</v>
      </c>
      <c r="CS360" s="54">
        <f t="shared" si="233"/>
        <v>0</v>
      </c>
      <c r="CT360" s="54">
        <f t="shared" si="234"/>
        <v>0</v>
      </c>
      <c r="CU360" s="54">
        <f t="shared" si="235"/>
        <v>0</v>
      </c>
      <c r="CV360" s="52">
        <f t="shared" si="236"/>
        <v>0</v>
      </c>
    </row>
    <row r="361" spans="1:100" ht="15.75" x14ac:dyDescent="0.25">
      <c r="A361" s="17"/>
      <c r="B361" s="17"/>
      <c r="C361" s="17"/>
      <c r="D361" s="17"/>
      <c r="E361" s="17"/>
      <c r="F361" s="18" t="s">
        <v>3604</v>
      </c>
      <c r="G361" s="78"/>
      <c r="H361" s="78"/>
      <c r="I361" s="78"/>
      <c r="J361" s="78"/>
      <c r="K361" s="78"/>
      <c r="L361" s="78"/>
      <c r="M361" s="78"/>
      <c r="N361" s="78"/>
      <c r="O361" s="78"/>
      <c r="P361" s="78"/>
      <c r="Q361" s="78"/>
      <c r="R361" s="78"/>
      <c r="S361" s="12">
        <f t="shared" si="237"/>
        <v>0</v>
      </c>
      <c r="V361" s="46">
        <f t="shared" si="209"/>
        <v>0</v>
      </c>
      <c r="W361" s="36">
        <v>3.476</v>
      </c>
      <c r="X361" s="36">
        <v>3.476</v>
      </c>
      <c r="Y361" s="36">
        <v>3.476</v>
      </c>
      <c r="Z361" s="36">
        <v>3.476</v>
      </c>
      <c r="AA361" s="36">
        <v>3.476</v>
      </c>
      <c r="AB361" s="36">
        <v>3.476</v>
      </c>
      <c r="AC361" s="36">
        <v>3.476</v>
      </c>
      <c r="AD361" s="36">
        <v>3.476</v>
      </c>
      <c r="AE361" s="36">
        <v>3.476</v>
      </c>
      <c r="AF361" s="36">
        <v>3.476</v>
      </c>
      <c r="AG361" s="36">
        <v>3.476</v>
      </c>
      <c r="AH361" s="36">
        <v>3.476</v>
      </c>
      <c r="AI361" s="39">
        <v>1.33634708931066E-2</v>
      </c>
      <c r="AJ361" s="39">
        <v>1.33634708931066E-2</v>
      </c>
      <c r="AK361" s="39">
        <v>1.33634708931066E-2</v>
      </c>
      <c r="AL361" s="39">
        <v>1.33634708931066E-2</v>
      </c>
      <c r="AM361" s="39">
        <v>1.33634708931066E-2</v>
      </c>
      <c r="AN361" s="39">
        <v>1.33634708931066E-2</v>
      </c>
      <c r="AO361" s="39">
        <v>1.33634708931066E-2</v>
      </c>
      <c r="AP361" s="39">
        <v>1.33634708931066E-2</v>
      </c>
      <c r="AQ361" s="39">
        <v>1.33634708931066E-2</v>
      </c>
      <c r="AR361" s="39">
        <v>1.33634708931066E-2</v>
      </c>
      <c r="AS361" s="39">
        <v>1.33634708931066E-2</v>
      </c>
      <c r="AT361" s="39">
        <v>1.33634708931066E-2</v>
      </c>
      <c r="AU361" s="39">
        <v>1.2392217523121999E-3</v>
      </c>
      <c r="AV361" s="39">
        <v>1.2392217523121999E-3</v>
      </c>
      <c r="AW361" s="39">
        <v>1.2392217523121999E-3</v>
      </c>
      <c r="AX361" s="39">
        <v>1.2392217523121999E-3</v>
      </c>
      <c r="AY361" s="39">
        <v>1.2392217523121999E-3</v>
      </c>
      <c r="AZ361" s="39">
        <v>1.2392217523121999E-3</v>
      </c>
      <c r="BA361" s="39">
        <v>1.2392217523121999E-3</v>
      </c>
      <c r="BB361" s="39">
        <v>1.2392217523121999E-3</v>
      </c>
      <c r="BC361" s="39">
        <v>1.2392217523121999E-3</v>
      </c>
      <c r="BD361" s="39">
        <v>1.2392217523121999E-3</v>
      </c>
      <c r="BE361" s="39">
        <v>1.2392217523121999E-3</v>
      </c>
      <c r="BF361" s="39">
        <v>1.2392217523121999E-3</v>
      </c>
      <c r="BH361" s="12">
        <f t="shared" si="238"/>
        <v>0</v>
      </c>
      <c r="BI361" s="12">
        <f t="shared" si="239"/>
        <v>0</v>
      </c>
      <c r="BJ361" s="12">
        <f t="shared" si="240"/>
        <v>0</v>
      </c>
      <c r="BK361" s="12">
        <f t="shared" si="241"/>
        <v>0</v>
      </c>
      <c r="BL361" s="12">
        <f t="shared" si="242"/>
        <v>0</v>
      </c>
      <c r="BM361" s="12">
        <f t="shared" si="243"/>
        <v>0</v>
      </c>
      <c r="BN361" s="12">
        <f t="shared" si="244"/>
        <v>0</v>
      </c>
      <c r="BO361" s="12">
        <f t="shared" si="245"/>
        <v>0</v>
      </c>
      <c r="BP361" s="12">
        <f t="shared" si="246"/>
        <v>0</v>
      </c>
      <c r="BQ361" s="12">
        <f t="shared" si="247"/>
        <v>0</v>
      </c>
      <c r="BR361" s="12">
        <f t="shared" si="210"/>
        <v>0</v>
      </c>
      <c r="BS361" s="12">
        <f t="shared" si="211"/>
        <v>0</v>
      </c>
      <c r="BU361" s="11">
        <f t="shared" si="212"/>
        <v>0</v>
      </c>
      <c r="BV361" s="11">
        <f t="shared" si="213"/>
        <v>0</v>
      </c>
      <c r="BW361" s="11">
        <f t="shared" si="214"/>
        <v>0</v>
      </c>
      <c r="BX361" s="11">
        <f t="shared" si="215"/>
        <v>0</v>
      </c>
      <c r="BY361" s="11">
        <f t="shared" si="216"/>
        <v>0</v>
      </c>
      <c r="BZ361" s="11">
        <f t="shared" si="217"/>
        <v>0</v>
      </c>
      <c r="CA361" s="11">
        <f t="shared" si="218"/>
        <v>0</v>
      </c>
      <c r="CB361" s="11">
        <f t="shared" si="219"/>
        <v>0</v>
      </c>
      <c r="CC361" s="11">
        <f t="shared" si="220"/>
        <v>0</v>
      </c>
      <c r="CD361" s="11">
        <f t="shared" si="221"/>
        <v>0</v>
      </c>
      <c r="CE361" s="11">
        <f t="shared" si="222"/>
        <v>0</v>
      </c>
      <c r="CF361" s="11">
        <f t="shared" si="223"/>
        <v>0</v>
      </c>
      <c r="CG361" s="11"/>
      <c r="CH361" s="41">
        <v>3.23</v>
      </c>
      <c r="CJ361" s="54">
        <f t="shared" si="224"/>
        <v>0</v>
      </c>
      <c r="CK361" s="54">
        <f t="shared" si="225"/>
        <v>0</v>
      </c>
      <c r="CL361" s="54">
        <f t="shared" si="226"/>
        <v>0</v>
      </c>
      <c r="CM361" s="54">
        <f t="shared" si="227"/>
        <v>0</v>
      </c>
      <c r="CN361" s="54">
        <f t="shared" si="228"/>
        <v>0</v>
      </c>
      <c r="CO361" s="54">
        <f t="shared" si="229"/>
        <v>0</v>
      </c>
      <c r="CP361" s="54">
        <f t="shared" si="230"/>
        <v>0</v>
      </c>
      <c r="CQ361" s="54">
        <f t="shared" si="231"/>
        <v>0</v>
      </c>
      <c r="CR361" s="54">
        <f t="shared" si="232"/>
        <v>0</v>
      </c>
      <c r="CS361" s="54">
        <f t="shared" si="233"/>
        <v>0</v>
      </c>
      <c r="CT361" s="54">
        <f t="shared" si="234"/>
        <v>0</v>
      </c>
      <c r="CU361" s="54">
        <f t="shared" si="235"/>
        <v>0</v>
      </c>
      <c r="CV361" s="52">
        <f t="shared" si="236"/>
        <v>0</v>
      </c>
    </row>
    <row r="362" spans="1:100" ht="15.75" x14ac:dyDescent="0.25">
      <c r="A362" s="17"/>
      <c r="B362" s="17"/>
      <c r="C362" s="17"/>
      <c r="D362" s="17"/>
      <c r="E362" s="17"/>
      <c r="F362" s="18" t="s">
        <v>3604</v>
      </c>
      <c r="G362" s="78"/>
      <c r="H362" s="81"/>
      <c r="I362" s="81"/>
      <c r="J362" s="81"/>
      <c r="K362" s="81"/>
      <c r="L362" s="81"/>
      <c r="M362" s="81"/>
      <c r="N362" s="81"/>
      <c r="O362" s="81"/>
      <c r="P362" s="81"/>
      <c r="Q362" s="81"/>
      <c r="R362" s="81"/>
      <c r="S362" s="12">
        <f t="shared" si="237"/>
        <v>0</v>
      </c>
      <c r="V362" s="46">
        <f t="shared" si="209"/>
        <v>0</v>
      </c>
      <c r="W362" s="36">
        <v>3.915</v>
      </c>
      <c r="X362" s="36">
        <v>3.915</v>
      </c>
      <c r="Y362" s="36">
        <v>3.915</v>
      </c>
      <c r="Z362" s="36">
        <v>3.915</v>
      </c>
      <c r="AA362" s="36">
        <v>3.915</v>
      </c>
      <c r="AB362" s="36">
        <v>3.915</v>
      </c>
      <c r="AC362" s="36">
        <v>3.915</v>
      </c>
      <c r="AD362" s="36">
        <v>3.915</v>
      </c>
      <c r="AE362" s="36">
        <v>3.915</v>
      </c>
      <c r="AF362" s="36">
        <v>3.915</v>
      </c>
      <c r="AG362" s="36">
        <v>3.915</v>
      </c>
      <c r="AH362" s="36">
        <v>3.915</v>
      </c>
      <c r="AI362" s="39">
        <v>1.33634708931066E-2</v>
      </c>
      <c r="AJ362" s="39">
        <v>1.33634708931066E-2</v>
      </c>
      <c r="AK362" s="39">
        <v>1.33634708931066E-2</v>
      </c>
      <c r="AL362" s="39">
        <v>1.33634708931066E-2</v>
      </c>
      <c r="AM362" s="39">
        <v>1.33634708931066E-2</v>
      </c>
      <c r="AN362" s="39">
        <v>1.33634708931066E-2</v>
      </c>
      <c r="AO362" s="39">
        <v>1.33634708931066E-2</v>
      </c>
      <c r="AP362" s="39">
        <v>1.33634708931066E-2</v>
      </c>
      <c r="AQ362" s="39">
        <v>1.33634708931066E-2</v>
      </c>
      <c r="AR362" s="39">
        <v>1.33634708931066E-2</v>
      </c>
      <c r="AS362" s="39">
        <v>1.33634708931066E-2</v>
      </c>
      <c r="AT362" s="39">
        <v>1.33634708931066E-2</v>
      </c>
      <c r="AU362" s="39">
        <v>1.2392217523121999E-3</v>
      </c>
      <c r="AV362" s="39">
        <v>1.2392217523121999E-3</v>
      </c>
      <c r="AW362" s="39">
        <v>1.2392217523121999E-3</v>
      </c>
      <c r="AX362" s="39">
        <v>1.2392217523121999E-3</v>
      </c>
      <c r="AY362" s="39">
        <v>1.2392217523121999E-3</v>
      </c>
      <c r="AZ362" s="39">
        <v>1.2392217523121999E-3</v>
      </c>
      <c r="BA362" s="39">
        <v>1.2392217523121999E-3</v>
      </c>
      <c r="BB362" s="39">
        <v>1.2392217523121999E-3</v>
      </c>
      <c r="BC362" s="39">
        <v>1.2392217523121999E-3</v>
      </c>
      <c r="BD362" s="39">
        <v>1.2392217523121999E-3</v>
      </c>
      <c r="BE362" s="39">
        <v>1.2392217523121999E-3</v>
      </c>
      <c r="BF362" s="39">
        <v>1.2392217523121999E-3</v>
      </c>
      <c r="BH362" s="12">
        <f t="shared" si="238"/>
        <v>0</v>
      </c>
      <c r="BI362" s="12">
        <f t="shared" si="239"/>
        <v>0</v>
      </c>
      <c r="BJ362" s="12">
        <f t="shared" si="240"/>
        <v>0</v>
      </c>
      <c r="BK362" s="12">
        <f t="shared" si="241"/>
        <v>0</v>
      </c>
      <c r="BL362" s="12">
        <f t="shared" si="242"/>
        <v>0</v>
      </c>
      <c r="BM362" s="12">
        <f t="shared" si="243"/>
        <v>0</v>
      </c>
      <c r="BN362" s="12">
        <f t="shared" si="244"/>
        <v>0</v>
      </c>
      <c r="BO362" s="12">
        <f t="shared" si="245"/>
        <v>0</v>
      </c>
      <c r="BP362" s="12">
        <f t="shared" si="246"/>
        <v>0</v>
      </c>
      <c r="BQ362" s="12">
        <f t="shared" si="247"/>
        <v>0</v>
      </c>
      <c r="BR362" s="12">
        <f t="shared" si="210"/>
        <v>0</v>
      </c>
      <c r="BS362" s="12">
        <f t="shared" si="211"/>
        <v>0</v>
      </c>
      <c r="BU362" s="11">
        <f t="shared" si="212"/>
        <v>0</v>
      </c>
      <c r="BV362" s="11">
        <f t="shared" si="213"/>
        <v>0</v>
      </c>
      <c r="BW362" s="11">
        <f t="shared" si="214"/>
        <v>0</v>
      </c>
      <c r="BX362" s="11">
        <f t="shared" si="215"/>
        <v>0</v>
      </c>
      <c r="BY362" s="11">
        <f t="shared" si="216"/>
        <v>0</v>
      </c>
      <c r="BZ362" s="11">
        <f t="shared" si="217"/>
        <v>0</v>
      </c>
      <c r="CA362" s="11">
        <f t="shared" si="218"/>
        <v>0</v>
      </c>
      <c r="CB362" s="11">
        <f t="shared" si="219"/>
        <v>0</v>
      </c>
      <c r="CC362" s="11">
        <f t="shared" si="220"/>
        <v>0</v>
      </c>
      <c r="CD362" s="11">
        <f t="shared" si="221"/>
        <v>0</v>
      </c>
      <c r="CE362" s="11">
        <f t="shared" si="222"/>
        <v>0</v>
      </c>
      <c r="CF362" s="11">
        <f t="shared" si="223"/>
        <v>0</v>
      </c>
      <c r="CG362" s="11"/>
      <c r="CH362" s="41">
        <v>3.23</v>
      </c>
      <c r="CJ362" s="54">
        <f t="shared" si="224"/>
        <v>0</v>
      </c>
      <c r="CK362" s="54">
        <f t="shared" si="225"/>
        <v>0</v>
      </c>
      <c r="CL362" s="54">
        <f t="shared" si="226"/>
        <v>0</v>
      </c>
      <c r="CM362" s="54">
        <f t="shared" si="227"/>
        <v>0</v>
      </c>
      <c r="CN362" s="54">
        <f t="shared" si="228"/>
        <v>0</v>
      </c>
      <c r="CO362" s="54">
        <f t="shared" si="229"/>
        <v>0</v>
      </c>
      <c r="CP362" s="54">
        <f t="shared" si="230"/>
        <v>0</v>
      </c>
      <c r="CQ362" s="54">
        <f t="shared" si="231"/>
        <v>0</v>
      </c>
      <c r="CR362" s="54">
        <f t="shared" si="232"/>
        <v>0</v>
      </c>
      <c r="CS362" s="54">
        <f t="shared" si="233"/>
        <v>0</v>
      </c>
      <c r="CT362" s="54">
        <f t="shared" si="234"/>
        <v>0</v>
      </c>
      <c r="CU362" s="54">
        <f t="shared" si="235"/>
        <v>0</v>
      </c>
      <c r="CV362" s="52">
        <f t="shared" si="236"/>
        <v>0</v>
      </c>
    </row>
    <row r="363" spans="1:100" ht="15.75" x14ac:dyDescent="0.25">
      <c r="A363" s="17"/>
      <c r="B363" s="17"/>
      <c r="C363" s="17"/>
      <c r="D363" s="17"/>
      <c r="E363" s="17"/>
      <c r="F363" s="18" t="s">
        <v>3604</v>
      </c>
      <c r="G363" s="78"/>
      <c r="H363" s="82"/>
      <c r="I363" s="82"/>
      <c r="J363" s="82"/>
      <c r="K363" s="82"/>
      <c r="L363" s="82"/>
      <c r="M363" s="82"/>
      <c r="N363" s="82"/>
      <c r="O363" s="82"/>
      <c r="P363" s="82"/>
      <c r="Q363" s="82"/>
      <c r="R363" s="82"/>
      <c r="S363" s="12">
        <f t="shared" si="237"/>
        <v>0</v>
      </c>
      <c r="V363" s="46">
        <f t="shared" ref="V363:V366" si="248">CV363</f>
        <v>0</v>
      </c>
      <c r="W363" s="36">
        <v>9.06</v>
      </c>
      <c r="X363" s="36">
        <v>9.06</v>
      </c>
      <c r="Y363" s="36">
        <v>9.06</v>
      </c>
      <c r="Z363" s="36">
        <v>9.06</v>
      </c>
      <c r="AA363" s="36">
        <v>9.06</v>
      </c>
      <c r="AB363" s="36">
        <v>9.06</v>
      </c>
      <c r="AC363" s="36">
        <v>9.06</v>
      </c>
      <c r="AD363" s="36">
        <v>9.06</v>
      </c>
      <c r="AE363" s="36">
        <v>9.06</v>
      </c>
      <c r="AF363" s="36">
        <v>9.06</v>
      </c>
      <c r="AG363" s="36">
        <v>9.06</v>
      </c>
      <c r="AH363" s="36">
        <v>9.06</v>
      </c>
      <c r="AI363" s="39">
        <v>0</v>
      </c>
      <c r="AJ363" s="39">
        <v>0</v>
      </c>
      <c r="AK363" s="39">
        <v>0</v>
      </c>
      <c r="AL363" s="39">
        <v>0</v>
      </c>
      <c r="AM363" s="39">
        <v>0</v>
      </c>
      <c r="AN363" s="39">
        <v>0</v>
      </c>
      <c r="AO363" s="39">
        <v>0</v>
      </c>
      <c r="AP363" s="39">
        <v>0</v>
      </c>
      <c r="AQ363" s="39">
        <v>0</v>
      </c>
      <c r="AR363" s="39">
        <v>0</v>
      </c>
      <c r="AS363" s="39">
        <v>0</v>
      </c>
      <c r="AT363" s="39">
        <v>0</v>
      </c>
      <c r="AU363" s="39">
        <v>0</v>
      </c>
      <c r="AV363" s="39">
        <v>0</v>
      </c>
      <c r="AW363" s="39">
        <v>0</v>
      </c>
      <c r="AX363" s="39">
        <v>0</v>
      </c>
      <c r="AY363" s="39">
        <v>0</v>
      </c>
      <c r="AZ363" s="39">
        <v>0</v>
      </c>
      <c r="BA363" s="39">
        <v>0</v>
      </c>
      <c r="BB363" s="39">
        <v>0</v>
      </c>
      <c r="BC363" s="39">
        <v>0</v>
      </c>
      <c r="BD363" s="39">
        <v>0</v>
      </c>
      <c r="BE363" s="39">
        <v>0</v>
      </c>
      <c r="BF363" s="39">
        <v>0</v>
      </c>
      <c r="BH363" s="12">
        <f t="shared" si="238"/>
        <v>0</v>
      </c>
      <c r="BI363" s="12">
        <f t="shared" si="239"/>
        <v>0</v>
      </c>
      <c r="BJ363" s="12">
        <f t="shared" si="240"/>
        <v>0</v>
      </c>
      <c r="BK363" s="12">
        <f t="shared" si="241"/>
        <v>0</v>
      </c>
      <c r="BL363" s="12">
        <f t="shared" si="242"/>
        <v>0</v>
      </c>
      <c r="BM363" s="12">
        <f t="shared" si="243"/>
        <v>0</v>
      </c>
      <c r="BN363" s="12">
        <f t="shared" si="244"/>
        <v>0</v>
      </c>
      <c r="BO363" s="12">
        <f t="shared" si="245"/>
        <v>0</v>
      </c>
      <c r="BP363" s="12">
        <f t="shared" si="246"/>
        <v>0</v>
      </c>
      <c r="BQ363" s="12">
        <f t="shared" si="247"/>
        <v>0</v>
      </c>
      <c r="BR363" s="12">
        <f t="shared" ref="BR363:BR366" si="249">(AG363*Q363)</f>
        <v>0</v>
      </c>
      <c r="BS363" s="12">
        <f t="shared" ref="BS363:BS366" si="250">(AH363*R363)</f>
        <v>0</v>
      </c>
      <c r="BU363" s="11">
        <f t="shared" ref="BU363:BU365" si="251">BH363*(1-(AI363+AU363))</f>
        <v>0</v>
      </c>
      <c r="BV363" s="11">
        <f t="shared" ref="BV363:BV365" si="252">BI363*(1-(AJ363+AV363))</f>
        <v>0</v>
      </c>
      <c r="BW363" s="11">
        <f t="shared" ref="BW363:BW365" si="253">BJ363*(1-(AK363+AW363))</f>
        <v>0</v>
      </c>
      <c r="BX363" s="11">
        <f t="shared" ref="BX363:BX365" si="254">BK363*(1-(AL363+AX363))</f>
        <v>0</v>
      </c>
      <c r="BY363" s="11">
        <f t="shared" ref="BY363:BY365" si="255">BL363*(1-(AM363+AY363))</f>
        <v>0</v>
      </c>
      <c r="BZ363" s="11">
        <f t="shared" ref="BZ363:BZ365" si="256">BM363*(1-(AN363+AZ363))</f>
        <v>0</v>
      </c>
      <c r="CA363" s="11">
        <f t="shared" ref="CA363:CA365" si="257">BN363*(1-(AO363+BA363))</f>
        <v>0</v>
      </c>
      <c r="CB363" s="11">
        <f t="shared" ref="CB363:CB365" si="258">BO363*(1-(AP363+BB363))</f>
        <v>0</v>
      </c>
      <c r="CC363" s="11">
        <f t="shared" ref="CC363:CC365" si="259">BP363*(1-(AQ363+BC363))</f>
        <v>0</v>
      </c>
      <c r="CD363" s="11">
        <f t="shared" ref="CD363:CD365" si="260">BQ363*(1-(AR363+BD363))</f>
        <v>0</v>
      </c>
      <c r="CE363" s="11">
        <f t="shared" ref="CE363:CE365" si="261">BR363*(1-(AS363+BE363))</f>
        <v>0</v>
      </c>
      <c r="CF363" s="11">
        <f t="shared" ref="CF363:CF365" si="262">BS363*(1-(AT363+BF363))</f>
        <v>0</v>
      </c>
      <c r="CG363" s="11"/>
      <c r="CH363" s="41">
        <v>1</v>
      </c>
      <c r="CJ363" s="54">
        <f t="shared" ref="CJ363:CJ366" si="263">((BU363/$CH363)/1000)</f>
        <v>0</v>
      </c>
      <c r="CK363" s="54">
        <f t="shared" ref="CK363:CK366" si="264">((BV363/$CH363)/1000)</f>
        <v>0</v>
      </c>
      <c r="CL363" s="54">
        <f t="shared" ref="CL363:CL366" si="265">((BW363/$CH363)/1000)</f>
        <v>0</v>
      </c>
      <c r="CM363" s="54">
        <f t="shared" ref="CM363:CM366" si="266">((BX363/$CH363)/1000)</f>
        <v>0</v>
      </c>
      <c r="CN363" s="54">
        <f t="shared" ref="CN363:CN366" si="267">((BY363/$CH363)/1000)</f>
        <v>0</v>
      </c>
      <c r="CO363" s="54">
        <f t="shared" ref="CO363:CO366" si="268">((BZ363/$CH363)/1000)</f>
        <v>0</v>
      </c>
      <c r="CP363" s="54">
        <f t="shared" ref="CP363:CP366" si="269">((CA363/$CH363)/1000)</f>
        <v>0</v>
      </c>
      <c r="CQ363" s="54">
        <f t="shared" ref="CQ363:CQ366" si="270">((CB363/$CH363)/1000)</f>
        <v>0</v>
      </c>
      <c r="CR363" s="54">
        <f t="shared" ref="CR363:CR366" si="271">((CC363/$CH363)/1000)</f>
        <v>0</v>
      </c>
      <c r="CS363" s="54">
        <f t="shared" ref="CS363:CS366" si="272">((CD363/$CH363)/1000)</f>
        <v>0</v>
      </c>
      <c r="CT363" s="54">
        <f t="shared" ref="CT363:CT366" si="273">((CE363/$CH363)/1000)</f>
        <v>0</v>
      </c>
      <c r="CU363" s="54">
        <f t="shared" ref="CU363:CU366" si="274">((CF363/$CH363)/1000)</f>
        <v>0</v>
      </c>
      <c r="CV363" s="52">
        <f t="shared" ref="CV363:CV366" si="275">ROUNDUP(SUM(CJ363:CU363),0)</f>
        <v>0</v>
      </c>
    </row>
    <row r="364" spans="1:100" ht="15.75" x14ac:dyDescent="0.25">
      <c r="A364" s="17"/>
      <c r="B364" s="17"/>
      <c r="C364" s="17"/>
      <c r="D364" s="17"/>
      <c r="E364" s="17"/>
      <c r="F364" s="18" t="s">
        <v>3604</v>
      </c>
      <c r="G364" s="78"/>
      <c r="H364" s="85"/>
      <c r="I364" s="85"/>
      <c r="J364" s="85"/>
      <c r="K364" s="85"/>
      <c r="L364" s="85"/>
      <c r="M364" s="85"/>
      <c r="N364" s="85"/>
      <c r="O364" s="85"/>
      <c r="P364" s="85"/>
      <c r="Q364" s="85"/>
      <c r="R364" s="85"/>
      <c r="S364" s="12">
        <f t="shared" si="237"/>
        <v>0</v>
      </c>
      <c r="V364" s="46">
        <f t="shared" si="248"/>
        <v>0</v>
      </c>
      <c r="W364" s="36">
        <v>1.69</v>
      </c>
      <c r="X364" s="36">
        <v>1.69</v>
      </c>
      <c r="Y364" s="36">
        <v>1.69</v>
      </c>
      <c r="Z364" s="36">
        <v>1.69</v>
      </c>
      <c r="AA364" s="36">
        <v>1.69</v>
      </c>
      <c r="AB364" s="36">
        <v>1.69</v>
      </c>
      <c r="AC364" s="36">
        <v>1.69</v>
      </c>
      <c r="AD364" s="36">
        <v>1.69</v>
      </c>
      <c r="AE364" s="36">
        <v>1.69</v>
      </c>
      <c r="AF364" s="36">
        <v>1.69</v>
      </c>
      <c r="AG364" s="36">
        <v>1.69</v>
      </c>
      <c r="AH364" s="36">
        <v>1.69</v>
      </c>
      <c r="AI364" s="39">
        <v>0</v>
      </c>
      <c r="AJ364" s="39">
        <v>0</v>
      </c>
      <c r="AK364" s="39">
        <v>0</v>
      </c>
      <c r="AL364" s="39">
        <v>0</v>
      </c>
      <c r="AM364" s="39">
        <v>0</v>
      </c>
      <c r="AN364" s="39">
        <v>0</v>
      </c>
      <c r="AO364" s="39">
        <v>0</v>
      </c>
      <c r="AP364" s="39">
        <v>0</v>
      </c>
      <c r="AQ364" s="39">
        <v>0</v>
      </c>
      <c r="AR364" s="39">
        <v>0</v>
      </c>
      <c r="AS364" s="39">
        <v>0</v>
      </c>
      <c r="AT364" s="39">
        <v>0</v>
      </c>
      <c r="AU364" s="39">
        <v>0</v>
      </c>
      <c r="AV364" s="39">
        <v>0</v>
      </c>
      <c r="AW364" s="39">
        <v>0</v>
      </c>
      <c r="AX364" s="39">
        <v>0</v>
      </c>
      <c r="AY364" s="39">
        <v>0</v>
      </c>
      <c r="AZ364" s="39">
        <v>0</v>
      </c>
      <c r="BA364" s="39">
        <v>0</v>
      </c>
      <c r="BB364" s="39">
        <v>0</v>
      </c>
      <c r="BC364" s="39">
        <v>0</v>
      </c>
      <c r="BD364" s="39">
        <v>0</v>
      </c>
      <c r="BE364" s="39">
        <v>0</v>
      </c>
      <c r="BF364" s="39">
        <v>0</v>
      </c>
      <c r="BH364" s="12">
        <f t="shared" si="238"/>
        <v>0</v>
      </c>
      <c r="BI364" s="12">
        <f t="shared" si="239"/>
        <v>0</v>
      </c>
      <c r="BJ364" s="12">
        <f t="shared" si="240"/>
        <v>0</v>
      </c>
      <c r="BK364" s="12">
        <f t="shared" si="241"/>
        <v>0</v>
      </c>
      <c r="BL364" s="12">
        <f t="shared" si="242"/>
        <v>0</v>
      </c>
      <c r="BM364" s="12">
        <f t="shared" si="243"/>
        <v>0</v>
      </c>
      <c r="BN364" s="12">
        <f t="shared" si="244"/>
        <v>0</v>
      </c>
      <c r="BO364" s="12">
        <f t="shared" si="245"/>
        <v>0</v>
      </c>
      <c r="BP364" s="12">
        <f t="shared" si="246"/>
        <v>0</v>
      </c>
      <c r="BQ364" s="12">
        <f t="shared" si="247"/>
        <v>0</v>
      </c>
      <c r="BR364" s="12">
        <f t="shared" si="249"/>
        <v>0</v>
      </c>
      <c r="BS364" s="12">
        <f t="shared" si="250"/>
        <v>0</v>
      </c>
      <c r="BU364" s="11">
        <f t="shared" si="251"/>
        <v>0</v>
      </c>
      <c r="BV364" s="11">
        <f t="shared" si="252"/>
        <v>0</v>
      </c>
      <c r="BW364" s="11">
        <f t="shared" si="253"/>
        <v>0</v>
      </c>
      <c r="BX364" s="11">
        <f t="shared" si="254"/>
        <v>0</v>
      </c>
      <c r="BY364" s="11">
        <f t="shared" si="255"/>
        <v>0</v>
      </c>
      <c r="BZ364" s="11">
        <f t="shared" si="256"/>
        <v>0</v>
      </c>
      <c r="CA364" s="11">
        <f t="shared" si="257"/>
        <v>0</v>
      </c>
      <c r="CB364" s="11">
        <f t="shared" si="258"/>
        <v>0</v>
      </c>
      <c r="CC364" s="11">
        <f t="shared" si="259"/>
        <v>0</v>
      </c>
      <c r="CD364" s="11">
        <f t="shared" si="260"/>
        <v>0</v>
      </c>
      <c r="CE364" s="11">
        <f t="shared" si="261"/>
        <v>0</v>
      </c>
      <c r="CF364" s="11">
        <f t="shared" si="262"/>
        <v>0</v>
      </c>
      <c r="CG364" s="11"/>
      <c r="CH364" s="41">
        <v>1</v>
      </c>
      <c r="CJ364" s="54">
        <f t="shared" si="263"/>
        <v>0</v>
      </c>
      <c r="CK364" s="54">
        <f t="shared" si="264"/>
        <v>0</v>
      </c>
      <c r="CL364" s="54">
        <f t="shared" si="265"/>
        <v>0</v>
      </c>
      <c r="CM364" s="54">
        <f t="shared" si="266"/>
        <v>0</v>
      </c>
      <c r="CN364" s="54">
        <f t="shared" si="267"/>
        <v>0</v>
      </c>
      <c r="CO364" s="54">
        <f t="shared" si="268"/>
        <v>0</v>
      </c>
      <c r="CP364" s="54">
        <f t="shared" si="269"/>
        <v>0</v>
      </c>
      <c r="CQ364" s="54">
        <f t="shared" si="270"/>
        <v>0</v>
      </c>
      <c r="CR364" s="54">
        <f t="shared" si="271"/>
        <v>0</v>
      </c>
      <c r="CS364" s="54">
        <f t="shared" si="272"/>
        <v>0</v>
      </c>
      <c r="CT364" s="54">
        <f t="shared" si="273"/>
        <v>0</v>
      </c>
      <c r="CU364" s="54">
        <f t="shared" si="274"/>
        <v>0</v>
      </c>
      <c r="CV364" s="52">
        <f t="shared" si="275"/>
        <v>0</v>
      </c>
    </row>
    <row r="365" spans="1:100" ht="15.75" x14ac:dyDescent="0.25">
      <c r="A365" s="17"/>
      <c r="B365" s="17"/>
      <c r="C365" s="17"/>
      <c r="D365" s="17"/>
      <c r="E365" s="17"/>
      <c r="F365" s="18" t="s">
        <v>3604</v>
      </c>
      <c r="G365" s="78"/>
      <c r="H365" s="85"/>
      <c r="I365" s="85"/>
      <c r="J365" s="85"/>
      <c r="K365" s="85"/>
      <c r="L365" s="85"/>
      <c r="M365" s="85"/>
      <c r="N365" s="85"/>
      <c r="O365" s="85"/>
      <c r="P365" s="85"/>
      <c r="Q365" s="85"/>
      <c r="R365" s="85"/>
      <c r="S365" s="12">
        <f t="shared" si="237"/>
        <v>0</v>
      </c>
      <c r="V365" s="46">
        <f t="shared" si="248"/>
        <v>0</v>
      </c>
      <c r="W365" s="36">
        <v>1.8400042087542088</v>
      </c>
      <c r="X365" s="36">
        <v>1.8400042087542088</v>
      </c>
      <c r="Y365" s="36">
        <v>1.8400042087542088</v>
      </c>
      <c r="Z365" s="36">
        <v>1.8400042087542088</v>
      </c>
      <c r="AA365" s="36">
        <v>1.8400042087542088</v>
      </c>
      <c r="AB365" s="36">
        <v>1.8400042087542088</v>
      </c>
      <c r="AC365" s="36">
        <v>1.8400042087542088</v>
      </c>
      <c r="AD365" s="36">
        <v>1.8400042087542088</v>
      </c>
      <c r="AE365" s="36">
        <v>1.8400042087542088</v>
      </c>
      <c r="AF365" s="36">
        <v>1.8400042087542088</v>
      </c>
      <c r="AG365" s="36">
        <v>1.8400042087542088</v>
      </c>
      <c r="AH365" s="36">
        <v>1.8400042087542088</v>
      </c>
      <c r="AI365" s="39">
        <v>0</v>
      </c>
      <c r="AJ365" s="39">
        <v>0</v>
      </c>
      <c r="AK365" s="39">
        <v>0</v>
      </c>
      <c r="AL365" s="39">
        <v>0</v>
      </c>
      <c r="AM365" s="39">
        <v>0</v>
      </c>
      <c r="AN365" s="39">
        <v>0</v>
      </c>
      <c r="AO365" s="39">
        <v>0</v>
      </c>
      <c r="AP365" s="39">
        <v>0</v>
      </c>
      <c r="AQ365" s="39">
        <v>0</v>
      </c>
      <c r="AR365" s="39">
        <v>0</v>
      </c>
      <c r="AS365" s="39">
        <v>0</v>
      </c>
      <c r="AT365" s="39">
        <v>0</v>
      </c>
      <c r="AU365" s="39">
        <v>0</v>
      </c>
      <c r="AV365" s="39">
        <v>0</v>
      </c>
      <c r="AW365" s="39">
        <v>0</v>
      </c>
      <c r="AX365" s="39">
        <v>0</v>
      </c>
      <c r="AY365" s="39">
        <v>0</v>
      </c>
      <c r="AZ365" s="39">
        <v>0</v>
      </c>
      <c r="BA365" s="39">
        <v>0</v>
      </c>
      <c r="BB365" s="39">
        <v>0</v>
      </c>
      <c r="BC365" s="39">
        <v>0</v>
      </c>
      <c r="BD365" s="39">
        <v>0</v>
      </c>
      <c r="BE365" s="39">
        <v>0</v>
      </c>
      <c r="BF365" s="39">
        <v>0</v>
      </c>
      <c r="BH365" s="12">
        <f t="shared" si="238"/>
        <v>0</v>
      </c>
      <c r="BI365" s="12">
        <f t="shared" si="239"/>
        <v>0</v>
      </c>
      <c r="BJ365" s="12">
        <f t="shared" si="240"/>
        <v>0</v>
      </c>
      <c r="BK365" s="12">
        <f t="shared" si="241"/>
        <v>0</v>
      </c>
      <c r="BL365" s="12">
        <f t="shared" si="242"/>
        <v>0</v>
      </c>
      <c r="BM365" s="12">
        <f t="shared" si="243"/>
        <v>0</v>
      </c>
      <c r="BN365" s="12">
        <f t="shared" si="244"/>
        <v>0</v>
      </c>
      <c r="BO365" s="12">
        <f t="shared" si="245"/>
        <v>0</v>
      </c>
      <c r="BP365" s="12">
        <f t="shared" si="246"/>
        <v>0</v>
      </c>
      <c r="BQ365" s="12">
        <f t="shared" si="247"/>
        <v>0</v>
      </c>
      <c r="BR365" s="12">
        <f t="shared" si="249"/>
        <v>0</v>
      </c>
      <c r="BS365" s="12">
        <f t="shared" si="250"/>
        <v>0</v>
      </c>
      <c r="BU365" s="11">
        <f t="shared" si="251"/>
        <v>0</v>
      </c>
      <c r="BV365" s="11">
        <f t="shared" si="252"/>
        <v>0</v>
      </c>
      <c r="BW365" s="11">
        <f t="shared" si="253"/>
        <v>0</v>
      </c>
      <c r="BX365" s="11">
        <f t="shared" si="254"/>
        <v>0</v>
      </c>
      <c r="BY365" s="11">
        <f t="shared" si="255"/>
        <v>0</v>
      </c>
      <c r="BZ365" s="11">
        <f t="shared" si="256"/>
        <v>0</v>
      </c>
      <c r="CA365" s="11">
        <f t="shared" si="257"/>
        <v>0</v>
      </c>
      <c r="CB365" s="11">
        <f t="shared" si="258"/>
        <v>0</v>
      </c>
      <c r="CC365" s="11">
        <f t="shared" si="259"/>
        <v>0</v>
      </c>
      <c r="CD365" s="11">
        <f t="shared" si="260"/>
        <v>0</v>
      </c>
      <c r="CE365" s="11">
        <f t="shared" si="261"/>
        <v>0</v>
      </c>
      <c r="CF365" s="11">
        <f t="shared" si="262"/>
        <v>0</v>
      </c>
      <c r="CG365" s="11"/>
      <c r="CH365" s="41">
        <v>1</v>
      </c>
      <c r="CJ365" s="54">
        <f t="shared" si="263"/>
        <v>0</v>
      </c>
      <c r="CK365" s="54">
        <f t="shared" si="264"/>
        <v>0</v>
      </c>
      <c r="CL365" s="54">
        <f t="shared" si="265"/>
        <v>0</v>
      </c>
      <c r="CM365" s="54">
        <f t="shared" si="266"/>
        <v>0</v>
      </c>
      <c r="CN365" s="54">
        <f t="shared" si="267"/>
        <v>0</v>
      </c>
      <c r="CO365" s="54">
        <f t="shared" si="268"/>
        <v>0</v>
      </c>
      <c r="CP365" s="54">
        <f t="shared" si="269"/>
        <v>0</v>
      </c>
      <c r="CQ365" s="54">
        <f t="shared" si="270"/>
        <v>0</v>
      </c>
      <c r="CR365" s="54">
        <f t="shared" si="271"/>
        <v>0</v>
      </c>
      <c r="CS365" s="54">
        <f t="shared" si="272"/>
        <v>0</v>
      </c>
      <c r="CT365" s="54">
        <f t="shared" si="273"/>
        <v>0</v>
      </c>
      <c r="CU365" s="54">
        <f t="shared" si="274"/>
        <v>0</v>
      </c>
      <c r="CV365" s="52">
        <f t="shared" si="275"/>
        <v>0</v>
      </c>
    </row>
    <row r="366" spans="1:100" ht="15.75" x14ac:dyDescent="0.25">
      <c r="A366" s="17"/>
      <c r="B366" s="17"/>
      <c r="C366" s="17"/>
      <c r="D366" s="17"/>
      <c r="E366" s="17"/>
      <c r="F366" s="18" t="s">
        <v>3604</v>
      </c>
      <c r="G366" s="78"/>
      <c r="H366" s="85"/>
      <c r="I366" s="85"/>
      <c r="J366" s="85"/>
      <c r="K366" s="85"/>
      <c r="L366" s="85"/>
      <c r="M366" s="85"/>
      <c r="N366" s="85"/>
      <c r="O366" s="85"/>
      <c r="P366" s="85"/>
      <c r="Q366" s="85"/>
      <c r="R366" s="85"/>
      <c r="S366" s="12">
        <f>SUM(G366:R366)</f>
        <v>0</v>
      </c>
      <c r="V366" s="46">
        <f t="shared" si="248"/>
        <v>0</v>
      </c>
      <c r="W366" s="36">
        <v>11.423999999999999</v>
      </c>
      <c r="X366" s="36">
        <v>11.423999999999999</v>
      </c>
      <c r="Y366" s="36">
        <v>11.423999999999999</v>
      </c>
      <c r="Z366" s="36">
        <v>11.423999999999999</v>
      </c>
      <c r="AA366" s="36">
        <v>11.423999999999999</v>
      </c>
      <c r="AB366" s="36">
        <v>11.423999999999999</v>
      </c>
      <c r="AC366" s="36">
        <v>11.423999999999999</v>
      </c>
      <c r="AD366" s="36">
        <v>11.423999999999999</v>
      </c>
      <c r="AE366" s="36">
        <v>11.423999999999999</v>
      </c>
      <c r="AF366" s="36">
        <v>11.423999999999999</v>
      </c>
      <c r="AG366" s="36">
        <v>11.423999999999999</v>
      </c>
      <c r="AH366" s="36">
        <v>11.423999999999999</v>
      </c>
      <c r="AI366" s="39">
        <v>0.22999999999999998</v>
      </c>
      <c r="AJ366" s="39">
        <v>0.22999999999999998</v>
      </c>
      <c r="AK366" s="39">
        <v>0.22999999999999998</v>
      </c>
      <c r="AL366" s="39">
        <v>0.22999999999999998</v>
      </c>
      <c r="AM366" s="39">
        <v>0.22999999999999998</v>
      </c>
      <c r="AN366" s="39">
        <v>0.22999999999999998</v>
      </c>
      <c r="AO366" s="39">
        <v>0.22999999999999998</v>
      </c>
      <c r="AP366" s="39">
        <v>0.22999999999999998</v>
      </c>
      <c r="AQ366" s="39">
        <v>0.22999999999999998</v>
      </c>
      <c r="AR366" s="39">
        <v>0.22999999999999998</v>
      </c>
      <c r="AS366" s="39">
        <v>0.22999999999999998</v>
      </c>
      <c r="AT366" s="39">
        <v>0.22999999999999998</v>
      </c>
      <c r="AU366" s="39">
        <v>0</v>
      </c>
      <c r="AV366" s="39">
        <v>0</v>
      </c>
      <c r="AW366" s="39">
        <v>0</v>
      </c>
      <c r="AX366" s="39">
        <v>0</v>
      </c>
      <c r="AY366" s="39">
        <v>0</v>
      </c>
      <c r="AZ366" s="39">
        <v>0</v>
      </c>
      <c r="BA366" s="39">
        <v>0</v>
      </c>
      <c r="BB366" s="39">
        <v>0</v>
      </c>
      <c r="BC366" s="39">
        <v>0</v>
      </c>
      <c r="BD366" s="39">
        <v>0</v>
      </c>
      <c r="BE366" s="39">
        <v>0</v>
      </c>
      <c r="BF366" s="39">
        <v>0</v>
      </c>
      <c r="BH366" s="12">
        <f t="shared" si="238"/>
        <v>0</v>
      </c>
      <c r="BI366" s="12">
        <f t="shared" si="239"/>
        <v>0</v>
      </c>
      <c r="BJ366" s="12">
        <f t="shared" si="240"/>
        <v>0</v>
      </c>
      <c r="BK366" s="12">
        <f t="shared" si="241"/>
        <v>0</v>
      </c>
      <c r="BL366" s="12">
        <f t="shared" si="242"/>
        <v>0</v>
      </c>
      <c r="BM366" s="12">
        <f t="shared" si="243"/>
        <v>0</v>
      </c>
      <c r="BN366" s="12">
        <f t="shared" si="244"/>
        <v>0</v>
      </c>
      <c r="BO366" s="12">
        <f t="shared" si="245"/>
        <v>0</v>
      </c>
      <c r="BP366" s="12">
        <f t="shared" si="246"/>
        <v>0</v>
      </c>
      <c r="BQ366" s="12">
        <f t="shared" si="247"/>
        <v>0</v>
      </c>
      <c r="BR366" s="12">
        <f t="shared" si="249"/>
        <v>0</v>
      </c>
      <c r="BS366" s="12">
        <f t="shared" si="250"/>
        <v>0</v>
      </c>
      <c r="BU366" s="11">
        <f t="shared" ref="BU366" si="276">BH366*(1-(AI366+AU366))</f>
        <v>0</v>
      </c>
      <c r="BV366" s="11">
        <f t="shared" ref="BV366" si="277">BI366*(1-(AJ366+AV366))</f>
        <v>0</v>
      </c>
      <c r="BW366" s="11">
        <f t="shared" ref="BW366" si="278">BJ366*(1-(AK366+AW366))</f>
        <v>0</v>
      </c>
      <c r="BX366" s="11">
        <f t="shared" ref="BX366" si="279">BK366*(1-(AL366+AX366))</f>
        <v>0</v>
      </c>
      <c r="BY366" s="11">
        <f t="shared" ref="BY366" si="280">BL366*(1-(AM366+AY366))</f>
        <v>0</v>
      </c>
      <c r="BZ366" s="11">
        <f t="shared" ref="BZ366" si="281">BM366*(1-(AN366+AZ366))</f>
        <v>0</v>
      </c>
      <c r="CA366" s="11">
        <f t="shared" ref="CA366" si="282">BN366*(1-(AO366+BA366))</f>
        <v>0</v>
      </c>
      <c r="CB366" s="11">
        <f t="shared" ref="CB366" si="283">BO366*(1-(AP366+BB366))</f>
        <v>0</v>
      </c>
      <c r="CC366" s="11">
        <f t="shared" ref="CC366" si="284">BP366*(1-(AQ366+BC366))</f>
        <v>0</v>
      </c>
      <c r="CD366" s="11">
        <f t="shared" ref="CD366" si="285">BQ366*(1-(AR366+BD366))</f>
        <v>0</v>
      </c>
      <c r="CE366" s="11">
        <f t="shared" ref="CE366" si="286">BR366*(1-(AS366+BE366))</f>
        <v>0</v>
      </c>
      <c r="CF366" s="11">
        <f t="shared" ref="CF366" si="287">BS366*(1-(AT366+BF366))</f>
        <v>0</v>
      </c>
      <c r="CG366" s="11"/>
      <c r="CH366" s="41">
        <v>1</v>
      </c>
      <c r="CJ366" s="54">
        <f t="shared" si="263"/>
        <v>0</v>
      </c>
      <c r="CK366" s="54">
        <f t="shared" si="264"/>
        <v>0</v>
      </c>
      <c r="CL366" s="54">
        <f t="shared" si="265"/>
        <v>0</v>
      </c>
      <c r="CM366" s="54">
        <f t="shared" si="266"/>
        <v>0</v>
      </c>
      <c r="CN366" s="54">
        <f t="shared" si="267"/>
        <v>0</v>
      </c>
      <c r="CO366" s="54">
        <f t="shared" si="268"/>
        <v>0</v>
      </c>
      <c r="CP366" s="54">
        <f t="shared" si="269"/>
        <v>0</v>
      </c>
      <c r="CQ366" s="54">
        <f t="shared" si="270"/>
        <v>0</v>
      </c>
      <c r="CR366" s="54">
        <f t="shared" si="271"/>
        <v>0</v>
      </c>
      <c r="CS366" s="54">
        <f t="shared" si="272"/>
        <v>0</v>
      </c>
      <c r="CT366" s="54">
        <f t="shared" si="273"/>
        <v>0</v>
      </c>
      <c r="CU366" s="54">
        <f t="shared" si="274"/>
        <v>0</v>
      </c>
      <c r="CV366" s="52">
        <f t="shared" si="275"/>
        <v>0</v>
      </c>
    </row>
    <row r="367" spans="1:100" x14ac:dyDescent="0.25">
      <c r="A367" s="7"/>
      <c r="B367" s="7"/>
      <c r="C367" s="7"/>
      <c r="D367" s="7"/>
      <c r="E367" s="7"/>
      <c r="F367" s="7"/>
      <c r="G367" s="7"/>
      <c r="H367" s="7"/>
      <c r="I367" s="7"/>
      <c r="J367" s="7"/>
      <c r="K367" s="7"/>
      <c r="L367" s="7"/>
      <c r="M367" s="7"/>
      <c r="N367" s="7"/>
      <c r="O367" s="7"/>
      <c r="P367" s="7"/>
      <c r="Q367" s="7"/>
      <c r="R367" s="7"/>
      <c r="S367" s="15"/>
    </row>
  </sheetData>
  <sheetProtection formatCells="0" formatColumns="0" formatRows="0" insertRows="0" insertHyperlinks="0" deleteRows="0" sort="0" autoFilter="0" pivotTables="0"/>
  <mergeCells count="14">
    <mergeCell ref="O13:P13"/>
    <mergeCell ref="Q13:R13"/>
    <mergeCell ref="E13:F13"/>
    <mergeCell ref="G13:H13"/>
    <mergeCell ref="I13:J13"/>
    <mergeCell ref="K13:L13"/>
    <mergeCell ref="M13:N13"/>
    <mergeCell ref="CJ15:CU15"/>
    <mergeCell ref="BU15:CF15"/>
    <mergeCell ref="CH15:CH16"/>
    <mergeCell ref="W15:AH15"/>
    <mergeCell ref="AI15:AT15"/>
    <mergeCell ref="AU15:BF15"/>
    <mergeCell ref="BH15:BS15"/>
  </mergeCells>
  <phoneticPr fontId="6" type="noConversion"/>
  <conditionalFormatting sqref="F142:F166 F242:F266">
    <cfRule type="expression" dxfId="207" priority="24">
      <formula>S142=0</formula>
    </cfRule>
  </conditionalFormatting>
  <conditionalFormatting sqref="E142:E166 E242:E266">
    <cfRule type="expression" dxfId="206" priority="23">
      <formula>S142=0</formula>
    </cfRule>
  </conditionalFormatting>
  <conditionalFormatting sqref="D142:D166 D242:D266">
    <cfRule type="expression" dxfId="205" priority="22">
      <formula>S142=0</formula>
    </cfRule>
  </conditionalFormatting>
  <conditionalFormatting sqref="C142:C166 C242:C266">
    <cfRule type="expression" dxfId="204" priority="21">
      <formula>S142=0</formula>
    </cfRule>
  </conditionalFormatting>
  <conditionalFormatting sqref="B142:B166 B242:B266">
    <cfRule type="expression" dxfId="203" priority="20">
      <formula>S142=0</formula>
    </cfRule>
  </conditionalFormatting>
  <conditionalFormatting sqref="E342:E366">
    <cfRule type="expression" dxfId="202" priority="13">
      <formula>S342=0</formula>
    </cfRule>
  </conditionalFormatting>
  <conditionalFormatting sqref="D342:D366">
    <cfRule type="expression" dxfId="201" priority="12">
      <formula>S342=0</formula>
    </cfRule>
  </conditionalFormatting>
  <conditionalFormatting sqref="C342:C366">
    <cfRule type="expression" dxfId="200" priority="11">
      <formula>S342=0</formula>
    </cfRule>
  </conditionalFormatting>
  <conditionalFormatting sqref="B342:B366">
    <cfRule type="expression" dxfId="199" priority="10">
      <formula>S342=0</formula>
    </cfRule>
  </conditionalFormatting>
  <conditionalFormatting sqref="S142:S166">
    <cfRule type="expression" dxfId="198" priority="9">
      <formula>S142=0</formula>
    </cfRule>
  </conditionalFormatting>
  <conditionalFormatting sqref="S242:S266">
    <cfRule type="expression" dxfId="197" priority="8">
      <formula>S242=0</formula>
    </cfRule>
  </conditionalFormatting>
  <conditionalFormatting sqref="S342:S366">
    <cfRule type="expression" dxfId="196" priority="7">
      <formula>S342=0</formula>
    </cfRule>
  </conditionalFormatting>
  <conditionalFormatting sqref="F342:F366">
    <cfRule type="expression" dxfId="195" priority="4">
      <formula>S342=0</formula>
    </cfRule>
  </conditionalFormatting>
  <pageMargins left="0.7" right="0.7" top="0.75" bottom="0.75" header="0.3" footer="0.3"/>
  <pageSetup paperSize="9" orientation="portrait" r:id="rId2"/>
  <ignoredErrors>
    <ignoredError sqref="S17 T268:T290"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autoFill="0" autoPict="0" macro="[0]!Back_from_descrip">
                <anchor moveWithCells="1">
                  <from>
                    <xdr:col>6</xdr:col>
                    <xdr:colOff>238125</xdr:colOff>
                    <xdr:row>0</xdr:row>
                    <xdr:rowOff>19050</xdr:rowOff>
                  </from>
                  <to>
                    <xdr:col>7</xdr:col>
                    <xdr:colOff>285750</xdr:colOff>
                    <xdr:row>1</xdr:row>
                    <xdr:rowOff>47625</xdr:rowOff>
                  </to>
                </anchor>
              </controlPr>
            </control>
          </mc:Choice>
        </mc:AlternateContent>
        <mc:AlternateContent xmlns:mc="http://schemas.openxmlformats.org/markup-compatibility/2006">
          <mc:Choice Requires="x14">
            <control shapeId="2052" r:id="rId6" name="Button 4">
              <controlPr defaultSize="0" autoFill="0" autoPict="0" macro="[0]!back_from_family">
                <anchor moveWithCells="1">
                  <from>
                    <xdr:col>8</xdr:col>
                    <xdr:colOff>390525</xdr:colOff>
                    <xdr:row>0</xdr:row>
                    <xdr:rowOff>19050</xdr:rowOff>
                  </from>
                  <to>
                    <xdr:col>9</xdr:col>
                    <xdr:colOff>485775</xdr:colOff>
                    <xdr:row>1</xdr:row>
                    <xdr:rowOff>38100</xdr:rowOff>
                  </to>
                </anchor>
              </controlPr>
            </control>
          </mc:Choice>
        </mc:AlternateContent>
        <mc:AlternateContent xmlns:mc="http://schemas.openxmlformats.org/markup-compatibility/2006">
          <mc:Choice Requires="x14">
            <control shapeId="2065" r:id="rId7" name="Button 17">
              <controlPr defaultSize="0" autoFill="0" autoPict="0" macro="[0]!Back_from_descrip">
                <anchor>
                  <from>
                    <xdr:col>15</xdr:col>
                    <xdr:colOff>323850</xdr:colOff>
                    <xdr:row>0</xdr:row>
                    <xdr:rowOff>28575</xdr:rowOff>
                  </from>
                  <to>
                    <xdr:col>16</xdr:col>
                    <xdr:colOff>152400</xdr:colOff>
                    <xdr:row>1</xdr:row>
                    <xdr:rowOff>38100</xdr:rowOff>
                  </to>
                </anchor>
              </controlPr>
            </control>
          </mc:Choice>
        </mc:AlternateContent>
        <mc:AlternateContent xmlns:mc="http://schemas.openxmlformats.org/markup-compatibility/2006">
          <mc:Choice Requires="x14">
            <control shapeId="2073" r:id="rId8" name="Button 25">
              <controlPr defaultSize="0" print="0" autoFill="0" autoPict="0" macro="[0]!Sheet2.ApplyAddition">
                <anchor moveWithCells="1" sizeWithCells="1">
                  <from>
                    <xdr:col>141</xdr:col>
                    <xdr:colOff>38100</xdr:colOff>
                    <xdr:row>8</xdr:row>
                    <xdr:rowOff>247650</xdr:rowOff>
                  </from>
                  <to>
                    <xdr:col>142</xdr:col>
                    <xdr:colOff>457200</xdr:colOff>
                    <xdr:row>10</xdr:row>
                    <xdr:rowOff>66675</xdr:rowOff>
                  </to>
                </anchor>
              </controlPr>
            </control>
          </mc:Choice>
        </mc:AlternateContent>
        <mc:AlternateContent xmlns:mc="http://schemas.openxmlformats.org/markup-compatibility/2006">
          <mc:Choice Requires="x14">
            <control shapeId="2074" r:id="rId9" name="Button 26">
              <controlPr defaultSize="0" print="0" autoFill="0" autoPict="0" macro="[0]!Sheet2.RestoreBaseValueForSelectedCells">
                <anchor moveWithCells="1">
                  <from>
                    <xdr:col>141</xdr:col>
                    <xdr:colOff>66675</xdr:colOff>
                    <xdr:row>4</xdr:row>
                    <xdr:rowOff>152400</xdr:rowOff>
                  </from>
                  <to>
                    <xdr:col>143</xdr:col>
                    <xdr:colOff>9525</xdr:colOff>
                    <xdr:row>6</xdr:row>
                    <xdr:rowOff>142875</xdr:rowOff>
                  </to>
                </anchor>
              </controlPr>
            </control>
          </mc:Choice>
        </mc:AlternateContent>
        <mc:AlternateContent xmlns:mc="http://schemas.openxmlformats.org/markup-compatibility/2006">
          <mc:Choice Requires="x14">
            <control shapeId="2075" r:id="rId10" name="Button 27">
              <controlPr defaultSize="0" print="0" autoFill="0" autoPict="0" macro="[0]!Sheet2.ApplyPercentage">
                <anchor moveWithCells="1">
                  <from>
                    <xdr:col>141</xdr:col>
                    <xdr:colOff>57150</xdr:colOff>
                    <xdr:row>6</xdr:row>
                    <xdr:rowOff>190500</xdr:rowOff>
                  </from>
                  <to>
                    <xdr:col>143</xdr:col>
                    <xdr:colOff>0</xdr:colOff>
                    <xdr:row>8</xdr:row>
                    <xdr:rowOff>180975</xdr:rowOff>
                  </to>
                </anchor>
              </controlPr>
            </control>
          </mc:Choice>
        </mc:AlternateContent>
        <mc:AlternateContent xmlns:mc="http://schemas.openxmlformats.org/markup-compatibility/2006">
          <mc:Choice Requires="x14">
            <control shapeId="2076" r:id="rId11" name="Button 28">
              <controlPr defaultSize="0" print="0" autoFill="0" autoPict="0" macro="[0]!Sheet1.CopyAndDelete">
                <anchor moveWithCells="1">
                  <from>
                    <xdr:col>141</xdr:col>
                    <xdr:colOff>104775</xdr:colOff>
                    <xdr:row>0</xdr:row>
                    <xdr:rowOff>57150</xdr:rowOff>
                  </from>
                  <to>
                    <xdr:col>143</xdr:col>
                    <xdr:colOff>28575</xdr:colOff>
                    <xdr:row>2</xdr:row>
                    <xdr:rowOff>66675</xdr:rowOff>
                  </to>
                </anchor>
              </controlPr>
            </control>
          </mc:Choice>
        </mc:AlternateContent>
        <mc:AlternateContent xmlns:mc="http://schemas.openxmlformats.org/markup-compatibility/2006">
          <mc:Choice Requires="x14">
            <control shapeId="2077" r:id="rId12" name="Button 29">
              <controlPr defaultSize="0" print="0" autoFill="0" autoPict="0" macro="[0]!Sheet2.ApplyChanges">
                <anchor moveWithCells="1">
                  <from>
                    <xdr:col>141</xdr:col>
                    <xdr:colOff>66675</xdr:colOff>
                    <xdr:row>2</xdr:row>
                    <xdr:rowOff>133350</xdr:rowOff>
                  </from>
                  <to>
                    <xdr:col>143</xdr:col>
                    <xdr:colOff>28575</xdr:colOff>
                    <xdr:row>4</xdr:row>
                    <xdr:rowOff>123825</xdr:rowOff>
                  </to>
                </anchor>
              </controlPr>
            </control>
          </mc:Choice>
        </mc:AlternateContent>
      </controls>
    </mc:Choice>
  </mc:AlternateContent>
  <tableParts count="1">
    <tablePart r:id="rId13"/>
  </tableParts>
  <extLst>
    <ext xmlns:x15="http://schemas.microsoft.com/office/spreadsheetml/2010/11/main" uri="{3A4CF648-6AED-40f4-86FF-DC5316D8AED3}">
      <x14:slicerList xmlns:x14="http://schemas.microsoft.com/office/spreadsheetml/2009/9/main">
        <x14:slicer r:id="rId1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7C4A2-9A0A-4718-8237-F490881FF6DE}">
  <sheetPr codeName="Sheet4"/>
  <dimension ref="A1:DL367"/>
  <sheetViews>
    <sheetView topLeftCell="A10" workbookViewId="0">
      <selection activeCell="G17" sqref="G17"/>
    </sheetView>
  </sheetViews>
  <sheetFormatPr baseColWidth="10" defaultColWidth="9.140625" defaultRowHeight="15" outlineLevelCol="4" x14ac:dyDescent="0.25"/>
  <cols>
    <col min="1" max="1" width="9.42578125" customWidth="1" outlineLevel="1"/>
    <col min="2" max="2" width="10" bestFit="1" customWidth="1"/>
    <col min="3" max="3" width="16.5703125" bestFit="1" customWidth="1"/>
    <col min="4" max="4" width="15.85546875" customWidth="1"/>
    <col min="5" max="5" width="14" bestFit="1" customWidth="1"/>
    <col min="6" max="6" width="16.85546875" bestFit="1" customWidth="1"/>
    <col min="7" max="18" width="22.42578125" bestFit="1" customWidth="1"/>
    <col min="19" max="19" width="17.140625" bestFit="1" customWidth="1"/>
    <col min="20" max="20" width="11.42578125" bestFit="1" customWidth="1"/>
    <col min="21" max="21" width="12.7109375" bestFit="1" customWidth="1"/>
    <col min="22" max="22" width="12" style="20" bestFit="1" customWidth="1"/>
    <col min="23" max="23" width="7.140625" customWidth="1" outlineLevel="4"/>
    <col min="24" max="24" width="7" customWidth="1" outlineLevel="4"/>
    <col min="25" max="25" width="5.28515625" customWidth="1" outlineLevel="4"/>
    <col min="26" max="27" width="5.5703125" customWidth="1" outlineLevel="4"/>
    <col min="28" max="28" width="4.5703125" customWidth="1" outlineLevel="4"/>
    <col min="29" max="29" width="6.28515625" customWidth="1" outlineLevel="4"/>
    <col min="30" max="30" width="5" customWidth="1" outlineLevel="4"/>
    <col min="31" max="31" width="10.7109375" customWidth="1" outlineLevel="4"/>
    <col min="32" max="32" width="7.85546875" customWidth="1" outlineLevel="4"/>
    <col min="33" max="33" width="10.140625" customWidth="1" outlineLevel="4"/>
    <col min="34" max="34" width="10" customWidth="1" outlineLevel="4"/>
    <col min="35" max="35" width="7.140625" customWidth="1" outlineLevel="4"/>
    <col min="36" max="36" width="7" customWidth="1" outlineLevel="4"/>
    <col min="37" max="40" width="6.140625" customWidth="1" outlineLevel="4"/>
    <col min="41" max="41" width="6.28515625" customWidth="1" outlineLevel="4"/>
    <col min="42" max="42" width="6.140625" customWidth="1" outlineLevel="4"/>
    <col min="43" max="43" width="10.7109375" customWidth="1" outlineLevel="4"/>
    <col min="44" max="44" width="7.85546875" customWidth="1" outlineLevel="4"/>
    <col min="45" max="45" width="10.140625" customWidth="1" outlineLevel="4"/>
    <col min="46" max="46" width="10" customWidth="1" outlineLevel="4"/>
    <col min="47" max="47" width="7.140625" customWidth="1" outlineLevel="4"/>
    <col min="48" max="48" width="7" customWidth="1" outlineLevel="4"/>
    <col min="49" max="52" width="6.140625" customWidth="1" outlineLevel="4"/>
    <col min="53" max="53" width="6.28515625" customWidth="1" outlineLevel="4"/>
    <col min="54" max="54" width="6.140625" customWidth="1" outlineLevel="4"/>
    <col min="55" max="55" width="10.7109375" customWidth="1" outlineLevel="4"/>
    <col min="56" max="56" width="7.85546875" customWidth="1" outlineLevel="4"/>
    <col min="57" max="57" width="10.140625" customWidth="1" outlineLevel="4"/>
    <col min="58" max="58" width="10" customWidth="1" outlineLevel="4"/>
    <col min="59" max="59" width="9.140625" customWidth="1" outlineLevel="4"/>
    <col min="60" max="60" width="7.140625" customWidth="1" outlineLevel="4"/>
    <col min="61" max="61" width="7" customWidth="1" outlineLevel="4"/>
    <col min="62" max="63" width="6" customWidth="1" outlineLevel="4"/>
    <col min="64" max="67" width="7" customWidth="1" outlineLevel="4"/>
    <col min="68" max="68" width="10.7109375" customWidth="1" outlineLevel="4"/>
    <col min="69" max="69" width="7.85546875" customWidth="1" outlineLevel="4"/>
    <col min="70" max="70" width="10.140625" customWidth="1" outlineLevel="4"/>
    <col min="71" max="71" width="10" customWidth="1" outlineLevel="4"/>
    <col min="72" max="72" width="9.140625" customWidth="1" outlineLevel="4"/>
    <col min="73" max="73" width="7.140625" customWidth="1" outlineLevel="4"/>
    <col min="74" max="74" width="7" customWidth="1" outlineLevel="4"/>
    <col min="75" max="76" width="6" customWidth="1" outlineLevel="4"/>
    <col min="77" max="80" width="7" customWidth="1" outlineLevel="4"/>
    <col min="81" max="81" width="10.7109375" customWidth="1" outlineLevel="4"/>
    <col min="82" max="82" width="7.85546875" customWidth="1" outlineLevel="4"/>
    <col min="83" max="83" width="10.140625" customWidth="1" outlineLevel="4"/>
    <col min="84" max="84" width="10" customWidth="1" outlineLevel="4"/>
    <col min="85" max="85" width="9.140625" customWidth="1" outlineLevel="4"/>
    <col min="86" max="86" width="14.7109375" customWidth="1" outlineLevel="4"/>
    <col min="87" max="87" width="9.140625" customWidth="1" outlineLevel="4"/>
    <col min="88" max="90" width="9" customWidth="1" outlineLevel="4"/>
    <col min="91" max="95" width="7.85546875" customWidth="1" outlineLevel="4"/>
    <col min="96" max="96" width="10.7109375" customWidth="1" outlineLevel="4"/>
    <col min="97" max="97" width="9" customWidth="1" outlineLevel="4"/>
    <col min="98" max="98" width="10.140625" customWidth="1" outlineLevel="4"/>
    <col min="99" max="99" width="10" customWidth="1" outlineLevel="4"/>
    <col min="100" max="100" width="12.42578125" style="20" bestFit="1" customWidth="1"/>
    <col min="101" max="101" width="5.42578125" customWidth="1"/>
    <col min="103" max="103" width="4.5703125" bestFit="1" customWidth="1"/>
    <col min="104" max="104" width="6" bestFit="1" customWidth="1"/>
    <col min="105" max="105" width="8.140625" bestFit="1" customWidth="1"/>
    <col min="106" max="106" width="7.7109375" bestFit="1" customWidth="1"/>
    <col min="107" max="115" width="6" bestFit="1" customWidth="1"/>
    <col min="116" max="116" width="7" bestFit="1" customWidth="1"/>
  </cols>
  <sheetData>
    <row r="1" spans="1:116" x14ac:dyDescent="0.25">
      <c r="A1" s="29"/>
      <c r="B1" s="29"/>
      <c r="C1" s="60"/>
      <c r="D1" s="60"/>
      <c r="E1" s="60"/>
      <c r="F1" s="60"/>
      <c r="G1" s="60"/>
      <c r="H1" s="60"/>
      <c r="I1" s="60"/>
      <c r="J1" s="60"/>
      <c r="K1" s="60"/>
      <c r="L1" s="60"/>
      <c r="M1" s="60"/>
      <c r="N1" s="60"/>
      <c r="O1" s="60"/>
      <c r="P1" s="60"/>
      <c r="Q1" s="60"/>
      <c r="R1" s="60"/>
      <c r="S1" s="60"/>
      <c r="T1" s="60" t="s">
        <v>24</v>
      </c>
      <c r="U1" s="60" t="e">
        <f ca="1">_xlfn.XLOOKUP(B14,#REF!,#REF!,0,0)</f>
        <v>#NAME?</v>
      </c>
      <c r="V1" s="48"/>
      <c r="W1" s="1"/>
      <c r="X1" s="29"/>
      <c r="Y1" s="29"/>
      <c r="Z1" s="29"/>
      <c r="AA1" s="29"/>
      <c r="AB1" s="29"/>
      <c r="AC1" s="29"/>
      <c r="AD1" s="29"/>
      <c r="AE1" s="29"/>
      <c r="AF1" s="29"/>
      <c r="AG1" s="29"/>
      <c r="AH1" s="29"/>
      <c r="AI1" s="37"/>
      <c r="AJ1" s="37"/>
      <c r="AK1" s="37"/>
      <c r="AL1" s="37"/>
      <c r="AM1" s="37"/>
      <c r="AN1" s="37"/>
      <c r="AO1" s="37"/>
      <c r="AP1" s="37"/>
      <c r="AQ1" s="37"/>
      <c r="AR1" s="37"/>
      <c r="AS1" s="37"/>
      <c r="AT1" s="37"/>
      <c r="AU1" s="37"/>
      <c r="AV1" s="37"/>
      <c r="AW1" s="37"/>
      <c r="AX1" s="37"/>
      <c r="AY1" s="37"/>
      <c r="AZ1" s="37"/>
      <c r="BA1" s="37"/>
      <c r="BB1" s="37"/>
      <c r="BC1" s="37"/>
      <c r="BD1" s="37"/>
      <c r="BE1" s="37"/>
      <c r="BF1" s="37"/>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48"/>
      <c r="CW1" s="29"/>
      <c r="CX1" s="1"/>
      <c r="CY1" s="1"/>
      <c r="CZ1" s="1"/>
      <c r="DA1" s="1"/>
      <c r="DB1" s="1"/>
      <c r="DC1" s="1"/>
      <c r="DD1" s="1"/>
      <c r="DE1" s="1"/>
      <c r="DF1" s="1"/>
      <c r="DG1" s="1"/>
      <c r="DH1" s="1"/>
      <c r="DI1" s="1"/>
      <c r="DJ1" s="1"/>
      <c r="DK1" s="1"/>
      <c r="DL1" s="1"/>
    </row>
    <row r="2" spans="1:116" x14ac:dyDescent="0.25">
      <c r="A2" s="29"/>
      <c r="B2" s="29"/>
      <c r="C2" s="60"/>
      <c r="D2" s="60"/>
      <c r="E2" s="60"/>
      <c r="F2" s="60"/>
      <c r="G2" s="60"/>
      <c r="H2" s="60"/>
      <c r="I2" s="60"/>
      <c r="J2" s="60"/>
      <c r="K2" s="60"/>
      <c r="L2" s="60"/>
      <c r="M2" s="60"/>
      <c r="N2" s="60"/>
      <c r="O2" s="60"/>
      <c r="P2" s="60"/>
      <c r="Q2" s="60"/>
      <c r="R2" s="60"/>
      <c r="S2" s="60"/>
      <c r="T2" s="60" t="s">
        <v>34</v>
      </c>
      <c r="U2" s="60" t="e">
        <f ca="1">_xlfn.XLOOKUP(B14,#REF!,#REF!,0,0)</f>
        <v>#NAME?</v>
      </c>
      <c r="V2" s="48"/>
      <c r="W2" s="1"/>
      <c r="X2" s="29"/>
      <c r="Y2" s="29"/>
      <c r="Z2" s="29"/>
      <c r="AA2" s="29"/>
      <c r="AB2" s="29"/>
      <c r="AC2" s="29"/>
      <c r="AD2" s="29"/>
      <c r="AE2" s="29"/>
      <c r="AF2" s="29"/>
      <c r="AG2" s="29"/>
      <c r="AH2" s="29"/>
      <c r="AI2" s="37"/>
      <c r="AJ2" s="37"/>
      <c r="AK2" s="37"/>
      <c r="AL2" s="37"/>
      <c r="AM2" s="37"/>
      <c r="AN2" s="37"/>
      <c r="AO2" s="37"/>
      <c r="AP2" s="37"/>
      <c r="AQ2" s="37"/>
      <c r="AR2" s="37"/>
      <c r="AS2" s="37"/>
      <c r="AT2" s="37"/>
      <c r="AU2" s="37"/>
      <c r="AV2" s="37"/>
      <c r="AW2" s="37"/>
      <c r="AX2" s="37"/>
      <c r="AY2" s="37"/>
      <c r="AZ2" s="37"/>
      <c r="BA2" s="37"/>
      <c r="BB2" s="37"/>
      <c r="BC2" s="37"/>
      <c r="BD2" s="37"/>
      <c r="BE2" s="37"/>
      <c r="BF2" s="37"/>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c r="CQ2" s="29"/>
      <c r="CR2" s="29"/>
      <c r="CS2" s="29"/>
      <c r="CT2" s="29"/>
      <c r="CU2" s="29"/>
      <c r="CV2" s="48"/>
      <c r="CW2" s="29"/>
      <c r="CX2" s="1"/>
      <c r="CY2" s="1"/>
      <c r="CZ2" s="1"/>
      <c r="DA2" s="1"/>
      <c r="DB2" s="1"/>
      <c r="DC2" s="1"/>
      <c r="DD2" s="1"/>
      <c r="DE2" s="1"/>
      <c r="DF2" s="1"/>
      <c r="DG2" s="1"/>
      <c r="DH2" s="1"/>
      <c r="DI2" s="1"/>
      <c r="DJ2" s="1"/>
      <c r="DK2" s="1"/>
      <c r="DL2" s="1"/>
    </row>
    <row r="3" spans="1:116" ht="15.75" x14ac:dyDescent="0.25">
      <c r="A3" s="29"/>
      <c r="B3" s="29"/>
      <c r="C3" s="60"/>
      <c r="D3" s="60"/>
      <c r="E3" s="60"/>
      <c r="F3" s="60"/>
      <c r="G3" s="60"/>
      <c r="H3" s="60"/>
      <c r="I3" s="60"/>
      <c r="J3" s="60"/>
      <c r="K3" s="60"/>
      <c r="L3" s="60"/>
      <c r="M3" s="60"/>
      <c r="N3" s="60"/>
      <c r="O3" s="60"/>
      <c r="P3" s="60"/>
      <c r="Q3" s="60"/>
      <c r="R3" s="60"/>
      <c r="S3" s="60"/>
      <c r="T3" s="60" t="s">
        <v>3627</v>
      </c>
      <c r="U3" s="60" t="e">
        <f ca="1">_xlfn.XLOOKUP(B14,#REF!,#REF!,0,0)</f>
        <v>#NAME?</v>
      </c>
      <c r="V3" s="48"/>
      <c r="W3" s="1"/>
      <c r="X3" s="29"/>
      <c r="Y3" s="29"/>
      <c r="Z3" s="29"/>
      <c r="AA3" s="29"/>
      <c r="AB3" s="29"/>
      <c r="AC3" s="29"/>
      <c r="AD3" s="29"/>
      <c r="AE3" s="29"/>
      <c r="AF3" s="29"/>
      <c r="AG3" s="29"/>
      <c r="AH3" s="29"/>
      <c r="AI3" s="37"/>
      <c r="AJ3" s="37"/>
      <c r="AK3" s="37"/>
      <c r="AL3" s="37"/>
      <c r="AM3" s="37"/>
      <c r="AN3" s="37"/>
      <c r="AO3" s="37"/>
      <c r="AP3" s="37"/>
      <c r="AQ3" s="37"/>
      <c r="AR3" s="37"/>
      <c r="AS3" s="37"/>
      <c r="AT3" s="37"/>
      <c r="AU3" s="37"/>
      <c r="AV3" s="37"/>
      <c r="AW3" s="37"/>
      <c r="AX3" s="37"/>
      <c r="AY3" s="37"/>
      <c r="AZ3" s="37"/>
      <c r="BA3" s="37"/>
      <c r="BB3" s="37"/>
      <c r="BC3" s="37"/>
      <c r="BD3" s="37"/>
      <c r="BE3" s="37"/>
      <c r="BF3" s="37"/>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48"/>
      <c r="CW3" s="29"/>
      <c r="CX3" s="1"/>
      <c r="CY3" s="1"/>
      <c r="CZ3" s="2" t="s">
        <v>0</v>
      </c>
      <c r="DA3" s="2" t="s">
        <v>1</v>
      </c>
      <c r="DB3" s="2" t="s">
        <v>2</v>
      </c>
      <c r="DC3" s="2" t="s">
        <v>3</v>
      </c>
      <c r="DD3" s="2" t="s">
        <v>4</v>
      </c>
      <c r="DE3" s="2" t="s">
        <v>5</v>
      </c>
      <c r="DF3" s="2" t="s">
        <v>6</v>
      </c>
      <c r="DG3" s="2" t="s">
        <v>7</v>
      </c>
      <c r="DH3" s="2" t="s">
        <v>8</v>
      </c>
      <c r="DI3" s="2" t="s">
        <v>9</v>
      </c>
      <c r="DJ3" s="2" t="s">
        <v>10</v>
      </c>
      <c r="DK3" s="2" t="s">
        <v>11</v>
      </c>
      <c r="DL3" s="2" t="s">
        <v>12</v>
      </c>
    </row>
    <row r="4" spans="1:116" ht="15.75" x14ac:dyDescent="0.25">
      <c r="A4" s="29"/>
      <c r="B4" s="29"/>
      <c r="C4" s="60"/>
      <c r="D4" s="60"/>
      <c r="E4" s="60"/>
      <c r="F4" s="60"/>
      <c r="G4" s="60"/>
      <c r="H4" s="60"/>
      <c r="I4" s="60"/>
      <c r="J4" s="60"/>
      <c r="K4" s="60"/>
      <c r="L4" s="60"/>
      <c r="M4" s="60"/>
      <c r="N4" s="60"/>
      <c r="O4" s="60"/>
      <c r="P4" s="60"/>
      <c r="Q4" s="60"/>
      <c r="R4" s="60"/>
      <c r="S4" s="60"/>
      <c r="T4" s="60" t="s">
        <v>3626</v>
      </c>
      <c r="U4" s="60" t="e">
        <f ca="1">_xlfn.XLOOKUP(B14,#REF!,#REF!,0,0)</f>
        <v>#NAME?</v>
      </c>
      <c r="V4" s="48"/>
      <c r="W4" s="1"/>
      <c r="X4" s="29"/>
      <c r="Y4" s="29"/>
      <c r="Z4" s="29"/>
      <c r="AA4" s="29"/>
      <c r="AB4" s="29"/>
      <c r="AC4" s="29"/>
      <c r="AD4" s="29"/>
      <c r="AE4" s="29"/>
      <c r="AF4" s="29"/>
      <c r="AG4" s="29"/>
      <c r="AH4" s="29"/>
      <c r="AI4" s="37"/>
      <c r="AJ4" s="37"/>
      <c r="AK4" s="37"/>
      <c r="AL4" s="37"/>
      <c r="AM4" s="37"/>
      <c r="AN4" s="37"/>
      <c r="AO4" s="37"/>
      <c r="AP4" s="37"/>
      <c r="AQ4" s="37"/>
      <c r="AR4" s="37"/>
      <c r="AS4" s="37"/>
      <c r="AT4" s="37"/>
      <c r="AU4" s="37"/>
      <c r="AV4" s="37"/>
      <c r="AW4" s="37"/>
      <c r="AX4" s="37"/>
      <c r="AY4" s="37"/>
      <c r="AZ4" s="37"/>
      <c r="BA4" s="37"/>
      <c r="BB4" s="37"/>
      <c r="BC4" s="37"/>
      <c r="BD4" s="37"/>
      <c r="BE4" s="37"/>
      <c r="BF4" s="37"/>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48"/>
      <c r="CW4" s="29"/>
      <c r="CX4" s="3"/>
      <c r="CY4" s="3" t="s">
        <v>13</v>
      </c>
      <c r="CZ4" s="61" t="e" cm="1">
        <f t="array" aca="1" ref="CZ4" ca="1">_xlfn.XLOOKUP($B$14,#REF!,#REF!,"X",0)</f>
        <v>#NAME?</v>
      </c>
      <c r="DA4" s="61"/>
      <c r="DB4" s="61"/>
      <c r="DC4" s="61"/>
      <c r="DD4" s="61"/>
      <c r="DE4" s="61"/>
      <c r="DF4" s="61"/>
      <c r="DG4" s="61"/>
      <c r="DH4" s="61"/>
      <c r="DI4" s="61"/>
      <c r="DJ4" s="61"/>
      <c r="DK4" s="61"/>
      <c r="DL4" s="61" t="e">
        <f ca="1">SUM(_xlfn.ANCHORARRAY(CZ4))</f>
        <v>#NAME?</v>
      </c>
    </row>
    <row r="5" spans="1:116" ht="15.75" x14ac:dyDescent="0.25">
      <c r="A5" s="29"/>
      <c r="B5" s="29"/>
      <c r="C5" s="60"/>
      <c r="D5" s="60"/>
      <c r="E5" s="60"/>
      <c r="F5" s="60"/>
      <c r="G5" s="60"/>
      <c r="H5" s="60"/>
      <c r="I5" s="60"/>
      <c r="J5" s="60"/>
      <c r="K5" s="60"/>
      <c r="L5" s="60"/>
      <c r="M5" s="60"/>
      <c r="N5" s="60"/>
      <c r="O5" s="60"/>
      <c r="P5" s="60"/>
      <c r="Q5" s="60"/>
      <c r="R5" s="60"/>
      <c r="S5" s="60"/>
      <c r="T5" s="60" t="s">
        <v>35</v>
      </c>
      <c r="U5" s="60" t="e">
        <f ca="1">_xlfn.XLOOKUP(B14,#REF!,#REF!,0,0)</f>
        <v>#NAME?</v>
      </c>
      <c r="V5" s="48"/>
      <c r="W5" s="1"/>
      <c r="X5" s="29"/>
      <c r="Y5" s="29"/>
      <c r="Z5" s="29"/>
      <c r="AA5" s="29"/>
      <c r="AB5" s="29"/>
      <c r="AC5" s="29"/>
      <c r="AD5" s="29"/>
      <c r="AE5" s="29"/>
      <c r="AF5" s="29"/>
      <c r="AG5" s="29"/>
      <c r="AH5" s="29"/>
      <c r="AI5" s="37"/>
      <c r="AJ5" s="37"/>
      <c r="AK5" s="37"/>
      <c r="AL5" s="37"/>
      <c r="AM5" s="37"/>
      <c r="AN5" s="37"/>
      <c r="AO5" s="37"/>
      <c r="AP5" s="37"/>
      <c r="AQ5" s="37"/>
      <c r="AR5" s="37"/>
      <c r="AS5" s="37"/>
      <c r="AT5" s="37"/>
      <c r="AU5" s="37"/>
      <c r="AV5" s="37"/>
      <c r="AW5" s="37"/>
      <c r="AX5" s="37"/>
      <c r="AY5" s="37"/>
      <c r="AZ5" s="37"/>
      <c r="BA5" s="37"/>
      <c r="BB5" s="37"/>
      <c r="BC5" s="37"/>
      <c r="BD5" s="37"/>
      <c r="BE5" s="37"/>
      <c r="BF5" s="37"/>
      <c r="BG5" s="29"/>
      <c r="BH5" s="29"/>
      <c r="BI5" s="29"/>
      <c r="BJ5" s="29"/>
      <c r="BK5" s="29"/>
      <c r="BL5" s="29"/>
      <c r="BM5" s="29"/>
      <c r="BN5" s="29"/>
      <c r="BO5" s="29"/>
      <c r="BP5" s="29"/>
      <c r="BQ5" s="29"/>
      <c r="BR5" s="29"/>
      <c r="BS5" s="29"/>
      <c r="BT5" s="29"/>
      <c r="BU5" s="29"/>
      <c r="BV5" s="29"/>
      <c r="BW5" s="29"/>
      <c r="BX5" s="29"/>
      <c r="BY5" s="29"/>
      <c r="BZ5" s="29"/>
      <c r="CA5" s="29"/>
      <c r="CB5" s="29"/>
      <c r="CC5" s="29"/>
      <c r="CD5" s="29"/>
      <c r="CE5" s="29"/>
      <c r="CF5" s="29"/>
      <c r="CG5" s="29"/>
      <c r="CH5" s="29"/>
      <c r="CI5" s="29"/>
      <c r="CJ5" s="29"/>
      <c r="CK5" s="29"/>
      <c r="CL5" s="29"/>
      <c r="CM5" s="29"/>
      <c r="CN5" s="29"/>
      <c r="CO5" s="29"/>
      <c r="CP5" s="29"/>
      <c r="CQ5" s="29"/>
      <c r="CR5" s="29"/>
      <c r="CS5" s="29"/>
      <c r="CT5" s="29"/>
      <c r="CU5" s="29"/>
      <c r="CV5" s="48"/>
      <c r="CW5" s="29"/>
      <c r="CX5" s="4"/>
      <c r="CY5" s="4" t="s">
        <v>14</v>
      </c>
      <c r="CZ5" s="61" t="e" cm="1">
        <f t="array" aca="1" ref="CZ5" ca="1">_xlfn.XLOOKUP($B$14,#REF!,#REF!,"X",0)</f>
        <v>#NAME?</v>
      </c>
      <c r="DA5" s="61"/>
      <c r="DB5" s="61"/>
      <c r="DC5" s="61"/>
      <c r="DD5" s="61"/>
      <c r="DE5" s="61"/>
      <c r="DF5" s="61"/>
      <c r="DG5" s="61"/>
      <c r="DH5" s="61"/>
      <c r="DI5" s="61"/>
      <c r="DJ5" s="61"/>
      <c r="DK5" s="61"/>
      <c r="DL5" s="61" t="e">
        <f t="shared" ref="DL5:DL7" ca="1" si="0">SUM(_xlfn.ANCHORARRAY(CZ5))</f>
        <v>#NAME?</v>
      </c>
    </row>
    <row r="6" spans="1:116" ht="15.75" x14ac:dyDescent="0.25">
      <c r="A6" s="29"/>
      <c r="B6" s="29"/>
      <c r="C6" s="60"/>
      <c r="D6" s="60"/>
      <c r="E6" s="60"/>
      <c r="F6" s="60"/>
      <c r="G6" s="60"/>
      <c r="H6" s="60"/>
      <c r="I6" s="60"/>
      <c r="J6" s="60"/>
      <c r="K6" s="60"/>
      <c r="L6" s="60"/>
      <c r="M6" s="60"/>
      <c r="N6" s="60"/>
      <c r="O6" s="60"/>
      <c r="P6" s="60"/>
      <c r="Q6" s="60"/>
      <c r="R6" s="60"/>
      <c r="S6" s="60"/>
      <c r="T6" s="60"/>
      <c r="U6" s="60"/>
      <c r="V6" s="48"/>
      <c r="W6" s="29"/>
      <c r="X6" s="29"/>
      <c r="Y6" s="29"/>
      <c r="Z6" s="29"/>
      <c r="AA6" s="29"/>
      <c r="AB6" s="29"/>
      <c r="AC6" s="29"/>
      <c r="AD6" s="29"/>
      <c r="AE6" s="29"/>
      <c r="AF6" s="29"/>
      <c r="AG6" s="29"/>
      <c r="AH6" s="29"/>
      <c r="AI6" s="37"/>
      <c r="AJ6" s="37"/>
      <c r="AK6" s="37"/>
      <c r="AL6" s="37"/>
      <c r="AM6" s="37"/>
      <c r="AN6" s="37"/>
      <c r="AO6" s="37"/>
      <c r="AP6" s="37"/>
      <c r="AQ6" s="37"/>
      <c r="AR6" s="37"/>
      <c r="AS6" s="37"/>
      <c r="AT6" s="37"/>
      <c r="AU6" s="37"/>
      <c r="AV6" s="37"/>
      <c r="AW6" s="37"/>
      <c r="AX6" s="37"/>
      <c r="AY6" s="37"/>
      <c r="AZ6" s="37"/>
      <c r="BA6" s="37"/>
      <c r="BB6" s="37"/>
      <c r="BC6" s="37"/>
      <c r="BD6" s="37"/>
      <c r="BE6" s="37"/>
      <c r="BF6" s="37"/>
      <c r="BG6" s="29"/>
      <c r="BH6" s="29"/>
      <c r="BI6" s="29"/>
      <c r="BJ6" s="29"/>
      <c r="BK6" s="29"/>
      <c r="BL6" s="29"/>
      <c r="BM6" s="29"/>
      <c r="BN6" s="29"/>
      <c r="BO6" s="29"/>
      <c r="BP6" s="29"/>
      <c r="BQ6" s="29"/>
      <c r="BR6" s="29"/>
      <c r="BS6" s="29"/>
      <c r="BT6" s="29"/>
      <c r="BU6" s="29"/>
      <c r="BV6" s="29"/>
      <c r="BW6" s="29"/>
      <c r="BX6" s="29"/>
      <c r="BY6" s="29"/>
      <c r="BZ6" s="29"/>
      <c r="CA6" s="29"/>
      <c r="CB6" s="29"/>
      <c r="CC6" s="29"/>
      <c r="CD6" s="29"/>
      <c r="CE6" s="29"/>
      <c r="CF6" s="29"/>
      <c r="CG6" s="29"/>
      <c r="CH6" s="29"/>
      <c r="CI6" s="29"/>
      <c r="CJ6" s="29"/>
      <c r="CK6" s="29"/>
      <c r="CL6" s="29"/>
      <c r="CM6" s="29"/>
      <c r="CN6" s="29"/>
      <c r="CO6" s="29"/>
      <c r="CP6" s="29"/>
      <c r="CQ6" s="29"/>
      <c r="CR6" s="29"/>
      <c r="CS6" s="29"/>
      <c r="CT6" s="29"/>
      <c r="CU6" s="29"/>
      <c r="CV6" s="48"/>
      <c r="CW6" s="29"/>
      <c r="CX6" s="4"/>
      <c r="CY6" s="4" t="s">
        <v>15</v>
      </c>
      <c r="CZ6" s="61" t="e" cm="1">
        <f t="array" aca="1" ref="CZ6" ca="1">_xlfn.XLOOKUP($B$14,#REF!,#REF!,"X",0)</f>
        <v>#NAME?</v>
      </c>
      <c r="DA6" s="61"/>
      <c r="DB6" s="61"/>
      <c r="DC6" s="61"/>
      <c r="DD6" s="61"/>
      <c r="DE6" s="61"/>
      <c r="DF6" s="61"/>
      <c r="DG6" s="61"/>
      <c r="DH6" s="61"/>
      <c r="DI6" s="61"/>
      <c r="DJ6" s="61"/>
      <c r="DK6" s="61"/>
      <c r="DL6" s="61" t="e">
        <f t="shared" ca="1" si="0"/>
        <v>#NAME?</v>
      </c>
    </row>
    <row r="7" spans="1:116" ht="15.75" x14ac:dyDescent="0.25">
      <c r="A7" s="29"/>
      <c r="B7" s="29"/>
      <c r="C7" s="60"/>
      <c r="D7" s="60"/>
      <c r="E7" s="60"/>
      <c r="F7" s="60"/>
      <c r="G7" s="60"/>
      <c r="H7" s="60"/>
      <c r="I7" s="60"/>
      <c r="J7" s="60"/>
      <c r="K7" s="60"/>
      <c r="L7" s="60"/>
      <c r="M7" s="60"/>
      <c r="N7" s="60"/>
      <c r="O7" s="60"/>
      <c r="P7" s="60"/>
      <c r="Q7" s="60"/>
      <c r="R7" s="60"/>
      <c r="S7" s="60"/>
      <c r="T7" s="60"/>
      <c r="U7" s="60"/>
      <c r="V7" s="48"/>
      <c r="W7" s="29"/>
      <c r="X7" s="29"/>
      <c r="Y7" s="29"/>
      <c r="Z7" s="29"/>
      <c r="AA7" s="29"/>
      <c r="AB7" s="29"/>
      <c r="AC7" s="29"/>
      <c r="AD7" s="29"/>
      <c r="AE7" s="29"/>
      <c r="AF7" s="29"/>
      <c r="AG7" s="29"/>
      <c r="AH7" s="29"/>
      <c r="AI7" s="37"/>
      <c r="AJ7" s="37"/>
      <c r="AK7" s="37"/>
      <c r="AL7" s="37"/>
      <c r="AM7" s="37"/>
      <c r="AN7" s="37"/>
      <c r="AO7" s="37"/>
      <c r="AP7" s="37"/>
      <c r="AQ7" s="37"/>
      <c r="AR7" s="37"/>
      <c r="AS7" s="37"/>
      <c r="AT7" s="37"/>
      <c r="AU7" s="37"/>
      <c r="AV7" s="37"/>
      <c r="AW7" s="37"/>
      <c r="AX7" s="37"/>
      <c r="AY7" s="37"/>
      <c r="AZ7" s="37"/>
      <c r="BA7" s="37"/>
      <c r="BB7" s="37"/>
      <c r="BC7" s="37"/>
      <c r="BD7" s="37"/>
      <c r="BE7" s="37"/>
      <c r="BF7" s="37"/>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48"/>
      <c r="CW7" s="29"/>
      <c r="CX7" s="4"/>
      <c r="CY7" s="4" t="s">
        <v>3603</v>
      </c>
      <c r="CZ7" s="61" t="e" cm="1">
        <f t="array" aca="1" ref="CZ7" ca="1">_xlfn.XLOOKUP($B$14,#REF!,#REF!,"X",0)</f>
        <v>#NAME?</v>
      </c>
      <c r="DA7" s="61"/>
      <c r="DB7" s="61"/>
      <c r="DC7" s="61"/>
      <c r="DD7" s="61"/>
      <c r="DE7" s="61"/>
      <c r="DF7" s="61"/>
      <c r="DG7" s="61"/>
      <c r="DH7" s="61"/>
      <c r="DI7" s="61"/>
      <c r="DJ7" s="61"/>
      <c r="DK7" s="61"/>
      <c r="DL7" s="61" t="e">
        <f t="shared" ca="1" si="0"/>
        <v>#NAME?</v>
      </c>
    </row>
    <row r="8" spans="1:116" x14ac:dyDescent="0.25">
      <c r="A8" s="29"/>
      <c r="B8" s="29"/>
      <c r="C8" s="60"/>
      <c r="D8" s="60"/>
      <c r="E8" s="60"/>
      <c r="F8" s="60"/>
      <c r="G8" s="92"/>
      <c r="H8" s="60"/>
      <c r="I8" s="60"/>
      <c r="J8" s="60"/>
      <c r="K8" s="60"/>
      <c r="L8" s="60"/>
      <c r="M8" s="60"/>
      <c r="N8" s="60"/>
      <c r="O8" s="60"/>
      <c r="P8" s="60"/>
      <c r="Q8" s="60"/>
      <c r="R8" s="60"/>
      <c r="S8" s="60"/>
      <c r="T8" s="60"/>
      <c r="U8" s="60"/>
      <c r="V8" s="48"/>
      <c r="W8" s="29"/>
      <c r="X8" s="29"/>
      <c r="Y8" s="29"/>
      <c r="Z8" s="29"/>
      <c r="AA8" s="29"/>
      <c r="AB8" s="29"/>
      <c r="AC8" s="29"/>
      <c r="AD8" s="29"/>
      <c r="AE8" s="29"/>
      <c r="AF8" s="29"/>
      <c r="AG8" s="29"/>
      <c r="AH8" s="29"/>
      <c r="AI8" s="37"/>
      <c r="AJ8" s="37"/>
      <c r="AK8" s="37"/>
      <c r="AL8" s="37"/>
      <c r="AM8" s="37"/>
      <c r="AN8" s="37"/>
      <c r="AO8" s="37"/>
      <c r="AP8" s="37"/>
      <c r="AQ8" s="37"/>
      <c r="AR8" s="37"/>
      <c r="AS8" s="37"/>
      <c r="AT8" s="37"/>
      <c r="AU8" s="37"/>
      <c r="AV8" s="37"/>
      <c r="AW8" s="37"/>
      <c r="AX8" s="37"/>
      <c r="AY8" s="37"/>
      <c r="AZ8" s="37"/>
      <c r="BA8" s="37"/>
      <c r="BB8" s="37"/>
      <c r="BC8" s="37"/>
      <c r="BD8" s="37"/>
      <c r="BE8" s="37"/>
      <c r="BF8" s="37"/>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48"/>
      <c r="CW8" s="29"/>
      <c r="CX8" s="29"/>
      <c r="CY8" s="29"/>
      <c r="CZ8" s="1"/>
      <c r="DA8" s="1"/>
      <c r="DB8" s="1"/>
      <c r="DC8" s="1"/>
      <c r="DD8" s="1"/>
      <c r="DE8" s="1"/>
      <c r="DF8" s="1"/>
      <c r="DG8" s="1"/>
      <c r="DH8" s="1"/>
      <c r="DI8" s="1"/>
      <c r="DJ8" s="1"/>
      <c r="DK8" s="1"/>
      <c r="DL8" s="1"/>
    </row>
    <row r="9" spans="1:116" ht="18.75" x14ac:dyDescent="0.25">
      <c r="A9" s="29"/>
      <c r="B9" s="29"/>
      <c r="C9" s="60"/>
      <c r="D9" s="60"/>
      <c r="E9" s="60"/>
      <c r="F9" s="60"/>
      <c r="G9" s="60"/>
      <c r="H9" s="60"/>
      <c r="I9" s="60"/>
      <c r="J9" s="60"/>
      <c r="K9" s="60"/>
      <c r="L9" s="60"/>
      <c r="M9" s="60"/>
      <c r="N9" s="60"/>
      <c r="O9" s="60"/>
      <c r="P9" s="60"/>
      <c r="Q9" s="60"/>
      <c r="R9" s="60"/>
      <c r="S9" s="60"/>
      <c r="T9" s="60"/>
      <c r="U9" s="60"/>
      <c r="V9" s="48"/>
      <c r="W9" s="29"/>
      <c r="X9" s="29"/>
      <c r="Y9" s="29"/>
      <c r="Z9" s="29"/>
      <c r="AA9" s="29"/>
      <c r="AB9" s="29"/>
      <c r="AC9" s="29"/>
      <c r="AD9" s="29"/>
      <c r="AE9" s="29"/>
      <c r="AF9" s="29"/>
      <c r="AG9" s="29"/>
      <c r="AH9" s="29"/>
      <c r="AI9" s="37"/>
      <c r="AJ9" s="37"/>
      <c r="AK9" s="37"/>
      <c r="AL9" s="37"/>
      <c r="AM9" s="37"/>
      <c r="AN9" s="37"/>
      <c r="AO9" s="37"/>
      <c r="AP9" s="37"/>
      <c r="AQ9" s="37"/>
      <c r="AR9" s="37"/>
      <c r="AS9" s="37"/>
      <c r="AT9" s="37"/>
      <c r="AU9" s="37"/>
      <c r="AV9" s="37"/>
      <c r="AW9" s="37"/>
      <c r="AX9" s="37"/>
      <c r="AY9" s="37"/>
      <c r="AZ9" s="37"/>
      <c r="BA9" s="37"/>
      <c r="BB9" s="37"/>
      <c r="BC9" s="37"/>
      <c r="BD9" s="37"/>
      <c r="BE9" s="37"/>
      <c r="BF9" s="37"/>
      <c r="BG9" s="29"/>
      <c r="BH9" s="29"/>
      <c r="BI9" s="29"/>
      <c r="BJ9" s="29"/>
      <c r="BK9" s="29"/>
      <c r="BL9" s="29"/>
      <c r="BM9" s="29"/>
      <c r="BN9" s="29"/>
      <c r="BO9" s="29"/>
      <c r="BP9" s="29"/>
      <c r="BQ9" s="29"/>
      <c r="BR9" s="29"/>
      <c r="BS9" s="29"/>
      <c r="BT9" s="29"/>
      <c r="BU9" s="29"/>
      <c r="BV9" s="29"/>
      <c r="BW9" s="29"/>
      <c r="BX9" s="29"/>
      <c r="BY9" s="29"/>
      <c r="BZ9" s="29"/>
      <c r="CA9" s="29"/>
      <c r="CB9" s="29"/>
      <c r="CC9" s="29"/>
      <c r="CD9" s="29"/>
      <c r="CE9" s="29"/>
      <c r="CF9" s="29"/>
      <c r="CG9" s="29"/>
      <c r="CH9" s="29"/>
      <c r="CI9" s="29"/>
      <c r="CJ9" s="29"/>
      <c r="CK9" s="29"/>
      <c r="CL9" s="29"/>
      <c r="CM9" s="29"/>
      <c r="CN9" s="29"/>
      <c r="CO9" s="29"/>
      <c r="CP9" s="29"/>
      <c r="CQ9" s="29"/>
      <c r="CR9" s="29"/>
      <c r="CS9" s="29"/>
      <c r="CT9" s="29"/>
      <c r="CU9" s="29"/>
      <c r="CV9" s="48"/>
      <c r="CW9" s="29"/>
      <c r="CX9" s="29"/>
      <c r="CY9" s="29"/>
      <c r="CZ9" s="1"/>
      <c r="DA9" s="1"/>
      <c r="DB9" s="27" t="s">
        <v>37</v>
      </c>
      <c r="DC9" s="26" t="s">
        <v>38</v>
      </c>
      <c r="DD9" s="26" t="s">
        <v>39</v>
      </c>
      <c r="DE9" s="25"/>
      <c r="DF9" s="1"/>
      <c r="DG9" s="1"/>
      <c r="DH9" s="1"/>
      <c r="DI9" s="1"/>
      <c r="DJ9" s="1"/>
      <c r="DK9" s="1"/>
      <c r="DL9" s="1"/>
    </row>
    <row r="10" spans="1:116" ht="18.75" x14ac:dyDescent="0.25">
      <c r="A10" s="29"/>
      <c r="B10" s="29"/>
      <c r="C10" s="60"/>
      <c r="D10" s="60"/>
      <c r="E10" s="93" t="s">
        <v>16</v>
      </c>
      <c r="F10" s="1" t="s">
        <v>3960</v>
      </c>
      <c r="G10" s="60"/>
      <c r="H10" s="60"/>
      <c r="I10" s="60"/>
      <c r="J10" s="60"/>
      <c r="K10" s="60"/>
      <c r="L10" s="60"/>
      <c r="M10" s="60"/>
      <c r="N10" s="60"/>
      <c r="O10" s="60"/>
      <c r="P10" s="60"/>
      <c r="Q10" s="60"/>
      <c r="R10" s="60"/>
      <c r="S10" s="60"/>
      <c r="T10" s="60"/>
      <c r="U10" s="60"/>
      <c r="V10" s="48"/>
      <c r="W10" s="29"/>
      <c r="X10" s="29"/>
      <c r="Y10" s="29"/>
      <c r="Z10" s="29"/>
      <c r="AA10" s="29"/>
      <c r="AB10" s="29"/>
      <c r="AC10" s="29"/>
      <c r="AD10" s="29"/>
      <c r="AE10" s="29"/>
      <c r="AF10" s="29"/>
      <c r="AG10" s="29"/>
      <c r="AH10" s="29"/>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c r="CF10" s="29"/>
      <c r="CG10" s="29"/>
      <c r="CH10" s="29"/>
      <c r="CI10" s="29"/>
      <c r="CJ10" s="29"/>
      <c r="CK10" s="29"/>
      <c r="CL10" s="29"/>
      <c r="CM10" s="29"/>
      <c r="CN10" s="29"/>
      <c r="CO10" s="29"/>
      <c r="CP10" s="29"/>
      <c r="CQ10" s="29"/>
      <c r="CR10" s="29"/>
      <c r="CS10" s="29"/>
      <c r="CT10" s="29"/>
      <c r="CU10" s="29"/>
      <c r="CV10" s="48"/>
      <c r="CW10" s="29"/>
      <c r="CX10" s="29"/>
      <c r="CY10" s="29"/>
      <c r="CZ10" s="1"/>
      <c r="DA10" s="21" t="s">
        <v>36</v>
      </c>
      <c r="DB10" s="22" t="e">
        <f ca="1">_xlfn.XLOOKUP(B14,#REF!,#REF!,0,0)</f>
        <v>#NAME?</v>
      </c>
      <c r="DC10" s="23" t="e">
        <f ca="1">_xlfn.XLOOKUP(B14,#REF!,#REF!,0,0)</f>
        <v>#NAME?</v>
      </c>
      <c r="DD10" s="24" t="e">
        <f ca="1">_xlfn.XLOOKUP(B14,#REF!,#REF!,0,0)</f>
        <v>#NAME?</v>
      </c>
      <c r="DE10" s="25"/>
      <c r="DF10" s="1"/>
      <c r="DG10" s="1"/>
      <c r="DH10" s="1"/>
      <c r="DI10" s="1"/>
      <c r="DJ10" s="1"/>
      <c r="DK10" s="1"/>
      <c r="DL10" s="1"/>
    </row>
    <row r="11" spans="1:116" ht="18.75" x14ac:dyDescent="0.25">
      <c r="A11" s="29"/>
      <c r="B11" s="29"/>
      <c r="C11" s="60"/>
      <c r="D11" s="60"/>
      <c r="E11" s="60"/>
      <c r="F11" s="60"/>
      <c r="G11" s="60"/>
      <c r="H11" s="60"/>
      <c r="I11" s="60"/>
      <c r="J11" s="60"/>
      <c r="K11" s="60"/>
      <c r="L11" s="60"/>
      <c r="M11" s="60"/>
      <c r="N11" s="60"/>
      <c r="O11" s="60"/>
      <c r="P11" s="60"/>
      <c r="Q11" s="60"/>
      <c r="R11" s="60"/>
      <c r="S11" s="60"/>
      <c r="T11" s="60"/>
      <c r="U11" s="60"/>
      <c r="V11" s="48"/>
      <c r="W11" s="29"/>
      <c r="X11" s="29"/>
      <c r="Y11" s="29"/>
      <c r="Z11" s="29"/>
      <c r="AA11" s="29"/>
      <c r="AB11" s="29"/>
      <c r="AC11" s="29"/>
      <c r="AD11" s="29"/>
      <c r="AE11" s="29"/>
      <c r="AF11" s="29"/>
      <c r="AG11" s="29"/>
      <c r="AH11" s="29"/>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48"/>
      <c r="CW11" s="29"/>
      <c r="CX11" s="29"/>
      <c r="CY11" s="29"/>
      <c r="CZ11" s="1"/>
      <c r="DA11" s="21" t="s">
        <v>40</v>
      </c>
      <c r="DB11" s="22">
        <f>DK7</f>
        <v>0</v>
      </c>
      <c r="DC11" s="22" t="e">
        <f ca="1">_xlfn.XLOOKUP(B14,$D$17:$D$41,$G$17:$G$41,0,0)</f>
        <v>#NAME?</v>
      </c>
      <c r="DD11" s="22" t="e">
        <f ca="1">_xlfn.XLOOKUP(B14,$D$17:$D$41,$H$17:$H$41,0,0)</f>
        <v>#NAME?</v>
      </c>
      <c r="DE11" s="1"/>
      <c r="DF11" s="1"/>
      <c r="DG11" s="1"/>
      <c r="DH11" s="1"/>
      <c r="DI11" s="1"/>
      <c r="DJ11" s="1"/>
      <c r="DK11" s="1"/>
      <c r="DL11" s="1"/>
    </row>
    <row r="12" spans="1:116" ht="18.75" x14ac:dyDescent="0.25">
      <c r="A12" s="29"/>
      <c r="B12" s="29"/>
      <c r="C12" s="60"/>
      <c r="D12" s="60"/>
      <c r="E12" s="30" t="s">
        <v>3959</v>
      </c>
      <c r="F12" s="30"/>
      <c r="G12" s="30"/>
      <c r="H12" s="30"/>
      <c r="I12" s="30"/>
      <c r="J12" s="30"/>
      <c r="K12" s="30"/>
      <c r="L12" s="30"/>
      <c r="M12" s="30"/>
      <c r="N12" s="30"/>
      <c r="O12" s="30"/>
      <c r="P12" s="30"/>
      <c r="Q12" s="30"/>
      <c r="R12" s="30"/>
      <c r="S12" s="60"/>
      <c r="T12" s="60"/>
      <c r="U12" s="60"/>
      <c r="V12" s="48"/>
      <c r="W12" s="29"/>
      <c r="X12" s="29"/>
      <c r="Y12" s="29"/>
      <c r="Z12" s="29"/>
      <c r="AA12" s="29"/>
      <c r="AB12" s="29"/>
      <c r="AC12" s="29"/>
      <c r="AD12" s="29"/>
      <c r="AE12" s="29"/>
      <c r="AF12" s="29"/>
      <c r="AG12" s="29"/>
      <c r="AH12" s="29"/>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c r="CN12" s="29"/>
      <c r="CO12" s="29"/>
      <c r="CP12" s="29"/>
      <c r="CQ12" s="29"/>
      <c r="CR12" s="29"/>
      <c r="CS12" s="29"/>
      <c r="CT12" s="29"/>
      <c r="CU12" s="29"/>
      <c r="CV12" s="48"/>
      <c r="CW12" s="29"/>
      <c r="CX12" s="29"/>
      <c r="CY12" s="29"/>
      <c r="CZ12" s="1"/>
      <c r="DA12" s="1"/>
      <c r="DB12" s="27" t="s">
        <v>43</v>
      </c>
      <c r="DC12" s="1"/>
      <c r="DD12" s="1"/>
      <c r="DE12" s="1"/>
      <c r="DF12" s="1"/>
      <c r="DG12" s="1"/>
      <c r="DH12" s="1"/>
      <c r="DI12" s="1"/>
      <c r="DJ12" s="1"/>
      <c r="DK12" s="1"/>
      <c r="DL12" s="1"/>
    </row>
    <row r="13" spans="1:116" ht="18.75" x14ac:dyDescent="0.25">
      <c r="A13" s="29"/>
      <c r="B13" s="29">
        <v>0</v>
      </c>
      <c r="C13" s="29">
        <v>0</v>
      </c>
      <c r="D13" s="29"/>
      <c r="E13" s="117" t="s">
        <v>17</v>
      </c>
      <c r="F13" s="118"/>
      <c r="G13" s="117" t="s">
        <v>3646</v>
      </c>
      <c r="H13" s="118"/>
      <c r="I13" s="117" t="s">
        <v>3647</v>
      </c>
      <c r="J13" s="118"/>
      <c r="K13" s="117" t="s">
        <v>2952</v>
      </c>
      <c r="L13" s="118"/>
      <c r="M13" s="117" t="s">
        <v>3649</v>
      </c>
      <c r="N13" s="118"/>
      <c r="O13" s="117" t="s">
        <v>3628</v>
      </c>
      <c r="P13" s="118"/>
      <c r="Q13" s="117" t="s">
        <v>3648</v>
      </c>
      <c r="R13" s="118"/>
      <c r="S13" s="60"/>
      <c r="T13" s="60"/>
      <c r="U13" s="60"/>
      <c r="V13" s="48"/>
      <c r="W13" s="29"/>
      <c r="X13" s="29"/>
      <c r="Y13" s="29"/>
      <c r="Z13" s="29"/>
      <c r="AA13" s="29"/>
      <c r="AB13" s="29"/>
      <c r="AC13" s="29"/>
      <c r="AD13" s="29"/>
      <c r="AE13" s="29"/>
      <c r="AF13" s="29"/>
      <c r="AG13" s="29"/>
      <c r="AH13" s="29"/>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48"/>
      <c r="CW13" s="29"/>
      <c r="CX13" s="29"/>
      <c r="CY13" s="29"/>
      <c r="CZ13" s="1"/>
      <c r="DA13" s="21" t="s">
        <v>42</v>
      </c>
      <c r="DB13" s="28" t="e">
        <f ca="1">_xlfn.XLOOKUP(B14,#REF!,#REF!,0,0)</f>
        <v>#NAME?</v>
      </c>
      <c r="DC13" s="1"/>
      <c r="DD13" s="1"/>
      <c r="DE13" s="1"/>
      <c r="DF13" s="1"/>
      <c r="DG13" s="1"/>
      <c r="DH13" s="1"/>
      <c r="DI13" s="1"/>
      <c r="DJ13" s="1"/>
      <c r="DK13" s="1"/>
      <c r="DL13" s="1"/>
    </row>
    <row r="14" spans="1:116" ht="18.75" x14ac:dyDescent="0.25">
      <c r="A14" s="29"/>
      <c r="B14" s="14">
        <f>SUBTOTAL(4,D17:D366)</f>
        <v>0</v>
      </c>
      <c r="C14" s="14">
        <v>0</v>
      </c>
      <c r="D14" s="29"/>
      <c r="E14" s="104" t="s">
        <v>3650</v>
      </c>
      <c r="F14" s="104" t="s">
        <v>3651</v>
      </c>
      <c r="G14" s="104" t="s">
        <v>3650</v>
      </c>
      <c r="H14" s="104" t="s">
        <v>3651</v>
      </c>
      <c r="I14" s="104" t="s">
        <v>3650</v>
      </c>
      <c r="J14" s="104" t="s">
        <v>3651</v>
      </c>
      <c r="K14" s="104" t="s">
        <v>3650</v>
      </c>
      <c r="L14" s="104" t="s">
        <v>3651</v>
      </c>
      <c r="M14" s="104" t="s">
        <v>3650</v>
      </c>
      <c r="N14" s="104" t="s">
        <v>3651</v>
      </c>
      <c r="O14" s="104" t="s">
        <v>3650</v>
      </c>
      <c r="P14" s="104" t="s">
        <v>3651</v>
      </c>
      <c r="Q14" s="104" t="s">
        <v>3650</v>
      </c>
      <c r="R14" s="104" t="s">
        <v>3651</v>
      </c>
      <c r="S14" s="60"/>
      <c r="T14" s="60"/>
      <c r="U14" s="60"/>
      <c r="V14" s="48"/>
      <c r="W14" s="29"/>
      <c r="X14" s="29"/>
      <c r="Y14" s="29"/>
      <c r="Z14" s="29"/>
      <c r="AA14" s="29"/>
      <c r="AB14" s="29"/>
      <c r="AC14" s="29"/>
      <c r="AD14" s="29"/>
      <c r="AE14" s="29"/>
      <c r="AF14" s="29"/>
      <c r="AG14" s="29"/>
      <c r="AH14" s="29"/>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47"/>
      <c r="CI14" s="29"/>
      <c r="CJ14" s="29"/>
      <c r="CK14" s="29"/>
      <c r="CL14" s="29"/>
      <c r="CM14" s="29"/>
      <c r="CN14" s="29"/>
      <c r="CO14" s="29"/>
      <c r="CP14" s="29"/>
      <c r="CQ14" s="29"/>
      <c r="CR14" s="29"/>
      <c r="CS14" s="29"/>
      <c r="CT14" s="29"/>
      <c r="CU14" s="29"/>
      <c r="CV14" s="48"/>
      <c r="CW14" s="29"/>
      <c r="CX14" s="29"/>
      <c r="CY14" s="29"/>
      <c r="CZ14" s="1"/>
      <c r="DA14" s="21" t="s">
        <v>41</v>
      </c>
      <c r="DB14" s="28" t="e">
        <f ca="1">_xlfn.XLOOKUP(B14,#REF!,#REF!,0,0)</f>
        <v>#NAME?</v>
      </c>
      <c r="DC14" s="1"/>
      <c r="DD14" s="1"/>
      <c r="DE14" s="1"/>
      <c r="DF14" s="1"/>
      <c r="DG14" s="1"/>
      <c r="DH14" s="1"/>
      <c r="DI14" s="1"/>
      <c r="DJ14" s="1"/>
      <c r="DK14" s="1"/>
      <c r="DL14" s="1"/>
    </row>
    <row r="15" spans="1:116" ht="15.75" x14ac:dyDescent="0.25">
      <c r="A15" s="29"/>
      <c r="B15" s="29"/>
      <c r="C15" s="29"/>
      <c r="D15" s="29"/>
      <c r="E15" s="91">
        <v>0</v>
      </c>
      <c r="F15" s="90">
        <v>0</v>
      </c>
      <c r="G15" s="87">
        <v>0</v>
      </c>
      <c r="H15" s="88">
        <v>0</v>
      </c>
      <c r="I15" s="87">
        <v>0</v>
      </c>
      <c r="J15" s="88">
        <v>0</v>
      </c>
      <c r="K15" s="89"/>
      <c r="L15" s="89"/>
      <c r="M15" s="89"/>
      <c r="N15" s="89"/>
      <c r="O15" s="89"/>
      <c r="P15" s="89"/>
      <c r="Q15" s="89">
        <v>0</v>
      </c>
      <c r="R15" s="89">
        <v>0</v>
      </c>
      <c r="S15" s="60"/>
      <c r="T15" s="60"/>
      <c r="U15" s="60"/>
      <c r="W15" s="114" t="s">
        <v>59</v>
      </c>
      <c r="X15" s="114"/>
      <c r="Y15" s="114"/>
      <c r="Z15" s="114"/>
      <c r="AA15" s="114"/>
      <c r="AB15" s="114"/>
      <c r="AC15" s="114"/>
      <c r="AD15" s="114"/>
      <c r="AE15" s="114"/>
      <c r="AF15" s="114"/>
      <c r="AG15" s="114"/>
      <c r="AH15" s="114"/>
      <c r="AI15" s="115" t="s">
        <v>45</v>
      </c>
      <c r="AJ15" s="115"/>
      <c r="AK15" s="115"/>
      <c r="AL15" s="115"/>
      <c r="AM15" s="115"/>
      <c r="AN15" s="115"/>
      <c r="AO15" s="115"/>
      <c r="AP15" s="115"/>
      <c r="AQ15" s="115"/>
      <c r="AR15" s="115"/>
      <c r="AS15" s="115"/>
      <c r="AT15" s="115"/>
      <c r="AU15" s="116" t="s">
        <v>46</v>
      </c>
      <c r="AV15" s="116"/>
      <c r="AW15" s="116"/>
      <c r="AX15" s="116"/>
      <c r="AY15" s="116"/>
      <c r="AZ15" s="116"/>
      <c r="BA15" s="116"/>
      <c r="BB15" s="116"/>
      <c r="BC15" s="116"/>
      <c r="BD15" s="116"/>
      <c r="BE15" s="116"/>
      <c r="BF15" s="116"/>
      <c r="BG15" s="29"/>
      <c r="BH15" s="114" t="s">
        <v>74</v>
      </c>
      <c r="BI15" s="114"/>
      <c r="BJ15" s="114"/>
      <c r="BK15" s="114"/>
      <c r="BL15" s="114"/>
      <c r="BM15" s="114"/>
      <c r="BN15" s="114"/>
      <c r="BO15" s="114"/>
      <c r="BP15" s="114"/>
      <c r="BQ15" s="114"/>
      <c r="BR15" s="114"/>
      <c r="BS15" s="114"/>
      <c r="BT15" s="29"/>
      <c r="BU15" s="112" t="s">
        <v>75</v>
      </c>
      <c r="BV15" s="112"/>
      <c r="BW15" s="112"/>
      <c r="BX15" s="112"/>
      <c r="BY15" s="112"/>
      <c r="BZ15" s="112"/>
      <c r="CA15" s="112"/>
      <c r="CB15" s="112"/>
      <c r="CC15" s="112"/>
      <c r="CD15" s="112"/>
      <c r="CE15" s="112"/>
      <c r="CF15" s="112"/>
      <c r="CG15" s="29"/>
      <c r="CH15" s="113" t="s">
        <v>61</v>
      </c>
      <c r="CI15" s="29"/>
      <c r="CJ15" s="111" t="s">
        <v>76</v>
      </c>
      <c r="CK15" s="111"/>
      <c r="CL15" s="111"/>
      <c r="CM15" s="111"/>
      <c r="CN15" s="111"/>
      <c r="CO15" s="111"/>
      <c r="CP15" s="111"/>
      <c r="CQ15" s="111"/>
      <c r="CR15" s="111"/>
      <c r="CS15" s="111"/>
      <c r="CT15" s="111"/>
      <c r="CU15" s="111"/>
      <c r="CV15" s="49" t="s">
        <v>76</v>
      </c>
      <c r="CW15" s="29"/>
      <c r="CX15" s="29"/>
      <c r="CY15" s="29"/>
      <c r="CZ15" s="1"/>
      <c r="DA15" s="1"/>
      <c r="DB15" s="1"/>
      <c r="DC15" s="1"/>
      <c r="DD15" s="1"/>
      <c r="DE15" s="1"/>
      <c r="DF15" s="1"/>
      <c r="DG15" s="1"/>
      <c r="DH15" s="1"/>
      <c r="DI15" s="1"/>
      <c r="DJ15" s="1"/>
      <c r="DK15" s="1"/>
      <c r="DL15" s="1"/>
    </row>
    <row r="16" spans="1:116" ht="15.75" x14ac:dyDescent="0.25">
      <c r="A16" s="1" t="s">
        <v>26</v>
      </c>
      <c r="B16" s="1" t="s">
        <v>27</v>
      </c>
      <c r="C16" s="1" t="s">
        <v>16</v>
      </c>
      <c r="D16" s="1" t="s">
        <v>28</v>
      </c>
      <c r="E16" s="19" t="s">
        <v>29</v>
      </c>
      <c r="F16" s="1" t="s">
        <v>30</v>
      </c>
      <c r="G16" s="2" t="s">
        <v>0</v>
      </c>
      <c r="H16" s="2" t="s">
        <v>1</v>
      </c>
      <c r="I16" s="2" t="s">
        <v>2</v>
      </c>
      <c r="J16" s="2" t="s">
        <v>3</v>
      </c>
      <c r="K16" s="2" t="s">
        <v>4</v>
      </c>
      <c r="L16" s="2" t="s">
        <v>5</v>
      </c>
      <c r="M16" s="2" t="s">
        <v>6</v>
      </c>
      <c r="N16" s="2" t="s">
        <v>7</v>
      </c>
      <c r="O16" s="2" t="s">
        <v>8</v>
      </c>
      <c r="P16" s="2" t="s">
        <v>9</v>
      </c>
      <c r="Q16" s="2" t="s">
        <v>10</v>
      </c>
      <c r="R16" s="2" t="s">
        <v>11</v>
      </c>
      <c r="S16" s="2" t="s">
        <v>12</v>
      </c>
      <c r="T16" s="2" t="s">
        <v>25</v>
      </c>
      <c r="U16" s="43" t="s">
        <v>30</v>
      </c>
      <c r="V16" s="49" t="s">
        <v>76</v>
      </c>
      <c r="W16" s="34" t="s">
        <v>47</v>
      </c>
      <c r="X16" s="34" t="s">
        <v>48</v>
      </c>
      <c r="Y16" s="34" t="s">
        <v>49</v>
      </c>
      <c r="Z16" s="34" t="s">
        <v>50</v>
      </c>
      <c r="AA16" s="34" t="s">
        <v>51</v>
      </c>
      <c r="AB16" s="34" t="s">
        <v>52</v>
      </c>
      <c r="AC16" s="34" t="s">
        <v>53</v>
      </c>
      <c r="AD16" s="34" t="s">
        <v>54</v>
      </c>
      <c r="AE16" s="34" t="s">
        <v>55</v>
      </c>
      <c r="AF16" s="34" t="s">
        <v>56</v>
      </c>
      <c r="AG16" s="34" t="s">
        <v>57</v>
      </c>
      <c r="AH16" s="34" t="s">
        <v>58</v>
      </c>
      <c r="AI16" s="38" t="s">
        <v>47</v>
      </c>
      <c r="AJ16" s="38" t="s">
        <v>48</v>
      </c>
      <c r="AK16" s="38" t="s">
        <v>49</v>
      </c>
      <c r="AL16" s="38" t="s">
        <v>50</v>
      </c>
      <c r="AM16" s="38" t="s">
        <v>51</v>
      </c>
      <c r="AN16" s="38" t="s">
        <v>52</v>
      </c>
      <c r="AO16" s="38" t="s">
        <v>53</v>
      </c>
      <c r="AP16" s="38" t="s">
        <v>54</v>
      </c>
      <c r="AQ16" s="38" t="s">
        <v>55</v>
      </c>
      <c r="AR16" s="38" t="s">
        <v>56</v>
      </c>
      <c r="AS16" s="38" t="s">
        <v>57</v>
      </c>
      <c r="AT16" s="38" t="s">
        <v>58</v>
      </c>
      <c r="AU16" s="40" t="s">
        <v>47</v>
      </c>
      <c r="AV16" s="40" t="s">
        <v>48</v>
      </c>
      <c r="AW16" s="40" t="s">
        <v>49</v>
      </c>
      <c r="AX16" s="40" t="s">
        <v>50</v>
      </c>
      <c r="AY16" s="40" t="s">
        <v>51</v>
      </c>
      <c r="AZ16" s="40" t="s">
        <v>52</v>
      </c>
      <c r="BA16" s="40" t="s">
        <v>53</v>
      </c>
      <c r="BB16" s="40" t="s">
        <v>54</v>
      </c>
      <c r="BC16" s="40" t="s">
        <v>55</v>
      </c>
      <c r="BD16" s="40" t="s">
        <v>56</v>
      </c>
      <c r="BE16" s="40" t="s">
        <v>57</v>
      </c>
      <c r="BF16" s="40" t="s">
        <v>58</v>
      </c>
      <c r="BG16" s="29"/>
      <c r="BH16" s="34" t="s">
        <v>47</v>
      </c>
      <c r="BI16" s="34" t="s">
        <v>48</v>
      </c>
      <c r="BJ16" s="34" t="s">
        <v>49</v>
      </c>
      <c r="BK16" s="34" t="s">
        <v>50</v>
      </c>
      <c r="BL16" s="34" t="s">
        <v>51</v>
      </c>
      <c r="BM16" s="34" t="s">
        <v>52</v>
      </c>
      <c r="BN16" s="34" t="s">
        <v>53</v>
      </c>
      <c r="BO16" s="34" t="s">
        <v>54</v>
      </c>
      <c r="BP16" s="34" t="s">
        <v>55</v>
      </c>
      <c r="BQ16" s="34" t="s">
        <v>56</v>
      </c>
      <c r="BR16" s="34" t="s">
        <v>57</v>
      </c>
      <c r="BS16" s="34" t="s">
        <v>58</v>
      </c>
      <c r="BT16" s="29"/>
      <c r="BU16" s="103" t="s">
        <v>47</v>
      </c>
      <c r="BV16" s="103" t="s">
        <v>48</v>
      </c>
      <c r="BW16" s="103" t="s">
        <v>49</v>
      </c>
      <c r="BX16" s="103" t="s">
        <v>50</v>
      </c>
      <c r="BY16" s="103" t="s">
        <v>51</v>
      </c>
      <c r="BZ16" s="103" t="s">
        <v>52</v>
      </c>
      <c r="CA16" s="103" t="s">
        <v>53</v>
      </c>
      <c r="CB16" s="103" t="s">
        <v>54</v>
      </c>
      <c r="CC16" s="103" t="s">
        <v>55</v>
      </c>
      <c r="CD16" s="103" t="s">
        <v>56</v>
      </c>
      <c r="CE16" s="103" t="s">
        <v>57</v>
      </c>
      <c r="CF16" s="103" t="s">
        <v>58</v>
      </c>
      <c r="CG16" s="29"/>
      <c r="CH16" s="113"/>
      <c r="CI16" s="29"/>
      <c r="CJ16" s="42" t="s">
        <v>47</v>
      </c>
      <c r="CK16" s="42" t="s">
        <v>48</v>
      </c>
      <c r="CL16" s="42" t="s">
        <v>49</v>
      </c>
      <c r="CM16" s="42" t="s">
        <v>50</v>
      </c>
      <c r="CN16" s="42" t="s">
        <v>51</v>
      </c>
      <c r="CO16" s="42" t="s">
        <v>52</v>
      </c>
      <c r="CP16" s="42" t="s">
        <v>53</v>
      </c>
      <c r="CQ16" s="42" t="s">
        <v>54</v>
      </c>
      <c r="CR16" s="42" t="s">
        <v>55</v>
      </c>
      <c r="CS16" s="42" t="s">
        <v>56</v>
      </c>
      <c r="CT16" s="42" t="s">
        <v>57</v>
      </c>
      <c r="CU16" s="42" t="s">
        <v>58</v>
      </c>
      <c r="CV16" s="49" t="s">
        <v>63</v>
      </c>
      <c r="CW16" s="29"/>
      <c r="CX16" s="29"/>
      <c r="CY16" s="29"/>
      <c r="CZ16" s="1"/>
      <c r="DA16" s="1"/>
      <c r="DB16" s="1"/>
      <c r="DC16" s="1"/>
      <c r="DD16" s="1"/>
      <c r="DE16" s="1"/>
      <c r="DF16" s="1"/>
      <c r="DG16" s="1"/>
      <c r="DH16" s="1"/>
      <c r="DI16" s="1"/>
      <c r="DJ16" s="1"/>
      <c r="DK16" s="1"/>
      <c r="DL16" s="1"/>
    </row>
    <row r="17" spans="1:116" ht="15.75" hidden="1" x14ac:dyDescent="0.25">
      <c r="A17" s="16"/>
      <c r="B17" s="44"/>
      <c r="C17" s="44"/>
      <c r="D17" s="44"/>
      <c r="E17" s="44"/>
      <c r="F17" s="45" t="s">
        <v>17</v>
      </c>
      <c r="G17" s="70">
        <v>19.96</v>
      </c>
      <c r="H17" s="70">
        <v>56.89</v>
      </c>
      <c r="I17" s="62">
        <v>17.55</v>
      </c>
      <c r="J17" s="62">
        <v>15.05</v>
      </c>
      <c r="K17" s="62">
        <v>16.93</v>
      </c>
      <c r="L17" s="62">
        <v>25.7</v>
      </c>
      <c r="M17" s="62">
        <v>24.64</v>
      </c>
      <c r="N17" s="62">
        <v>45.91</v>
      </c>
      <c r="O17" s="62">
        <v>45.91</v>
      </c>
      <c r="P17" s="63">
        <v>40.17</v>
      </c>
      <c r="Q17" s="63">
        <v>40.17</v>
      </c>
      <c r="R17" s="63">
        <v>22.96</v>
      </c>
      <c r="S17" s="6">
        <f t="shared" ref="S17:S73" si="1">SUM(G17:R17)</f>
        <v>371.84</v>
      </c>
      <c r="T17" s="8">
        <f>IFERROR(((S17-S42)/S42),0)</f>
        <v>5.256602598578989E-2</v>
      </c>
      <c r="U17" s="13" t="s">
        <v>2952</v>
      </c>
      <c r="V17" s="50">
        <f>CV17</f>
        <v>323875</v>
      </c>
      <c r="W17" s="36">
        <v>3.766</v>
      </c>
      <c r="X17" s="36">
        <v>3.766</v>
      </c>
      <c r="Y17" s="36">
        <v>3.766</v>
      </c>
      <c r="Z17" s="36">
        <v>3.766</v>
      </c>
      <c r="AA17" s="36">
        <v>3.766</v>
      </c>
      <c r="AB17" s="36">
        <v>3.766</v>
      </c>
      <c r="AC17" s="36">
        <v>3.766</v>
      </c>
      <c r="AD17" s="36">
        <v>3.766</v>
      </c>
      <c r="AE17" s="36">
        <v>3.766</v>
      </c>
      <c r="AF17" s="36">
        <v>3.766</v>
      </c>
      <c r="AG17" s="36">
        <v>3.766</v>
      </c>
      <c r="AH17" s="36">
        <v>3.766</v>
      </c>
      <c r="AI17" s="39">
        <v>1.33634708931066E-2</v>
      </c>
      <c r="AJ17" s="39">
        <v>1.33634708931066E-2</v>
      </c>
      <c r="AK17" s="39">
        <v>1.33634708931066E-2</v>
      </c>
      <c r="AL17" s="39">
        <v>1.33634708931066E-2</v>
      </c>
      <c r="AM17" s="39">
        <v>1.33634708931066E-2</v>
      </c>
      <c r="AN17" s="39">
        <v>1.33634708931066E-2</v>
      </c>
      <c r="AO17" s="39">
        <v>1.33634708931066E-2</v>
      </c>
      <c r="AP17" s="39">
        <v>1.33634708931066E-2</v>
      </c>
      <c r="AQ17" s="39">
        <v>1.33634708931066E-2</v>
      </c>
      <c r="AR17" s="39">
        <v>1.33634708931066E-2</v>
      </c>
      <c r="AS17" s="39">
        <v>1.33634708931066E-2</v>
      </c>
      <c r="AT17" s="39">
        <v>1.33634708931066E-2</v>
      </c>
      <c r="AU17" s="39">
        <v>1.2392217523121999E-3</v>
      </c>
      <c r="AV17" s="39">
        <v>1.2392217523121999E-3</v>
      </c>
      <c r="AW17" s="39">
        <v>1.2392217523121999E-3</v>
      </c>
      <c r="AX17" s="39">
        <v>1.2392217523121999E-3</v>
      </c>
      <c r="AY17" s="39">
        <v>1.2392217523121999E-3</v>
      </c>
      <c r="AZ17" s="39">
        <v>1.2392217523121999E-3</v>
      </c>
      <c r="BA17" s="39">
        <v>1.2392217523121999E-3</v>
      </c>
      <c r="BB17" s="39">
        <v>1.2392217523121999E-3</v>
      </c>
      <c r="BC17" s="39">
        <v>1.2392217523121999E-3</v>
      </c>
      <c r="BD17" s="39">
        <v>1.2392217523121999E-3</v>
      </c>
      <c r="BE17" s="39">
        <v>1.2392217523121999E-3</v>
      </c>
      <c r="BF17" s="39">
        <v>1.2392217523121999E-3</v>
      </c>
      <c r="BG17" s="1"/>
      <c r="BH17" s="12">
        <f>G17*$CH17</f>
        <v>64.530680000000004</v>
      </c>
      <c r="BI17" s="12">
        <f t="shared" ref="BI17:BS17" si="2">H17*$CH17</f>
        <v>183.92537000000002</v>
      </c>
      <c r="BJ17" s="12">
        <f t="shared" si="2"/>
        <v>56.739150000000002</v>
      </c>
      <c r="BK17" s="12">
        <f t="shared" si="2"/>
        <v>48.656650000000006</v>
      </c>
      <c r="BL17" s="12">
        <f t="shared" si="2"/>
        <v>54.734690000000001</v>
      </c>
      <c r="BM17" s="12">
        <f t="shared" si="2"/>
        <v>83.088099999999997</v>
      </c>
      <c r="BN17" s="12">
        <f t="shared" si="2"/>
        <v>79.661120000000011</v>
      </c>
      <c r="BO17" s="12">
        <f t="shared" si="2"/>
        <v>148.42703</v>
      </c>
      <c r="BP17" s="12">
        <f t="shared" si="2"/>
        <v>148.42703</v>
      </c>
      <c r="BQ17" s="12">
        <f t="shared" si="2"/>
        <v>129.86961000000002</v>
      </c>
      <c r="BR17" s="12">
        <f t="shared" si="2"/>
        <v>129.86961000000002</v>
      </c>
      <c r="BS17" s="12">
        <f t="shared" si="2"/>
        <v>74.229680000000002</v>
      </c>
      <c r="BT17" s="1"/>
      <c r="BU17" s="11">
        <f>BH17*(1+(AI17+AU17))</f>
        <v>65.473001686239883</v>
      </c>
      <c r="BV17" s="11">
        <f t="shared" ref="BV17:CF17" si="3">BI17*(1+(AJ17+AV17))</f>
        <v>186.61117564780494</v>
      </c>
      <c r="BW17" s="11">
        <f t="shared" si="3"/>
        <v>57.567694368412319</v>
      </c>
      <c r="BX17" s="11">
        <f t="shared" si="3"/>
        <v>49.367168105105726</v>
      </c>
      <c r="BY17" s="11">
        <f t="shared" si="3"/>
        <v>55.533963855112276</v>
      </c>
      <c r="BZ17" s="11">
        <f t="shared" si="3"/>
        <v>84.301409986791825</v>
      </c>
      <c r="CA17" s="11">
        <f t="shared" si="3"/>
        <v>80.824386851149839</v>
      </c>
      <c r="CB17" s="11">
        <f t="shared" si="3"/>
        <v>150.59446429936236</v>
      </c>
      <c r="CC17" s="11">
        <f t="shared" si="3"/>
        <v>150.59446429936236</v>
      </c>
      <c r="CD17" s="11">
        <f t="shared" si="3"/>
        <v>131.76605599881043</v>
      </c>
      <c r="CE17" s="11">
        <f t="shared" si="3"/>
        <v>131.76605599881043</v>
      </c>
      <c r="CF17" s="11">
        <f t="shared" si="3"/>
        <v>75.313633202207797</v>
      </c>
      <c r="CG17" s="11"/>
      <c r="CH17" s="69">
        <v>3.2330000000000001</v>
      </c>
      <c r="CI17" s="1"/>
      <c r="CJ17" s="53">
        <f>IFERROR(ROUND((BU17*1000)/W17,),0)</f>
        <v>17385</v>
      </c>
      <c r="CK17" s="53">
        <f t="shared" ref="CK17:CU17" si="4">IFERROR(ROUND((BV17*1000)/X17,),0)</f>
        <v>49552</v>
      </c>
      <c r="CL17" s="53">
        <f t="shared" si="4"/>
        <v>15286</v>
      </c>
      <c r="CM17" s="53">
        <f t="shared" si="4"/>
        <v>13109</v>
      </c>
      <c r="CN17" s="53">
        <f t="shared" si="4"/>
        <v>14746</v>
      </c>
      <c r="CO17" s="53">
        <f t="shared" si="4"/>
        <v>22385</v>
      </c>
      <c r="CP17" s="53">
        <f t="shared" si="4"/>
        <v>21462</v>
      </c>
      <c r="CQ17" s="53">
        <f t="shared" si="4"/>
        <v>39988</v>
      </c>
      <c r="CR17" s="53">
        <f t="shared" si="4"/>
        <v>39988</v>
      </c>
      <c r="CS17" s="53">
        <f t="shared" si="4"/>
        <v>34988</v>
      </c>
      <c r="CT17" s="53">
        <f t="shared" si="4"/>
        <v>34988</v>
      </c>
      <c r="CU17" s="53">
        <f t="shared" si="4"/>
        <v>19998</v>
      </c>
      <c r="CV17" s="53">
        <f>ROUNDUP(SUM(CJ17:CU17),0)</f>
        <v>323875</v>
      </c>
      <c r="CW17" s="1"/>
      <c r="CX17" s="1"/>
      <c r="CY17" s="1"/>
      <c r="CZ17" s="1"/>
      <c r="DA17" s="1"/>
      <c r="DB17" s="1"/>
      <c r="DC17" s="1"/>
      <c r="DD17" s="1"/>
      <c r="DE17" s="1"/>
      <c r="DF17" s="1"/>
      <c r="DG17" s="1"/>
      <c r="DH17" s="1"/>
      <c r="DI17" s="1"/>
      <c r="DJ17" s="1"/>
      <c r="DK17" s="1"/>
      <c r="DL17" s="1"/>
    </row>
    <row r="18" spans="1:116" ht="15.75" hidden="1" x14ac:dyDescent="0.25">
      <c r="A18" s="16"/>
      <c r="B18" s="44"/>
      <c r="C18" s="44"/>
      <c r="D18" s="44"/>
      <c r="E18" s="44"/>
      <c r="F18" s="45" t="s">
        <v>17</v>
      </c>
      <c r="G18" s="70">
        <v>26.44</v>
      </c>
      <c r="H18" s="70">
        <v>0</v>
      </c>
      <c r="I18" s="63">
        <v>0</v>
      </c>
      <c r="J18" s="63">
        <v>0</v>
      </c>
      <c r="K18" s="63">
        <v>0</v>
      </c>
      <c r="L18" s="63">
        <v>0</v>
      </c>
      <c r="M18" s="63">
        <v>0</v>
      </c>
      <c r="N18" s="63">
        <v>0</v>
      </c>
      <c r="O18" s="63">
        <v>0</v>
      </c>
      <c r="P18" s="63">
        <v>0</v>
      </c>
      <c r="Q18" s="63">
        <v>0</v>
      </c>
      <c r="R18" s="63">
        <v>0</v>
      </c>
      <c r="S18" s="11">
        <f t="shared" si="1"/>
        <v>26.44</v>
      </c>
      <c r="T18" s="8">
        <f t="shared" ref="T18:T41" si="5">IFERROR(((S18-S43)/S43),0)</f>
        <v>-0.95586787067483425</v>
      </c>
      <c r="U18" s="13" t="s">
        <v>2952</v>
      </c>
      <c r="V18" s="50">
        <f t="shared" ref="V18:V106" si="6">CV18</f>
        <v>92265</v>
      </c>
      <c r="W18" s="36">
        <v>0.94</v>
      </c>
      <c r="X18" s="36">
        <v>0.94</v>
      </c>
      <c r="Y18" s="36">
        <v>0.94</v>
      </c>
      <c r="Z18" s="36">
        <v>0.94</v>
      </c>
      <c r="AA18" s="36">
        <v>0.94</v>
      </c>
      <c r="AB18" s="36">
        <v>0.94</v>
      </c>
      <c r="AC18" s="36">
        <v>0.94</v>
      </c>
      <c r="AD18" s="36">
        <v>0.94</v>
      </c>
      <c r="AE18" s="36">
        <v>0.94</v>
      </c>
      <c r="AF18" s="36">
        <v>0.94</v>
      </c>
      <c r="AG18" s="36">
        <v>0.94</v>
      </c>
      <c r="AH18" s="36">
        <v>0.94</v>
      </c>
      <c r="AI18" s="39">
        <v>1.33634708931066E-2</v>
      </c>
      <c r="AJ18" s="39">
        <v>1.33634708931066E-2</v>
      </c>
      <c r="AK18" s="39">
        <v>1.33634708931066E-2</v>
      </c>
      <c r="AL18" s="39">
        <v>1.33634708931066E-2</v>
      </c>
      <c r="AM18" s="39">
        <v>1.33634708931066E-2</v>
      </c>
      <c r="AN18" s="39">
        <v>1.33634708931066E-2</v>
      </c>
      <c r="AO18" s="39">
        <v>1.33634708931066E-2</v>
      </c>
      <c r="AP18" s="39">
        <v>1.33634708931066E-2</v>
      </c>
      <c r="AQ18" s="39">
        <v>1.33634708931066E-2</v>
      </c>
      <c r="AR18" s="39">
        <v>1.33634708931066E-2</v>
      </c>
      <c r="AS18" s="39">
        <v>1.33634708931066E-2</v>
      </c>
      <c r="AT18" s="39">
        <v>1.33634708931066E-2</v>
      </c>
      <c r="AU18" s="39">
        <v>1.2392217523121999E-3</v>
      </c>
      <c r="AV18" s="39">
        <v>1.2392217523121999E-3</v>
      </c>
      <c r="AW18" s="39">
        <v>1.2392217523121999E-3</v>
      </c>
      <c r="AX18" s="39">
        <v>1.2392217523121999E-3</v>
      </c>
      <c r="AY18" s="39">
        <v>1.2392217523121999E-3</v>
      </c>
      <c r="AZ18" s="39">
        <v>1.2392217523121999E-3</v>
      </c>
      <c r="BA18" s="39">
        <v>1.2392217523121999E-3</v>
      </c>
      <c r="BB18" s="39">
        <v>1.2392217523121999E-3</v>
      </c>
      <c r="BC18" s="39">
        <v>1.2392217523121999E-3</v>
      </c>
      <c r="BD18" s="39">
        <v>1.2392217523121999E-3</v>
      </c>
      <c r="BE18" s="39">
        <v>1.2392217523121999E-3</v>
      </c>
      <c r="BF18" s="39">
        <v>1.2392217523121999E-3</v>
      </c>
      <c r="BG18" s="1"/>
      <c r="BH18" s="12">
        <f t="shared" ref="BH18:BH81" si="7">G18*$CH18</f>
        <v>85.480520000000013</v>
      </c>
      <c r="BI18" s="12">
        <f t="shared" ref="BI18:BI81" si="8">H18*$CH18</f>
        <v>0</v>
      </c>
      <c r="BJ18" s="12">
        <f t="shared" ref="BJ18:BJ81" si="9">I18*$CH18</f>
        <v>0</v>
      </c>
      <c r="BK18" s="12">
        <f t="shared" ref="BK18:BK81" si="10">J18*$CH18</f>
        <v>0</v>
      </c>
      <c r="BL18" s="12">
        <f t="shared" ref="BL18:BL81" si="11">K18*$CH18</f>
        <v>0</v>
      </c>
      <c r="BM18" s="12">
        <f t="shared" ref="BM18:BM81" si="12">L18*$CH18</f>
        <v>0</v>
      </c>
      <c r="BN18" s="12">
        <f t="shared" ref="BN18:BN81" si="13">M18*$CH18</f>
        <v>0</v>
      </c>
      <c r="BO18" s="12">
        <f t="shared" ref="BO18:BO81" si="14">N18*$CH18</f>
        <v>0</v>
      </c>
      <c r="BP18" s="12">
        <f t="shared" ref="BP18:BP81" si="15">O18*$CH18</f>
        <v>0</v>
      </c>
      <c r="BQ18" s="12">
        <f t="shared" ref="BQ18:BQ81" si="16">P18*$CH18</f>
        <v>0</v>
      </c>
      <c r="BR18" s="12">
        <f t="shared" ref="BR18:BR81" si="17">Q18*$CH18</f>
        <v>0</v>
      </c>
      <c r="BS18" s="12">
        <f t="shared" ref="BS18:BS81" si="18">R18*$CH18</f>
        <v>0</v>
      </c>
      <c r="BT18" s="1"/>
      <c r="BU18" s="11">
        <f t="shared" ref="BU18:BU81" si="19">BH18*(1+(AI18+AU18))</f>
        <v>86.728765760730582</v>
      </c>
      <c r="BV18" s="11">
        <f t="shared" ref="BV18:BV81" si="20">BI18*(1+(AJ18+AV18))</f>
        <v>0</v>
      </c>
      <c r="BW18" s="11">
        <f t="shared" ref="BW18:BW81" si="21">BJ18*(1+(AK18+AW18))</f>
        <v>0</v>
      </c>
      <c r="BX18" s="11">
        <f t="shared" ref="BX18:BX81" si="22">BK18*(1+(AL18+AX18))</f>
        <v>0</v>
      </c>
      <c r="BY18" s="11">
        <f t="shared" ref="BY18:BY81" si="23">BL18*(1+(AM18+AY18))</f>
        <v>0</v>
      </c>
      <c r="BZ18" s="11">
        <f t="shared" ref="BZ18:BZ81" si="24">BM18*(1+(AN18+AZ18))</f>
        <v>0</v>
      </c>
      <c r="CA18" s="11">
        <f t="shared" ref="CA18:CA81" si="25">BN18*(1+(AO18+BA18))</f>
        <v>0</v>
      </c>
      <c r="CB18" s="11">
        <f t="shared" ref="CB18:CB81" si="26">BO18*(1+(AP18+BB18))</f>
        <v>0</v>
      </c>
      <c r="CC18" s="11">
        <f t="shared" ref="CC18:CC81" si="27">BP18*(1+(AQ18+BC18))</f>
        <v>0</v>
      </c>
      <c r="CD18" s="11">
        <f t="shared" ref="CD18:CD81" si="28">BQ18*(1+(AR18+BD18))</f>
        <v>0</v>
      </c>
      <c r="CE18" s="11">
        <f t="shared" ref="CE18:CE81" si="29">BR18*(1+(AS18+BE18))</f>
        <v>0</v>
      </c>
      <c r="CF18" s="11">
        <f t="shared" ref="CF18:CF81" si="30">BS18*(1+(AT18+BF18))</f>
        <v>0</v>
      </c>
      <c r="CG18" s="11"/>
      <c r="CH18" s="41">
        <v>3.2330000000000001</v>
      </c>
      <c r="CI18" s="1"/>
      <c r="CJ18" s="53">
        <f t="shared" ref="CJ18:CJ81" si="31">IFERROR(ROUND((BU18*1000)/W18,),0)</f>
        <v>92265</v>
      </c>
      <c r="CK18" s="53">
        <f t="shared" ref="CK18:CK81" si="32">IFERROR(ROUND((BV18*1000)/X18,),0)</f>
        <v>0</v>
      </c>
      <c r="CL18" s="53">
        <f t="shared" ref="CL18:CL81" si="33">IFERROR(ROUND((BW18*1000)/Y18,),0)</f>
        <v>0</v>
      </c>
      <c r="CM18" s="53">
        <f t="shared" ref="CM18:CM81" si="34">IFERROR(ROUND((BX18*1000)/Z18,),0)</f>
        <v>0</v>
      </c>
      <c r="CN18" s="53">
        <f t="shared" ref="CN18:CN81" si="35">IFERROR(ROUND((BY18*1000)/AA18,),0)</f>
        <v>0</v>
      </c>
      <c r="CO18" s="53">
        <f t="shared" ref="CO18:CO81" si="36">IFERROR(ROUND((BZ18*1000)/AB18,),0)</f>
        <v>0</v>
      </c>
      <c r="CP18" s="53">
        <f t="shared" ref="CP18:CP81" si="37">IFERROR(ROUND((CA18*1000)/AC18,),0)</f>
        <v>0</v>
      </c>
      <c r="CQ18" s="53">
        <f t="shared" ref="CQ18:CQ81" si="38">IFERROR(ROUND((CB18*1000)/AD18,),0)</f>
        <v>0</v>
      </c>
      <c r="CR18" s="53">
        <f t="shared" ref="CR18:CR81" si="39">IFERROR(ROUND((CC18*1000)/AE18,),0)</f>
        <v>0</v>
      </c>
      <c r="CS18" s="53">
        <f t="shared" ref="CS18:CS81" si="40">IFERROR(ROUND((CD18*1000)/AF18,),0)</f>
        <v>0</v>
      </c>
      <c r="CT18" s="53">
        <f t="shared" ref="CT18:CT81" si="41">IFERROR(ROUND((CE18*1000)/AG18,),0)</f>
        <v>0</v>
      </c>
      <c r="CU18" s="53">
        <f t="shared" ref="CU18:CU81" si="42">IFERROR(ROUND((CF18*1000)/AH18,),0)</f>
        <v>0</v>
      </c>
      <c r="CV18" s="53">
        <f t="shared" ref="CV18:CV106" si="43">ROUNDUP(SUM(CJ18:CU18),0)</f>
        <v>92265</v>
      </c>
      <c r="CW18" s="1"/>
      <c r="CX18" s="1"/>
      <c r="CY18" s="1"/>
      <c r="CZ18" s="1"/>
      <c r="DA18" s="1"/>
      <c r="DB18" s="1"/>
      <c r="DC18" s="1"/>
      <c r="DD18" s="1"/>
      <c r="DE18" s="1"/>
      <c r="DF18" s="1"/>
      <c r="DG18" s="1"/>
      <c r="DH18" s="1"/>
      <c r="DI18" s="1"/>
      <c r="DJ18" s="1"/>
      <c r="DK18" s="1"/>
      <c r="DL18" s="1"/>
    </row>
    <row r="19" spans="1:116" ht="15.75" hidden="1" x14ac:dyDescent="0.25">
      <c r="A19" s="16"/>
      <c r="B19" s="44"/>
      <c r="C19" s="44"/>
      <c r="D19" s="44"/>
      <c r="E19" s="44"/>
      <c r="F19" s="45" t="s">
        <v>17</v>
      </c>
      <c r="G19" s="70">
        <v>0</v>
      </c>
      <c r="H19" s="70">
        <v>0</v>
      </c>
      <c r="I19" s="63">
        <v>0</v>
      </c>
      <c r="J19" s="63">
        <v>0</v>
      </c>
      <c r="K19" s="63">
        <v>0</v>
      </c>
      <c r="L19" s="63">
        <v>0</v>
      </c>
      <c r="M19" s="63">
        <v>0</v>
      </c>
      <c r="N19" s="63">
        <v>0</v>
      </c>
      <c r="O19" s="63">
        <v>0</v>
      </c>
      <c r="P19" s="63">
        <v>0</v>
      </c>
      <c r="Q19" s="63">
        <v>0</v>
      </c>
      <c r="R19" s="63">
        <v>0</v>
      </c>
      <c r="S19" s="11">
        <f t="shared" si="1"/>
        <v>0</v>
      </c>
      <c r="T19" s="8">
        <f t="shared" si="5"/>
        <v>0</v>
      </c>
      <c r="U19" s="13" t="s">
        <v>2952</v>
      </c>
      <c r="V19" s="50">
        <f t="shared" si="6"/>
        <v>0</v>
      </c>
      <c r="W19" s="36">
        <v>1.75</v>
      </c>
      <c r="X19" s="36">
        <v>1.75</v>
      </c>
      <c r="Y19" s="36">
        <v>1.75</v>
      </c>
      <c r="Z19" s="36">
        <v>1.75</v>
      </c>
      <c r="AA19" s="36">
        <v>1.75</v>
      </c>
      <c r="AB19" s="36">
        <v>1.75</v>
      </c>
      <c r="AC19" s="36">
        <v>1.75</v>
      </c>
      <c r="AD19" s="36">
        <v>1.75</v>
      </c>
      <c r="AE19" s="36">
        <v>1.75</v>
      </c>
      <c r="AF19" s="36">
        <v>1.75</v>
      </c>
      <c r="AG19" s="36">
        <v>1.75</v>
      </c>
      <c r="AH19" s="36">
        <v>1.75</v>
      </c>
      <c r="AI19" s="39">
        <v>1.33634708931066E-2</v>
      </c>
      <c r="AJ19" s="39">
        <v>1.33634708931066E-2</v>
      </c>
      <c r="AK19" s="39">
        <v>1.33634708931066E-2</v>
      </c>
      <c r="AL19" s="39">
        <v>1.33634708931066E-2</v>
      </c>
      <c r="AM19" s="39">
        <v>1.33634708931066E-2</v>
      </c>
      <c r="AN19" s="39">
        <v>1.33634708931066E-2</v>
      </c>
      <c r="AO19" s="39">
        <v>1.33634708931066E-2</v>
      </c>
      <c r="AP19" s="39">
        <v>1.33634708931066E-2</v>
      </c>
      <c r="AQ19" s="39">
        <v>1.33634708931066E-2</v>
      </c>
      <c r="AR19" s="39">
        <v>1.33634708931066E-2</v>
      </c>
      <c r="AS19" s="39">
        <v>1.33634708931066E-2</v>
      </c>
      <c r="AT19" s="39">
        <v>1.33634708931066E-2</v>
      </c>
      <c r="AU19" s="39">
        <v>1.2392217523121999E-3</v>
      </c>
      <c r="AV19" s="39">
        <v>1.2392217523121999E-3</v>
      </c>
      <c r="AW19" s="39">
        <v>1.2392217523121999E-3</v>
      </c>
      <c r="AX19" s="39">
        <v>1.2392217523121999E-3</v>
      </c>
      <c r="AY19" s="39">
        <v>1.2392217523121999E-3</v>
      </c>
      <c r="AZ19" s="39">
        <v>1.2392217523121999E-3</v>
      </c>
      <c r="BA19" s="39">
        <v>1.2392217523121999E-3</v>
      </c>
      <c r="BB19" s="39">
        <v>1.2392217523121999E-3</v>
      </c>
      <c r="BC19" s="39">
        <v>1.2392217523121999E-3</v>
      </c>
      <c r="BD19" s="39">
        <v>1.2392217523121999E-3</v>
      </c>
      <c r="BE19" s="39">
        <v>1.2392217523121999E-3</v>
      </c>
      <c r="BF19" s="39">
        <v>1.2392217523121999E-3</v>
      </c>
      <c r="BG19" s="1"/>
      <c r="BH19" s="12">
        <f t="shared" si="7"/>
        <v>0</v>
      </c>
      <c r="BI19" s="12">
        <f t="shared" si="8"/>
        <v>0</v>
      </c>
      <c r="BJ19" s="12">
        <f t="shared" si="9"/>
        <v>0</v>
      </c>
      <c r="BK19" s="12">
        <f t="shared" si="10"/>
        <v>0</v>
      </c>
      <c r="BL19" s="12">
        <f t="shared" si="11"/>
        <v>0</v>
      </c>
      <c r="BM19" s="12">
        <f t="shared" si="12"/>
        <v>0</v>
      </c>
      <c r="BN19" s="12">
        <f t="shared" si="13"/>
        <v>0</v>
      </c>
      <c r="BO19" s="12">
        <f t="shared" si="14"/>
        <v>0</v>
      </c>
      <c r="BP19" s="12">
        <f t="shared" si="15"/>
        <v>0</v>
      </c>
      <c r="BQ19" s="12">
        <f t="shared" si="16"/>
        <v>0</v>
      </c>
      <c r="BR19" s="12">
        <f t="shared" si="17"/>
        <v>0</v>
      </c>
      <c r="BS19" s="12">
        <f t="shared" si="18"/>
        <v>0</v>
      </c>
      <c r="BT19" s="1"/>
      <c r="BU19" s="11">
        <f t="shared" si="19"/>
        <v>0</v>
      </c>
      <c r="BV19" s="11">
        <f t="shared" si="20"/>
        <v>0</v>
      </c>
      <c r="BW19" s="11">
        <f t="shared" si="21"/>
        <v>0</v>
      </c>
      <c r="BX19" s="11">
        <f t="shared" si="22"/>
        <v>0</v>
      </c>
      <c r="BY19" s="11">
        <f t="shared" si="23"/>
        <v>0</v>
      </c>
      <c r="BZ19" s="11">
        <f t="shared" si="24"/>
        <v>0</v>
      </c>
      <c r="CA19" s="11">
        <f t="shared" si="25"/>
        <v>0</v>
      </c>
      <c r="CB19" s="11">
        <f t="shared" si="26"/>
        <v>0</v>
      </c>
      <c r="CC19" s="11">
        <f t="shared" si="27"/>
        <v>0</v>
      </c>
      <c r="CD19" s="11">
        <f t="shared" si="28"/>
        <v>0</v>
      </c>
      <c r="CE19" s="11">
        <f t="shared" si="29"/>
        <v>0</v>
      </c>
      <c r="CF19" s="11">
        <f t="shared" si="30"/>
        <v>0</v>
      </c>
      <c r="CG19" s="11"/>
      <c r="CH19" s="41">
        <v>3.2330000000000001</v>
      </c>
      <c r="CI19" s="1"/>
      <c r="CJ19" s="53">
        <f t="shared" si="31"/>
        <v>0</v>
      </c>
      <c r="CK19" s="53">
        <f t="shared" si="32"/>
        <v>0</v>
      </c>
      <c r="CL19" s="53">
        <f t="shared" si="33"/>
        <v>0</v>
      </c>
      <c r="CM19" s="53">
        <f t="shared" si="34"/>
        <v>0</v>
      </c>
      <c r="CN19" s="53">
        <f t="shared" si="35"/>
        <v>0</v>
      </c>
      <c r="CO19" s="53">
        <f t="shared" si="36"/>
        <v>0</v>
      </c>
      <c r="CP19" s="53">
        <f t="shared" si="37"/>
        <v>0</v>
      </c>
      <c r="CQ19" s="53">
        <f t="shared" si="38"/>
        <v>0</v>
      </c>
      <c r="CR19" s="53">
        <f t="shared" si="39"/>
        <v>0</v>
      </c>
      <c r="CS19" s="53">
        <f t="shared" si="40"/>
        <v>0</v>
      </c>
      <c r="CT19" s="53">
        <f t="shared" si="41"/>
        <v>0</v>
      </c>
      <c r="CU19" s="53">
        <f t="shared" si="42"/>
        <v>0</v>
      </c>
      <c r="CV19" s="53">
        <f t="shared" si="43"/>
        <v>0</v>
      </c>
      <c r="CW19" s="1"/>
      <c r="CX19" s="1"/>
      <c r="CY19" s="1"/>
      <c r="CZ19" s="1"/>
      <c r="DA19" s="1"/>
      <c r="DB19" s="1"/>
      <c r="DC19" s="1"/>
      <c r="DD19" s="1"/>
      <c r="DE19" s="1"/>
      <c r="DF19" s="1"/>
      <c r="DG19" s="1"/>
      <c r="DH19" s="1"/>
      <c r="DI19" s="1"/>
      <c r="DJ19" s="1"/>
      <c r="DK19" s="1"/>
      <c r="DL19" s="1"/>
    </row>
    <row r="20" spans="1:116" ht="15.75" hidden="1" x14ac:dyDescent="0.25">
      <c r="A20" s="16"/>
      <c r="B20" s="44"/>
      <c r="C20" s="44"/>
      <c r="D20" s="44"/>
      <c r="E20" s="44"/>
      <c r="F20" s="45" t="s">
        <v>17</v>
      </c>
      <c r="G20" s="70">
        <v>5.86</v>
      </c>
      <c r="H20" s="70">
        <v>17.03</v>
      </c>
      <c r="I20" s="63">
        <v>10.82</v>
      </c>
      <c r="J20" s="63">
        <v>7.21</v>
      </c>
      <c r="K20" s="63">
        <v>5.05</v>
      </c>
      <c r="L20" s="63">
        <v>5.32</v>
      </c>
      <c r="M20" s="63">
        <v>5.32</v>
      </c>
      <c r="N20" s="63">
        <v>8.56</v>
      </c>
      <c r="O20" s="63">
        <v>11.45</v>
      </c>
      <c r="P20" s="63">
        <v>12.26</v>
      </c>
      <c r="Q20" s="63">
        <v>14.43</v>
      </c>
      <c r="R20" s="63">
        <v>10.82</v>
      </c>
      <c r="S20" s="11">
        <f t="shared" si="1"/>
        <v>114.13</v>
      </c>
      <c r="T20" s="8">
        <f t="shared" si="5"/>
        <v>0.86213085332028061</v>
      </c>
      <c r="U20" s="13" t="s">
        <v>2952</v>
      </c>
      <c r="V20" s="50">
        <f t="shared" si="6"/>
        <v>167697</v>
      </c>
      <c r="W20" s="36">
        <v>1.82</v>
      </c>
      <c r="X20" s="36">
        <v>1.82</v>
      </c>
      <c r="Y20" s="36">
        <v>2.367</v>
      </c>
      <c r="Z20" s="36">
        <v>2.367</v>
      </c>
      <c r="AA20" s="36">
        <v>2.367</v>
      </c>
      <c r="AB20" s="36">
        <v>2.367</v>
      </c>
      <c r="AC20" s="36">
        <v>2.367</v>
      </c>
      <c r="AD20" s="36">
        <v>2.367</v>
      </c>
      <c r="AE20" s="36">
        <v>2.367</v>
      </c>
      <c r="AF20" s="36">
        <v>2.367</v>
      </c>
      <c r="AG20" s="36">
        <v>2.367</v>
      </c>
      <c r="AH20" s="36">
        <v>2.367</v>
      </c>
      <c r="AI20" s="39">
        <v>1.33634708931066E-2</v>
      </c>
      <c r="AJ20" s="39">
        <v>1.33634708931066E-2</v>
      </c>
      <c r="AK20" s="39">
        <v>1.33634708931066E-2</v>
      </c>
      <c r="AL20" s="39">
        <v>1.33634708931066E-2</v>
      </c>
      <c r="AM20" s="39">
        <v>1.33634708931066E-2</v>
      </c>
      <c r="AN20" s="39">
        <v>1.33634708931066E-2</v>
      </c>
      <c r="AO20" s="39">
        <v>1.33634708931066E-2</v>
      </c>
      <c r="AP20" s="39">
        <v>1.33634708931066E-2</v>
      </c>
      <c r="AQ20" s="39">
        <v>1.33634708931066E-2</v>
      </c>
      <c r="AR20" s="39">
        <v>1.33634708931066E-2</v>
      </c>
      <c r="AS20" s="39">
        <v>1.33634708931066E-2</v>
      </c>
      <c r="AT20" s="39">
        <v>1.33634708931066E-2</v>
      </c>
      <c r="AU20" s="39">
        <v>1.2392217523121999E-3</v>
      </c>
      <c r="AV20" s="39">
        <v>1.2392217523121999E-3</v>
      </c>
      <c r="AW20" s="39">
        <v>1.2392217523121999E-3</v>
      </c>
      <c r="AX20" s="39">
        <v>1.2392217523121999E-3</v>
      </c>
      <c r="AY20" s="39">
        <v>1.2392217523121999E-3</v>
      </c>
      <c r="AZ20" s="39">
        <v>1.2392217523121999E-3</v>
      </c>
      <c r="BA20" s="39">
        <v>1.2392217523121999E-3</v>
      </c>
      <c r="BB20" s="39">
        <v>1.2392217523121999E-3</v>
      </c>
      <c r="BC20" s="39">
        <v>1.2392217523121999E-3</v>
      </c>
      <c r="BD20" s="39">
        <v>1.2392217523121999E-3</v>
      </c>
      <c r="BE20" s="39">
        <v>1.2392217523121999E-3</v>
      </c>
      <c r="BF20" s="39">
        <v>1.2392217523121999E-3</v>
      </c>
      <c r="BG20" s="1"/>
      <c r="BH20" s="12">
        <f t="shared" si="7"/>
        <v>18.94538</v>
      </c>
      <c r="BI20" s="12">
        <f t="shared" si="8"/>
        <v>55.057990000000004</v>
      </c>
      <c r="BJ20" s="12">
        <f t="shared" si="9"/>
        <v>34.981059999999999</v>
      </c>
      <c r="BK20" s="12">
        <f t="shared" si="10"/>
        <v>23.309930000000001</v>
      </c>
      <c r="BL20" s="12">
        <f t="shared" si="11"/>
        <v>16.326650000000001</v>
      </c>
      <c r="BM20" s="12">
        <f t="shared" si="12"/>
        <v>17.199560000000002</v>
      </c>
      <c r="BN20" s="12">
        <f t="shared" si="13"/>
        <v>17.199560000000002</v>
      </c>
      <c r="BO20" s="12">
        <f t="shared" si="14"/>
        <v>27.674480000000003</v>
      </c>
      <c r="BP20" s="12">
        <f t="shared" si="15"/>
        <v>37.017849999999996</v>
      </c>
      <c r="BQ20" s="12">
        <f t="shared" si="16"/>
        <v>39.636580000000002</v>
      </c>
      <c r="BR20" s="12">
        <f t="shared" si="17"/>
        <v>46.652189999999997</v>
      </c>
      <c r="BS20" s="12">
        <f t="shared" si="18"/>
        <v>34.981059999999999</v>
      </c>
      <c r="BT20" s="1"/>
      <c r="BU20" s="11">
        <f t="shared" si="19"/>
        <v>19.222033561190663</v>
      </c>
      <c r="BV20" s="11">
        <f t="shared" si="20"/>
        <v>55.861984905644547</v>
      </c>
      <c r="BW20" s="11">
        <f t="shared" si="21"/>
        <v>35.491877667590956</v>
      </c>
      <c r="BX20" s="11">
        <f t="shared" si="22"/>
        <v>23.650317743376227</v>
      </c>
      <c r="BY20" s="11">
        <f t="shared" si="23"/>
        <v>16.565063051879328</v>
      </c>
      <c r="BZ20" s="11">
        <f t="shared" si="24"/>
        <v>17.450719888316442</v>
      </c>
      <c r="CA20" s="11">
        <f t="shared" si="25"/>
        <v>17.450719888316442</v>
      </c>
      <c r="CB20" s="11">
        <f t="shared" si="26"/>
        <v>28.078601925561792</v>
      </c>
      <c r="CC20" s="11">
        <f t="shared" si="27"/>
        <v>37.558410285944213</v>
      </c>
      <c r="CD20" s="11">
        <f t="shared" si="28"/>
        <v>40.215380795255555</v>
      </c>
      <c r="CE20" s="11">
        <f t="shared" si="29"/>
        <v>47.333437591805676</v>
      </c>
      <c r="CF20" s="11">
        <f t="shared" si="30"/>
        <v>35.491877667590956</v>
      </c>
      <c r="CG20" s="11"/>
      <c r="CH20" s="41">
        <v>3.2330000000000001</v>
      </c>
      <c r="CI20" s="1"/>
      <c r="CJ20" s="53">
        <f t="shared" si="31"/>
        <v>10562</v>
      </c>
      <c r="CK20" s="53">
        <f t="shared" si="32"/>
        <v>30693</v>
      </c>
      <c r="CL20" s="53">
        <f t="shared" si="33"/>
        <v>14994</v>
      </c>
      <c r="CM20" s="53">
        <f t="shared" si="34"/>
        <v>9992</v>
      </c>
      <c r="CN20" s="53">
        <f t="shared" si="35"/>
        <v>6998</v>
      </c>
      <c r="CO20" s="53">
        <f t="shared" si="36"/>
        <v>7373</v>
      </c>
      <c r="CP20" s="53">
        <f t="shared" si="37"/>
        <v>7373</v>
      </c>
      <c r="CQ20" s="53">
        <f t="shared" si="38"/>
        <v>11863</v>
      </c>
      <c r="CR20" s="53">
        <f t="shared" si="39"/>
        <v>15868</v>
      </c>
      <c r="CS20" s="53">
        <f t="shared" si="40"/>
        <v>16990</v>
      </c>
      <c r="CT20" s="53">
        <f t="shared" si="41"/>
        <v>19997</v>
      </c>
      <c r="CU20" s="53">
        <f t="shared" si="42"/>
        <v>14994</v>
      </c>
      <c r="CV20" s="53">
        <f t="shared" si="43"/>
        <v>167697</v>
      </c>
      <c r="CW20" s="1"/>
      <c r="CX20" s="1"/>
      <c r="CY20" s="1"/>
      <c r="CZ20" s="1"/>
      <c r="DA20" s="1"/>
      <c r="DB20" s="1"/>
      <c r="DC20" s="1"/>
      <c r="DD20" s="1"/>
      <c r="DE20" s="1"/>
      <c r="DF20" s="1"/>
      <c r="DG20" s="1"/>
      <c r="DH20" s="1"/>
      <c r="DI20" s="1"/>
      <c r="DJ20" s="1"/>
      <c r="DK20" s="1"/>
      <c r="DL20" s="1"/>
    </row>
    <row r="21" spans="1:116" ht="15.75" hidden="1" x14ac:dyDescent="0.25">
      <c r="A21" s="16"/>
      <c r="B21" s="44"/>
      <c r="C21" s="44"/>
      <c r="D21" s="44"/>
      <c r="E21" s="44"/>
      <c r="F21" s="45" t="s">
        <v>17</v>
      </c>
      <c r="G21" s="70">
        <v>3.42</v>
      </c>
      <c r="H21" s="70">
        <v>0</v>
      </c>
      <c r="I21" s="63">
        <v>0</v>
      </c>
      <c r="J21" s="63">
        <v>0</v>
      </c>
      <c r="K21" s="63">
        <v>0</v>
      </c>
      <c r="L21" s="63">
        <v>0</v>
      </c>
      <c r="M21" s="63">
        <v>0</v>
      </c>
      <c r="N21" s="63">
        <v>0</v>
      </c>
      <c r="O21" s="63">
        <v>0</v>
      </c>
      <c r="P21" s="63">
        <v>0</v>
      </c>
      <c r="Q21" s="63">
        <v>0</v>
      </c>
      <c r="R21" s="63">
        <v>0</v>
      </c>
      <c r="S21" s="11">
        <f t="shared" si="1"/>
        <v>3.42</v>
      </c>
      <c r="T21" s="8">
        <f t="shared" si="5"/>
        <v>-0.91486183719193426</v>
      </c>
      <c r="U21" s="13" t="s">
        <v>2952</v>
      </c>
      <c r="V21" s="50">
        <f t="shared" si="6"/>
        <v>7534</v>
      </c>
      <c r="W21" s="36">
        <v>1.4890000000000001</v>
      </c>
      <c r="X21" s="36">
        <v>1.4890000000000001</v>
      </c>
      <c r="Y21" s="36">
        <v>1.9370000000000001</v>
      </c>
      <c r="Z21" s="36">
        <v>1.9370000000000001</v>
      </c>
      <c r="AA21" s="36">
        <v>1.9370000000000001</v>
      </c>
      <c r="AB21" s="36">
        <v>1.9370000000000001</v>
      </c>
      <c r="AC21" s="36">
        <v>1.9370000000000001</v>
      </c>
      <c r="AD21" s="36">
        <v>1.9370000000000001</v>
      </c>
      <c r="AE21" s="36">
        <v>1.9370000000000001</v>
      </c>
      <c r="AF21" s="36">
        <v>1.9370000000000001</v>
      </c>
      <c r="AG21" s="36">
        <v>1.9370000000000001</v>
      </c>
      <c r="AH21" s="36">
        <v>1.9370000000000001</v>
      </c>
      <c r="AI21" s="39">
        <v>1.33634708931066E-2</v>
      </c>
      <c r="AJ21" s="39">
        <v>1.33634708931066E-2</v>
      </c>
      <c r="AK21" s="39">
        <v>1.33634708931066E-2</v>
      </c>
      <c r="AL21" s="39">
        <v>1.33634708931066E-2</v>
      </c>
      <c r="AM21" s="39">
        <v>1.33634708931066E-2</v>
      </c>
      <c r="AN21" s="39">
        <v>1.33634708931066E-2</v>
      </c>
      <c r="AO21" s="39">
        <v>1.33634708931066E-2</v>
      </c>
      <c r="AP21" s="39">
        <v>1.33634708931066E-2</v>
      </c>
      <c r="AQ21" s="39">
        <v>1.33634708931066E-2</v>
      </c>
      <c r="AR21" s="39">
        <v>1.33634708931066E-2</v>
      </c>
      <c r="AS21" s="39">
        <v>1.33634708931066E-2</v>
      </c>
      <c r="AT21" s="39">
        <v>1.33634708931066E-2</v>
      </c>
      <c r="AU21" s="39">
        <v>1.2392217523121999E-3</v>
      </c>
      <c r="AV21" s="39">
        <v>1.2392217523121999E-3</v>
      </c>
      <c r="AW21" s="39">
        <v>1.2392217523121999E-3</v>
      </c>
      <c r="AX21" s="39">
        <v>1.2392217523121999E-3</v>
      </c>
      <c r="AY21" s="39">
        <v>1.2392217523121999E-3</v>
      </c>
      <c r="AZ21" s="39">
        <v>1.2392217523121999E-3</v>
      </c>
      <c r="BA21" s="39">
        <v>1.2392217523121999E-3</v>
      </c>
      <c r="BB21" s="39">
        <v>1.2392217523121999E-3</v>
      </c>
      <c r="BC21" s="39">
        <v>1.2392217523121999E-3</v>
      </c>
      <c r="BD21" s="39">
        <v>1.2392217523121999E-3</v>
      </c>
      <c r="BE21" s="39">
        <v>1.2392217523121999E-3</v>
      </c>
      <c r="BF21" s="39">
        <v>1.2392217523121999E-3</v>
      </c>
      <c r="BG21" s="1"/>
      <c r="BH21" s="12">
        <f t="shared" si="7"/>
        <v>11.05686</v>
      </c>
      <c r="BI21" s="12">
        <f t="shared" si="8"/>
        <v>0</v>
      </c>
      <c r="BJ21" s="12">
        <f t="shared" si="9"/>
        <v>0</v>
      </c>
      <c r="BK21" s="12">
        <f t="shared" si="10"/>
        <v>0</v>
      </c>
      <c r="BL21" s="12">
        <f t="shared" si="11"/>
        <v>0</v>
      </c>
      <c r="BM21" s="12">
        <f t="shared" si="12"/>
        <v>0</v>
      </c>
      <c r="BN21" s="12">
        <f t="shared" si="13"/>
        <v>0</v>
      </c>
      <c r="BO21" s="12">
        <f t="shared" si="14"/>
        <v>0</v>
      </c>
      <c r="BP21" s="12">
        <f t="shared" si="15"/>
        <v>0</v>
      </c>
      <c r="BQ21" s="12">
        <f t="shared" si="16"/>
        <v>0</v>
      </c>
      <c r="BR21" s="12">
        <f t="shared" si="17"/>
        <v>0</v>
      </c>
      <c r="BS21" s="12">
        <f t="shared" si="18"/>
        <v>0</v>
      </c>
      <c r="BT21" s="1"/>
      <c r="BU21" s="11">
        <f t="shared" si="19"/>
        <v>11.218319928203426</v>
      </c>
      <c r="BV21" s="11">
        <f t="shared" si="20"/>
        <v>0</v>
      </c>
      <c r="BW21" s="11">
        <f t="shared" si="21"/>
        <v>0</v>
      </c>
      <c r="BX21" s="11">
        <f t="shared" si="22"/>
        <v>0</v>
      </c>
      <c r="BY21" s="11">
        <f t="shared" si="23"/>
        <v>0</v>
      </c>
      <c r="BZ21" s="11">
        <f t="shared" si="24"/>
        <v>0</v>
      </c>
      <c r="CA21" s="11">
        <f t="shared" si="25"/>
        <v>0</v>
      </c>
      <c r="CB21" s="11">
        <f t="shared" si="26"/>
        <v>0</v>
      </c>
      <c r="CC21" s="11">
        <f t="shared" si="27"/>
        <v>0</v>
      </c>
      <c r="CD21" s="11">
        <f t="shared" si="28"/>
        <v>0</v>
      </c>
      <c r="CE21" s="11">
        <f t="shared" si="29"/>
        <v>0</v>
      </c>
      <c r="CF21" s="11">
        <f t="shared" si="30"/>
        <v>0</v>
      </c>
      <c r="CG21" s="11"/>
      <c r="CH21" s="41">
        <v>3.2330000000000001</v>
      </c>
      <c r="CI21" s="1"/>
      <c r="CJ21" s="53">
        <f t="shared" si="31"/>
        <v>7534</v>
      </c>
      <c r="CK21" s="53">
        <f t="shared" si="32"/>
        <v>0</v>
      </c>
      <c r="CL21" s="53">
        <f t="shared" si="33"/>
        <v>0</v>
      </c>
      <c r="CM21" s="53">
        <f t="shared" si="34"/>
        <v>0</v>
      </c>
      <c r="CN21" s="53">
        <f t="shared" si="35"/>
        <v>0</v>
      </c>
      <c r="CO21" s="53">
        <f t="shared" si="36"/>
        <v>0</v>
      </c>
      <c r="CP21" s="53">
        <f t="shared" si="37"/>
        <v>0</v>
      </c>
      <c r="CQ21" s="53">
        <f t="shared" si="38"/>
        <v>0</v>
      </c>
      <c r="CR21" s="53">
        <f t="shared" si="39"/>
        <v>0</v>
      </c>
      <c r="CS21" s="53">
        <f t="shared" si="40"/>
        <v>0</v>
      </c>
      <c r="CT21" s="53">
        <f t="shared" si="41"/>
        <v>0</v>
      </c>
      <c r="CU21" s="53">
        <f t="shared" si="42"/>
        <v>0</v>
      </c>
      <c r="CV21" s="53">
        <f t="shared" si="43"/>
        <v>7534</v>
      </c>
      <c r="CW21" s="1"/>
      <c r="CX21" s="1"/>
      <c r="CY21" s="1"/>
      <c r="CZ21" s="1"/>
      <c r="DA21" s="1"/>
      <c r="DB21" s="1"/>
      <c r="DC21" s="1"/>
      <c r="DD21" s="1"/>
      <c r="DE21" s="1"/>
      <c r="DF21" s="1"/>
      <c r="DG21" s="1"/>
      <c r="DH21" s="1"/>
      <c r="DI21" s="1"/>
      <c r="DJ21" s="1"/>
      <c r="DK21" s="1"/>
      <c r="DL21" s="1"/>
    </row>
    <row r="22" spans="1:116" ht="15.75" hidden="1" x14ac:dyDescent="0.25">
      <c r="A22" s="16"/>
      <c r="B22" s="44"/>
      <c r="C22" s="44"/>
      <c r="D22" s="44"/>
      <c r="E22" s="44"/>
      <c r="F22" s="45" t="s">
        <v>17</v>
      </c>
      <c r="G22" s="70">
        <v>95.27</v>
      </c>
      <c r="H22" s="70">
        <v>90.33</v>
      </c>
      <c r="I22" s="62">
        <v>153.97999999999999</v>
      </c>
      <c r="J22" s="62">
        <v>81.040000000000006</v>
      </c>
      <c r="K22" s="63">
        <v>81.040000000000006</v>
      </c>
      <c r="L22" s="63">
        <v>81.040000000000006</v>
      </c>
      <c r="M22" s="62">
        <v>81.040000000000006</v>
      </c>
      <c r="N22" s="63">
        <v>97.25</v>
      </c>
      <c r="O22" s="63">
        <v>97.25</v>
      </c>
      <c r="P22" s="63">
        <v>97.25</v>
      </c>
      <c r="Q22" s="63">
        <v>97.25</v>
      </c>
      <c r="R22" s="63">
        <v>81.040000000000006</v>
      </c>
      <c r="S22" s="11">
        <f t="shared" si="1"/>
        <v>1133.78</v>
      </c>
      <c r="T22" s="8">
        <f t="shared" si="5"/>
        <v>0.3749120807159661</v>
      </c>
      <c r="U22" s="13" t="s">
        <v>2952</v>
      </c>
      <c r="V22" s="50">
        <f t="shared" si="6"/>
        <v>1475786</v>
      </c>
      <c r="W22" s="36">
        <v>1.9890000000000001</v>
      </c>
      <c r="X22" s="36">
        <v>1.9890000000000001</v>
      </c>
      <c r="Y22" s="36">
        <v>2.6589999999999998</v>
      </c>
      <c r="Z22" s="36">
        <v>2.6589999999999998</v>
      </c>
      <c r="AA22" s="36">
        <v>2.6589999999999998</v>
      </c>
      <c r="AB22" s="36">
        <v>2.6589999999999998</v>
      </c>
      <c r="AC22" s="36">
        <v>2.6589999999999998</v>
      </c>
      <c r="AD22" s="36">
        <v>2.6589999999999998</v>
      </c>
      <c r="AE22" s="36">
        <v>2.6589999999999998</v>
      </c>
      <c r="AF22" s="36">
        <v>2.6589999999999998</v>
      </c>
      <c r="AG22" s="36">
        <v>2.6589999999999998</v>
      </c>
      <c r="AH22" s="36">
        <v>2.6589999999999998</v>
      </c>
      <c r="AI22" s="39">
        <v>1.33634708931066E-2</v>
      </c>
      <c r="AJ22" s="39">
        <v>1.33634708931066E-2</v>
      </c>
      <c r="AK22" s="39">
        <v>1.33634708931066E-2</v>
      </c>
      <c r="AL22" s="39">
        <v>1.33634708931066E-2</v>
      </c>
      <c r="AM22" s="39">
        <v>1.33634708931066E-2</v>
      </c>
      <c r="AN22" s="39">
        <v>1.33634708931066E-2</v>
      </c>
      <c r="AO22" s="39">
        <v>1.33634708931066E-2</v>
      </c>
      <c r="AP22" s="39">
        <v>1.33634708931066E-2</v>
      </c>
      <c r="AQ22" s="39">
        <v>1.33634708931066E-2</v>
      </c>
      <c r="AR22" s="39">
        <v>1.33634708931066E-2</v>
      </c>
      <c r="AS22" s="39">
        <v>1.33634708931066E-2</v>
      </c>
      <c r="AT22" s="39">
        <v>1.33634708931066E-2</v>
      </c>
      <c r="AU22" s="39">
        <v>1.2392217523121999E-3</v>
      </c>
      <c r="AV22" s="39">
        <v>1.2392217523121999E-3</v>
      </c>
      <c r="AW22" s="39">
        <v>1.2392217523121999E-3</v>
      </c>
      <c r="AX22" s="39">
        <v>1.2392217523121999E-3</v>
      </c>
      <c r="AY22" s="39">
        <v>1.2392217523121999E-3</v>
      </c>
      <c r="AZ22" s="39">
        <v>1.2392217523121999E-3</v>
      </c>
      <c r="BA22" s="39">
        <v>1.2392217523121999E-3</v>
      </c>
      <c r="BB22" s="39">
        <v>1.2392217523121999E-3</v>
      </c>
      <c r="BC22" s="39">
        <v>1.2392217523121999E-3</v>
      </c>
      <c r="BD22" s="39">
        <v>1.2392217523121999E-3</v>
      </c>
      <c r="BE22" s="39">
        <v>1.2392217523121999E-3</v>
      </c>
      <c r="BF22" s="39">
        <v>1.2392217523121999E-3</v>
      </c>
      <c r="BG22" s="1"/>
      <c r="BH22" s="12">
        <f t="shared" si="7"/>
        <v>308.00790999999998</v>
      </c>
      <c r="BI22" s="12">
        <f t="shared" si="8"/>
        <v>292.03689000000003</v>
      </c>
      <c r="BJ22" s="12">
        <f t="shared" si="9"/>
        <v>497.81734</v>
      </c>
      <c r="BK22" s="12">
        <f t="shared" si="10"/>
        <v>262.00232000000005</v>
      </c>
      <c r="BL22" s="12">
        <f t="shared" si="11"/>
        <v>262.00232000000005</v>
      </c>
      <c r="BM22" s="12">
        <f t="shared" si="12"/>
        <v>262.00232000000005</v>
      </c>
      <c r="BN22" s="12">
        <f t="shared" si="13"/>
        <v>262.00232000000005</v>
      </c>
      <c r="BO22" s="12">
        <f t="shared" si="14"/>
        <v>314.40924999999999</v>
      </c>
      <c r="BP22" s="12">
        <f t="shared" si="15"/>
        <v>314.40924999999999</v>
      </c>
      <c r="BQ22" s="12">
        <f t="shared" si="16"/>
        <v>314.40924999999999</v>
      </c>
      <c r="BR22" s="12">
        <f t="shared" si="17"/>
        <v>314.40924999999999</v>
      </c>
      <c r="BS22" s="12">
        <f t="shared" si="18"/>
        <v>262.00232000000005</v>
      </c>
      <c r="BT22" s="1"/>
      <c r="BU22" s="11">
        <f t="shared" si="19"/>
        <v>312.50565484208778</v>
      </c>
      <c r="BV22" s="11">
        <f t="shared" si="20"/>
        <v>296.30141494579402</v>
      </c>
      <c r="BW22" s="11">
        <f t="shared" si="21"/>
        <v>505.08681360957996</v>
      </c>
      <c r="BX22" s="11">
        <f t="shared" si="22"/>
        <v>265.82825935134673</v>
      </c>
      <c r="BY22" s="11">
        <f t="shared" si="23"/>
        <v>265.82825935134673</v>
      </c>
      <c r="BZ22" s="11">
        <f t="shared" si="24"/>
        <v>265.82825935134673</v>
      </c>
      <c r="CA22" s="11">
        <f t="shared" si="25"/>
        <v>265.82825935134673</v>
      </c>
      <c r="CB22" s="11">
        <f t="shared" si="26"/>
        <v>319.00047164262662</v>
      </c>
      <c r="CC22" s="11">
        <f t="shared" si="27"/>
        <v>319.00047164262662</v>
      </c>
      <c r="CD22" s="11">
        <f t="shared" si="28"/>
        <v>319.00047164262662</v>
      </c>
      <c r="CE22" s="11">
        <f t="shared" si="29"/>
        <v>319.00047164262662</v>
      </c>
      <c r="CF22" s="11">
        <f t="shared" si="30"/>
        <v>265.82825935134673</v>
      </c>
      <c r="CG22" s="11"/>
      <c r="CH22" s="41">
        <v>3.2330000000000001</v>
      </c>
      <c r="CI22" s="1"/>
      <c r="CJ22" s="53">
        <f t="shared" si="31"/>
        <v>157117</v>
      </c>
      <c r="CK22" s="53">
        <f t="shared" si="32"/>
        <v>148970</v>
      </c>
      <c r="CL22" s="53">
        <f t="shared" si="33"/>
        <v>189954</v>
      </c>
      <c r="CM22" s="53">
        <f t="shared" si="34"/>
        <v>99973</v>
      </c>
      <c r="CN22" s="53">
        <f t="shared" si="35"/>
        <v>99973</v>
      </c>
      <c r="CO22" s="53">
        <f t="shared" si="36"/>
        <v>99973</v>
      </c>
      <c r="CP22" s="53">
        <f t="shared" si="37"/>
        <v>99973</v>
      </c>
      <c r="CQ22" s="53">
        <f t="shared" si="38"/>
        <v>119970</v>
      </c>
      <c r="CR22" s="53">
        <f t="shared" si="39"/>
        <v>119970</v>
      </c>
      <c r="CS22" s="53">
        <f t="shared" si="40"/>
        <v>119970</v>
      </c>
      <c r="CT22" s="53">
        <f t="shared" si="41"/>
        <v>119970</v>
      </c>
      <c r="CU22" s="53">
        <f t="shared" si="42"/>
        <v>99973</v>
      </c>
      <c r="CV22" s="53">
        <f t="shared" si="43"/>
        <v>1475786</v>
      </c>
      <c r="CW22" s="1"/>
      <c r="CX22" s="1"/>
      <c r="CY22" s="1"/>
      <c r="CZ22" s="1"/>
      <c r="DA22" s="1"/>
      <c r="DB22" s="1"/>
      <c r="DC22" s="1"/>
      <c r="DD22" s="1"/>
      <c r="DE22" s="1"/>
      <c r="DF22" s="1"/>
      <c r="DG22" s="1"/>
      <c r="DH22" s="1"/>
      <c r="DI22" s="1"/>
      <c r="DJ22" s="1"/>
      <c r="DK22" s="1"/>
      <c r="DL22" s="1"/>
    </row>
    <row r="23" spans="1:116" ht="15.75" hidden="1" x14ac:dyDescent="0.25">
      <c r="A23" s="16"/>
      <c r="B23" s="44"/>
      <c r="C23" s="44"/>
      <c r="D23" s="44"/>
      <c r="E23" s="44"/>
      <c r="F23" s="45" t="s">
        <v>17</v>
      </c>
      <c r="G23" s="70">
        <v>147.76</v>
      </c>
      <c r="H23" s="70">
        <v>121.16</v>
      </c>
      <c r="I23" s="63">
        <v>156.83000000000001</v>
      </c>
      <c r="J23" s="63">
        <v>74.39</v>
      </c>
      <c r="K23" s="63">
        <v>164.7</v>
      </c>
      <c r="L23" s="63">
        <v>178.75</v>
      </c>
      <c r="M23" s="63">
        <v>56.83</v>
      </c>
      <c r="N23" s="63">
        <v>157.82</v>
      </c>
      <c r="O23" s="63">
        <v>73.849999999999994</v>
      </c>
      <c r="P23" s="63">
        <v>185</v>
      </c>
      <c r="Q23" s="63">
        <v>405.34</v>
      </c>
      <c r="R23" s="63">
        <v>95.13</v>
      </c>
      <c r="S23" s="11">
        <f t="shared" si="1"/>
        <v>1817.56</v>
      </c>
      <c r="T23" s="8">
        <f t="shared" si="5"/>
        <v>0.24062988471225844</v>
      </c>
      <c r="U23" s="13" t="s">
        <v>2952</v>
      </c>
      <c r="V23" s="50">
        <f t="shared" si="6"/>
        <v>982466</v>
      </c>
      <c r="W23" s="36">
        <v>1.8500010816189674</v>
      </c>
      <c r="X23" s="36">
        <v>1.8500010816189674</v>
      </c>
      <c r="Y23" s="36">
        <v>1.8500010816189674</v>
      </c>
      <c r="Z23" s="36">
        <v>1.8500010816189674</v>
      </c>
      <c r="AA23" s="36">
        <v>1.8500010816189674</v>
      </c>
      <c r="AB23" s="36">
        <v>1.8500010816189674</v>
      </c>
      <c r="AC23" s="36">
        <v>1.8500010816189674</v>
      </c>
      <c r="AD23" s="36">
        <v>1.8500010816189674</v>
      </c>
      <c r="AE23" s="36">
        <v>1.8500010816189674</v>
      </c>
      <c r="AF23" s="36">
        <v>1.8500010816189674</v>
      </c>
      <c r="AG23" s="36">
        <v>1.8500010816189674</v>
      </c>
      <c r="AH23" s="36">
        <v>1.8500010816189674</v>
      </c>
      <c r="AI23" s="39">
        <v>0</v>
      </c>
      <c r="AJ23" s="39">
        <v>0</v>
      </c>
      <c r="AK23" s="39">
        <v>0</v>
      </c>
      <c r="AL23" s="39">
        <v>0</v>
      </c>
      <c r="AM23" s="39">
        <v>0</v>
      </c>
      <c r="AN23" s="39">
        <v>0</v>
      </c>
      <c r="AO23" s="39">
        <v>0</v>
      </c>
      <c r="AP23" s="39">
        <v>0</v>
      </c>
      <c r="AQ23" s="39">
        <v>0</v>
      </c>
      <c r="AR23" s="39">
        <v>0</v>
      </c>
      <c r="AS23" s="39">
        <v>0</v>
      </c>
      <c r="AT23" s="39">
        <v>0</v>
      </c>
      <c r="AU23" s="39">
        <v>0</v>
      </c>
      <c r="AV23" s="39">
        <v>0</v>
      </c>
      <c r="AW23" s="39">
        <v>0</v>
      </c>
      <c r="AX23" s="39">
        <v>0</v>
      </c>
      <c r="AY23" s="39">
        <v>0</v>
      </c>
      <c r="AZ23" s="39">
        <v>0</v>
      </c>
      <c r="BA23" s="39">
        <v>0</v>
      </c>
      <c r="BB23" s="39">
        <v>0</v>
      </c>
      <c r="BC23" s="39">
        <v>0</v>
      </c>
      <c r="BD23" s="39">
        <v>0</v>
      </c>
      <c r="BE23" s="39">
        <v>0</v>
      </c>
      <c r="BF23" s="39">
        <v>0</v>
      </c>
      <c r="BG23" s="1"/>
      <c r="BH23" s="12">
        <f t="shared" si="7"/>
        <v>147.76</v>
      </c>
      <c r="BI23" s="12">
        <f t="shared" si="8"/>
        <v>121.16</v>
      </c>
      <c r="BJ23" s="12">
        <f t="shared" si="9"/>
        <v>156.83000000000001</v>
      </c>
      <c r="BK23" s="12">
        <f t="shared" si="10"/>
        <v>74.39</v>
      </c>
      <c r="BL23" s="12">
        <f t="shared" si="11"/>
        <v>164.7</v>
      </c>
      <c r="BM23" s="12">
        <f t="shared" si="12"/>
        <v>178.75</v>
      </c>
      <c r="BN23" s="12">
        <f t="shared" si="13"/>
        <v>56.83</v>
      </c>
      <c r="BO23" s="12">
        <f t="shared" si="14"/>
        <v>157.82</v>
      </c>
      <c r="BP23" s="12">
        <f t="shared" si="15"/>
        <v>73.849999999999994</v>
      </c>
      <c r="BQ23" s="12">
        <f t="shared" si="16"/>
        <v>185</v>
      </c>
      <c r="BR23" s="12">
        <f t="shared" si="17"/>
        <v>405.34</v>
      </c>
      <c r="BS23" s="12">
        <f t="shared" si="18"/>
        <v>95.13</v>
      </c>
      <c r="BT23" s="1"/>
      <c r="BU23" s="11">
        <f t="shared" si="19"/>
        <v>147.76</v>
      </c>
      <c r="BV23" s="11">
        <f t="shared" si="20"/>
        <v>121.16</v>
      </c>
      <c r="BW23" s="11">
        <f t="shared" si="21"/>
        <v>156.83000000000001</v>
      </c>
      <c r="BX23" s="11">
        <f t="shared" si="22"/>
        <v>74.39</v>
      </c>
      <c r="BY23" s="11">
        <f t="shared" si="23"/>
        <v>164.7</v>
      </c>
      <c r="BZ23" s="11">
        <f t="shared" si="24"/>
        <v>178.75</v>
      </c>
      <c r="CA23" s="11">
        <f t="shared" si="25"/>
        <v>56.83</v>
      </c>
      <c r="CB23" s="11">
        <f t="shared" si="26"/>
        <v>157.82</v>
      </c>
      <c r="CC23" s="11">
        <f t="shared" si="27"/>
        <v>73.849999999999994</v>
      </c>
      <c r="CD23" s="11">
        <f t="shared" si="28"/>
        <v>185</v>
      </c>
      <c r="CE23" s="11">
        <f t="shared" si="29"/>
        <v>405.34</v>
      </c>
      <c r="CF23" s="11">
        <f t="shared" si="30"/>
        <v>95.13</v>
      </c>
      <c r="CG23" s="11"/>
      <c r="CH23" s="41">
        <v>1</v>
      </c>
      <c r="CI23" s="1"/>
      <c r="CJ23" s="53">
        <f t="shared" si="31"/>
        <v>79870</v>
      </c>
      <c r="CK23" s="53">
        <f t="shared" si="32"/>
        <v>65492</v>
      </c>
      <c r="CL23" s="53">
        <f t="shared" si="33"/>
        <v>84773</v>
      </c>
      <c r="CM23" s="53">
        <f t="shared" si="34"/>
        <v>40211</v>
      </c>
      <c r="CN23" s="53">
        <f t="shared" si="35"/>
        <v>89027</v>
      </c>
      <c r="CO23" s="53">
        <f t="shared" si="36"/>
        <v>96622</v>
      </c>
      <c r="CP23" s="53">
        <f t="shared" si="37"/>
        <v>30719</v>
      </c>
      <c r="CQ23" s="53">
        <f t="shared" si="38"/>
        <v>85308</v>
      </c>
      <c r="CR23" s="53">
        <f t="shared" si="39"/>
        <v>39919</v>
      </c>
      <c r="CS23" s="53">
        <f t="shared" si="40"/>
        <v>100000</v>
      </c>
      <c r="CT23" s="53">
        <f t="shared" si="41"/>
        <v>219103</v>
      </c>
      <c r="CU23" s="53">
        <f t="shared" si="42"/>
        <v>51422</v>
      </c>
      <c r="CV23" s="53">
        <f t="shared" si="43"/>
        <v>982466</v>
      </c>
      <c r="CW23" s="1"/>
      <c r="CX23" s="1"/>
      <c r="CY23" s="1"/>
      <c r="CZ23" s="1"/>
      <c r="DA23" s="1"/>
      <c r="DB23" s="1"/>
      <c r="DC23" s="1"/>
      <c r="DD23" s="1"/>
      <c r="DE23" s="1"/>
      <c r="DF23" s="1"/>
      <c r="DG23" s="1"/>
      <c r="DH23" s="1"/>
      <c r="DI23" s="1"/>
      <c r="DJ23" s="1"/>
      <c r="DK23" s="1"/>
      <c r="DL23" s="1"/>
    </row>
    <row r="24" spans="1:116" ht="15.75" hidden="1" x14ac:dyDescent="0.25">
      <c r="A24" s="16"/>
      <c r="B24" s="44"/>
      <c r="C24" s="44"/>
      <c r="D24" s="44"/>
      <c r="E24" s="44"/>
      <c r="F24" s="45" t="s">
        <v>17</v>
      </c>
      <c r="G24" s="70">
        <v>0</v>
      </c>
      <c r="H24" s="70">
        <v>0</v>
      </c>
      <c r="I24" s="63">
        <v>0</v>
      </c>
      <c r="J24" s="63">
        <v>0</v>
      </c>
      <c r="K24" s="63">
        <v>0</v>
      </c>
      <c r="L24" s="63">
        <v>0</v>
      </c>
      <c r="M24" s="63">
        <v>0</v>
      </c>
      <c r="N24" s="63">
        <v>0</v>
      </c>
      <c r="O24" s="63">
        <v>0</v>
      </c>
      <c r="P24" s="63">
        <v>0</v>
      </c>
      <c r="Q24" s="63">
        <v>0</v>
      </c>
      <c r="R24" s="63">
        <v>31.7</v>
      </c>
      <c r="S24" s="11">
        <f t="shared" si="1"/>
        <v>31.7</v>
      </c>
      <c r="T24" s="8">
        <f t="shared" si="5"/>
        <v>0</v>
      </c>
      <c r="U24" s="13" t="s">
        <v>2952</v>
      </c>
      <c r="V24" s="50">
        <f t="shared" si="6"/>
        <v>10000</v>
      </c>
      <c r="W24" s="36">
        <v>3.17</v>
      </c>
      <c r="X24" s="36">
        <v>3.17</v>
      </c>
      <c r="Y24" s="36">
        <v>3.17</v>
      </c>
      <c r="Z24" s="36">
        <v>3.17</v>
      </c>
      <c r="AA24" s="36">
        <v>3.17</v>
      </c>
      <c r="AB24" s="36">
        <v>3.17</v>
      </c>
      <c r="AC24" s="36">
        <v>3.17</v>
      </c>
      <c r="AD24" s="36">
        <v>3.17</v>
      </c>
      <c r="AE24" s="36">
        <v>3.17</v>
      </c>
      <c r="AF24" s="36">
        <v>3.17</v>
      </c>
      <c r="AG24" s="36">
        <v>3.17</v>
      </c>
      <c r="AH24" s="36">
        <v>3.17</v>
      </c>
      <c r="AI24" s="39">
        <v>0</v>
      </c>
      <c r="AJ24" s="39">
        <v>0</v>
      </c>
      <c r="AK24" s="39">
        <v>0</v>
      </c>
      <c r="AL24" s="39">
        <v>0</v>
      </c>
      <c r="AM24" s="39">
        <v>0</v>
      </c>
      <c r="AN24" s="39">
        <v>0</v>
      </c>
      <c r="AO24" s="39">
        <v>0</v>
      </c>
      <c r="AP24" s="39">
        <v>0</v>
      </c>
      <c r="AQ24" s="39">
        <v>0</v>
      </c>
      <c r="AR24" s="39">
        <v>0</v>
      </c>
      <c r="AS24" s="39">
        <v>0</v>
      </c>
      <c r="AT24" s="39">
        <v>0</v>
      </c>
      <c r="AU24" s="39">
        <v>0</v>
      </c>
      <c r="AV24" s="39">
        <v>0</v>
      </c>
      <c r="AW24" s="39">
        <v>0</v>
      </c>
      <c r="AX24" s="39">
        <v>0</v>
      </c>
      <c r="AY24" s="39">
        <v>0</v>
      </c>
      <c r="AZ24" s="39">
        <v>0</v>
      </c>
      <c r="BA24" s="39">
        <v>0</v>
      </c>
      <c r="BB24" s="39">
        <v>0</v>
      </c>
      <c r="BC24" s="39">
        <v>0</v>
      </c>
      <c r="BD24" s="39">
        <v>0</v>
      </c>
      <c r="BE24" s="39">
        <v>0</v>
      </c>
      <c r="BF24" s="39">
        <v>0</v>
      </c>
      <c r="BG24" s="1"/>
      <c r="BH24" s="12">
        <f t="shared" si="7"/>
        <v>0</v>
      </c>
      <c r="BI24" s="12">
        <f t="shared" si="8"/>
        <v>0</v>
      </c>
      <c r="BJ24" s="12">
        <f t="shared" si="9"/>
        <v>0</v>
      </c>
      <c r="BK24" s="12">
        <f t="shared" si="10"/>
        <v>0</v>
      </c>
      <c r="BL24" s="12">
        <f t="shared" si="11"/>
        <v>0</v>
      </c>
      <c r="BM24" s="12">
        <f t="shared" si="12"/>
        <v>0</v>
      </c>
      <c r="BN24" s="12">
        <f t="shared" si="13"/>
        <v>0</v>
      </c>
      <c r="BO24" s="12">
        <f t="shared" si="14"/>
        <v>0</v>
      </c>
      <c r="BP24" s="12">
        <f t="shared" si="15"/>
        <v>0</v>
      </c>
      <c r="BQ24" s="12">
        <f t="shared" si="16"/>
        <v>0</v>
      </c>
      <c r="BR24" s="12">
        <f t="shared" si="17"/>
        <v>0</v>
      </c>
      <c r="BS24" s="12">
        <f t="shared" si="18"/>
        <v>31.7</v>
      </c>
      <c r="BT24" s="1"/>
      <c r="BU24" s="11">
        <f t="shared" si="19"/>
        <v>0</v>
      </c>
      <c r="BV24" s="11">
        <f t="shared" si="20"/>
        <v>0</v>
      </c>
      <c r="BW24" s="11">
        <f t="shared" si="21"/>
        <v>0</v>
      </c>
      <c r="BX24" s="11">
        <f t="shared" si="22"/>
        <v>0</v>
      </c>
      <c r="BY24" s="11">
        <f t="shared" si="23"/>
        <v>0</v>
      </c>
      <c r="BZ24" s="11">
        <f t="shared" si="24"/>
        <v>0</v>
      </c>
      <c r="CA24" s="11">
        <f t="shared" si="25"/>
        <v>0</v>
      </c>
      <c r="CB24" s="11">
        <f t="shared" si="26"/>
        <v>0</v>
      </c>
      <c r="CC24" s="11">
        <f t="shared" si="27"/>
        <v>0</v>
      </c>
      <c r="CD24" s="11">
        <f t="shared" si="28"/>
        <v>0</v>
      </c>
      <c r="CE24" s="11">
        <f t="shared" si="29"/>
        <v>0</v>
      </c>
      <c r="CF24" s="11">
        <f t="shared" si="30"/>
        <v>31.7</v>
      </c>
      <c r="CG24" s="11"/>
      <c r="CH24" s="41">
        <v>1</v>
      </c>
      <c r="CI24" s="1"/>
      <c r="CJ24" s="53">
        <f t="shared" si="31"/>
        <v>0</v>
      </c>
      <c r="CK24" s="53">
        <f t="shared" si="32"/>
        <v>0</v>
      </c>
      <c r="CL24" s="53">
        <f t="shared" si="33"/>
        <v>0</v>
      </c>
      <c r="CM24" s="53">
        <f t="shared" si="34"/>
        <v>0</v>
      </c>
      <c r="CN24" s="53">
        <f t="shared" si="35"/>
        <v>0</v>
      </c>
      <c r="CO24" s="53">
        <f t="shared" si="36"/>
        <v>0</v>
      </c>
      <c r="CP24" s="53">
        <f t="shared" si="37"/>
        <v>0</v>
      </c>
      <c r="CQ24" s="53">
        <f t="shared" si="38"/>
        <v>0</v>
      </c>
      <c r="CR24" s="53">
        <f t="shared" si="39"/>
        <v>0</v>
      </c>
      <c r="CS24" s="53">
        <f t="shared" si="40"/>
        <v>0</v>
      </c>
      <c r="CT24" s="53">
        <f t="shared" si="41"/>
        <v>0</v>
      </c>
      <c r="CU24" s="53">
        <f t="shared" si="42"/>
        <v>10000</v>
      </c>
      <c r="CV24" s="53">
        <f t="shared" si="43"/>
        <v>10000</v>
      </c>
      <c r="CW24" s="1"/>
      <c r="CX24" s="1"/>
      <c r="CY24" s="1"/>
      <c r="CZ24" s="1"/>
      <c r="DA24" s="1"/>
      <c r="DB24" s="1"/>
      <c r="DC24" s="1"/>
      <c r="DD24" s="1"/>
      <c r="DE24" s="1"/>
      <c r="DF24" s="1"/>
      <c r="DG24" s="1"/>
      <c r="DH24" s="1"/>
      <c r="DI24" s="1"/>
      <c r="DJ24" s="1"/>
      <c r="DK24" s="1"/>
      <c r="DL24" s="1"/>
    </row>
    <row r="25" spans="1:116" ht="15.75" hidden="1" x14ac:dyDescent="0.25">
      <c r="A25" s="16"/>
      <c r="B25" s="44"/>
      <c r="C25" s="44"/>
      <c r="D25" s="44"/>
      <c r="E25" s="44"/>
      <c r="F25" s="45" t="s">
        <v>17</v>
      </c>
      <c r="G25" s="70">
        <v>0</v>
      </c>
      <c r="H25" s="70">
        <v>0</v>
      </c>
      <c r="I25" s="63">
        <v>0</v>
      </c>
      <c r="J25" s="63">
        <v>0</v>
      </c>
      <c r="K25" s="63">
        <v>0</v>
      </c>
      <c r="L25" s="63">
        <v>0</v>
      </c>
      <c r="M25" s="63">
        <v>0</v>
      </c>
      <c r="N25" s="63">
        <v>0</v>
      </c>
      <c r="O25" s="63">
        <v>0</v>
      </c>
      <c r="P25" s="63">
        <v>0</v>
      </c>
      <c r="Q25" s="63">
        <v>0</v>
      </c>
      <c r="R25" s="63">
        <v>0</v>
      </c>
      <c r="S25" s="11">
        <f t="shared" si="1"/>
        <v>0</v>
      </c>
      <c r="T25" s="8">
        <f t="shared" si="5"/>
        <v>0</v>
      </c>
      <c r="U25" s="13" t="s">
        <v>2952</v>
      </c>
      <c r="V25" s="50">
        <f t="shared" si="6"/>
        <v>0</v>
      </c>
      <c r="W25" s="36">
        <v>3.149</v>
      </c>
      <c r="X25" s="36">
        <v>3.149</v>
      </c>
      <c r="Y25" s="36">
        <v>3.149</v>
      </c>
      <c r="Z25" s="36">
        <v>3.149</v>
      </c>
      <c r="AA25" s="36">
        <v>3.149</v>
      </c>
      <c r="AB25" s="36">
        <v>3.149</v>
      </c>
      <c r="AC25" s="36">
        <v>3.149</v>
      </c>
      <c r="AD25" s="36">
        <v>3.149</v>
      </c>
      <c r="AE25" s="36">
        <v>3.149</v>
      </c>
      <c r="AF25" s="36">
        <v>3.149</v>
      </c>
      <c r="AG25" s="36">
        <v>3.149</v>
      </c>
      <c r="AH25" s="36">
        <v>3.149</v>
      </c>
      <c r="AI25" s="39">
        <v>1.33634708931066E-2</v>
      </c>
      <c r="AJ25" s="39">
        <v>1.33634708931066E-2</v>
      </c>
      <c r="AK25" s="39">
        <v>1.33634708931066E-2</v>
      </c>
      <c r="AL25" s="39">
        <v>1.33634708931066E-2</v>
      </c>
      <c r="AM25" s="39">
        <v>1.33634708931066E-2</v>
      </c>
      <c r="AN25" s="39">
        <v>1.33634708931066E-2</v>
      </c>
      <c r="AO25" s="39">
        <v>1.33634708931066E-2</v>
      </c>
      <c r="AP25" s="39">
        <v>1.33634708931066E-2</v>
      </c>
      <c r="AQ25" s="39">
        <v>1.33634708931066E-2</v>
      </c>
      <c r="AR25" s="39">
        <v>1.33634708931066E-2</v>
      </c>
      <c r="AS25" s="39">
        <v>1.33634708931066E-2</v>
      </c>
      <c r="AT25" s="39">
        <v>1.33634708931066E-2</v>
      </c>
      <c r="AU25" s="39">
        <v>1.2392217523121999E-3</v>
      </c>
      <c r="AV25" s="39">
        <v>1.2392217523121999E-3</v>
      </c>
      <c r="AW25" s="39">
        <v>1.2392217523121999E-3</v>
      </c>
      <c r="AX25" s="39">
        <v>1.2392217523121999E-3</v>
      </c>
      <c r="AY25" s="39">
        <v>1.2392217523121999E-3</v>
      </c>
      <c r="AZ25" s="39">
        <v>1.2392217523121999E-3</v>
      </c>
      <c r="BA25" s="39">
        <v>1.2392217523121999E-3</v>
      </c>
      <c r="BB25" s="39">
        <v>1.2392217523121999E-3</v>
      </c>
      <c r="BC25" s="39">
        <v>1.2392217523121999E-3</v>
      </c>
      <c r="BD25" s="39">
        <v>1.2392217523121999E-3</v>
      </c>
      <c r="BE25" s="39">
        <v>1.2392217523121999E-3</v>
      </c>
      <c r="BF25" s="39">
        <v>1.2392217523121999E-3</v>
      </c>
      <c r="BG25" s="1"/>
      <c r="BH25" s="12">
        <f t="shared" si="7"/>
        <v>0</v>
      </c>
      <c r="BI25" s="12">
        <f t="shared" si="8"/>
        <v>0</v>
      </c>
      <c r="BJ25" s="12">
        <f t="shared" si="9"/>
        <v>0</v>
      </c>
      <c r="BK25" s="12">
        <f t="shared" si="10"/>
        <v>0</v>
      </c>
      <c r="BL25" s="12">
        <f t="shared" si="11"/>
        <v>0</v>
      </c>
      <c r="BM25" s="12">
        <f t="shared" si="12"/>
        <v>0</v>
      </c>
      <c r="BN25" s="12">
        <f t="shared" si="13"/>
        <v>0</v>
      </c>
      <c r="BO25" s="12">
        <f t="shared" si="14"/>
        <v>0</v>
      </c>
      <c r="BP25" s="12">
        <f t="shared" si="15"/>
        <v>0</v>
      </c>
      <c r="BQ25" s="12">
        <f t="shared" si="16"/>
        <v>0</v>
      </c>
      <c r="BR25" s="12">
        <f t="shared" si="17"/>
        <v>0</v>
      </c>
      <c r="BS25" s="12">
        <f t="shared" si="18"/>
        <v>0</v>
      </c>
      <c r="BT25" s="1"/>
      <c r="BU25" s="11">
        <f t="shared" si="19"/>
        <v>0</v>
      </c>
      <c r="BV25" s="11">
        <f t="shared" si="20"/>
        <v>0</v>
      </c>
      <c r="BW25" s="11">
        <f t="shared" si="21"/>
        <v>0</v>
      </c>
      <c r="BX25" s="11">
        <f t="shared" si="22"/>
        <v>0</v>
      </c>
      <c r="BY25" s="11">
        <f t="shared" si="23"/>
        <v>0</v>
      </c>
      <c r="BZ25" s="11">
        <f t="shared" si="24"/>
        <v>0</v>
      </c>
      <c r="CA25" s="11">
        <f t="shared" si="25"/>
        <v>0</v>
      </c>
      <c r="CB25" s="11">
        <f t="shared" si="26"/>
        <v>0</v>
      </c>
      <c r="CC25" s="11">
        <f t="shared" si="27"/>
        <v>0</v>
      </c>
      <c r="CD25" s="11">
        <f t="shared" si="28"/>
        <v>0</v>
      </c>
      <c r="CE25" s="11">
        <f t="shared" si="29"/>
        <v>0</v>
      </c>
      <c r="CF25" s="11">
        <f t="shared" si="30"/>
        <v>0</v>
      </c>
      <c r="CG25" s="11"/>
      <c r="CH25" s="41">
        <v>3.2330000000000001</v>
      </c>
      <c r="CI25" s="1"/>
      <c r="CJ25" s="53">
        <f t="shared" si="31"/>
        <v>0</v>
      </c>
      <c r="CK25" s="53">
        <f t="shared" si="32"/>
        <v>0</v>
      </c>
      <c r="CL25" s="53">
        <f t="shared" si="33"/>
        <v>0</v>
      </c>
      <c r="CM25" s="53">
        <f t="shared" si="34"/>
        <v>0</v>
      </c>
      <c r="CN25" s="53">
        <f t="shared" si="35"/>
        <v>0</v>
      </c>
      <c r="CO25" s="53">
        <f t="shared" si="36"/>
        <v>0</v>
      </c>
      <c r="CP25" s="53">
        <f t="shared" si="37"/>
        <v>0</v>
      </c>
      <c r="CQ25" s="53">
        <f t="shared" si="38"/>
        <v>0</v>
      </c>
      <c r="CR25" s="53">
        <f t="shared" si="39"/>
        <v>0</v>
      </c>
      <c r="CS25" s="53">
        <f t="shared" si="40"/>
        <v>0</v>
      </c>
      <c r="CT25" s="53">
        <f t="shared" si="41"/>
        <v>0</v>
      </c>
      <c r="CU25" s="53">
        <f t="shared" si="42"/>
        <v>0</v>
      </c>
      <c r="CV25" s="53">
        <f t="shared" si="43"/>
        <v>0</v>
      </c>
      <c r="CW25" s="1"/>
      <c r="CX25" s="1"/>
      <c r="CY25" s="1"/>
      <c r="CZ25" s="1"/>
      <c r="DA25" s="1"/>
      <c r="DB25" s="1"/>
      <c r="DC25" s="1"/>
      <c r="DD25" s="1"/>
      <c r="DE25" s="1"/>
      <c r="DF25" s="1"/>
      <c r="DG25" s="1"/>
      <c r="DH25" s="1"/>
      <c r="DI25" s="1"/>
      <c r="DJ25" s="1"/>
      <c r="DK25" s="1"/>
      <c r="DL25" s="1"/>
    </row>
    <row r="26" spans="1:116" ht="15.75" hidden="1" x14ac:dyDescent="0.25">
      <c r="A26" s="16"/>
      <c r="B26" s="44"/>
      <c r="C26" s="44"/>
      <c r="D26" s="44"/>
      <c r="E26" s="44"/>
      <c r="F26" s="45" t="s">
        <v>17</v>
      </c>
      <c r="G26" s="70">
        <v>0</v>
      </c>
      <c r="H26" s="70">
        <v>0</v>
      </c>
      <c r="I26" s="63">
        <v>0</v>
      </c>
      <c r="J26" s="63">
        <v>0</v>
      </c>
      <c r="K26" s="63">
        <v>0</v>
      </c>
      <c r="L26" s="63">
        <v>0</v>
      </c>
      <c r="M26" s="63">
        <v>0</v>
      </c>
      <c r="N26" s="63">
        <v>0</v>
      </c>
      <c r="O26" s="63">
        <v>0</v>
      </c>
      <c r="P26" s="63">
        <v>0</v>
      </c>
      <c r="Q26" s="63">
        <v>0</v>
      </c>
      <c r="R26" s="63">
        <v>0</v>
      </c>
      <c r="S26" s="11">
        <f t="shared" si="1"/>
        <v>0</v>
      </c>
      <c r="T26" s="8">
        <f t="shared" si="5"/>
        <v>-1</v>
      </c>
      <c r="U26" s="13" t="s">
        <v>2952</v>
      </c>
      <c r="V26" s="50">
        <f t="shared" si="6"/>
        <v>0</v>
      </c>
      <c r="W26" s="36">
        <v>1.107</v>
      </c>
      <c r="X26" s="36">
        <v>1.107</v>
      </c>
      <c r="Y26" s="36">
        <v>1.4379999999999999</v>
      </c>
      <c r="Z26" s="36">
        <v>1.4379999999999999</v>
      </c>
      <c r="AA26" s="36">
        <v>1.4379999999999999</v>
      </c>
      <c r="AB26" s="36">
        <v>1.4379999999999999</v>
      </c>
      <c r="AC26" s="36">
        <v>1.4379999999999999</v>
      </c>
      <c r="AD26" s="36">
        <v>1.4379999999999999</v>
      </c>
      <c r="AE26" s="36">
        <v>1.4379999999999999</v>
      </c>
      <c r="AF26" s="36">
        <v>1.4379999999999999</v>
      </c>
      <c r="AG26" s="36">
        <v>1.4379999999999999</v>
      </c>
      <c r="AH26" s="36">
        <v>1.4379999999999999</v>
      </c>
      <c r="AI26" s="39">
        <v>1.33634708931066E-2</v>
      </c>
      <c r="AJ26" s="39">
        <v>1.33634708931066E-2</v>
      </c>
      <c r="AK26" s="39">
        <v>1.33634708931066E-2</v>
      </c>
      <c r="AL26" s="39">
        <v>1.33634708931066E-2</v>
      </c>
      <c r="AM26" s="39">
        <v>1.33634708931066E-2</v>
      </c>
      <c r="AN26" s="39">
        <v>1.33634708931066E-2</v>
      </c>
      <c r="AO26" s="39">
        <v>1.33634708931066E-2</v>
      </c>
      <c r="AP26" s="39">
        <v>1.33634708931066E-2</v>
      </c>
      <c r="AQ26" s="39">
        <v>1.33634708931066E-2</v>
      </c>
      <c r="AR26" s="39">
        <v>1.33634708931066E-2</v>
      </c>
      <c r="AS26" s="39">
        <v>1.33634708931066E-2</v>
      </c>
      <c r="AT26" s="39">
        <v>1.33634708931066E-2</v>
      </c>
      <c r="AU26" s="39">
        <v>1.2392217523121999E-3</v>
      </c>
      <c r="AV26" s="39">
        <v>1.2392217523121999E-3</v>
      </c>
      <c r="AW26" s="39">
        <v>1.2392217523121999E-3</v>
      </c>
      <c r="AX26" s="39">
        <v>1.2392217523121999E-3</v>
      </c>
      <c r="AY26" s="39">
        <v>1.2392217523121999E-3</v>
      </c>
      <c r="AZ26" s="39">
        <v>1.2392217523121999E-3</v>
      </c>
      <c r="BA26" s="39">
        <v>1.2392217523121999E-3</v>
      </c>
      <c r="BB26" s="39">
        <v>1.2392217523121999E-3</v>
      </c>
      <c r="BC26" s="39">
        <v>1.2392217523121999E-3</v>
      </c>
      <c r="BD26" s="39">
        <v>1.2392217523121999E-3</v>
      </c>
      <c r="BE26" s="39">
        <v>1.2392217523121999E-3</v>
      </c>
      <c r="BF26" s="39">
        <v>1.2392217523121999E-3</v>
      </c>
      <c r="BG26" s="1"/>
      <c r="BH26" s="12">
        <f t="shared" si="7"/>
        <v>0</v>
      </c>
      <c r="BI26" s="12">
        <f t="shared" si="8"/>
        <v>0</v>
      </c>
      <c r="BJ26" s="12">
        <f t="shared" si="9"/>
        <v>0</v>
      </c>
      <c r="BK26" s="12">
        <f t="shared" si="10"/>
        <v>0</v>
      </c>
      <c r="BL26" s="12">
        <f t="shared" si="11"/>
        <v>0</v>
      </c>
      <c r="BM26" s="12">
        <f t="shared" si="12"/>
        <v>0</v>
      </c>
      <c r="BN26" s="12">
        <f t="shared" si="13"/>
        <v>0</v>
      </c>
      <c r="BO26" s="12">
        <f t="shared" si="14"/>
        <v>0</v>
      </c>
      <c r="BP26" s="12">
        <f t="shared" si="15"/>
        <v>0</v>
      </c>
      <c r="BQ26" s="12">
        <f t="shared" si="16"/>
        <v>0</v>
      </c>
      <c r="BR26" s="12">
        <f t="shared" si="17"/>
        <v>0</v>
      </c>
      <c r="BS26" s="12">
        <f t="shared" si="18"/>
        <v>0</v>
      </c>
      <c r="BT26" s="1"/>
      <c r="BU26" s="11">
        <f t="shared" si="19"/>
        <v>0</v>
      </c>
      <c r="BV26" s="11">
        <f t="shared" si="20"/>
        <v>0</v>
      </c>
      <c r="BW26" s="11">
        <f t="shared" si="21"/>
        <v>0</v>
      </c>
      <c r="BX26" s="11">
        <f t="shared" si="22"/>
        <v>0</v>
      </c>
      <c r="BY26" s="11">
        <f t="shared" si="23"/>
        <v>0</v>
      </c>
      <c r="BZ26" s="11">
        <f t="shared" si="24"/>
        <v>0</v>
      </c>
      <c r="CA26" s="11">
        <f t="shared" si="25"/>
        <v>0</v>
      </c>
      <c r="CB26" s="11">
        <f t="shared" si="26"/>
        <v>0</v>
      </c>
      <c r="CC26" s="11">
        <f t="shared" si="27"/>
        <v>0</v>
      </c>
      <c r="CD26" s="11">
        <f t="shared" si="28"/>
        <v>0</v>
      </c>
      <c r="CE26" s="11">
        <f t="shared" si="29"/>
        <v>0</v>
      </c>
      <c r="CF26" s="11">
        <f t="shared" si="30"/>
        <v>0</v>
      </c>
      <c r="CG26" s="11"/>
      <c r="CH26" s="41">
        <v>3.2330000000000001</v>
      </c>
      <c r="CI26" s="1"/>
      <c r="CJ26" s="53">
        <f t="shared" si="31"/>
        <v>0</v>
      </c>
      <c r="CK26" s="53">
        <f t="shared" si="32"/>
        <v>0</v>
      </c>
      <c r="CL26" s="53">
        <f t="shared" si="33"/>
        <v>0</v>
      </c>
      <c r="CM26" s="53">
        <f t="shared" si="34"/>
        <v>0</v>
      </c>
      <c r="CN26" s="53">
        <f t="shared" si="35"/>
        <v>0</v>
      </c>
      <c r="CO26" s="53">
        <f t="shared" si="36"/>
        <v>0</v>
      </c>
      <c r="CP26" s="53">
        <f t="shared" si="37"/>
        <v>0</v>
      </c>
      <c r="CQ26" s="53">
        <f t="shared" si="38"/>
        <v>0</v>
      </c>
      <c r="CR26" s="53">
        <f t="shared" si="39"/>
        <v>0</v>
      </c>
      <c r="CS26" s="53">
        <f t="shared" si="40"/>
        <v>0</v>
      </c>
      <c r="CT26" s="53">
        <f t="shared" si="41"/>
        <v>0</v>
      </c>
      <c r="CU26" s="53">
        <f t="shared" si="42"/>
        <v>0</v>
      </c>
      <c r="CV26" s="53">
        <f t="shared" si="43"/>
        <v>0</v>
      </c>
      <c r="CW26" s="1"/>
      <c r="CX26" s="1"/>
      <c r="CY26" s="1"/>
      <c r="CZ26" s="1"/>
      <c r="DA26" s="1"/>
      <c r="DB26" s="1"/>
      <c r="DC26" s="1"/>
      <c r="DD26" s="1"/>
      <c r="DE26" s="1"/>
      <c r="DF26" s="1"/>
      <c r="DG26" s="1"/>
      <c r="DH26" s="1"/>
      <c r="DI26" s="1"/>
      <c r="DJ26" s="1"/>
      <c r="DK26" s="1"/>
      <c r="DL26" s="1"/>
    </row>
    <row r="27" spans="1:116" ht="15.75" hidden="1" x14ac:dyDescent="0.25">
      <c r="A27" s="16"/>
      <c r="B27" s="44"/>
      <c r="C27" s="44"/>
      <c r="D27" s="44"/>
      <c r="E27" s="44"/>
      <c r="F27" s="45" t="s">
        <v>17</v>
      </c>
      <c r="G27" s="70">
        <v>32.96</v>
      </c>
      <c r="H27" s="70">
        <v>143.80000000000001</v>
      </c>
      <c r="I27" s="63">
        <v>49.8</v>
      </c>
      <c r="J27" s="63">
        <v>49.8</v>
      </c>
      <c r="K27" s="63">
        <v>64.55</v>
      </c>
      <c r="L27" s="63">
        <v>64.55</v>
      </c>
      <c r="M27" s="63">
        <v>64.55</v>
      </c>
      <c r="N27" s="63">
        <v>64.55</v>
      </c>
      <c r="O27" s="63">
        <v>74.7</v>
      </c>
      <c r="P27" s="63">
        <v>74.7</v>
      </c>
      <c r="Q27" s="63">
        <v>74.7</v>
      </c>
      <c r="R27" s="63">
        <v>49.8</v>
      </c>
      <c r="S27" s="11">
        <f t="shared" si="1"/>
        <v>808.46000000000015</v>
      </c>
      <c r="T27" s="8">
        <f t="shared" si="5"/>
        <v>0.13347166531138738</v>
      </c>
      <c r="U27" s="13" t="s">
        <v>2952</v>
      </c>
      <c r="V27" s="50">
        <f t="shared" si="6"/>
        <v>1729017</v>
      </c>
      <c r="W27" s="36">
        <v>1.258</v>
      </c>
      <c r="X27" s="36">
        <v>1.258</v>
      </c>
      <c r="Y27" s="36">
        <v>1.6339999999999999</v>
      </c>
      <c r="Z27" s="36">
        <v>1.6339999999999999</v>
      </c>
      <c r="AA27" s="36">
        <v>1.6339999999999999</v>
      </c>
      <c r="AB27" s="36">
        <v>1.6339999999999999</v>
      </c>
      <c r="AC27" s="36">
        <v>1.6339999999999999</v>
      </c>
      <c r="AD27" s="36">
        <v>1.6339999999999999</v>
      </c>
      <c r="AE27" s="36">
        <v>1.6339999999999999</v>
      </c>
      <c r="AF27" s="36">
        <v>1.6339999999999999</v>
      </c>
      <c r="AG27" s="36">
        <v>1.6339999999999999</v>
      </c>
      <c r="AH27" s="36">
        <v>1.6339999999999999</v>
      </c>
      <c r="AI27" s="39">
        <v>1.33634708931066E-2</v>
      </c>
      <c r="AJ27" s="39">
        <v>1.33634708931066E-2</v>
      </c>
      <c r="AK27" s="39">
        <v>1.33634708931066E-2</v>
      </c>
      <c r="AL27" s="39">
        <v>1.33634708931066E-2</v>
      </c>
      <c r="AM27" s="39">
        <v>1.33634708931066E-2</v>
      </c>
      <c r="AN27" s="39">
        <v>1.33634708931066E-2</v>
      </c>
      <c r="AO27" s="39">
        <v>1.33634708931066E-2</v>
      </c>
      <c r="AP27" s="39">
        <v>1.33634708931066E-2</v>
      </c>
      <c r="AQ27" s="39">
        <v>1.33634708931066E-2</v>
      </c>
      <c r="AR27" s="39">
        <v>1.33634708931066E-2</v>
      </c>
      <c r="AS27" s="39">
        <v>1.33634708931066E-2</v>
      </c>
      <c r="AT27" s="39">
        <v>1.33634708931066E-2</v>
      </c>
      <c r="AU27" s="39">
        <v>1.2392217523121999E-3</v>
      </c>
      <c r="AV27" s="39">
        <v>1.2392217523121999E-3</v>
      </c>
      <c r="AW27" s="39">
        <v>1.2392217523121999E-3</v>
      </c>
      <c r="AX27" s="39">
        <v>1.2392217523121999E-3</v>
      </c>
      <c r="AY27" s="39">
        <v>1.2392217523121999E-3</v>
      </c>
      <c r="AZ27" s="39">
        <v>1.2392217523121999E-3</v>
      </c>
      <c r="BA27" s="39">
        <v>1.2392217523121999E-3</v>
      </c>
      <c r="BB27" s="39">
        <v>1.2392217523121999E-3</v>
      </c>
      <c r="BC27" s="39">
        <v>1.2392217523121999E-3</v>
      </c>
      <c r="BD27" s="39">
        <v>1.2392217523121999E-3</v>
      </c>
      <c r="BE27" s="39">
        <v>1.2392217523121999E-3</v>
      </c>
      <c r="BF27" s="39">
        <v>1.2392217523121999E-3</v>
      </c>
      <c r="BG27" s="1"/>
      <c r="BH27" s="12">
        <f t="shared" si="7"/>
        <v>106.55968</v>
      </c>
      <c r="BI27" s="12">
        <f t="shared" si="8"/>
        <v>464.90540000000004</v>
      </c>
      <c r="BJ27" s="12">
        <f t="shared" si="9"/>
        <v>161.0034</v>
      </c>
      <c r="BK27" s="12">
        <f t="shared" si="10"/>
        <v>161.0034</v>
      </c>
      <c r="BL27" s="12">
        <f t="shared" si="11"/>
        <v>208.69014999999999</v>
      </c>
      <c r="BM27" s="12">
        <f t="shared" si="12"/>
        <v>208.69014999999999</v>
      </c>
      <c r="BN27" s="12">
        <f t="shared" si="13"/>
        <v>208.69014999999999</v>
      </c>
      <c r="BO27" s="12">
        <f t="shared" si="14"/>
        <v>208.69014999999999</v>
      </c>
      <c r="BP27" s="12">
        <f t="shared" si="15"/>
        <v>241.50510000000003</v>
      </c>
      <c r="BQ27" s="12">
        <f t="shared" si="16"/>
        <v>241.50510000000003</v>
      </c>
      <c r="BR27" s="12">
        <f t="shared" si="17"/>
        <v>241.50510000000003</v>
      </c>
      <c r="BS27" s="12">
        <f t="shared" si="18"/>
        <v>161.0034</v>
      </c>
      <c r="BT27" s="1"/>
      <c r="BU27" s="11">
        <f t="shared" si="19"/>
        <v>108.11573825543418</v>
      </c>
      <c r="BV27" s="11">
        <f t="shared" si="20"/>
        <v>471.69427066539555</v>
      </c>
      <c r="BW27" s="11">
        <f t="shared" si="21"/>
        <v>163.35448316506742</v>
      </c>
      <c r="BX27" s="11">
        <f t="shared" si="22"/>
        <v>163.35448316506742</v>
      </c>
      <c r="BY27" s="11">
        <f t="shared" si="23"/>
        <v>211.73758811857633</v>
      </c>
      <c r="BZ27" s="11">
        <f t="shared" si="24"/>
        <v>211.73758811857633</v>
      </c>
      <c r="CA27" s="11">
        <f t="shared" si="25"/>
        <v>211.73758811857633</v>
      </c>
      <c r="CB27" s="11">
        <f t="shared" si="26"/>
        <v>211.73758811857633</v>
      </c>
      <c r="CC27" s="11">
        <f t="shared" si="27"/>
        <v>245.03172474760115</v>
      </c>
      <c r="CD27" s="11">
        <f t="shared" si="28"/>
        <v>245.03172474760115</v>
      </c>
      <c r="CE27" s="11">
        <f t="shared" si="29"/>
        <v>245.03172474760115</v>
      </c>
      <c r="CF27" s="11">
        <f t="shared" si="30"/>
        <v>163.35448316506742</v>
      </c>
      <c r="CG27" s="11"/>
      <c r="CH27" s="41">
        <v>3.2330000000000001</v>
      </c>
      <c r="CI27" s="1"/>
      <c r="CJ27" s="53">
        <f t="shared" si="31"/>
        <v>85943</v>
      </c>
      <c r="CK27" s="53">
        <f t="shared" si="32"/>
        <v>374956</v>
      </c>
      <c r="CL27" s="53">
        <f t="shared" si="33"/>
        <v>99972</v>
      </c>
      <c r="CM27" s="53">
        <f t="shared" si="34"/>
        <v>99972</v>
      </c>
      <c r="CN27" s="53">
        <f t="shared" si="35"/>
        <v>129582</v>
      </c>
      <c r="CO27" s="53">
        <f t="shared" si="36"/>
        <v>129582</v>
      </c>
      <c r="CP27" s="53">
        <f t="shared" si="37"/>
        <v>129582</v>
      </c>
      <c r="CQ27" s="53">
        <f t="shared" si="38"/>
        <v>129582</v>
      </c>
      <c r="CR27" s="53">
        <f t="shared" si="39"/>
        <v>149958</v>
      </c>
      <c r="CS27" s="53">
        <f t="shared" si="40"/>
        <v>149958</v>
      </c>
      <c r="CT27" s="53">
        <f t="shared" si="41"/>
        <v>149958</v>
      </c>
      <c r="CU27" s="53">
        <f t="shared" si="42"/>
        <v>99972</v>
      </c>
      <c r="CV27" s="53">
        <f t="shared" si="43"/>
        <v>1729017</v>
      </c>
      <c r="CW27" s="1"/>
      <c r="CX27" s="1"/>
      <c r="CY27" s="1"/>
      <c r="CZ27" s="1"/>
      <c r="DA27" s="1"/>
      <c r="DB27" s="1"/>
      <c r="DC27" s="1"/>
      <c r="DD27" s="1"/>
      <c r="DE27" s="1"/>
      <c r="DF27" s="1"/>
      <c r="DG27" s="1"/>
      <c r="DH27" s="1"/>
      <c r="DI27" s="1"/>
      <c r="DJ27" s="1"/>
      <c r="DK27" s="1"/>
      <c r="DL27" s="1"/>
    </row>
    <row r="28" spans="1:116" ht="15.75" hidden="1" x14ac:dyDescent="0.25">
      <c r="A28" s="16"/>
      <c r="B28" s="44"/>
      <c r="C28" s="44"/>
      <c r="D28" s="44"/>
      <c r="E28" s="44"/>
      <c r="F28" s="45" t="s">
        <v>17</v>
      </c>
      <c r="G28" s="70">
        <v>35.880000000000003</v>
      </c>
      <c r="H28" s="70">
        <v>90.12</v>
      </c>
      <c r="I28" s="63">
        <v>24.19</v>
      </c>
      <c r="J28" s="63">
        <v>40.32</v>
      </c>
      <c r="K28" s="63">
        <v>40.32</v>
      </c>
      <c r="L28" s="63">
        <v>44.36</v>
      </c>
      <c r="M28" s="63">
        <v>44.36</v>
      </c>
      <c r="N28" s="63">
        <v>48.39</v>
      </c>
      <c r="O28" s="63">
        <v>64.52</v>
      </c>
      <c r="P28" s="63">
        <v>72.58</v>
      </c>
      <c r="Q28" s="63">
        <v>48.39</v>
      </c>
      <c r="R28" s="63">
        <v>40.32</v>
      </c>
      <c r="S28" s="11">
        <f t="shared" si="1"/>
        <v>593.75</v>
      </c>
      <c r="T28" s="8">
        <f t="shared" si="5"/>
        <v>0.35624386121199675</v>
      </c>
      <c r="U28" s="13" t="s">
        <v>2952</v>
      </c>
      <c r="V28" s="50">
        <f t="shared" si="6"/>
        <v>788707</v>
      </c>
      <c r="W28" s="36">
        <v>1.9790000000000001</v>
      </c>
      <c r="X28" s="36">
        <v>1.9790000000000001</v>
      </c>
      <c r="Y28" s="36">
        <v>2.6459999999999999</v>
      </c>
      <c r="Z28" s="36">
        <v>2.6459999999999999</v>
      </c>
      <c r="AA28" s="36">
        <v>2.6459999999999999</v>
      </c>
      <c r="AB28" s="36">
        <v>2.6459999999999999</v>
      </c>
      <c r="AC28" s="36">
        <v>2.6459999999999999</v>
      </c>
      <c r="AD28" s="36">
        <v>2.6459999999999999</v>
      </c>
      <c r="AE28" s="36">
        <v>2.6459999999999999</v>
      </c>
      <c r="AF28" s="36">
        <v>2.6459999999999999</v>
      </c>
      <c r="AG28" s="36">
        <v>2.6459999999999999</v>
      </c>
      <c r="AH28" s="36">
        <v>2.6459999999999999</v>
      </c>
      <c r="AI28" s="39">
        <v>1.33634708931066E-2</v>
      </c>
      <c r="AJ28" s="39">
        <v>1.33634708931066E-2</v>
      </c>
      <c r="AK28" s="39">
        <v>1.33634708931066E-2</v>
      </c>
      <c r="AL28" s="39">
        <v>1.33634708931066E-2</v>
      </c>
      <c r="AM28" s="39">
        <v>1.33634708931066E-2</v>
      </c>
      <c r="AN28" s="39">
        <v>1.33634708931066E-2</v>
      </c>
      <c r="AO28" s="39">
        <v>1.33634708931066E-2</v>
      </c>
      <c r="AP28" s="39">
        <v>1.33634708931066E-2</v>
      </c>
      <c r="AQ28" s="39">
        <v>1.33634708931066E-2</v>
      </c>
      <c r="AR28" s="39">
        <v>1.33634708931066E-2</v>
      </c>
      <c r="AS28" s="39">
        <v>1.33634708931066E-2</v>
      </c>
      <c r="AT28" s="39">
        <v>1.33634708931066E-2</v>
      </c>
      <c r="AU28" s="39">
        <v>1.2392217523121999E-3</v>
      </c>
      <c r="AV28" s="39">
        <v>1.2392217523121999E-3</v>
      </c>
      <c r="AW28" s="39">
        <v>1.2392217523121999E-3</v>
      </c>
      <c r="AX28" s="39">
        <v>1.2392217523121999E-3</v>
      </c>
      <c r="AY28" s="39">
        <v>1.2392217523121999E-3</v>
      </c>
      <c r="AZ28" s="39">
        <v>1.2392217523121999E-3</v>
      </c>
      <c r="BA28" s="39">
        <v>1.2392217523121999E-3</v>
      </c>
      <c r="BB28" s="39">
        <v>1.2392217523121999E-3</v>
      </c>
      <c r="BC28" s="39">
        <v>1.2392217523121999E-3</v>
      </c>
      <c r="BD28" s="39">
        <v>1.2392217523121999E-3</v>
      </c>
      <c r="BE28" s="39">
        <v>1.2392217523121999E-3</v>
      </c>
      <c r="BF28" s="39">
        <v>1.2392217523121999E-3</v>
      </c>
      <c r="BG28" s="1"/>
      <c r="BH28" s="12">
        <f t="shared" si="7"/>
        <v>116.00004000000001</v>
      </c>
      <c r="BI28" s="12">
        <f t="shared" si="8"/>
        <v>291.35796000000005</v>
      </c>
      <c r="BJ28" s="12">
        <f t="shared" si="9"/>
        <v>78.206270000000004</v>
      </c>
      <c r="BK28" s="12">
        <f t="shared" si="10"/>
        <v>130.35455999999999</v>
      </c>
      <c r="BL28" s="12">
        <f t="shared" si="11"/>
        <v>130.35455999999999</v>
      </c>
      <c r="BM28" s="12">
        <f t="shared" si="12"/>
        <v>143.41588000000002</v>
      </c>
      <c r="BN28" s="12">
        <f t="shared" si="13"/>
        <v>143.41588000000002</v>
      </c>
      <c r="BO28" s="12">
        <f t="shared" si="14"/>
        <v>156.44487000000001</v>
      </c>
      <c r="BP28" s="12">
        <f t="shared" si="15"/>
        <v>208.59315999999998</v>
      </c>
      <c r="BQ28" s="12">
        <f t="shared" si="16"/>
        <v>234.65114</v>
      </c>
      <c r="BR28" s="12">
        <f t="shared" si="17"/>
        <v>156.44487000000001</v>
      </c>
      <c r="BS28" s="12">
        <f t="shared" si="18"/>
        <v>130.35455999999999</v>
      </c>
      <c r="BT28" s="1"/>
      <c r="BU28" s="11">
        <f t="shared" si="19"/>
        <v>117.69395293097629</v>
      </c>
      <c r="BV28" s="11">
        <f t="shared" si="20"/>
        <v>295.6125707396763</v>
      </c>
      <c r="BW28" s="11">
        <f t="shared" si="21"/>
        <v>79.348292123754646</v>
      </c>
      <c r="BX28" s="11">
        <f t="shared" si="22"/>
        <v>132.25808757460879</v>
      </c>
      <c r="BY28" s="11">
        <f t="shared" si="23"/>
        <v>132.25808757460879</v>
      </c>
      <c r="BZ28" s="11">
        <f t="shared" si="24"/>
        <v>145.51013801611228</v>
      </c>
      <c r="CA28" s="11">
        <f t="shared" si="25"/>
        <v>145.51013801611228</v>
      </c>
      <c r="CB28" s="11">
        <f t="shared" si="26"/>
        <v>158.7293863525625</v>
      </c>
      <c r="CC28" s="11">
        <f t="shared" si="27"/>
        <v>211.63918180341665</v>
      </c>
      <c r="CD28" s="11">
        <f t="shared" si="28"/>
        <v>238.07767847631715</v>
      </c>
      <c r="CE28" s="11">
        <f t="shared" si="29"/>
        <v>158.7293863525625</v>
      </c>
      <c r="CF28" s="11">
        <f t="shared" si="30"/>
        <v>132.25808757460879</v>
      </c>
      <c r="CG28" s="11"/>
      <c r="CH28" s="41">
        <v>3.2330000000000001</v>
      </c>
      <c r="CI28" s="1"/>
      <c r="CJ28" s="53">
        <f t="shared" si="31"/>
        <v>59471</v>
      </c>
      <c r="CK28" s="53">
        <f t="shared" si="32"/>
        <v>149375</v>
      </c>
      <c r="CL28" s="53">
        <f t="shared" si="33"/>
        <v>29988</v>
      </c>
      <c r="CM28" s="53">
        <f t="shared" si="34"/>
        <v>49984</v>
      </c>
      <c r="CN28" s="53">
        <f t="shared" si="35"/>
        <v>49984</v>
      </c>
      <c r="CO28" s="53">
        <f t="shared" si="36"/>
        <v>54992</v>
      </c>
      <c r="CP28" s="53">
        <f t="shared" si="37"/>
        <v>54992</v>
      </c>
      <c r="CQ28" s="53">
        <f t="shared" si="38"/>
        <v>59988</v>
      </c>
      <c r="CR28" s="53">
        <f t="shared" si="39"/>
        <v>79985</v>
      </c>
      <c r="CS28" s="53">
        <f t="shared" si="40"/>
        <v>89976</v>
      </c>
      <c r="CT28" s="53">
        <f t="shared" si="41"/>
        <v>59988</v>
      </c>
      <c r="CU28" s="53">
        <f t="shared" si="42"/>
        <v>49984</v>
      </c>
      <c r="CV28" s="53">
        <f t="shared" si="43"/>
        <v>788707</v>
      </c>
      <c r="CW28" s="1"/>
      <c r="CX28" s="1"/>
      <c r="CY28" s="1"/>
      <c r="CZ28" s="1"/>
      <c r="DA28" s="1"/>
      <c r="DB28" s="1"/>
      <c r="DC28" s="1"/>
      <c r="DD28" s="1"/>
      <c r="DE28" s="1"/>
      <c r="DF28" s="1"/>
      <c r="DG28" s="1"/>
      <c r="DH28" s="1"/>
      <c r="DI28" s="1"/>
      <c r="DJ28" s="1"/>
      <c r="DK28" s="1"/>
      <c r="DL28" s="1"/>
    </row>
    <row r="29" spans="1:116" ht="15.75" hidden="1" x14ac:dyDescent="0.25">
      <c r="A29" s="16"/>
      <c r="B29" s="44"/>
      <c r="C29" s="44"/>
      <c r="D29" s="44"/>
      <c r="E29" s="44"/>
      <c r="F29" s="45" t="s">
        <v>17</v>
      </c>
      <c r="G29" s="70">
        <v>16.96</v>
      </c>
      <c r="H29" s="70">
        <v>52.77</v>
      </c>
      <c r="I29" s="63">
        <v>21.64</v>
      </c>
      <c r="J29" s="63">
        <v>21.64</v>
      </c>
      <c r="K29" s="63">
        <v>21.64</v>
      </c>
      <c r="L29" s="63">
        <v>28.86</v>
      </c>
      <c r="M29" s="63">
        <v>28.86</v>
      </c>
      <c r="N29" s="63">
        <v>28.86</v>
      </c>
      <c r="O29" s="63">
        <v>43.29</v>
      </c>
      <c r="P29" s="63">
        <v>43.29</v>
      </c>
      <c r="Q29" s="63">
        <v>43.29</v>
      </c>
      <c r="R29" s="63">
        <v>32.47</v>
      </c>
      <c r="S29" s="11">
        <f t="shared" si="1"/>
        <v>383.57000000000005</v>
      </c>
      <c r="T29" s="8">
        <f t="shared" si="5"/>
        <v>0.40940657725519014</v>
      </c>
      <c r="U29" s="13" t="s">
        <v>2952</v>
      </c>
      <c r="V29" s="50">
        <f t="shared" si="6"/>
        <v>560597</v>
      </c>
      <c r="W29" s="36">
        <v>1.82</v>
      </c>
      <c r="X29" s="36">
        <v>1.82</v>
      </c>
      <c r="Y29" s="36">
        <v>2.367</v>
      </c>
      <c r="Z29" s="36">
        <v>2.367</v>
      </c>
      <c r="AA29" s="36">
        <v>2.367</v>
      </c>
      <c r="AB29" s="36">
        <v>2.367</v>
      </c>
      <c r="AC29" s="36">
        <v>2.367</v>
      </c>
      <c r="AD29" s="36">
        <v>2.367</v>
      </c>
      <c r="AE29" s="36">
        <v>2.367</v>
      </c>
      <c r="AF29" s="36">
        <v>2.367</v>
      </c>
      <c r="AG29" s="36">
        <v>2.367</v>
      </c>
      <c r="AH29" s="36">
        <v>2.367</v>
      </c>
      <c r="AI29" s="39">
        <v>1.33634708931066E-2</v>
      </c>
      <c r="AJ29" s="39">
        <v>1.33634708931066E-2</v>
      </c>
      <c r="AK29" s="39">
        <v>1.33634708931066E-2</v>
      </c>
      <c r="AL29" s="39">
        <v>1.33634708931066E-2</v>
      </c>
      <c r="AM29" s="39">
        <v>1.33634708931066E-2</v>
      </c>
      <c r="AN29" s="39">
        <v>1.33634708931066E-2</v>
      </c>
      <c r="AO29" s="39">
        <v>1.33634708931066E-2</v>
      </c>
      <c r="AP29" s="39">
        <v>1.33634708931066E-2</v>
      </c>
      <c r="AQ29" s="39">
        <v>1.33634708931066E-2</v>
      </c>
      <c r="AR29" s="39">
        <v>1.33634708931066E-2</v>
      </c>
      <c r="AS29" s="39">
        <v>1.33634708931066E-2</v>
      </c>
      <c r="AT29" s="39">
        <v>1.33634708931066E-2</v>
      </c>
      <c r="AU29" s="39">
        <v>1.2392217523121999E-3</v>
      </c>
      <c r="AV29" s="39">
        <v>1.2392217523121999E-3</v>
      </c>
      <c r="AW29" s="39">
        <v>1.2392217523121999E-3</v>
      </c>
      <c r="AX29" s="39">
        <v>1.2392217523121999E-3</v>
      </c>
      <c r="AY29" s="39">
        <v>1.2392217523121999E-3</v>
      </c>
      <c r="AZ29" s="39">
        <v>1.2392217523121999E-3</v>
      </c>
      <c r="BA29" s="39">
        <v>1.2392217523121999E-3</v>
      </c>
      <c r="BB29" s="39">
        <v>1.2392217523121999E-3</v>
      </c>
      <c r="BC29" s="39">
        <v>1.2392217523121999E-3</v>
      </c>
      <c r="BD29" s="39">
        <v>1.2392217523121999E-3</v>
      </c>
      <c r="BE29" s="39">
        <v>1.2392217523121999E-3</v>
      </c>
      <c r="BF29" s="39">
        <v>1.2392217523121999E-3</v>
      </c>
      <c r="BG29" s="1"/>
      <c r="BH29" s="12">
        <f t="shared" si="7"/>
        <v>54.831680000000006</v>
      </c>
      <c r="BI29" s="12">
        <f t="shared" si="8"/>
        <v>170.60541000000001</v>
      </c>
      <c r="BJ29" s="12">
        <f t="shared" si="9"/>
        <v>69.962119999999999</v>
      </c>
      <c r="BK29" s="12">
        <f t="shared" si="10"/>
        <v>69.962119999999999</v>
      </c>
      <c r="BL29" s="12">
        <f t="shared" si="11"/>
        <v>69.962119999999999</v>
      </c>
      <c r="BM29" s="12">
        <f t="shared" si="12"/>
        <v>93.304379999999995</v>
      </c>
      <c r="BN29" s="12">
        <f t="shared" si="13"/>
        <v>93.304379999999995</v>
      </c>
      <c r="BO29" s="12">
        <f t="shared" si="14"/>
        <v>93.304379999999995</v>
      </c>
      <c r="BP29" s="12">
        <f t="shared" si="15"/>
        <v>139.95657</v>
      </c>
      <c r="BQ29" s="12">
        <f t="shared" si="16"/>
        <v>139.95657</v>
      </c>
      <c r="BR29" s="12">
        <f t="shared" si="17"/>
        <v>139.95657</v>
      </c>
      <c r="BS29" s="12">
        <f t="shared" si="18"/>
        <v>104.97551</v>
      </c>
      <c r="BT29" s="1"/>
      <c r="BU29" s="11">
        <f t="shared" si="19"/>
        <v>55.632370170271962</v>
      </c>
      <c r="BV29" s="11">
        <f t="shared" si="20"/>
        <v>173.09670836587566</v>
      </c>
      <c r="BW29" s="11">
        <f t="shared" si="21"/>
        <v>70.983755335181911</v>
      </c>
      <c r="BX29" s="11">
        <f t="shared" si="22"/>
        <v>70.983755335181911</v>
      </c>
      <c r="BY29" s="11">
        <f t="shared" si="23"/>
        <v>70.983755335181911</v>
      </c>
      <c r="BZ29" s="11">
        <f t="shared" si="24"/>
        <v>94.666875183611353</v>
      </c>
      <c r="CA29" s="11">
        <f t="shared" si="25"/>
        <v>94.666875183611353</v>
      </c>
      <c r="CB29" s="11">
        <f t="shared" si="26"/>
        <v>94.666875183611353</v>
      </c>
      <c r="CC29" s="11">
        <f t="shared" si="27"/>
        <v>142.00031277541703</v>
      </c>
      <c r="CD29" s="11">
        <f t="shared" si="28"/>
        <v>142.00031277541703</v>
      </c>
      <c r="CE29" s="11">
        <f t="shared" si="29"/>
        <v>142.00031277541703</v>
      </c>
      <c r="CF29" s="11">
        <f t="shared" si="30"/>
        <v>106.50843510782609</v>
      </c>
      <c r="CG29" s="11"/>
      <c r="CH29" s="41">
        <v>3.2330000000000001</v>
      </c>
      <c r="CI29" s="1"/>
      <c r="CJ29" s="53">
        <f t="shared" si="31"/>
        <v>30567</v>
      </c>
      <c r="CK29" s="53">
        <f t="shared" si="32"/>
        <v>95108</v>
      </c>
      <c r="CL29" s="53">
        <f t="shared" si="33"/>
        <v>29989</v>
      </c>
      <c r="CM29" s="53">
        <f t="shared" si="34"/>
        <v>29989</v>
      </c>
      <c r="CN29" s="53">
        <f t="shared" si="35"/>
        <v>29989</v>
      </c>
      <c r="CO29" s="53">
        <f t="shared" si="36"/>
        <v>39994</v>
      </c>
      <c r="CP29" s="53">
        <f t="shared" si="37"/>
        <v>39994</v>
      </c>
      <c r="CQ29" s="53">
        <f t="shared" si="38"/>
        <v>39994</v>
      </c>
      <c r="CR29" s="53">
        <f t="shared" si="39"/>
        <v>59992</v>
      </c>
      <c r="CS29" s="53">
        <f t="shared" si="40"/>
        <v>59992</v>
      </c>
      <c r="CT29" s="53">
        <f t="shared" si="41"/>
        <v>59992</v>
      </c>
      <c r="CU29" s="53">
        <f t="shared" si="42"/>
        <v>44997</v>
      </c>
      <c r="CV29" s="53">
        <f t="shared" si="43"/>
        <v>560597</v>
      </c>
      <c r="CW29" s="1"/>
      <c r="CX29" s="1"/>
      <c r="CY29" s="1"/>
      <c r="CZ29" s="1"/>
      <c r="DA29" s="1"/>
      <c r="DB29" s="1"/>
      <c r="DC29" s="1"/>
      <c r="DD29" s="1"/>
      <c r="DE29" s="1"/>
      <c r="DF29" s="1"/>
      <c r="DG29" s="1"/>
      <c r="DH29" s="1"/>
      <c r="DI29" s="1"/>
      <c r="DJ29" s="1"/>
      <c r="DK29" s="1"/>
      <c r="DL29" s="1"/>
    </row>
    <row r="30" spans="1:116" ht="15.75" hidden="1" x14ac:dyDescent="0.25">
      <c r="A30" s="16"/>
      <c r="B30" s="44"/>
      <c r="C30" s="44"/>
      <c r="D30" s="44"/>
      <c r="E30" s="44"/>
      <c r="F30" s="45" t="s">
        <v>17</v>
      </c>
      <c r="G30" s="70">
        <v>170.25</v>
      </c>
      <c r="H30" s="70">
        <v>70.5</v>
      </c>
      <c r="I30" s="63">
        <v>254.95</v>
      </c>
      <c r="J30" s="63">
        <v>74.709999999999994</v>
      </c>
      <c r="K30" s="63">
        <v>74.709999999999994</v>
      </c>
      <c r="L30" s="63">
        <v>74.709999999999994</v>
      </c>
      <c r="M30" s="63">
        <v>86.85</v>
      </c>
      <c r="N30" s="63">
        <v>91.05</v>
      </c>
      <c r="O30" s="63">
        <v>186.78</v>
      </c>
      <c r="P30" s="63">
        <v>186.78</v>
      </c>
      <c r="Q30" s="63">
        <v>158.76</v>
      </c>
      <c r="R30" s="63">
        <v>121.41</v>
      </c>
      <c r="S30" s="11">
        <f t="shared" si="1"/>
        <v>1551.46</v>
      </c>
      <c r="T30" s="8">
        <f t="shared" si="5"/>
        <v>0.60106086561680883</v>
      </c>
      <c r="U30" s="13" t="s">
        <v>2952</v>
      </c>
      <c r="V30" s="50">
        <f t="shared" si="6"/>
        <v>1738392</v>
      </c>
      <c r="W30" s="36">
        <v>2.3559999999999999</v>
      </c>
      <c r="X30" s="36">
        <v>2.3559999999999999</v>
      </c>
      <c r="Y30" s="36">
        <v>3.0640000000000001</v>
      </c>
      <c r="Z30" s="36">
        <v>3.0640000000000001</v>
      </c>
      <c r="AA30" s="36">
        <v>3.0640000000000001</v>
      </c>
      <c r="AB30" s="36">
        <v>3.0640000000000001</v>
      </c>
      <c r="AC30" s="36">
        <v>3.0640000000000001</v>
      </c>
      <c r="AD30" s="36">
        <v>3.0640000000000001</v>
      </c>
      <c r="AE30" s="36">
        <v>3.0640000000000001</v>
      </c>
      <c r="AF30" s="36">
        <v>3.0640000000000001</v>
      </c>
      <c r="AG30" s="36">
        <v>3.0640000000000001</v>
      </c>
      <c r="AH30" s="36">
        <v>3.0640000000000001</v>
      </c>
      <c r="AI30" s="39">
        <v>1.33634708931066E-2</v>
      </c>
      <c r="AJ30" s="39">
        <v>1.33634708931066E-2</v>
      </c>
      <c r="AK30" s="39">
        <v>1.33634708931066E-2</v>
      </c>
      <c r="AL30" s="39">
        <v>1.33634708931066E-2</v>
      </c>
      <c r="AM30" s="39">
        <v>1.33634708931066E-2</v>
      </c>
      <c r="AN30" s="39">
        <v>1.33634708931066E-2</v>
      </c>
      <c r="AO30" s="39">
        <v>1.33634708931066E-2</v>
      </c>
      <c r="AP30" s="39">
        <v>1.33634708931066E-2</v>
      </c>
      <c r="AQ30" s="39">
        <v>1.33634708931066E-2</v>
      </c>
      <c r="AR30" s="39">
        <v>1.33634708931066E-2</v>
      </c>
      <c r="AS30" s="39">
        <v>1.33634708931066E-2</v>
      </c>
      <c r="AT30" s="39">
        <v>1.33634708931066E-2</v>
      </c>
      <c r="AU30" s="39">
        <v>1.2392217523121999E-3</v>
      </c>
      <c r="AV30" s="39">
        <v>1.2392217523121999E-3</v>
      </c>
      <c r="AW30" s="39">
        <v>1.2392217523121999E-3</v>
      </c>
      <c r="AX30" s="39">
        <v>1.2392217523121999E-3</v>
      </c>
      <c r="AY30" s="39">
        <v>1.2392217523121999E-3</v>
      </c>
      <c r="AZ30" s="39">
        <v>1.2392217523121999E-3</v>
      </c>
      <c r="BA30" s="39">
        <v>1.2392217523121999E-3</v>
      </c>
      <c r="BB30" s="39">
        <v>1.2392217523121999E-3</v>
      </c>
      <c r="BC30" s="39">
        <v>1.2392217523121999E-3</v>
      </c>
      <c r="BD30" s="39">
        <v>1.2392217523121999E-3</v>
      </c>
      <c r="BE30" s="39">
        <v>1.2392217523121999E-3</v>
      </c>
      <c r="BF30" s="39">
        <v>1.2392217523121999E-3</v>
      </c>
      <c r="BG30" s="1"/>
      <c r="BH30" s="12">
        <f t="shared" si="7"/>
        <v>550.41825000000006</v>
      </c>
      <c r="BI30" s="12">
        <f t="shared" si="8"/>
        <v>227.9265</v>
      </c>
      <c r="BJ30" s="12">
        <f t="shared" si="9"/>
        <v>824.25334999999995</v>
      </c>
      <c r="BK30" s="12">
        <f t="shared" si="10"/>
        <v>241.53743</v>
      </c>
      <c r="BL30" s="12">
        <f t="shared" si="11"/>
        <v>241.53743</v>
      </c>
      <c r="BM30" s="12">
        <f t="shared" si="12"/>
        <v>241.53743</v>
      </c>
      <c r="BN30" s="12">
        <f t="shared" si="13"/>
        <v>280.78604999999999</v>
      </c>
      <c r="BO30" s="12">
        <f t="shared" si="14"/>
        <v>294.36464999999998</v>
      </c>
      <c r="BP30" s="12">
        <f t="shared" si="15"/>
        <v>603.85973999999999</v>
      </c>
      <c r="BQ30" s="12">
        <f t="shared" si="16"/>
        <v>603.85973999999999</v>
      </c>
      <c r="BR30" s="12">
        <f t="shared" si="17"/>
        <v>513.27107999999998</v>
      </c>
      <c r="BS30" s="12">
        <f t="shared" si="18"/>
        <v>392.51853</v>
      </c>
      <c r="BT30" s="1"/>
      <c r="BU30" s="11">
        <f t="shared" si="19"/>
        <v>558.45583853117932</v>
      </c>
      <c r="BV30" s="11">
        <f t="shared" si="20"/>
        <v>231.25484062524606</v>
      </c>
      <c r="BW30" s="11">
        <f t="shared" si="21"/>
        <v>836.28966833200673</v>
      </c>
      <c r="BX30" s="11">
        <f t="shared" si="22"/>
        <v>245.06452685265435</v>
      </c>
      <c r="BY30" s="11">
        <f t="shared" si="23"/>
        <v>245.06452685265435</v>
      </c>
      <c r="BZ30" s="11">
        <f t="shared" si="24"/>
        <v>245.06452685265435</v>
      </c>
      <c r="CA30" s="11">
        <f t="shared" si="25"/>
        <v>284.88628238727119</v>
      </c>
      <c r="CB30" s="11">
        <f t="shared" si="26"/>
        <v>298.66316650962625</v>
      </c>
      <c r="CC30" s="11">
        <f t="shared" si="27"/>
        <v>612.67771818416247</v>
      </c>
      <c r="CD30" s="11">
        <f t="shared" si="28"/>
        <v>612.67771818416247</v>
      </c>
      <c r="CE30" s="11">
        <f t="shared" si="29"/>
        <v>520.76621982502218</v>
      </c>
      <c r="CF30" s="11">
        <f t="shared" si="30"/>
        <v>398.25035745122159</v>
      </c>
      <c r="CG30" s="11"/>
      <c r="CH30" s="41">
        <v>3.2330000000000001</v>
      </c>
      <c r="CI30" s="1"/>
      <c r="CJ30" s="53">
        <f t="shared" si="31"/>
        <v>237036</v>
      </c>
      <c r="CK30" s="53">
        <f t="shared" si="32"/>
        <v>98156</v>
      </c>
      <c r="CL30" s="53">
        <f t="shared" si="33"/>
        <v>272940</v>
      </c>
      <c r="CM30" s="53">
        <f t="shared" si="34"/>
        <v>79982</v>
      </c>
      <c r="CN30" s="53">
        <f t="shared" si="35"/>
        <v>79982</v>
      </c>
      <c r="CO30" s="53">
        <f t="shared" si="36"/>
        <v>79982</v>
      </c>
      <c r="CP30" s="53">
        <f t="shared" si="37"/>
        <v>92979</v>
      </c>
      <c r="CQ30" s="53">
        <f t="shared" si="38"/>
        <v>97475</v>
      </c>
      <c r="CR30" s="53">
        <f t="shared" si="39"/>
        <v>199960</v>
      </c>
      <c r="CS30" s="53">
        <f t="shared" si="40"/>
        <v>199960</v>
      </c>
      <c r="CT30" s="53">
        <f t="shared" si="41"/>
        <v>169963</v>
      </c>
      <c r="CU30" s="53">
        <f t="shared" si="42"/>
        <v>129977</v>
      </c>
      <c r="CV30" s="53">
        <f t="shared" si="43"/>
        <v>1738392</v>
      </c>
      <c r="CW30" s="1"/>
      <c r="CX30" s="1"/>
      <c r="CY30" s="1"/>
      <c r="CZ30" s="1"/>
      <c r="DA30" s="1"/>
      <c r="DB30" s="1"/>
      <c r="DC30" s="1"/>
      <c r="DD30" s="1"/>
      <c r="DE30" s="1"/>
      <c r="DF30" s="1"/>
      <c r="DG30" s="1"/>
      <c r="DH30" s="1"/>
      <c r="DI30" s="1"/>
      <c r="DJ30" s="1"/>
      <c r="DK30" s="1"/>
      <c r="DL30" s="1"/>
    </row>
    <row r="31" spans="1:116" ht="15.75" hidden="1" x14ac:dyDescent="0.25">
      <c r="A31" s="16"/>
      <c r="B31" s="44"/>
      <c r="C31" s="44"/>
      <c r="D31" s="44"/>
      <c r="E31" s="44"/>
      <c r="F31" s="45" t="s">
        <v>17</v>
      </c>
      <c r="G31" s="70">
        <v>510.76</v>
      </c>
      <c r="H31" s="70">
        <v>1133.1300000000001</v>
      </c>
      <c r="I31" s="63">
        <v>280.35000000000002</v>
      </c>
      <c r="J31" s="63">
        <v>320.39999999999998</v>
      </c>
      <c r="K31" s="63">
        <v>480.6</v>
      </c>
      <c r="L31" s="63">
        <v>440.55</v>
      </c>
      <c r="M31" s="63">
        <v>440.55</v>
      </c>
      <c r="N31" s="63">
        <v>680.85</v>
      </c>
      <c r="O31" s="63">
        <v>680.85</v>
      </c>
      <c r="P31" s="63">
        <v>680.85</v>
      </c>
      <c r="Q31" s="63">
        <v>680.85</v>
      </c>
      <c r="R31" s="63">
        <v>328.41</v>
      </c>
      <c r="S31" s="11">
        <f t="shared" si="1"/>
        <v>6658.1500000000015</v>
      </c>
      <c r="T31" s="8">
        <f t="shared" si="5"/>
        <v>0.18652087057091818</v>
      </c>
      <c r="U31" s="13" t="s">
        <v>2952</v>
      </c>
      <c r="V31" s="50">
        <f t="shared" si="6"/>
        <v>9004262</v>
      </c>
      <c r="W31" s="36">
        <v>1.964</v>
      </c>
      <c r="X31" s="36">
        <v>1.964</v>
      </c>
      <c r="Y31" s="36">
        <v>2.6280000000000001</v>
      </c>
      <c r="Z31" s="36">
        <v>2.6280000000000001</v>
      </c>
      <c r="AA31" s="36">
        <v>2.6280000000000001</v>
      </c>
      <c r="AB31" s="36">
        <v>2.6280000000000001</v>
      </c>
      <c r="AC31" s="36">
        <v>2.6280000000000001</v>
      </c>
      <c r="AD31" s="36">
        <v>2.6280000000000001</v>
      </c>
      <c r="AE31" s="36">
        <v>2.6280000000000001</v>
      </c>
      <c r="AF31" s="36">
        <v>2.6280000000000001</v>
      </c>
      <c r="AG31" s="36">
        <v>2.6280000000000001</v>
      </c>
      <c r="AH31" s="36">
        <v>2.6280000000000001</v>
      </c>
      <c r="AI31" s="39">
        <v>1.33634708931066E-2</v>
      </c>
      <c r="AJ31" s="39">
        <v>1.33634708931066E-2</v>
      </c>
      <c r="AK31" s="39">
        <v>1.33634708931066E-2</v>
      </c>
      <c r="AL31" s="39">
        <v>1.33634708931066E-2</v>
      </c>
      <c r="AM31" s="39">
        <v>1.33634708931066E-2</v>
      </c>
      <c r="AN31" s="39">
        <v>1.33634708931066E-2</v>
      </c>
      <c r="AO31" s="39">
        <v>1.33634708931066E-2</v>
      </c>
      <c r="AP31" s="39">
        <v>1.33634708931066E-2</v>
      </c>
      <c r="AQ31" s="39">
        <v>1.33634708931066E-2</v>
      </c>
      <c r="AR31" s="39">
        <v>1.33634708931066E-2</v>
      </c>
      <c r="AS31" s="39">
        <v>1.33634708931066E-2</v>
      </c>
      <c r="AT31" s="39">
        <v>1.33634708931066E-2</v>
      </c>
      <c r="AU31" s="39">
        <v>1.2392217523121999E-3</v>
      </c>
      <c r="AV31" s="39">
        <v>1.2392217523121999E-3</v>
      </c>
      <c r="AW31" s="39">
        <v>1.2392217523121999E-3</v>
      </c>
      <c r="AX31" s="39">
        <v>1.2392217523121999E-3</v>
      </c>
      <c r="AY31" s="39">
        <v>1.2392217523121999E-3</v>
      </c>
      <c r="AZ31" s="39">
        <v>1.2392217523121999E-3</v>
      </c>
      <c r="BA31" s="39">
        <v>1.2392217523121999E-3</v>
      </c>
      <c r="BB31" s="39">
        <v>1.2392217523121999E-3</v>
      </c>
      <c r="BC31" s="39">
        <v>1.2392217523121999E-3</v>
      </c>
      <c r="BD31" s="39">
        <v>1.2392217523121999E-3</v>
      </c>
      <c r="BE31" s="39">
        <v>1.2392217523121999E-3</v>
      </c>
      <c r="BF31" s="39">
        <v>1.2392217523121999E-3</v>
      </c>
      <c r="BG31" s="1"/>
      <c r="BH31" s="12">
        <f t="shared" si="7"/>
        <v>1651.2870800000001</v>
      </c>
      <c r="BI31" s="12">
        <f t="shared" si="8"/>
        <v>3663.4092900000005</v>
      </c>
      <c r="BJ31" s="12">
        <f t="shared" si="9"/>
        <v>906.37155000000007</v>
      </c>
      <c r="BK31" s="12">
        <f t="shared" si="10"/>
        <v>1035.8532</v>
      </c>
      <c r="BL31" s="12">
        <f t="shared" si="11"/>
        <v>1553.7798</v>
      </c>
      <c r="BM31" s="12">
        <f t="shared" si="12"/>
        <v>1424.2981500000001</v>
      </c>
      <c r="BN31" s="12">
        <f t="shared" si="13"/>
        <v>1424.2981500000001</v>
      </c>
      <c r="BO31" s="12">
        <f t="shared" si="14"/>
        <v>2201.1880500000002</v>
      </c>
      <c r="BP31" s="12">
        <f t="shared" si="15"/>
        <v>2201.1880500000002</v>
      </c>
      <c r="BQ31" s="12">
        <f t="shared" si="16"/>
        <v>2201.1880500000002</v>
      </c>
      <c r="BR31" s="12">
        <f t="shared" si="17"/>
        <v>2201.1880500000002</v>
      </c>
      <c r="BS31" s="12">
        <f t="shared" si="18"/>
        <v>1061.74953</v>
      </c>
      <c r="BT31" s="1"/>
      <c r="BU31" s="11">
        <f t="shared" si="19"/>
        <v>1675.4003176985912</v>
      </c>
      <c r="BV31" s="11">
        <f t="shared" si="20"/>
        <v>3716.9049298962423</v>
      </c>
      <c r="BW31" s="11">
        <f t="shared" si="21"/>
        <v>919.60701516720189</v>
      </c>
      <c r="BX31" s="11">
        <f t="shared" si="22"/>
        <v>1050.9794459053735</v>
      </c>
      <c r="BY31" s="11">
        <f t="shared" si="23"/>
        <v>1576.4691688580604</v>
      </c>
      <c r="BZ31" s="11">
        <f t="shared" si="24"/>
        <v>1445.0967381198886</v>
      </c>
      <c r="CA31" s="11">
        <f t="shared" si="25"/>
        <v>1445.0967381198886</v>
      </c>
      <c r="CB31" s="11">
        <f t="shared" si="26"/>
        <v>2233.3313225489192</v>
      </c>
      <c r="CC31" s="11">
        <f t="shared" si="27"/>
        <v>2233.3313225489192</v>
      </c>
      <c r="CD31" s="11">
        <f t="shared" si="28"/>
        <v>2233.3313225489192</v>
      </c>
      <c r="CE31" s="11">
        <f t="shared" si="29"/>
        <v>2233.3313225489192</v>
      </c>
      <c r="CF31" s="11">
        <f t="shared" si="30"/>
        <v>1077.2539320530079</v>
      </c>
      <c r="CG31" s="11"/>
      <c r="CH31" s="41">
        <v>3.2330000000000001</v>
      </c>
      <c r="CI31" s="1"/>
      <c r="CJ31" s="53">
        <f t="shared" si="31"/>
        <v>853055</v>
      </c>
      <c r="CK31" s="53">
        <f t="shared" si="32"/>
        <v>1892518</v>
      </c>
      <c r="CL31" s="53">
        <f t="shared" si="33"/>
        <v>349927</v>
      </c>
      <c r="CM31" s="53">
        <f t="shared" si="34"/>
        <v>399916</v>
      </c>
      <c r="CN31" s="53">
        <f t="shared" si="35"/>
        <v>599874</v>
      </c>
      <c r="CO31" s="53">
        <f t="shared" si="36"/>
        <v>549885</v>
      </c>
      <c r="CP31" s="53">
        <f t="shared" si="37"/>
        <v>549885</v>
      </c>
      <c r="CQ31" s="53">
        <f t="shared" si="38"/>
        <v>849822</v>
      </c>
      <c r="CR31" s="53">
        <f t="shared" si="39"/>
        <v>849822</v>
      </c>
      <c r="CS31" s="53">
        <f t="shared" si="40"/>
        <v>849822</v>
      </c>
      <c r="CT31" s="53">
        <f t="shared" si="41"/>
        <v>849822</v>
      </c>
      <c r="CU31" s="53">
        <f t="shared" si="42"/>
        <v>409914</v>
      </c>
      <c r="CV31" s="53">
        <f t="shared" si="43"/>
        <v>9004262</v>
      </c>
      <c r="CW31" s="1"/>
      <c r="CX31" s="1"/>
      <c r="CY31" s="1"/>
      <c r="CZ31" s="1"/>
      <c r="DA31" s="1"/>
      <c r="DB31" s="1"/>
      <c r="DC31" s="1"/>
      <c r="DD31" s="1"/>
      <c r="DE31" s="1"/>
      <c r="DF31" s="1"/>
      <c r="DG31" s="1"/>
      <c r="DH31" s="1"/>
      <c r="DI31" s="1"/>
      <c r="DJ31" s="1"/>
      <c r="DK31" s="1"/>
      <c r="DL31" s="1"/>
    </row>
    <row r="32" spans="1:116" ht="15.75" hidden="1" x14ac:dyDescent="0.25">
      <c r="A32" s="16"/>
      <c r="B32" s="44"/>
      <c r="C32" s="44"/>
      <c r="D32" s="44"/>
      <c r="E32" s="44"/>
      <c r="F32" s="45" t="s">
        <v>17</v>
      </c>
      <c r="G32" s="70">
        <v>0</v>
      </c>
      <c r="H32" s="70">
        <v>0</v>
      </c>
      <c r="I32" s="63">
        <v>20.239999999999998</v>
      </c>
      <c r="J32" s="63">
        <v>20.239999999999998</v>
      </c>
      <c r="K32" s="63">
        <v>20.239999999999998</v>
      </c>
      <c r="L32" s="63">
        <v>20.239999999999998</v>
      </c>
      <c r="M32" s="63">
        <v>20.239999999999998</v>
      </c>
      <c r="N32" s="63">
        <v>20.239999999999998</v>
      </c>
      <c r="O32" s="63">
        <v>20.239999999999998</v>
      </c>
      <c r="P32" s="63">
        <v>20.239999999999998</v>
      </c>
      <c r="Q32" s="63">
        <v>20.239999999999998</v>
      </c>
      <c r="R32" s="63">
        <v>20.239999999999998</v>
      </c>
      <c r="S32" s="11">
        <f t="shared" si="1"/>
        <v>202.4</v>
      </c>
      <c r="T32" s="8">
        <f t="shared" si="5"/>
        <v>0</v>
      </c>
      <c r="U32" s="13" t="s">
        <v>2952</v>
      </c>
      <c r="V32" s="50">
        <f t="shared" si="6"/>
        <v>130000</v>
      </c>
      <c r="W32" s="36">
        <v>5.1070000000000002</v>
      </c>
      <c r="X32" s="36">
        <v>5.1070000000000002</v>
      </c>
      <c r="Y32" s="36">
        <v>5.1070000000000002</v>
      </c>
      <c r="Z32" s="36">
        <v>5.1070000000000002</v>
      </c>
      <c r="AA32" s="36">
        <v>5.1070000000000002</v>
      </c>
      <c r="AB32" s="36">
        <v>5.1070000000000002</v>
      </c>
      <c r="AC32" s="36">
        <v>5.1070000000000002</v>
      </c>
      <c r="AD32" s="36">
        <v>5.1070000000000002</v>
      </c>
      <c r="AE32" s="36">
        <v>5.1070000000000002</v>
      </c>
      <c r="AF32" s="36">
        <v>5.1070000000000002</v>
      </c>
      <c r="AG32" s="36">
        <v>5.1070000000000002</v>
      </c>
      <c r="AH32" s="36">
        <v>5.1070000000000002</v>
      </c>
      <c r="AI32" s="39">
        <v>1.33634708931066E-2</v>
      </c>
      <c r="AJ32" s="39">
        <v>1.33634708931066E-2</v>
      </c>
      <c r="AK32" s="39">
        <v>1.33634708931066E-2</v>
      </c>
      <c r="AL32" s="39">
        <v>1.33634708931066E-2</v>
      </c>
      <c r="AM32" s="39">
        <v>1.33634708931066E-2</v>
      </c>
      <c r="AN32" s="39">
        <v>1.33634708931066E-2</v>
      </c>
      <c r="AO32" s="39">
        <v>1.33634708931066E-2</v>
      </c>
      <c r="AP32" s="39">
        <v>1.33634708931066E-2</v>
      </c>
      <c r="AQ32" s="39">
        <v>1.33634708931066E-2</v>
      </c>
      <c r="AR32" s="39">
        <v>1.33634708931066E-2</v>
      </c>
      <c r="AS32" s="39">
        <v>1.33634708931066E-2</v>
      </c>
      <c r="AT32" s="39">
        <v>1.33634708931066E-2</v>
      </c>
      <c r="AU32" s="39">
        <v>1.2392217523121999E-3</v>
      </c>
      <c r="AV32" s="39">
        <v>1.2392217523121999E-3</v>
      </c>
      <c r="AW32" s="39">
        <v>1.2392217523121999E-3</v>
      </c>
      <c r="AX32" s="39">
        <v>1.2392217523121999E-3</v>
      </c>
      <c r="AY32" s="39">
        <v>1.2392217523121999E-3</v>
      </c>
      <c r="AZ32" s="39">
        <v>1.2392217523121999E-3</v>
      </c>
      <c r="BA32" s="39">
        <v>1.2392217523121999E-3</v>
      </c>
      <c r="BB32" s="39">
        <v>1.2392217523121999E-3</v>
      </c>
      <c r="BC32" s="39">
        <v>1.2392217523121999E-3</v>
      </c>
      <c r="BD32" s="39">
        <v>1.2392217523121999E-3</v>
      </c>
      <c r="BE32" s="39">
        <v>1.2392217523121999E-3</v>
      </c>
      <c r="BF32" s="39">
        <v>1.2392217523121999E-3</v>
      </c>
      <c r="BG32" s="1"/>
      <c r="BH32" s="12">
        <f t="shared" si="7"/>
        <v>0</v>
      </c>
      <c r="BI32" s="12">
        <f t="shared" si="8"/>
        <v>0</v>
      </c>
      <c r="BJ32" s="12">
        <f t="shared" si="9"/>
        <v>65.435919999999996</v>
      </c>
      <c r="BK32" s="12">
        <f t="shared" si="10"/>
        <v>65.435919999999996</v>
      </c>
      <c r="BL32" s="12">
        <f t="shared" si="11"/>
        <v>65.435919999999996</v>
      </c>
      <c r="BM32" s="12">
        <f t="shared" si="12"/>
        <v>65.435919999999996</v>
      </c>
      <c r="BN32" s="12">
        <f t="shared" si="13"/>
        <v>65.435919999999996</v>
      </c>
      <c r="BO32" s="12">
        <f t="shared" si="14"/>
        <v>65.435919999999996</v>
      </c>
      <c r="BP32" s="12">
        <f t="shared" si="15"/>
        <v>65.435919999999996</v>
      </c>
      <c r="BQ32" s="12">
        <f t="shared" si="16"/>
        <v>65.435919999999996</v>
      </c>
      <c r="BR32" s="12">
        <f t="shared" si="17"/>
        <v>65.435919999999996</v>
      </c>
      <c r="BS32" s="12">
        <f t="shared" si="18"/>
        <v>65.435919999999996</v>
      </c>
      <c r="BT32" s="1"/>
      <c r="BU32" s="11">
        <f t="shared" si="19"/>
        <v>0</v>
      </c>
      <c r="BV32" s="11">
        <f t="shared" si="20"/>
        <v>0</v>
      </c>
      <c r="BW32" s="11">
        <f t="shared" si="21"/>
        <v>66.391460627730211</v>
      </c>
      <c r="BX32" s="11">
        <f t="shared" si="22"/>
        <v>66.391460627730211</v>
      </c>
      <c r="BY32" s="11">
        <f t="shared" si="23"/>
        <v>66.391460627730211</v>
      </c>
      <c r="BZ32" s="11">
        <f t="shared" si="24"/>
        <v>66.391460627730211</v>
      </c>
      <c r="CA32" s="11">
        <f t="shared" si="25"/>
        <v>66.391460627730211</v>
      </c>
      <c r="CB32" s="11">
        <f t="shared" si="26"/>
        <v>66.391460627730211</v>
      </c>
      <c r="CC32" s="11">
        <f t="shared" si="27"/>
        <v>66.391460627730211</v>
      </c>
      <c r="CD32" s="11">
        <f t="shared" si="28"/>
        <v>66.391460627730211</v>
      </c>
      <c r="CE32" s="11">
        <f t="shared" si="29"/>
        <v>66.391460627730211</v>
      </c>
      <c r="CF32" s="11">
        <f t="shared" si="30"/>
        <v>66.391460627730211</v>
      </c>
      <c r="CG32" s="11"/>
      <c r="CH32" s="41">
        <v>3.2330000000000001</v>
      </c>
      <c r="CI32" s="1"/>
      <c r="CJ32" s="53">
        <f t="shared" si="31"/>
        <v>0</v>
      </c>
      <c r="CK32" s="53">
        <f t="shared" si="32"/>
        <v>0</v>
      </c>
      <c r="CL32" s="53">
        <f t="shared" si="33"/>
        <v>13000</v>
      </c>
      <c r="CM32" s="53">
        <f t="shared" si="34"/>
        <v>13000</v>
      </c>
      <c r="CN32" s="53">
        <f t="shared" si="35"/>
        <v>13000</v>
      </c>
      <c r="CO32" s="53">
        <f t="shared" si="36"/>
        <v>13000</v>
      </c>
      <c r="CP32" s="53">
        <f t="shared" si="37"/>
        <v>13000</v>
      </c>
      <c r="CQ32" s="53">
        <f t="shared" si="38"/>
        <v>13000</v>
      </c>
      <c r="CR32" s="53">
        <f t="shared" si="39"/>
        <v>13000</v>
      </c>
      <c r="CS32" s="53">
        <f t="shared" si="40"/>
        <v>13000</v>
      </c>
      <c r="CT32" s="53">
        <f t="shared" si="41"/>
        <v>13000</v>
      </c>
      <c r="CU32" s="53">
        <f t="shared" si="42"/>
        <v>13000</v>
      </c>
      <c r="CV32" s="53">
        <f t="shared" si="43"/>
        <v>130000</v>
      </c>
      <c r="CW32" s="1"/>
      <c r="CX32" s="1"/>
      <c r="CY32" s="1"/>
      <c r="CZ32" s="1"/>
      <c r="DA32" s="1"/>
      <c r="DB32" s="1"/>
      <c r="DC32" s="1"/>
      <c r="DD32" s="1"/>
      <c r="DE32" s="1"/>
      <c r="DF32" s="1"/>
      <c r="DG32" s="1"/>
      <c r="DH32" s="1"/>
      <c r="DI32" s="1"/>
      <c r="DJ32" s="1"/>
      <c r="DK32" s="1"/>
      <c r="DL32" s="1"/>
    </row>
    <row r="33" spans="1:116" ht="15.75" hidden="1" x14ac:dyDescent="0.25">
      <c r="A33" s="16"/>
      <c r="B33" s="44"/>
      <c r="C33" s="44"/>
      <c r="D33" s="44"/>
      <c r="E33" s="44"/>
      <c r="F33" s="45" t="s">
        <v>17</v>
      </c>
      <c r="G33" s="70">
        <v>0</v>
      </c>
      <c r="H33" s="70">
        <v>0</v>
      </c>
      <c r="I33" s="63">
        <v>69.47</v>
      </c>
      <c r="J33" s="63">
        <v>21.83</v>
      </c>
      <c r="K33" s="63">
        <v>16.87</v>
      </c>
      <c r="L33" s="63">
        <v>3.97</v>
      </c>
      <c r="M33" s="63">
        <v>3.97</v>
      </c>
      <c r="N33" s="63">
        <v>2.98</v>
      </c>
      <c r="O33" s="63">
        <v>11.91</v>
      </c>
      <c r="P33" s="63">
        <v>19.850000000000001</v>
      </c>
      <c r="Q33" s="63">
        <v>24.81</v>
      </c>
      <c r="R33" s="63">
        <v>24.81</v>
      </c>
      <c r="S33" s="11">
        <f t="shared" si="1"/>
        <v>200.47</v>
      </c>
      <c r="T33" s="8">
        <f t="shared" si="5"/>
        <v>1.3931001551868207</v>
      </c>
      <c r="U33" s="13" t="s">
        <v>2952</v>
      </c>
      <c r="V33" s="50">
        <f t="shared" si="6"/>
        <v>201961</v>
      </c>
      <c r="W33" s="36">
        <v>3.2559999999999998</v>
      </c>
      <c r="X33" s="36">
        <v>3.2559999999999998</v>
      </c>
      <c r="Y33" s="36">
        <v>3.2559999999999998</v>
      </c>
      <c r="Z33" s="36">
        <v>3.2559999999999998</v>
      </c>
      <c r="AA33" s="36">
        <v>3.2559999999999998</v>
      </c>
      <c r="AB33" s="36">
        <v>3.2559999999999998</v>
      </c>
      <c r="AC33" s="36">
        <v>3.2559999999999998</v>
      </c>
      <c r="AD33" s="36">
        <v>3.2559999999999998</v>
      </c>
      <c r="AE33" s="36">
        <v>3.2559999999999998</v>
      </c>
      <c r="AF33" s="36">
        <v>3.2559999999999998</v>
      </c>
      <c r="AG33" s="36">
        <v>3.2559999999999998</v>
      </c>
      <c r="AH33" s="36">
        <v>3.2559999999999998</v>
      </c>
      <c r="AI33" s="39">
        <v>1.33634708931066E-2</v>
      </c>
      <c r="AJ33" s="39">
        <v>1.33634708931066E-2</v>
      </c>
      <c r="AK33" s="39">
        <v>1.33634708931066E-2</v>
      </c>
      <c r="AL33" s="39">
        <v>1.33634708931066E-2</v>
      </c>
      <c r="AM33" s="39">
        <v>1.33634708931066E-2</v>
      </c>
      <c r="AN33" s="39">
        <v>1.33634708931066E-2</v>
      </c>
      <c r="AO33" s="39">
        <v>1.33634708931066E-2</v>
      </c>
      <c r="AP33" s="39">
        <v>1.33634708931066E-2</v>
      </c>
      <c r="AQ33" s="39">
        <v>1.33634708931066E-2</v>
      </c>
      <c r="AR33" s="39">
        <v>1.33634708931066E-2</v>
      </c>
      <c r="AS33" s="39">
        <v>1.33634708931066E-2</v>
      </c>
      <c r="AT33" s="39">
        <v>1.33634708931066E-2</v>
      </c>
      <c r="AU33" s="39">
        <v>1.2392217523121999E-3</v>
      </c>
      <c r="AV33" s="39">
        <v>1.2392217523121999E-3</v>
      </c>
      <c r="AW33" s="39">
        <v>1.2392217523121999E-3</v>
      </c>
      <c r="AX33" s="39">
        <v>1.2392217523121999E-3</v>
      </c>
      <c r="AY33" s="39">
        <v>1.2392217523121999E-3</v>
      </c>
      <c r="AZ33" s="39">
        <v>1.2392217523121999E-3</v>
      </c>
      <c r="BA33" s="39">
        <v>1.2392217523121999E-3</v>
      </c>
      <c r="BB33" s="39">
        <v>1.2392217523121999E-3</v>
      </c>
      <c r="BC33" s="39">
        <v>1.2392217523121999E-3</v>
      </c>
      <c r="BD33" s="39">
        <v>1.2392217523121999E-3</v>
      </c>
      <c r="BE33" s="39">
        <v>1.2392217523121999E-3</v>
      </c>
      <c r="BF33" s="39">
        <v>1.2392217523121999E-3</v>
      </c>
      <c r="BG33" s="1"/>
      <c r="BH33" s="12">
        <f t="shared" si="7"/>
        <v>0</v>
      </c>
      <c r="BI33" s="12">
        <f t="shared" si="8"/>
        <v>0</v>
      </c>
      <c r="BJ33" s="12">
        <f t="shared" si="9"/>
        <v>224.59650999999999</v>
      </c>
      <c r="BK33" s="12">
        <f t="shared" si="10"/>
        <v>70.576390000000004</v>
      </c>
      <c r="BL33" s="12">
        <f t="shared" si="11"/>
        <v>54.540710000000004</v>
      </c>
      <c r="BM33" s="12">
        <f t="shared" si="12"/>
        <v>12.83501</v>
      </c>
      <c r="BN33" s="12">
        <f t="shared" si="13"/>
        <v>12.83501</v>
      </c>
      <c r="BO33" s="12">
        <f t="shared" si="14"/>
        <v>9.6343399999999999</v>
      </c>
      <c r="BP33" s="12">
        <f t="shared" si="15"/>
        <v>38.505030000000005</v>
      </c>
      <c r="BQ33" s="12">
        <f t="shared" si="16"/>
        <v>64.175050000000013</v>
      </c>
      <c r="BR33" s="12">
        <f t="shared" si="17"/>
        <v>80.210729999999998</v>
      </c>
      <c r="BS33" s="12">
        <f t="shared" si="18"/>
        <v>80.210729999999998</v>
      </c>
      <c r="BT33" s="1"/>
      <c r="BU33" s="11">
        <f t="shared" si="19"/>
        <v>0</v>
      </c>
      <c r="BV33" s="11">
        <f t="shared" si="20"/>
        <v>0</v>
      </c>
      <c r="BW33" s="11">
        <f t="shared" si="21"/>
        <v>227.87622380476373</v>
      </c>
      <c r="BX33" s="11">
        <f t="shared" si="22"/>
        <v>71.606995331193218</v>
      </c>
      <c r="BY33" s="11">
        <f t="shared" si="23"/>
        <v>55.337151224792926</v>
      </c>
      <c r="BZ33" s="11">
        <f t="shared" si="24"/>
        <v>13.022435706130878</v>
      </c>
      <c r="CA33" s="11">
        <f t="shared" si="25"/>
        <v>13.022435706130878</v>
      </c>
      <c r="CB33" s="11">
        <f t="shared" si="26"/>
        <v>9.7750273058614638</v>
      </c>
      <c r="CC33" s="11">
        <f t="shared" si="27"/>
        <v>39.067307118392634</v>
      </c>
      <c r="CD33" s="11">
        <f t="shared" si="28"/>
        <v>65.112178530654404</v>
      </c>
      <c r="CE33" s="11">
        <f t="shared" si="29"/>
        <v>81.382022637054675</v>
      </c>
      <c r="CF33" s="11">
        <f t="shared" si="30"/>
        <v>81.382022637054675</v>
      </c>
      <c r="CG33" s="11"/>
      <c r="CH33" s="41">
        <v>3.2330000000000001</v>
      </c>
      <c r="CI33" s="1"/>
      <c r="CJ33" s="53">
        <f t="shared" si="31"/>
        <v>0</v>
      </c>
      <c r="CK33" s="53">
        <f t="shared" si="32"/>
        <v>0</v>
      </c>
      <c r="CL33" s="53">
        <f t="shared" si="33"/>
        <v>69987</v>
      </c>
      <c r="CM33" s="53">
        <f t="shared" si="34"/>
        <v>21992</v>
      </c>
      <c r="CN33" s="53">
        <f t="shared" si="35"/>
        <v>16995</v>
      </c>
      <c r="CO33" s="53">
        <f t="shared" si="36"/>
        <v>4000</v>
      </c>
      <c r="CP33" s="53">
        <f t="shared" si="37"/>
        <v>4000</v>
      </c>
      <c r="CQ33" s="53">
        <f t="shared" si="38"/>
        <v>3002</v>
      </c>
      <c r="CR33" s="53">
        <f t="shared" si="39"/>
        <v>11999</v>
      </c>
      <c r="CS33" s="53">
        <f t="shared" si="40"/>
        <v>19998</v>
      </c>
      <c r="CT33" s="53">
        <f t="shared" si="41"/>
        <v>24994</v>
      </c>
      <c r="CU33" s="53">
        <f t="shared" si="42"/>
        <v>24994</v>
      </c>
      <c r="CV33" s="53">
        <f t="shared" si="43"/>
        <v>201961</v>
      </c>
      <c r="CW33" s="1"/>
      <c r="CX33" s="1"/>
      <c r="CY33" s="1"/>
      <c r="CZ33" s="1"/>
      <c r="DA33" s="1"/>
      <c r="DB33" s="1"/>
      <c r="DC33" s="1"/>
      <c r="DD33" s="1"/>
      <c r="DE33" s="1"/>
      <c r="DF33" s="1"/>
      <c r="DG33" s="1"/>
      <c r="DH33" s="1"/>
      <c r="DI33" s="1"/>
      <c r="DJ33" s="1"/>
      <c r="DK33" s="1"/>
      <c r="DL33" s="1"/>
    </row>
    <row r="34" spans="1:116" ht="15.75" hidden="1" x14ac:dyDescent="0.25">
      <c r="A34" s="16"/>
      <c r="B34" s="44"/>
      <c r="C34" s="44"/>
      <c r="D34" s="44"/>
      <c r="E34" s="44"/>
      <c r="F34" s="45" t="s">
        <v>17</v>
      </c>
      <c r="G34" s="70">
        <v>9.26</v>
      </c>
      <c r="H34" s="70">
        <v>8.56</v>
      </c>
      <c r="I34" s="63">
        <v>2.2200000000000002</v>
      </c>
      <c r="J34" s="63">
        <v>16.62</v>
      </c>
      <c r="K34" s="63">
        <v>9.19</v>
      </c>
      <c r="L34" s="63">
        <v>4.8099999999999996</v>
      </c>
      <c r="M34" s="63">
        <v>4.8099999999999996</v>
      </c>
      <c r="N34" s="63">
        <v>4.8099999999999996</v>
      </c>
      <c r="O34" s="63">
        <v>7.87</v>
      </c>
      <c r="P34" s="63">
        <v>14.43</v>
      </c>
      <c r="Q34" s="63">
        <v>14.43</v>
      </c>
      <c r="R34" s="63">
        <v>10.06</v>
      </c>
      <c r="S34" s="11">
        <f t="shared" si="1"/>
        <v>107.07000000000002</v>
      </c>
      <c r="T34" s="8">
        <f t="shared" si="5"/>
        <v>0.19551138901295242</v>
      </c>
      <c r="U34" s="13" t="s">
        <v>2952</v>
      </c>
      <c r="V34" s="50">
        <f t="shared" si="6"/>
        <v>244748</v>
      </c>
      <c r="W34" s="36">
        <v>1.4350000000000001</v>
      </c>
      <c r="X34" s="36">
        <v>1.4350000000000001</v>
      </c>
      <c r="Y34" s="36">
        <v>1.4350000000000001</v>
      </c>
      <c r="Z34" s="36">
        <v>1.4350000000000001</v>
      </c>
      <c r="AA34" s="36">
        <v>1.4350000000000001</v>
      </c>
      <c r="AB34" s="36">
        <v>1.4350000000000001</v>
      </c>
      <c r="AC34" s="36">
        <v>1.4350000000000001</v>
      </c>
      <c r="AD34" s="36">
        <v>1.4350000000000001</v>
      </c>
      <c r="AE34" s="36">
        <v>1.4350000000000001</v>
      </c>
      <c r="AF34" s="36">
        <v>1.4350000000000001</v>
      </c>
      <c r="AG34" s="36">
        <v>1.4350000000000001</v>
      </c>
      <c r="AH34" s="36">
        <v>1.4350000000000001</v>
      </c>
      <c r="AI34" s="39">
        <v>1.33634708931066E-2</v>
      </c>
      <c r="AJ34" s="39">
        <v>1.33634708931066E-2</v>
      </c>
      <c r="AK34" s="39">
        <v>1.33634708931066E-2</v>
      </c>
      <c r="AL34" s="39">
        <v>1.33634708931066E-2</v>
      </c>
      <c r="AM34" s="39">
        <v>1.33634708931066E-2</v>
      </c>
      <c r="AN34" s="39">
        <v>1.33634708931066E-2</v>
      </c>
      <c r="AO34" s="39">
        <v>1.33634708931066E-2</v>
      </c>
      <c r="AP34" s="39">
        <v>1.33634708931066E-2</v>
      </c>
      <c r="AQ34" s="39">
        <v>1.33634708931066E-2</v>
      </c>
      <c r="AR34" s="39">
        <v>1.33634708931066E-2</v>
      </c>
      <c r="AS34" s="39">
        <v>1.33634708931066E-2</v>
      </c>
      <c r="AT34" s="39">
        <v>1.33634708931066E-2</v>
      </c>
      <c r="AU34" s="39">
        <v>1.2392217523121999E-3</v>
      </c>
      <c r="AV34" s="39">
        <v>1.2392217523121999E-3</v>
      </c>
      <c r="AW34" s="39">
        <v>1.2392217523121999E-3</v>
      </c>
      <c r="AX34" s="39">
        <v>1.2392217523121999E-3</v>
      </c>
      <c r="AY34" s="39">
        <v>1.2392217523121999E-3</v>
      </c>
      <c r="AZ34" s="39">
        <v>1.2392217523121999E-3</v>
      </c>
      <c r="BA34" s="39">
        <v>1.2392217523121999E-3</v>
      </c>
      <c r="BB34" s="39">
        <v>1.2392217523121999E-3</v>
      </c>
      <c r="BC34" s="39">
        <v>1.2392217523121999E-3</v>
      </c>
      <c r="BD34" s="39">
        <v>1.2392217523121999E-3</v>
      </c>
      <c r="BE34" s="39">
        <v>1.2392217523121999E-3</v>
      </c>
      <c r="BF34" s="39">
        <v>1.2392217523121999E-3</v>
      </c>
      <c r="BG34" s="1"/>
      <c r="BH34" s="12">
        <f t="shared" si="7"/>
        <v>29.937580000000001</v>
      </c>
      <c r="BI34" s="12">
        <f t="shared" si="8"/>
        <v>27.674480000000003</v>
      </c>
      <c r="BJ34" s="12">
        <f t="shared" si="9"/>
        <v>7.1772600000000004</v>
      </c>
      <c r="BK34" s="12">
        <f t="shared" si="10"/>
        <v>53.732460000000003</v>
      </c>
      <c r="BL34" s="12">
        <f t="shared" si="11"/>
        <v>29.711269999999999</v>
      </c>
      <c r="BM34" s="12">
        <f t="shared" si="12"/>
        <v>15.55073</v>
      </c>
      <c r="BN34" s="12">
        <f t="shared" si="13"/>
        <v>15.55073</v>
      </c>
      <c r="BO34" s="12">
        <f t="shared" si="14"/>
        <v>15.55073</v>
      </c>
      <c r="BP34" s="12">
        <f t="shared" si="15"/>
        <v>25.443709999999999</v>
      </c>
      <c r="BQ34" s="12">
        <f t="shared" si="16"/>
        <v>46.652189999999997</v>
      </c>
      <c r="BR34" s="12">
        <f t="shared" si="17"/>
        <v>46.652189999999997</v>
      </c>
      <c r="BS34" s="12">
        <f t="shared" si="18"/>
        <v>32.523980000000002</v>
      </c>
      <c r="BT34" s="1"/>
      <c r="BU34" s="11">
        <f t="shared" si="19"/>
        <v>30.374749279287638</v>
      </c>
      <c r="BV34" s="11">
        <f t="shared" si="20"/>
        <v>28.078601925561792</v>
      </c>
      <c r="BW34" s="11">
        <f t="shared" si="21"/>
        <v>7.2820673218162586</v>
      </c>
      <c r="BX34" s="11">
        <f t="shared" si="22"/>
        <v>54.517098598462262</v>
      </c>
      <c r="BY34" s="11">
        <f t="shared" si="23"/>
        <v>30.145134543915052</v>
      </c>
      <c r="BZ34" s="11">
        <f t="shared" si="24"/>
        <v>15.777812530601894</v>
      </c>
      <c r="CA34" s="11">
        <f t="shared" si="25"/>
        <v>15.777812530601894</v>
      </c>
      <c r="CB34" s="11">
        <f t="shared" si="26"/>
        <v>15.777812530601894</v>
      </c>
      <c r="CC34" s="11">
        <f t="shared" si="27"/>
        <v>25.815256676889167</v>
      </c>
      <c r="CD34" s="11">
        <f t="shared" si="28"/>
        <v>47.333437591805676</v>
      </c>
      <c r="CE34" s="11">
        <f t="shared" si="29"/>
        <v>47.333437591805676</v>
      </c>
      <c r="CF34" s="11">
        <f t="shared" si="30"/>
        <v>32.998917683545749</v>
      </c>
      <c r="CG34" s="11"/>
      <c r="CH34" s="41">
        <v>3.2330000000000001</v>
      </c>
      <c r="CI34" s="1"/>
      <c r="CJ34" s="53">
        <f t="shared" si="31"/>
        <v>21167</v>
      </c>
      <c r="CK34" s="53">
        <f t="shared" si="32"/>
        <v>19567</v>
      </c>
      <c r="CL34" s="53">
        <f t="shared" si="33"/>
        <v>5075</v>
      </c>
      <c r="CM34" s="53">
        <f t="shared" si="34"/>
        <v>37991</v>
      </c>
      <c r="CN34" s="53">
        <f t="shared" si="35"/>
        <v>21007</v>
      </c>
      <c r="CO34" s="53">
        <f t="shared" si="36"/>
        <v>10995</v>
      </c>
      <c r="CP34" s="53">
        <f t="shared" si="37"/>
        <v>10995</v>
      </c>
      <c r="CQ34" s="53">
        <f t="shared" si="38"/>
        <v>10995</v>
      </c>
      <c r="CR34" s="53">
        <f t="shared" si="39"/>
        <v>17990</v>
      </c>
      <c r="CS34" s="53">
        <f t="shared" si="40"/>
        <v>32985</v>
      </c>
      <c r="CT34" s="53">
        <f t="shared" si="41"/>
        <v>32985</v>
      </c>
      <c r="CU34" s="53">
        <f t="shared" si="42"/>
        <v>22996</v>
      </c>
      <c r="CV34" s="53">
        <f t="shared" si="43"/>
        <v>244748</v>
      </c>
      <c r="CW34" s="1"/>
      <c r="CX34" s="1"/>
      <c r="CY34" s="1"/>
      <c r="CZ34" s="1"/>
      <c r="DA34" s="1"/>
      <c r="DB34" s="1"/>
      <c r="DC34" s="1"/>
      <c r="DD34" s="1"/>
      <c r="DE34" s="1"/>
      <c r="DF34" s="1"/>
      <c r="DG34" s="1"/>
      <c r="DH34" s="1"/>
      <c r="DI34" s="1"/>
      <c r="DJ34" s="1"/>
      <c r="DK34" s="1"/>
      <c r="DL34" s="1"/>
    </row>
    <row r="35" spans="1:116" ht="15.75" hidden="1" x14ac:dyDescent="0.25">
      <c r="A35" s="16"/>
      <c r="B35" s="44"/>
      <c r="C35" s="44"/>
      <c r="D35" s="44"/>
      <c r="E35" s="44"/>
      <c r="F35" s="45" t="s">
        <v>17</v>
      </c>
      <c r="G35" s="70">
        <v>7.19</v>
      </c>
      <c r="H35" s="70">
        <v>6.49</v>
      </c>
      <c r="I35" s="63">
        <v>6.31</v>
      </c>
      <c r="J35" s="63">
        <v>6.31</v>
      </c>
      <c r="K35" s="63">
        <v>6.31</v>
      </c>
      <c r="L35" s="63">
        <v>3.6</v>
      </c>
      <c r="M35" s="63">
        <v>3.6</v>
      </c>
      <c r="N35" s="63">
        <v>10.81</v>
      </c>
      <c r="O35" s="63">
        <v>13.51</v>
      </c>
      <c r="P35" s="63">
        <v>13.51</v>
      </c>
      <c r="Q35" s="63">
        <v>13.51</v>
      </c>
      <c r="R35" s="63">
        <v>13.51</v>
      </c>
      <c r="S35" s="11">
        <f t="shared" si="1"/>
        <v>104.66000000000003</v>
      </c>
      <c r="T35" s="8">
        <f t="shared" si="5"/>
        <v>1.3938700823421781</v>
      </c>
      <c r="U35" s="13" t="s">
        <v>2952</v>
      </c>
      <c r="V35" s="50">
        <f t="shared" si="6"/>
        <v>116141</v>
      </c>
      <c r="W35" s="36">
        <v>2.956</v>
      </c>
      <c r="X35" s="36">
        <v>2.956</v>
      </c>
      <c r="Y35" s="36">
        <v>2.956</v>
      </c>
      <c r="Z35" s="36">
        <v>2.956</v>
      </c>
      <c r="AA35" s="36">
        <v>2.956</v>
      </c>
      <c r="AB35" s="36">
        <v>2.956</v>
      </c>
      <c r="AC35" s="36">
        <v>2.956</v>
      </c>
      <c r="AD35" s="36">
        <v>2.956</v>
      </c>
      <c r="AE35" s="36">
        <v>2.956</v>
      </c>
      <c r="AF35" s="36">
        <v>2.956</v>
      </c>
      <c r="AG35" s="36">
        <v>2.956</v>
      </c>
      <c r="AH35" s="36">
        <v>2.956</v>
      </c>
      <c r="AI35" s="39">
        <v>1.33634708931066E-2</v>
      </c>
      <c r="AJ35" s="39">
        <v>1.33634708931066E-2</v>
      </c>
      <c r="AK35" s="39">
        <v>1.33634708931066E-2</v>
      </c>
      <c r="AL35" s="39">
        <v>1.33634708931066E-2</v>
      </c>
      <c r="AM35" s="39">
        <v>1.33634708931066E-2</v>
      </c>
      <c r="AN35" s="39">
        <v>1.33634708931066E-2</v>
      </c>
      <c r="AO35" s="39">
        <v>1.33634708931066E-2</v>
      </c>
      <c r="AP35" s="39">
        <v>1.33634708931066E-2</v>
      </c>
      <c r="AQ35" s="39">
        <v>1.33634708931066E-2</v>
      </c>
      <c r="AR35" s="39">
        <v>1.33634708931066E-2</v>
      </c>
      <c r="AS35" s="39">
        <v>1.33634708931066E-2</v>
      </c>
      <c r="AT35" s="39">
        <v>1.33634708931066E-2</v>
      </c>
      <c r="AU35" s="39">
        <v>1.2392217523121999E-3</v>
      </c>
      <c r="AV35" s="39">
        <v>1.2392217523121999E-3</v>
      </c>
      <c r="AW35" s="39">
        <v>1.2392217523121999E-3</v>
      </c>
      <c r="AX35" s="39">
        <v>1.2392217523121999E-3</v>
      </c>
      <c r="AY35" s="39">
        <v>1.2392217523121999E-3</v>
      </c>
      <c r="AZ35" s="39">
        <v>1.2392217523121999E-3</v>
      </c>
      <c r="BA35" s="39">
        <v>1.2392217523121999E-3</v>
      </c>
      <c r="BB35" s="39">
        <v>1.2392217523121999E-3</v>
      </c>
      <c r="BC35" s="39">
        <v>1.2392217523121999E-3</v>
      </c>
      <c r="BD35" s="39">
        <v>1.2392217523121999E-3</v>
      </c>
      <c r="BE35" s="39">
        <v>1.2392217523121999E-3</v>
      </c>
      <c r="BF35" s="39">
        <v>1.2392217523121999E-3</v>
      </c>
      <c r="BG35" s="1"/>
      <c r="BH35" s="12">
        <f t="shared" si="7"/>
        <v>23.245270000000001</v>
      </c>
      <c r="BI35" s="12">
        <f t="shared" si="8"/>
        <v>20.98217</v>
      </c>
      <c r="BJ35" s="12">
        <f t="shared" si="9"/>
        <v>20.400230000000001</v>
      </c>
      <c r="BK35" s="12">
        <f t="shared" si="10"/>
        <v>20.400230000000001</v>
      </c>
      <c r="BL35" s="12">
        <f t="shared" si="11"/>
        <v>20.400230000000001</v>
      </c>
      <c r="BM35" s="12">
        <f t="shared" si="12"/>
        <v>11.6388</v>
      </c>
      <c r="BN35" s="12">
        <f t="shared" si="13"/>
        <v>11.6388</v>
      </c>
      <c r="BO35" s="12">
        <f t="shared" si="14"/>
        <v>34.948730000000005</v>
      </c>
      <c r="BP35" s="12">
        <f t="shared" si="15"/>
        <v>43.67783</v>
      </c>
      <c r="BQ35" s="12">
        <f t="shared" si="16"/>
        <v>43.67783</v>
      </c>
      <c r="BR35" s="12">
        <f t="shared" si="17"/>
        <v>43.67783</v>
      </c>
      <c r="BS35" s="12">
        <f t="shared" si="18"/>
        <v>43.67783</v>
      </c>
      <c r="BT35" s="1"/>
      <c r="BU35" s="11">
        <f t="shared" si="19"/>
        <v>23.584713533269777</v>
      </c>
      <c r="BV35" s="11">
        <f t="shared" si="20"/>
        <v>21.288566179543928</v>
      </c>
      <c r="BW35" s="11">
        <f t="shared" si="21"/>
        <v>20.698128288585853</v>
      </c>
      <c r="BX35" s="11">
        <f t="shared" si="22"/>
        <v>20.698128288585853</v>
      </c>
      <c r="BY35" s="11">
        <f t="shared" si="23"/>
        <v>20.698128288585853</v>
      </c>
      <c r="BZ35" s="11">
        <f t="shared" si="24"/>
        <v>11.808757819161499</v>
      </c>
      <c r="CA35" s="11">
        <f t="shared" si="25"/>
        <v>11.808757819161499</v>
      </c>
      <c r="CB35" s="11">
        <f t="shared" si="26"/>
        <v>35.459075562537734</v>
      </c>
      <c r="CC35" s="11">
        <f t="shared" si="27"/>
        <v>44.315643926908855</v>
      </c>
      <c r="CD35" s="11">
        <f t="shared" si="28"/>
        <v>44.315643926908855</v>
      </c>
      <c r="CE35" s="11">
        <f t="shared" si="29"/>
        <v>44.315643926908855</v>
      </c>
      <c r="CF35" s="11">
        <f t="shared" si="30"/>
        <v>44.315643926908855</v>
      </c>
      <c r="CG35" s="11"/>
      <c r="CH35" s="41">
        <v>3.2330000000000001</v>
      </c>
      <c r="CI35" s="1"/>
      <c r="CJ35" s="53">
        <f t="shared" si="31"/>
        <v>7979</v>
      </c>
      <c r="CK35" s="53">
        <f t="shared" si="32"/>
        <v>7202</v>
      </c>
      <c r="CL35" s="53">
        <f t="shared" si="33"/>
        <v>7002</v>
      </c>
      <c r="CM35" s="53">
        <f t="shared" si="34"/>
        <v>7002</v>
      </c>
      <c r="CN35" s="53">
        <f t="shared" si="35"/>
        <v>7002</v>
      </c>
      <c r="CO35" s="53">
        <f t="shared" si="36"/>
        <v>3995</v>
      </c>
      <c r="CP35" s="53">
        <f t="shared" si="37"/>
        <v>3995</v>
      </c>
      <c r="CQ35" s="53">
        <f t="shared" si="38"/>
        <v>11996</v>
      </c>
      <c r="CR35" s="53">
        <f t="shared" si="39"/>
        <v>14992</v>
      </c>
      <c r="CS35" s="53">
        <f t="shared" si="40"/>
        <v>14992</v>
      </c>
      <c r="CT35" s="53">
        <f t="shared" si="41"/>
        <v>14992</v>
      </c>
      <c r="CU35" s="53">
        <f t="shared" si="42"/>
        <v>14992</v>
      </c>
      <c r="CV35" s="53">
        <f t="shared" si="43"/>
        <v>116141</v>
      </c>
      <c r="CW35" s="1"/>
      <c r="CX35" s="1"/>
      <c r="CY35" s="1"/>
      <c r="CZ35" s="1"/>
      <c r="DA35" s="1"/>
      <c r="DB35" s="1"/>
      <c r="DC35" s="1"/>
      <c r="DD35" s="1"/>
      <c r="DE35" s="1"/>
      <c r="DF35" s="1"/>
      <c r="DG35" s="1"/>
      <c r="DH35" s="1"/>
      <c r="DI35" s="1"/>
      <c r="DJ35" s="1"/>
      <c r="DK35" s="1"/>
      <c r="DL35" s="1"/>
    </row>
    <row r="36" spans="1:116" ht="15.75" hidden="1" x14ac:dyDescent="0.25">
      <c r="A36" s="16"/>
      <c r="B36" s="44"/>
      <c r="C36" s="44"/>
      <c r="D36" s="44"/>
      <c r="E36" s="44"/>
      <c r="F36" s="45" t="s">
        <v>17</v>
      </c>
      <c r="G36" s="70">
        <v>101.4</v>
      </c>
      <c r="H36" s="70">
        <v>146.59</v>
      </c>
      <c r="I36" s="63">
        <v>105.95</v>
      </c>
      <c r="J36" s="63">
        <v>63.57</v>
      </c>
      <c r="K36" s="63">
        <v>63.57</v>
      </c>
      <c r="L36" s="63">
        <v>63.57</v>
      </c>
      <c r="M36" s="63">
        <v>63.57</v>
      </c>
      <c r="N36" s="63">
        <v>84.76</v>
      </c>
      <c r="O36" s="63">
        <v>105.95</v>
      </c>
      <c r="P36" s="63">
        <v>127.14</v>
      </c>
      <c r="Q36" s="63">
        <v>127.14</v>
      </c>
      <c r="R36" s="63">
        <v>84.76</v>
      </c>
      <c r="S36" s="11">
        <f t="shared" si="1"/>
        <v>1137.97</v>
      </c>
      <c r="T36" s="8">
        <f t="shared" si="5"/>
        <v>-7.1893452516882422E-2</v>
      </c>
      <c r="U36" s="13" t="s">
        <v>2952</v>
      </c>
      <c r="V36" s="50">
        <f t="shared" si="6"/>
        <v>1073872</v>
      </c>
      <c r="W36" s="36">
        <v>3.476</v>
      </c>
      <c r="X36" s="36">
        <v>3.476</v>
      </c>
      <c r="Y36" s="36">
        <v>3.476</v>
      </c>
      <c r="Z36" s="36">
        <v>3.476</v>
      </c>
      <c r="AA36" s="36">
        <v>3.476</v>
      </c>
      <c r="AB36" s="36">
        <v>3.476</v>
      </c>
      <c r="AC36" s="36">
        <v>3.476</v>
      </c>
      <c r="AD36" s="36">
        <v>3.476</v>
      </c>
      <c r="AE36" s="36">
        <v>3.476</v>
      </c>
      <c r="AF36" s="36">
        <v>3.476</v>
      </c>
      <c r="AG36" s="36">
        <v>3.476</v>
      </c>
      <c r="AH36" s="36">
        <v>3.476</v>
      </c>
      <c r="AI36" s="39">
        <v>1.33634708931066E-2</v>
      </c>
      <c r="AJ36" s="39">
        <v>1.33634708931066E-2</v>
      </c>
      <c r="AK36" s="39">
        <v>1.33634708931066E-2</v>
      </c>
      <c r="AL36" s="39">
        <v>1.33634708931066E-2</v>
      </c>
      <c r="AM36" s="39">
        <v>1.33634708931066E-2</v>
      </c>
      <c r="AN36" s="39">
        <v>1.33634708931066E-2</v>
      </c>
      <c r="AO36" s="39">
        <v>1.33634708931066E-2</v>
      </c>
      <c r="AP36" s="39">
        <v>1.33634708931066E-2</v>
      </c>
      <c r="AQ36" s="39">
        <v>1.33634708931066E-2</v>
      </c>
      <c r="AR36" s="39">
        <v>1.33634708931066E-2</v>
      </c>
      <c r="AS36" s="39">
        <v>1.33634708931066E-2</v>
      </c>
      <c r="AT36" s="39">
        <v>1.33634708931066E-2</v>
      </c>
      <c r="AU36" s="39">
        <v>1.2392217523121999E-3</v>
      </c>
      <c r="AV36" s="39">
        <v>1.2392217523121999E-3</v>
      </c>
      <c r="AW36" s="39">
        <v>1.2392217523121999E-3</v>
      </c>
      <c r="AX36" s="39">
        <v>1.2392217523121999E-3</v>
      </c>
      <c r="AY36" s="39">
        <v>1.2392217523121999E-3</v>
      </c>
      <c r="AZ36" s="39">
        <v>1.2392217523121999E-3</v>
      </c>
      <c r="BA36" s="39">
        <v>1.2392217523121999E-3</v>
      </c>
      <c r="BB36" s="39">
        <v>1.2392217523121999E-3</v>
      </c>
      <c r="BC36" s="39">
        <v>1.2392217523121999E-3</v>
      </c>
      <c r="BD36" s="39">
        <v>1.2392217523121999E-3</v>
      </c>
      <c r="BE36" s="39">
        <v>1.2392217523121999E-3</v>
      </c>
      <c r="BF36" s="39">
        <v>1.2392217523121999E-3</v>
      </c>
      <c r="BG36" s="1"/>
      <c r="BH36" s="12">
        <f t="shared" si="7"/>
        <v>327.82620000000003</v>
      </c>
      <c r="BI36" s="12">
        <f t="shared" si="8"/>
        <v>473.92547000000002</v>
      </c>
      <c r="BJ36" s="12">
        <f t="shared" si="9"/>
        <v>342.53635000000003</v>
      </c>
      <c r="BK36" s="12">
        <f t="shared" si="10"/>
        <v>205.52181000000002</v>
      </c>
      <c r="BL36" s="12">
        <f t="shared" si="11"/>
        <v>205.52181000000002</v>
      </c>
      <c r="BM36" s="12">
        <f t="shared" si="12"/>
        <v>205.52181000000002</v>
      </c>
      <c r="BN36" s="12">
        <f t="shared" si="13"/>
        <v>205.52181000000002</v>
      </c>
      <c r="BO36" s="12">
        <f t="shared" si="14"/>
        <v>274.02908000000002</v>
      </c>
      <c r="BP36" s="12">
        <f t="shared" si="15"/>
        <v>342.53635000000003</v>
      </c>
      <c r="BQ36" s="12">
        <f t="shared" si="16"/>
        <v>411.04362000000003</v>
      </c>
      <c r="BR36" s="12">
        <f t="shared" si="17"/>
        <v>411.04362000000003</v>
      </c>
      <c r="BS36" s="12">
        <f t="shared" si="18"/>
        <v>274.02908000000002</v>
      </c>
      <c r="BT36" s="1"/>
      <c r="BU36" s="11">
        <f t="shared" si="19"/>
        <v>332.61334523971561</v>
      </c>
      <c r="BV36" s="11">
        <f t="shared" si="20"/>
        <v>480.84605797524569</v>
      </c>
      <c r="BW36" s="11">
        <f t="shared" si="21"/>
        <v>347.53830303893363</v>
      </c>
      <c r="BX36" s="11">
        <f t="shared" si="22"/>
        <v>208.52298182336017</v>
      </c>
      <c r="BY36" s="11">
        <f t="shared" si="23"/>
        <v>208.52298182336017</v>
      </c>
      <c r="BZ36" s="11">
        <f t="shared" si="24"/>
        <v>208.52298182336017</v>
      </c>
      <c r="CA36" s="11">
        <f t="shared" si="25"/>
        <v>208.52298182336017</v>
      </c>
      <c r="CB36" s="11">
        <f t="shared" si="26"/>
        <v>278.03064243114693</v>
      </c>
      <c r="CC36" s="11">
        <f t="shared" si="27"/>
        <v>347.53830303893363</v>
      </c>
      <c r="CD36" s="11">
        <f t="shared" si="28"/>
        <v>417.04596364672034</v>
      </c>
      <c r="CE36" s="11">
        <f t="shared" si="29"/>
        <v>417.04596364672034</v>
      </c>
      <c r="CF36" s="11">
        <f t="shared" si="30"/>
        <v>278.03064243114693</v>
      </c>
      <c r="CG36" s="11"/>
      <c r="CH36" s="41">
        <v>3.2330000000000001</v>
      </c>
      <c r="CI36" s="1"/>
      <c r="CJ36" s="53">
        <f t="shared" si="31"/>
        <v>95689</v>
      </c>
      <c r="CK36" s="53">
        <f t="shared" si="32"/>
        <v>138333</v>
      </c>
      <c r="CL36" s="53">
        <f t="shared" si="33"/>
        <v>99982</v>
      </c>
      <c r="CM36" s="53">
        <f t="shared" si="34"/>
        <v>59989</v>
      </c>
      <c r="CN36" s="53">
        <f t="shared" si="35"/>
        <v>59989</v>
      </c>
      <c r="CO36" s="53">
        <f t="shared" si="36"/>
        <v>59989</v>
      </c>
      <c r="CP36" s="53">
        <f t="shared" si="37"/>
        <v>59989</v>
      </c>
      <c r="CQ36" s="53">
        <f t="shared" si="38"/>
        <v>79986</v>
      </c>
      <c r="CR36" s="53">
        <f t="shared" si="39"/>
        <v>99982</v>
      </c>
      <c r="CS36" s="53">
        <f t="shared" si="40"/>
        <v>119979</v>
      </c>
      <c r="CT36" s="53">
        <f t="shared" si="41"/>
        <v>119979</v>
      </c>
      <c r="CU36" s="53">
        <f t="shared" si="42"/>
        <v>79986</v>
      </c>
      <c r="CV36" s="53">
        <f t="shared" si="43"/>
        <v>1073872</v>
      </c>
      <c r="CW36" s="1"/>
      <c r="CX36" s="1"/>
      <c r="CY36" s="1"/>
      <c r="CZ36" s="1"/>
      <c r="DA36" s="1"/>
      <c r="DB36" s="1"/>
      <c r="DC36" s="1"/>
      <c r="DD36" s="1"/>
      <c r="DE36" s="1"/>
      <c r="DF36" s="1"/>
      <c r="DG36" s="1"/>
      <c r="DH36" s="1"/>
      <c r="DI36" s="1"/>
      <c r="DJ36" s="1"/>
      <c r="DK36" s="1"/>
      <c r="DL36" s="1"/>
    </row>
    <row r="37" spans="1:116" ht="15.75" hidden="1" x14ac:dyDescent="0.25">
      <c r="A37" s="16"/>
      <c r="B37" s="44"/>
      <c r="C37" s="44"/>
      <c r="D37" s="44"/>
      <c r="E37" s="44"/>
      <c r="F37" s="45" t="s">
        <v>17</v>
      </c>
      <c r="G37" s="70">
        <v>215.08</v>
      </c>
      <c r="H37" s="70">
        <v>148.88999999999999</v>
      </c>
      <c r="I37" s="63">
        <v>155.12</v>
      </c>
      <c r="J37" s="63">
        <v>107.39</v>
      </c>
      <c r="K37" s="63">
        <v>83.53</v>
      </c>
      <c r="L37" s="63">
        <v>71.599999999999994</v>
      </c>
      <c r="M37" s="63">
        <v>71.599999999999994</v>
      </c>
      <c r="N37" s="63">
        <v>71.599999999999994</v>
      </c>
      <c r="O37" s="63">
        <v>137.22999999999999</v>
      </c>
      <c r="P37" s="63">
        <v>178.99</v>
      </c>
      <c r="Q37" s="63">
        <v>178.99</v>
      </c>
      <c r="R37" s="63">
        <v>143.19</v>
      </c>
      <c r="S37" s="11">
        <f t="shared" si="1"/>
        <v>1563.21</v>
      </c>
      <c r="T37" s="8">
        <f t="shared" si="5"/>
        <v>9.7097258678045667E-2</v>
      </c>
      <c r="U37" s="13" t="s">
        <v>2952</v>
      </c>
      <c r="V37" s="50">
        <f t="shared" si="6"/>
        <v>1309747</v>
      </c>
      <c r="W37" s="36">
        <v>3.915</v>
      </c>
      <c r="X37" s="36">
        <v>3.915</v>
      </c>
      <c r="Y37" s="36">
        <v>3.915</v>
      </c>
      <c r="Z37" s="36">
        <v>3.915</v>
      </c>
      <c r="AA37" s="36">
        <v>3.915</v>
      </c>
      <c r="AB37" s="36">
        <v>3.915</v>
      </c>
      <c r="AC37" s="36">
        <v>3.915</v>
      </c>
      <c r="AD37" s="36">
        <v>3.915</v>
      </c>
      <c r="AE37" s="36">
        <v>3.915</v>
      </c>
      <c r="AF37" s="36">
        <v>3.915</v>
      </c>
      <c r="AG37" s="36">
        <v>3.915</v>
      </c>
      <c r="AH37" s="36">
        <v>3.915</v>
      </c>
      <c r="AI37" s="39">
        <v>1.33634708931066E-2</v>
      </c>
      <c r="AJ37" s="39">
        <v>1.33634708931066E-2</v>
      </c>
      <c r="AK37" s="39">
        <v>1.33634708931066E-2</v>
      </c>
      <c r="AL37" s="39">
        <v>1.33634708931066E-2</v>
      </c>
      <c r="AM37" s="39">
        <v>1.33634708931066E-2</v>
      </c>
      <c r="AN37" s="39">
        <v>1.33634708931066E-2</v>
      </c>
      <c r="AO37" s="39">
        <v>1.33634708931066E-2</v>
      </c>
      <c r="AP37" s="39">
        <v>1.33634708931066E-2</v>
      </c>
      <c r="AQ37" s="39">
        <v>1.33634708931066E-2</v>
      </c>
      <c r="AR37" s="39">
        <v>1.33634708931066E-2</v>
      </c>
      <c r="AS37" s="39">
        <v>1.33634708931066E-2</v>
      </c>
      <c r="AT37" s="39">
        <v>1.33634708931066E-2</v>
      </c>
      <c r="AU37" s="39">
        <v>1.2392217523121999E-3</v>
      </c>
      <c r="AV37" s="39">
        <v>1.2392217523121999E-3</v>
      </c>
      <c r="AW37" s="39">
        <v>1.2392217523121999E-3</v>
      </c>
      <c r="AX37" s="39">
        <v>1.2392217523121999E-3</v>
      </c>
      <c r="AY37" s="39">
        <v>1.2392217523121999E-3</v>
      </c>
      <c r="AZ37" s="39">
        <v>1.2392217523121999E-3</v>
      </c>
      <c r="BA37" s="39">
        <v>1.2392217523121999E-3</v>
      </c>
      <c r="BB37" s="39">
        <v>1.2392217523121999E-3</v>
      </c>
      <c r="BC37" s="39">
        <v>1.2392217523121999E-3</v>
      </c>
      <c r="BD37" s="39">
        <v>1.2392217523121999E-3</v>
      </c>
      <c r="BE37" s="39">
        <v>1.2392217523121999E-3</v>
      </c>
      <c r="BF37" s="39">
        <v>1.2392217523121999E-3</v>
      </c>
      <c r="BG37" s="1"/>
      <c r="BH37" s="12">
        <f t="shared" si="7"/>
        <v>695.35364000000004</v>
      </c>
      <c r="BI37" s="12">
        <f t="shared" si="8"/>
        <v>481.36136999999997</v>
      </c>
      <c r="BJ37" s="12">
        <f t="shared" si="9"/>
        <v>501.50296000000003</v>
      </c>
      <c r="BK37" s="12">
        <f t="shared" si="10"/>
        <v>347.19186999999999</v>
      </c>
      <c r="BL37" s="12">
        <f t="shared" si="11"/>
        <v>270.05249000000003</v>
      </c>
      <c r="BM37" s="12">
        <f t="shared" si="12"/>
        <v>231.4828</v>
      </c>
      <c r="BN37" s="12">
        <f t="shared" si="13"/>
        <v>231.4828</v>
      </c>
      <c r="BO37" s="12">
        <f t="shared" si="14"/>
        <v>231.4828</v>
      </c>
      <c r="BP37" s="12">
        <f t="shared" si="15"/>
        <v>443.66458999999998</v>
      </c>
      <c r="BQ37" s="12">
        <f t="shared" si="16"/>
        <v>578.67466999999999</v>
      </c>
      <c r="BR37" s="12">
        <f t="shared" si="17"/>
        <v>578.67466999999999</v>
      </c>
      <c r="BS37" s="12">
        <f t="shared" si="18"/>
        <v>462.93326999999999</v>
      </c>
      <c r="BT37" s="1"/>
      <c r="BU37" s="11">
        <f t="shared" si="19"/>
        <v>705.50767548479325</v>
      </c>
      <c r="BV37" s="11">
        <f t="shared" si="20"/>
        <v>488.39054213748767</v>
      </c>
      <c r="BW37" s="11">
        <f t="shared" si="21"/>
        <v>508.82625358564781</v>
      </c>
      <c r="BX37" s="11">
        <f t="shared" si="22"/>
        <v>352.26180616659821</v>
      </c>
      <c r="BY37" s="11">
        <f t="shared" si="23"/>
        <v>273.99598350960008</v>
      </c>
      <c r="BZ37" s="11">
        <f t="shared" si="24"/>
        <v>234.86307218110096</v>
      </c>
      <c r="CA37" s="11">
        <f t="shared" si="25"/>
        <v>234.86307218110096</v>
      </c>
      <c r="CB37" s="11">
        <f t="shared" si="26"/>
        <v>234.86307218110096</v>
      </c>
      <c r="CC37" s="11">
        <f t="shared" si="27"/>
        <v>450.14328764542574</v>
      </c>
      <c r="CD37" s="11">
        <f t="shared" si="28"/>
        <v>587.12487834769911</v>
      </c>
      <c r="CE37" s="11">
        <f t="shared" si="29"/>
        <v>587.12487834769911</v>
      </c>
      <c r="CF37" s="11">
        <f t="shared" si="30"/>
        <v>469.69334225714869</v>
      </c>
      <c r="CG37" s="11"/>
      <c r="CH37" s="41">
        <v>3.2330000000000001</v>
      </c>
      <c r="CI37" s="1"/>
      <c r="CJ37" s="53">
        <f t="shared" si="31"/>
        <v>180206</v>
      </c>
      <c r="CK37" s="53">
        <f t="shared" si="32"/>
        <v>124749</v>
      </c>
      <c r="CL37" s="53">
        <f t="shared" si="33"/>
        <v>129968</v>
      </c>
      <c r="CM37" s="53">
        <f t="shared" si="34"/>
        <v>89977</v>
      </c>
      <c r="CN37" s="53">
        <f t="shared" si="35"/>
        <v>69986</v>
      </c>
      <c r="CO37" s="53">
        <f t="shared" si="36"/>
        <v>59991</v>
      </c>
      <c r="CP37" s="53">
        <f t="shared" si="37"/>
        <v>59991</v>
      </c>
      <c r="CQ37" s="53">
        <f t="shared" si="38"/>
        <v>59991</v>
      </c>
      <c r="CR37" s="53">
        <f t="shared" si="39"/>
        <v>114979</v>
      </c>
      <c r="CS37" s="53">
        <f t="shared" si="40"/>
        <v>149968</v>
      </c>
      <c r="CT37" s="53">
        <f t="shared" si="41"/>
        <v>149968</v>
      </c>
      <c r="CU37" s="53">
        <f t="shared" si="42"/>
        <v>119973</v>
      </c>
      <c r="CV37" s="53">
        <f t="shared" si="43"/>
        <v>1309747</v>
      </c>
      <c r="CW37" s="1"/>
      <c r="CX37" s="1"/>
      <c r="CY37" s="1"/>
      <c r="CZ37" s="1"/>
      <c r="DA37" s="1"/>
      <c r="DB37" s="1"/>
      <c r="DC37" s="1"/>
      <c r="DD37" s="1"/>
      <c r="DE37" s="1"/>
      <c r="DF37" s="1"/>
      <c r="DG37" s="1"/>
      <c r="DH37" s="1"/>
      <c r="DI37" s="1"/>
      <c r="DJ37" s="1"/>
      <c r="DK37" s="1"/>
      <c r="DL37" s="1"/>
    </row>
    <row r="38" spans="1:116" ht="15.75" hidden="1" x14ac:dyDescent="0.25">
      <c r="A38" s="16"/>
      <c r="B38" s="44"/>
      <c r="C38" s="44"/>
      <c r="D38" s="44"/>
      <c r="E38" s="44"/>
      <c r="F38" s="45" t="s">
        <v>17</v>
      </c>
      <c r="G38" s="70">
        <v>0</v>
      </c>
      <c r="H38" s="70">
        <v>0</v>
      </c>
      <c r="I38" s="63">
        <v>0</v>
      </c>
      <c r="J38" s="63">
        <v>0</v>
      </c>
      <c r="K38" s="63">
        <v>117.42</v>
      </c>
      <c r="L38" s="63">
        <v>0</v>
      </c>
      <c r="M38" s="63">
        <v>0</v>
      </c>
      <c r="N38" s="63">
        <v>39.14</v>
      </c>
      <c r="O38" s="63">
        <v>0</v>
      </c>
      <c r="P38" s="63">
        <v>0</v>
      </c>
      <c r="Q38" s="63">
        <v>0</v>
      </c>
      <c r="R38" s="63">
        <v>39.14</v>
      </c>
      <c r="S38" s="11">
        <f t="shared" si="1"/>
        <v>195.7</v>
      </c>
      <c r="T38" s="8">
        <f t="shared" si="5"/>
        <v>0.24952113395479494</v>
      </c>
      <c r="U38" s="13" t="s">
        <v>2952</v>
      </c>
      <c r="V38" s="50">
        <f t="shared" si="6"/>
        <v>21600</v>
      </c>
      <c r="W38" s="36">
        <v>9.06</v>
      </c>
      <c r="X38" s="36">
        <v>9.06</v>
      </c>
      <c r="Y38" s="36">
        <v>9.06</v>
      </c>
      <c r="Z38" s="36">
        <v>9.06</v>
      </c>
      <c r="AA38" s="36">
        <v>9.06</v>
      </c>
      <c r="AB38" s="36">
        <v>9.06</v>
      </c>
      <c r="AC38" s="36">
        <v>9.06</v>
      </c>
      <c r="AD38" s="36">
        <v>9.06</v>
      </c>
      <c r="AE38" s="36">
        <v>9.06</v>
      </c>
      <c r="AF38" s="36">
        <v>9.06</v>
      </c>
      <c r="AG38" s="36">
        <v>9.06</v>
      </c>
      <c r="AH38" s="36">
        <v>9.06</v>
      </c>
      <c r="AI38" s="39">
        <v>0</v>
      </c>
      <c r="AJ38" s="39">
        <v>0</v>
      </c>
      <c r="AK38" s="39">
        <v>0</v>
      </c>
      <c r="AL38" s="39">
        <v>0</v>
      </c>
      <c r="AM38" s="39">
        <v>0</v>
      </c>
      <c r="AN38" s="39">
        <v>0</v>
      </c>
      <c r="AO38" s="39">
        <v>0</v>
      </c>
      <c r="AP38" s="39">
        <v>0</v>
      </c>
      <c r="AQ38" s="39">
        <v>0</v>
      </c>
      <c r="AR38" s="39">
        <v>0</v>
      </c>
      <c r="AS38" s="39">
        <v>0</v>
      </c>
      <c r="AT38" s="39">
        <v>0</v>
      </c>
      <c r="AU38" s="39">
        <v>0</v>
      </c>
      <c r="AV38" s="39">
        <v>0</v>
      </c>
      <c r="AW38" s="39">
        <v>0</v>
      </c>
      <c r="AX38" s="39">
        <v>0</v>
      </c>
      <c r="AY38" s="39">
        <v>0</v>
      </c>
      <c r="AZ38" s="39">
        <v>0</v>
      </c>
      <c r="BA38" s="39">
        <v>0</v>
      </c>
      <c r="BB38" s="39">
        <v>0</v>
      </c>
      <c r="BC38" s="39">
        <v>0</v>
      </c>
      <c r="BD38" s="39">
        <v>0</v>
      </c>
      <c r="BE38" s="39">
        <v>0</v>
      </c>
      <c r="BF38" s="39">
        <v>0</v>
      </c>
      <c r="BG38" s="1"/>
      <c r="BH38" s="12">
        <f t="shared" si="7"/>
        <v>0</v>
      </c>
      <c r="BI38" s="12">
        <f t="shared" si="8"/>
        <v>0</v>
      </c>
      <c r="BJ38" s="12">
        <f t="shared" si="9"/>
        <v>0</v>
      </c>
      <c r="BK38" s="12">
        <f t="shared" si="10"/>
        <v>0</v>
      </c>
      <c r="BL38" s="12">
        <f t="shared" si="11"/>
        <v>117.42</v>
      </c>
      <c r="BM38" s="12">
        <f t="shared" si="12"/>
        <v>0</v>
      </c>
      <c r="BN38" s="12">
        <f t="shared" si="13"/>
        <v>0</v>
      </c>
      <c r="BO38" s="12">
        <f t="shared" si="14"/>
        <v>39.14</v>
      </c>
      <c r="BP38" s="12">
        <f t="shared" si="15"/>
        <v>0</v>
      </c>
      <c r="BQ38" s="12">
        <f t="shared" si="16"/>
        <v>0</v>
      </c>
      <c r="BR38" s="12">
        <f t="shared" si="17"/>
        <v>0</v>
      </c>
      <c r="BS38" s="12">
        <f t="shared" si="18"/>
        <v>39.14</v>
      </c>
      <c r="BT38" s="1"/>
      <c r="BU38" s="11">
        <f t="shared" si="19"/>
        <v>0</v>
      </c>
      <c r="BV38" s="11">
        <f t="shared" si="20"/>
        <v>0</v>
      </c>
      <c r="BW38" s="11">
        <f t="shared" si="21"/>
        <v>0</v>
      </c>
      <c r="BX38" s="11">
        <f t="shared" si="22"/>
        <v>0</v>
      </c>
      <c r="BY38" s="11">
        <f t="shared" si="23"/>
        <v>117.42</v>
      </c>
      <c r="BZ38" s="11">
        <f t="shared" si="24"/>
        <v>0</v>
      </c>
      <c r="CA38" s="11">
        <f t="shared" si="25"/>
        <v>0</v>
      </c>
      <c r="CB38" s="11">
        <f t="shared" si="26"/>
        <v>39.14</v>
      </c>
      <c r="CC38" s="11">
        <f t="shared" si="27"/>
        <v>0</v>
      </c>
      <c r="CD38" s="11">
        <f t="shared" si="28"/>
        <v>0</v>
      </c>
      <c r="CE38" s="11">
        <f t="shared" si="29"/>
        <v>0</v>
      </c>
      <c r="CF38" s="11">
        <f t="shared" si="30"/>
        <v>39.14</v>
      </c>
      <c r="CG38" s="11"/>
      <c r="CH38" s="41">
        <v>1</v>
      </c>
      <c r="CI38" s="1"/>
      <c r="CJ38" s="53">
        <f t="shared" si="31"/>
        <v>0</v>
      </c>
      <c r="CK38" s="53">
        <f t="shared" si="32"/>
        <v>0</v>
      </c>
      <c r="CL38" s="53">
        <f t="shared" si="33"/>
        <v>0</v>
      </c>
      <c r="CM38" s="53">
        <f t="shared" si="34"/>
        <v>0</v>
      </c>
      <c r="CN38" s="53">
        <f t="shared" si="35"/>
        <v>12960</v>
      </c>
      <c r="CO38" s="53">
        <f t="shared" si="36"/>
        <v>0</v>
      </c>
      <c r="CP38" s="53">
        <f t="shared" si="37"/>
        <v>0</v>
      </c>
      <c r="CQ38" s="53">
        <f t="shared" si="38"/>
        <v>4320</v>
      </c>
      <c r="CR38" s="53">
        <f t="shared" si="39"/>
        <v>0</v>
      </c>
      <c r="CS38" s="53">
        <f t="shared" si="40"/>
        <v>0</v>
      </c>
      <c r="CT38" s="53">
        <f t="shared" si="41"/>
        <v>0</v>
      </c>
      <c r="CU38" s="53">
        <f t="shared" si="42"/>
        <v>4320</v>
      </c>
      <c r="CV38" s="53">
        <f t="shared" si="43"/>
        <v>21600</v>
      </c>
      <c r="CW38" s="1"/>
      <c r="CX38" s="1"/>
      <c r="CY38" s="1"/>
      <c r="CZ38" s="1"/>
      <c r="DA38" s="1"/>
      <c r="DB38" s="1"/>
      <c r="DC38" s="1"/>
      <c r="DD38" s="1"/>
      <c r="DE38" s="1"/>
      <c r="DF38" s="1"/>
      <c r="DG38" s="1"/>
      <c r="DH38" s="1"/>
      <c r="DI38" s="1"/>
      <c r="DJ38" s="1"/>
      <c r="DK38" s="1"/>
      <c r="DL38" s="1"/>
    </row>
    <row r="39" spans="1:116" ht="15.75" hidden="1" x14ac:dyDescent="0.25">
      <c r="A39" s="16"/>
      <c r="B39" s="44"/>
      <c r="C39" s="44"/>
      <c r="D39" s="44"/>
      <c r="E39" s="44"/>
      <c r="F39" s="45" t="s">
        <v>17</v>
      </c>
      <c r="G39" s="70">
        <v>0</v>
      </c>
      <c r="H39" s="70">
        <v>17.579999999999998</v>
      </c>
      <c r="I39" s="63">
        <v>37.82</v>
      </c>
      <c r="J39" s="63">
        <v>0</v>
      </c>
      <c r="K39" s="63">
        <v>0</v>
      </c>
      <c r="L39" s="63">
        <v>0</v>
      </c>
      <c r="M39" s="63">
        <v>0</v>
      </c>
      <c r="N39" s="63">
        <v>0</v>
      </c>
      <c r="O39" s="63">
        <v>0</v>
      </c>
      <c r="P39" s="63">
        <v>0</v>
      </c>
      <c r="Q39" s="63">
        <v>17.579999999999998</v>
      </c>
      <c r="R39" s="63">
        <v>0</v>
      </c>
      <c r="S39" s="11">
        <f t="shared" si="1"/>
        <v>72.97999999999999</v>
      </c>
      <c r="T39" s="8">
        <f t="shared" si="5"/>
        <v>0.20210838412123189</v>
      </c>
      <c r="U39" s="13" t="s">
        <v>2952</v>
      </c>
      <c r="V39" s="50">
        <f t="shared" si="6"/>
        <v>43183</v>
      </c>
      <c r="W39" s="36">
        <v>1.69</v>
      </c>
      <c r="X39" s="36">
        <v>1.69</v>
      </c>
      <c r="Y39" s="36">
        <v>1.69</v>
      </c>
      <c r="Z39" s="36">
        <v>1.69</v>
      </c>
      <c r="AA39" s="36">
        <v>1.69</v>
      </c>
      <c r="AB39" s="36">
        <v>1.69</v>
      </c>
      <c r="AC39" s="36">
        <v>1.69</v>
      </c>
      <c r="AD39" s="36">
        <v>1.69</v>
      </c>
      <c r="AE39" s="36">
        <v>1.69</v>
      </c>
      <c r="AF39" s="36">
        <v>1.69</v>
      </c>
      <c r="AG39" s="36">
        <v>1.69</v>
      </c>
      <c r="AH39" s="36">
        <v>1.69</v>
      </c>
      <c r="AI39" s="39">
        <v>0</v>
      </c>
      <c r="AJ39" s="39">
        <v>0</v>
      </c>
      <c r="AK39" s="39">
        <v>0</v>
      </c>
      <c r="AL39" s="39">
        <v>0</v>
      </c>
      <c r="AM39" s="39">
        <v>0</v>
      </c>
      <c r="AN39" s="39">
        <v>0</v>
      </c>
      <c r="AO39" s="39">
        <v>0</v>
      </c>
      <c r="AP39" s="39">
        <v>0</v>
      </c>
      <c r="AQ39" s="39">
        <v>0</v>
      </c>
      <c r="AR39" s="39">
        <v>0</v>
      </c>
      <c r="AS39" s="39">
        <v>0</v>
      </c>
      <c r="AT39" s="39">
        <v>0</v>
      </c>
      <c r="AU39" s="39">
        <v>0</v>
      </c>
      <c r="AV39" s="39">
        <v>0</v>
      </c>
      <c r="AW39" s="39">
        <v>0</v>
      </c>
      <c r="AX39" s="39">
        <v>0</v>
      </c>
      <c r="AY39" s="39">
        <v>0</v>
      </c>
      <c r="AZ39" s="39">
        <v>0</v>
      </c>
      <c r="BA39" s="39">
        <v>0</v>
      </c>
      <c r="BB39" s="39">
        <v>0</v>
      </c>
      <c r="BC39" s="39">
        <v>0</v>
      </c>
      <c r="BD39" s="39">
        <v>0</v>
      </c>
      <c r="BE39" s="39">
        <v>0</v>
      </c>
      <c r="BF39" s="39">
        <v>0</v>
      </c>
      <c r="BG39" s="1"/>
      <c r="BH39" s="12">
        <f t="shared" si="7"/>
        <v>0</v>
      </c>
      <c r="BI39" s="12">
        <f t="shared" si="8"/>
        <v>17.579999999999998</v>
      </c>
      <c r="BJ39" s="12">
        <f t="shared" si="9"/>
        <v>37.82</v>
      </c>
      <c r="BK39" s="12">
        <f t="shared" si="10"/>
        <v>0</v>
      </c>
      <c r="BL39" s="12">
        <f t="shared" si="11"/>
        <v>0</v>
      </c>
      <c r="BM39" s="12">
        <f t="shared" si="12"/>
        <v>0</v>
      </c>
      <c r="BN39" s="12">
        <f t="shared" si="13"/>
        <v>0</v>
      </c>
      <c r="BO39" s="12">
        <f t="shared" si="14"/>
        <v>0</v>
      </c>
      <c r="BP39" s="12">
        <f t="shared" si="15"/>
        <v>0</v>
      </c>
      <c r="BQ39" s="12">
        <f t="shared" si="16"/>
        <v>0</v>
      </c>
      <c r="BR39" s="12">
        <f t="shared" si="17"/>
        <v>17.579999999999998</v>
      </c>
      <c r="BS39" s="12">
        <f t="shared" si="18"/>
        <v>0</v>
      </c>
      <c r="BT39" s="1"/>
      <c r="BU39" s="11">
        <f t="shared" si="19"/>
        <v>0</v>
      </c>
      <c r="BV39" s="11">
        <f t="shared" si="20"/>
        <v>17.579999999999998</v>
      </c>
      <c r="BW39" s="11">
        <f t="shared" si="21"/>
        <v>37.82</v>
      </c>
      <c r="BX39" s="11">
        <f t="shared" si="22"/>
        <v>0</v>
      </c>
      <c r="BY39" s="11">
        <f t="shared" si="23"/>
        <v>0</v>
      </c>
      <c r="BZ39" s="11">
        <f t="shared" si="24"/>
        <v>0</v>
      </c>
      <c r="CA39" s="11">
        <f t="shared" si="25"/>
        <v>0</v>
      </c>
      <c r="CB39" s="11">
        <f t="shared" si="26"/>
        <v>0</v>
      </c>
      <c r="CC39" s="11">
        <f t="shared" si="27"/>
        <v>0</v>
      </c>
      <c r="CD39" s="11">
        <f t="shared" si="28"/>
        <v>0</v>
      </c>
      <c r="CE39" s="11">
        <f t="shared" si="29"/>
        <v>17.579999999999998</v>
      </c>
      <c r="CF39" s="11">
        <f t="shared" si="30"/>
        <v>0</v>
      </c>
      <c r="CG39" s="11"/>
      <c r="CH39" s="41">
        <v>1</v>
      </c>
      <c r="CI39" s="1"/>
      <c r="CJ39" s="53">
        <f t="shared" si="31"/>
        <v>0</v>
      </c>
      <c r="CK39" s="53">
        <f t="shared" si="32"/>
        <v>10402</v>
      </c>
      <c r="CL39" s="53">
        <f t="shared" si="33"/>
        <v>22379</v>
      </c>
      <c r="CM39" s="53">
        <f t="shared" si="34"/>
        <v>0</v>
      </c>
      <c r="CN39" s="53">
        <f t="shared" si="35"/>
        <v>0</v>
      </c>
      <c r="CO39" s="53">
        <f t="shared" si="36"/>
        <v>0</v>
      </c>
      <c r="CP39" s="53">
        <f t="shared" si="37"/>
        <v>0</v>
      </c>
      <c r="CQ39" s="53">
        <f t="shared" si="38"/>
        <v>0</v>
      </c>
      <c r="CR39" s="53">
        <f t="shared" si="39"/>
        <v>0</v>
      </c>
      <c r="CS39" s="53">
        <f t="shared" si="40"/>
        <v>0</v>
      </c>
      <c r="CT39" s="53">
        <f t="shared" si="41"/>
        <v>10402</v>
      </c>
      <c r="CU39" s="53">
        <f t="shared" si="42"/>
        <v>0</v>
      </c>
      <c r="CV39" s="53">
        <f t="shared" si="43"/>
        <v>43183</v>
      </c>
      <c r="CW39" s="1"/>
      <c r="CX39" s="1"/>
      <c r="CY39" s="1"/>
      <c r="CZ39" s="1"/>
      <c r="DA39" s="1"/>
      <c r="DB39" s="1"/>
      <c r="DC39" s="1"/>
      <c r="DD39" s="1"/>
      <c r="DE39" s="1"/>
      <c r="DF39" s="1"/>
      <c r="DG39" s="1"/>
      <c r="DH39" s="1"/>
      <c r="DI39" s="1"/>
      <c r="DJ39" s="1"/>
      <c r="DK39" s="1"/>
      <c r="DL39" s="1"/>
    </row>
    <row r="40" spans="1:116" ht="15.75" hidden="1" x14ac:dyDescent="0.25">
      <c r="A40" s="16"/>
      <c r="B40" s="44"/>
      <c r="C40" s="44"/>
      <c r="D40" s="44"/>
      <c r="E40" s="44"/>
      <c r="F40" s="45" t="s">
        <v>17</v>
      </c>
      <c r="G40" s="70">
        <v>0</v>
      </c>
      <c r="H40" s="70">
        <v>19.14</v>
      </c>
      <c r="I40" s="63">
        <v>43.56</v>
      </c>
      <c r="J40" s="63">
        <v>0</v>
      </c>
      <c r="K40" s="63">
        <v>0</v>
      </c>
      <c r="L40" s="63">
        <v>0</v>
      </c>
      <c r="M40" s="63">
        <v>0</v>
      </c>
      <c r="N40" s="63">
        <v>0</v>
      </c>
      <c r="O40" s="63">
        <v>0</v>
      </c>
      <c r="P40" s="63">
        <v>19.14</v>
      </c>
      <c r="Q40" s="63">
        <v>19.14</v>
      </c>
      <c r="R40" s="63">
        <v>9.57</v>
      </c>
      <c r="S40" s="11">
        <f t="shared" si="1"/>
        <v>110.55000000000001</v>
      </c>
      <c r="T40" s="8">
        <f t="shared" si="5"/>
        <v>1.2319806178073895</v>
      </c>
      <c r="U40" s="13" t="s">
        <v>2952</v>
      </c>
      <c r="V40" s="50">
        <f t="shared" si="6"/>
        <v>60081</v>
      </c>
      <c r="W40" s="36">
        <v>1.8400042087542088</v>
      </c>
      <c r="X40" s="36">
        <v>1.8400042087542088</v>
      </c>
      <c r="Y40" s="36">
        <v>1.8400042087542088</v>
      </c>
      <c r="Z40" s="36">
        <v>1.8400042087542088</v>
      </c>
      <c r="AA40" s="36">
        <v>1.8400042087542088</v>
      </c>
      <c r="AB40" s="36">
        <v>1.8400042087542088</v>
      </c>
      <c r="AC40" s="36">
        <v>1.8400042087542088</v>
      </c>
      <c r="AD40" s="36">
        <v>1.8400042087542088</v>
      </c>
      <c r="AE40" s="36">
        <v>1.8400042087542088</v>
      </c>
      <c r="AF40" s="36">
        <v>1.8400042087542088</v>
      </c>
      <c r="AG40" s="36">
        <v>1.8400042087542088</v>
      </c>
      <c r="AH40" s="36">
        <v>1.8400042087542088</v>
      </c>
      <c r="AI40" s="39">
        <v>0</v>
      </c>
      <c r="AJ40" s="39">
        <v>0</v>
      </c>
      <c r="AK40" s="39">
        <v>0</v>
      </c>
      <c r="AL40" s="39">
        <v>0</v>
      </c>
      <c r="AM40" s="39">
        <v>0</v>
      </c>
      <c r="AN40" s="39">
        <v>0</v>
      </c>
      <c r="AO40" s="39">
        <v>0</v>
      </c>
      <c r="AP40" s="39">
        <v>0</v>
      </c>
      <c r="AQ40" s="39">
        <v>0</v>
      </c>
      <c r="AR40" s="39">
        <v>0</v>
      </c>
      <c r="AS40" s="39">
        <v>0</v>
      </c>
      <c r="AT40" s="39">
        <v>0</v>
      </c>
      <c r="AU40" s="39">
        <v>0</v>
      </c>
      <c r="AV40" s="39">
        <v>0</v>
      </c>
      <c r="AW40" s="39">
        <v>0</v>
      </c>
      <c r="AX40" s="39">
        <v>0</v>
      </c>
      <c r="AY40" s="39">
        <v>0</v>
      </c>
      <c r="AZ40" s="39">
        <v>0</v>
      </c>
      <c r="BA40" s="39">
        <v>0</v>
      </c>
      <c r="BB40" s="39">
        <v>0</v>
      </c>
      <c r="BC40" s="39">
        <v>0</v>
      </c>
      <c r="BD40" s="39">
        <v>0</v>
      </c>
      <c r="BE40" s="39">
        <v>0</v>
      </c>
      <c r="BF40" s="39">
        <v>0</v>
      </c>
      <c r="BG40" s="1"/>
      <c r="BH40" s="12">
        <f t="shared" si="7"/>
        <v>0</v>
      </c>
      <c r="BI40" s="12">
        <f t="shared" si="8"/>
        <v>19.14</v>
      </c>
      <c r="BJ40" s="12">
        <f t="shared" si="9"/>
        <v>43.56</v>
      </c>
      <c r="BK40" s="12">
        <f t="shared" si="10"/>
        <v>0</v>
      </c>
      <c r="BL40" s="12">
        <f t="shared" si="11"/>
        <v>0</v>
      </c>
      <c r="BM40" s="12">
        <f t="shared" si="12"/>
        <v>0</v>
      </c>
      <c r="BN40" s="12">
        <f t="shared" si="13"/>
        <v>0</v>
      </c>
      <c r="BO40" s="12">
        <f t="shared" si="14"/>
        <v>0</v>
      </c>
      <c r="BP40" s="12">
        <f t="shared" si="15"/>
        <v>0</v>
      </c>
      <c r="BQ40" s="12">
        <f t="shared" si="16"/>
        <v>19.14</v>
      </c>
      <c r="BR40" s="12">
        <f t="shared" si="17"/>
        <v>19.14</v>
      </c>
      <c r="BS40" s="12">
        <f t="shared" si="18"/>
        <v>9.57</v>
      </c>
      <c r="BT40" s="1"/>
      <c r="BU40" s="11">
        <f t="shared" si="19"/>
        <v>0</v>
      </c>
      <c r="BV40" s="11">
        <f t="shared" si="20"/>
        <v>19.14</v>
      </c>
      <c r="BW40" s="11">
        <f t="shared" si="21"/>
        <v>43.56</v>
      </c>
      <c r="BX40" s="11">
        <f t="shared" si="22"/>
        <v>0</v>
      </c>
      <c r="BY40" s="11">
        <f t="shared" si="23"/>
        <v>0</v>
      </c>
      <c r="BZ40" s="11">
        <f t="shared" si="24"/>
        <v>0</v>
      </c>
      <c r="CA40" s="11">
        <f t="shared" si="25"/>
        <v>0</v>
      </c>
      <c r="CB40" s="11">
        <f t="shared" si="26"/>
        <v>0</v>
      </c>
      <c r="CC40" s="11">
        <f t="shared" si="27"/>
        <v>0</v>
      </c>
      <c r="CD40" s="11">
        <f t="shared" si="28"/>
        <v>19.14</v>
      </c>
      <c r="CE40" s="11">
        <f t="shared" si="29"/>
        <v>19.14</v>
      </c>
      <c r="CF40" s="11">
        <f t="shared" si="30"/>
        <v>9.57</v>
      </c>
      <c r="CG40" s="11"/>
      <c r="CH40" s="41">
        <v>1</v>
      </c>
      <c r="CI40" s="1"/>
      <c r="CJ40" s="53">
        <f t="shared" si="31"/>
        <v>0</v>
      </c>
      <c r="CK40" s="53">
        <f t="shared" si="32"/>
        <v>10402</v>
      </c>
      <c r="CL40" s="53">
        <f t="shared" si="33"/>
        <v>23674</v>
      </c>
      <c r="CM40" s="53">
        <f t="shared" si="34"/>
        <v>0</v>
      </c>
      <c r="CN40" s="53">
        <f t="shared" si="35"/>
        <v>0</v>
      </c>
      <c r="CO40" s="53">
        <f t="shared" si="36"/>
        <v>0</v>
      </c>
      <c r="CP40" s="53">
        <f t="shared" si="37"/>
        <v>0</v>
      </c>
      <c r="CQ40" s="53">
        <f t="shared" si="38"/>
        <v>0</v>
      </c>
      <c r="CR40" s="53">
        <f t="shared" si="39"/>
        <v>0</v>
      </c>
      <c r="CS40" s="53">
        <f t="shared" si="40"/>
        <v>10402</v>
      </c>
      <c r="CT40" s="53">
        <f t="shared" si="41"/>
        <v>10402</v>
      </c>
      <c r="CU40" s="53">
        <f t="shared" si="42"/>
        <v>5201</v>
      </c>
      <c r="CV40" s="53">
        <f t="shared" si="43"/>
        <v>60081</v>
      </c>
      <c r="CW40" s="1"/>
      <c r="CX40" s="1"/>
      <c r="CY40" s="1"/>
      <c r="CZ40" s="1"/>
      <c r="DA40" s="1"/>
      <c r="DB40" s="1"/>
      <c r="DC40" s="1"/>
      <c r="DD40" s="1"/>
      <c r="DE40" s="1"/>
      <c r="DF40" s="1"/>
      <c r="DG40" s="1"/>
      <c r="DH40" s="1"/>
      <c r="DI40" s="1"/>
      <c r="DJ40" s="1"/>
      <c r="DK40" s="1"/>
      <c r="DL40" s="1"/>
    </row>
    <row r="41" spans="1:116" ht="15.75" hidden="1" x14ac:dyDescent="0.25">
      <c r="A41" s="16"/>
      <c r="B41" s="44"/>
      <c r="C41" s="44"/>
      <c r="D41" s="44"/>
      <c r="E41" s="44"/>
      <c r="F41" s="45" t="s">
        <v>17</v>
      </c>
      <c r="G41" s="70">
        <v>0</v>
      </c>
      <c r="H41" s="70">
        <v>0</v>
      </c>
      <c r="I41" s="63">
        <v>0</v>
      </c>
      <c r="J41" s="63">
        <v>0</v>
      </c>
      <c r="K41" s="63">
        <v>0</v>
      </c>
      <c r="L41" s="63">
        <v>0</v>
      </c>
      <c r="M41" s="63">
        <v>0</v>
      </c>
      <c r="N41" s="63">
        <v>0</v>
      </c>
      <c r="O41" s="63">
        <v>0</v>
      </c>
      <c r="P41" s="63">
        <v>0</v>
      </c>
      <c r="Q41" s="63">
        <v>0</v>
      </c>
      <c r="R41" s="63">
        <v>0</v>
      </c>
      <c r="S41" s="11">
        <f t="shared" si="1"/>
        <v>0</v>
      </c>
      <c r="T41" s="8">
        <f t="shared" si="5"/>
        <v>0</v>
      </c>
      <c r="U41" s="13" t="s">
        <v>2952</v>
      </c>
      <c r="V41" s="50">
        <f t="shared" si="6"/>
        <v>0</v>
      </c>
      <c r="W41" s="36">
        <v>11.423999999999999</v>
      </c>
      <c r="X41" s="36">
        <v>11.423999999999999</v>
      </c>
      <c r="Y41" s="36">
        <v>11.423999999999999</v>
      </c>
      <c r="Z41" s="36">
        <v>11.423999999999999</v>
      </c>
      <c r="AA41" s="36">
        <v>11.423999999999999</v>
      </c>
      <c r="AB41" s="36">
        <v>11.423999999999999</v>
      </c>
      <c r="AC41" s="36">
        <v>11.423999999999999</v>
      </c>
      <c r="AD41" s="36">
        <v>11.423999999999999</v>
      </c>
      <c r="AE41" s="36">
        <v>11.423999999999999</v>
      </c>
      <c r="AF41" s="36">
        <v>11.423999999999999</v>
      </c>
      <c r="AG41" s="36">
        <v>11.423999999999999</v>
      </c>
      <c r="AH41" s="36">
        <v>11.423999999999999</v>
      </c>
      <c r="AI41" s="39">
        <v>0.22999999999999998</v>
      </c>
      <c r="AJ41" s="39">
        <v>0.22999999999999998</v>
      </c>
      <c r="AK41" s="39">
        <v>0.22999999999999998</v>
      </c>
      <c r="AL41" s="39">
        <v>0.22999999999999998</v>
      </c>
      <c r="AM41" s="39">
        <v>0.22999999999999998</v>
      </c>
      <c r="AN41" s="39">
        <v>0.22999999999999998</v>
      </c>
      <c r="AO41" s="39">
        <v>0.22999999999999998</v>
      </c>
      <c r="AP41" s="39">
        <v>0.22999999999999998</v>
      </c>
      <c r="AQ41" s="39">
        <v>0.22999999999999998</v>
      </c>
      <c r="AR41" s="39">
        <v>0.22999999999999998</v>
      </c>
      <c r="AS41" s="39">
        <v>0.22999999999999998</v>
      </c>
      <c r="AT41" s="39">
        <v>0.22999999999999998</v>
      </c>
      <c r="AU41" s="39">
        <v>0</v>
      </c>
      <c r="AV41" s="39">
        <v>0</v>
      </c>
      <c r="AW41" s="39">
        <v>0</v>
      </c>
      <c r="AX41" s="39">
        <v>0</v>
      </c>
      <c r="AY41" s="39">
        <v>0</v>
      </c>
      <c r="AZ41" s="39">
        <v>0</v>
      </c>
      <c r="BA41" s="39">
        <v>0</v>
      </c>
      <c r="BB41" s="39">
        <v>0</v>
      </c>
      <c r="BC41" s="39">
        <v>0</v>
      </c>
      <c r="BD41" s="39">
        <v>0</v>
      </c>
      <c r="BE41" s="39">
        <v>0</v>
      </c>
      <c r="BF41" s="39">
        <v>0</v>
      </c>
      <c r="BG41" s="1"/>
      <c r="BH41" s="12">
        <f t="shared" si="7"/>
        <v>0</v>
      </c>
      <c r="BI41" s="12">
        <f t="shared" si="8"/>
        <v>0</v>
      </c>
      <c r="BJ41" s="12">
        <f t="shared" si="9"/>
        <v>0</v>
      </c>
      <c r="BK41" s="12">
        <f t="shared" si="10"/>
        <v>0</v>
      </c>
      <c r="BL41" s="12">
        <f t="shared" si="11"/>
        <v>0</v>
      </c>
      <c r="BM41" s="12">
        <f t="shared" si="12"/>
        <v>0</v>
      </c>
      <c r="BN41" s="12">
        <f t="shared" si="13"/>
        <v>0</v>
      </c>
      <c r="BO41" s="12">
        <f t="shared" si="14"/>
        <v>0</v>
      </c>
      <c r="BP41" s="12">
        <f t="shared" si="15"/>
        <v>0</v>
      </c>
      <c r="BQ41" s="12">
        <f t="shared" si="16"/>
        <v>0</v>
      </c>
      <c r="BR41" s="12">
        <f t="shared" si="17"/>
        <v>0</v>
      </c>
      <c r="BS41" s="12">
        <f t="shared" si="18"/>
        <v>0</v>
      </c>
      <c r="BT41" s="1"/>
      <c r="BU41" s="11">
        <f t="shared" si="19"/>
        <v>0</v>
      </c>
      <c r="BV41" s="11">
        <f t="shared" si="20"/>
        <v>0</v>
      </c>
      <c r="BW41" s="11">
        <f t="shared" si="21"/>
        <v>0</v>
      </c>
      <c r="BX41" s="11">
        <f t="shared" si="22"/>
        <v>0</v>
      </c>
      <c r="BY41" s="11">
        <f t="shared" si="23"/>
        <v>0</v>
      </c>
      <c r="BZ41" s="11">
        <f t="shared" si="24"/>
        <v>0</v>
      </c>
      <c r="CA41" s="11">
        <f t="shared" si="25"/>
        <v>0</v>
      </c>
      <c r="CB41" s="11">
        <f t="shared" si="26"/>
        <v>0</v>
      </c>
      <c r="CC41" s="11">
        <f t="shared" si="27"/>
        <v>0</v>
      </c>
      <c r="CD41" s="11">
        <f t="shared" si="28"/>
        <v>0</v>
      </c>
      <c r="CE41" s="11">
        <f t="shared" si="29"/>
        <v>0</v>
      </c>
      <c r="CF41" s="11">
        <f t="shared" si="30"/>
        <v>0</v>
      </c>
      <c r="CG41" s="11"/>
      <c r="CH41" s="41">
        <v>1</v>
      </c>
      <c r="CI41" s="1"/>
      <c r="CJ41" s="53">
        <f t="shared" si="31"/>
        <v>0</v>
      </c>
      <c r="CK41" s="53">
        <f t="shared" si="32"/>
        <v>0</v>
      </c>
      <c r="CL41" s="53">
        <f t="shared" si="33"/>
        <v>0</v>
      </c>
      <c r="CM41" s="53">
        <f t="shared" si="34"/>
        <v>0</v>
      </c>
      <c r="CN41" s="53">
        <f t="shared" si="35"/>
        <v>0</v>
      </c>
      <c r="CO41" s="53">
        <f t="shared" si="36"/>
        <v>0</v>
      </c>
      <c r="CP41" s="53">
        <f t="shared" si="37"/>
        <v>0</v>
      </c>
      <c r="CQ41" s="53">
        <f t="shared" si="38"/>
        <v>0</v>
      </c>
      <c r="CR41" s="53">
        <f t="shared" si="39"/>
        <v>0</v>
      </c>
      <c r="CS41" s="53">
        <f t="shared" si="40"/>
        <v>0</v>
      </c>
      <c r="CT41" s="53">
        <f t="shared" si="41"/>
        <v>0</v>
      </c>
      <c r="CU41" s="53">
        <f t="shared" si="42"/>
        <v>0</v>
      </c>
      <c r="CV41" s="53">
        <f t="shared" si="43"/>
        <v>0</v>
      </c>
      <c r="CW41" s="1"/>
      <c r="CX41" s="1"/>
      <c r="CY41" s="1"/>
      <c r="CZ41" s="1"/>
      <c r="DA41" s="1"/>
      <c r="DB41" s="1"/>
      <c r="DC41" s="1"/>
      <c r="DD41" s="1"/>
      <c r="DE41" s="1"/>
      <c r="DF41" s="1"/>
      <c r="DG41" s="1"/>
      <c r="DH41" s="1"/>
      <c r="DI41" s="1"/>
      <c r="DJ41" s="1"/>
      <c r="DK41" s="1"/>
      <c r="DL41" s="1"/>
    </row>
    <row r="42" spans="1:116" ht="15.75" hidden="1" x14ac:dyDescent="0.25">
      <c r="A42" s="86"/>
      <c r="B42" s="17"/>
      <c r="C42" s="17"/>
      <c r="D42" s="17"/>
      <c r="E42" s="17"/>
      <c r="F42" s="31" t="s">
        <v>3645</v>
      </c>
      <c r="G42" s="64">
        <v>71.94</v>
      </c>
      <c r="H42" s="64">
        <v>35.590000000000003</v>
      </c>
      <c r="I42" s="64">
        <v>12.51</v>
      </c>
      <c r="J42" s="64">
        <v>7.37</v>
      </c>
      <c r="K42" s="64">
        <v>14.18</v>
      </c>
      <c r="L42" s="64">
        <v>16.239999999999998</v>
      </c>
      <c r="M42" s="64">
        <v>26.76</v>
      </c>
      <c r="N42" s="64">
        <v>45.76</v>
      </c>
      <c r="O42" s="64">
        <v>24.72</v>
      </c>
      <c r="P42" s="64">
        <v>15.26</v>
      </c>
      <c r="Q42" s="64">
        <v>48.87</v>
      </c>
      <c r="R42" s="64">
        <v>34.07</v>
      </c>
      <c r="S42" s="11">
        <f t="shared" si="1"/>
        <v>353.27</v>
      </c>
      <c r="T42" s="1"/>
      <c r="U42" s="1"/>
      <c r="V42" s="50">
        <f t="shared" si="6"/>
        <v>317629</v>
      </c>
      <c r="W42" s="36">
        <v>1.1081513747732268</v>
      </c>
      <c r="X42" s="36">
        <v>1.1067046841969763</v>
      </c>
      <c r="Y42" s="36">
        <v>1.1092782083153985</v>
      </c>
      <c r="Z42" s="36">
        <v>1.0966741022789341</v>
      </c>
      <c r="AA42" s="36">
        <v>1.1044289984910007</v>
      </c>
      <c r="AB42" s="36">
        <v>1.1004736385518008</v>
      </c>
      <c r="AC42" s="36">
        <v>1.0876122319820292</v>
      </c>
      <c r="AD42" s="36">
        <v>1.0926347573088411</v>
      </c>
      <c r="AE42" s="36">
        <v>1.0981829791936595</v>
      </c>
      <c r="AF42" s="36">
        <v>1.1419652954153612</v>
      </c>
      <c r="AG42" s="36">
        <v>1.1427417167858083</v>
      </c>
      <c r="AH42" s="36">
        <v>1.1419924605203764</v>
      </c>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1"/>
      <c r="BH42" s="12">
        <f t="shared" si="7"/>
        <v>71.94</v>
      </c>
      <c r="BI42" s="12">
        <f t="shared" si="8"/>
        <v>35.590000000000003</v>
      </c>
      <c r="BJ42" s="12">
        <f t="shared" si="9"/>
        <v>12.51</v>
      </c>
      <c r="BK42" s="12">
        <f t="shared" si="10"/>
        <v>7.37</v>
      </c>
      <c r="BL42" s="12">
        <f t="shared" si="11"/>
        <v>14.18</v>
      </c>
      <c r="BM42" s="12">
        <f t="shared" si="12"/>
        <v>16.239999999999998</v>
      </c>
      <c r="BN42" s="12">
        <f t="shared" si="13"/>
        <v>26.76</v>
      </c>
      <c r="BO42" s="12">
        <f t="shared" si="14"/>
        <v>45.76</v>
      </c>
      <c r="BP42" s="12">
        <f t="shared" si="15"/>
        <v>24.72</v>
      </c>
      <c r="BQ42" s="12">
        <f t="shared" si="16"/>
        <v>15.26</v>
      </c>
      <c r="BR42" s="12">
        <f t="shared" si="17"/>
        <v>48.87</v>
      </c>
      <c r="BS42" s="12">
        <f t="shared" si="18"/>
        <v>34.07</v>
      </c>
      <c r="BT42" s="1"/>
      <c r="BU42" s="11">
        <f t="shared" si="19"/>
        <v>71.94</v>
      </c>
      <c r="BV42" s="11">
        <f t="shared" si="20"/>
        <v>35.590000000000003</v>
      </c>
      <c r="BW42" s="11">
        <f t="shared" si="21"/>
        <v>12.51</v>
      </c>
      <c r="BX42" s="11">
        <f t="shared" si="22"/>
        <v>7.37</v>
      </c>
      <c r="BY42" s="11">
        <f t="shared" si="23"/>
        <v>14.18</v>
      </c>
      <c r="BZ42" s="11">
        <f t="shared" si="24"/>
        <v>16.239999999999998</v>
      </c>
      <c r="CA42" s="11">
        <f t="shared" si="25"/>
        <v>26.76</v>
      </c>
      <c r="CB42" s="11">
        <f t="shared" si="26"/>
        <v>45.76</v>
      </c>
      <c r="CC42" s="11">
        <f t="shared" si="27"/>
        <v>24.72</v>
      </c>
      <c r="CD42" s="11">
        <f t="shared" si="28"/>
        <v>15.26</v>
      </c>
      <c r="CE42" s="11">
        <f t="shared" si="29"/>
        <v>48.87</v>
      </c>
      <c r="CF42" s="11">
        <f t="shared" si="30"/>
        <v>34.07</v>
      </c>
      <c r="CG42" s="11"/>
      <c r="CH42" s="41">
        <v>1</v>
      </c>
      <c r="CI42" s="1"/>
      <c r="CJ42" s="53">
        <f t="shared" si="31"/>
        <v>64919</v>
      </c>
      <c r="CK42" s="53">
        <f t="shared" si="32"/>
        <v>32159</v>
      </c>
      <c r="CL42" s="53">
        <f t="shared" si="33"/>
        <v>11278</v>
      </c>
      <c r="CM42" s="53">
        <f t="shared" si="34"/>
        <v>6720</v>
      </c>
      <c r="CN42" s="53">
        <f t="shared" si="35"/>
        <v>12839</v>
      </c>
      <c r="CO42" s="53">
        <f t="shared" si="36"/>
        <v>14757</v>
      </c>
      <c r="CP42" s="53">
        <f t="shared" si="37"/>
        <v>24604</v>
      </c>
      <c r="CQ42" s="53">
        <f t="shared" si="38"/>
        <v>41880</v>
      </c>
      <c r="CR42" s="53">
        <f t="shared" si="39"/>
        <v>22510</v>
      </c>
      <c r="CS42" s="53">
        <f t="shared" si="40"/>
        <v>13363</v>
      </c>
      <c r="CT42" s="53">
        <f t="shared" si="41"/>
        <v>42766</v>
      </c>
      <c r="CU42" s="53">
        <f t="shared" si="42"/>
        <v>29834</v>
      </c>
      <c r="CV42" s="53">
        <f t="shared" si="43"/>
        <v>317629</v>
      </c>
      <c r="CW42" s="1"/>
      <c r="CX42" s="1"/>
      <c r="CY42" s="1"/>
      <c r="CZ42" s="1"/>
      <c r="DA42" s="1"/>
      <c r="DB42" s="1"/>
      <c r="DC42" s="1"/>
      <c r="DD42" s="1"/>
      <c r="DE42" s="1"/>
      <c r="DF42" s="1"/>
      <c r="DG42" s="1"/>
      <c r="DH42" s="1"/>
      <c r="DI42" s="1"/>
      <c r="DJ42" s="1"/>
      <c r="DK42" s="1"/>
      <c r="DL42" s="1"/>
    </row>
    <row r="43" spans="1:116" ht="15.75" hidden="1" x14ac:dyDescent="0.25">
      <c r="A43" s="86"/>
      <c r="B43" s="17"/>
      <c r="C43" s="17"/>
      <c r="D43" s="17"/>
      <c r="E43" s="17"/>
      <c r="F43" s="31" t="s">
        <v>3645</v>
      </c>
      <c r="G43" s="64">
        <v>0</v>
      </c>
      <c r="H43" s="64">
        <v>0</v>
      </c>
      <c r="I43" s="64">
        <v>0</v>
      </c>
      <c r="J43" s="64">
        <v>0</v>
      </c>
      <c r="K43" s="64">
        <v>72.63</v>
      </c>
      <c r="L43" s="64">
        <v>0</v>
      </c>
      <c r="M43" s="64">
        <v>184.53</v>
      </c>
      <c r="N43" s="64">
        <v>101.32</v>
      </c>
      <c r="O43" s="64">
        <v>122.95</v>
      </c>
      <c r="P43" s="64">
        <v>21.06</v>
      </c>
      <c r="Q43" s="64">
        <v>96.62</v>
      </c>
      <c r="R43" s="64">
        <v>0</v>
      </c>
      <c r="S43" s="11">
        <f t="shared" si="1"/>
        <v>599.1099999999999</v>
      </c>
      <c r="T43" s="1"/>
      <c r="U43" s="1"/>
      <c r="V43" s="50">
        <f t="shared" si="6"/>
        <v>2130505</v>
      </c>
      <c r="W43" s="36">
        <v>0</v>
      </c>
      <c r="X43" s="36">
        <v>0</v>
      </c>
      <c r="Y43" s="36">
        <v>0</v>
      </c>
      <c r="Z43" s="36">
        <v>0</v>
      </c>
      <c r="AA43" s="36">
        <v>0.28165637921735476</v>
      </c>
      <c r="AB43" s="36">
        <v>0</v>
      </c>
      <c r="AC43" s="36">
        <v>0.277277956402466</v>
      </c>
      <c r="AD43" s="36">
        <v>0.27855978663505698</v>
      </c>
      <c r="AE43" s="36">
        <v>0.28004528391825073</v>
      </c>
      <c r="AF43" s="36">
        <v>0.29102167182662564</v>
      </c>
      <c r="AG43" s="36">
        <v>0.29102167182662536</v>
      </c>
      <c r="AH43" s="36">
        <v>0</v>
      </c>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1"/>
      <c r="BH43" s="12">
        <f t="shared" si="7"/>
        <v>0</v>
      </c>
      <c r="BI43" s="12">
        <f t="shared" si="8"/>
        <v>0</v>
      </c>
      <c r="BJ43" s="12">
        <f t="shared" si="9"/>
        <v>0</v>
      </c>
      <c r="BK43" s="12">
        <f t="shared" si="10"/>
        <v>0</v>
      </c>
      <c r="BL43" s="12">
        <f t="shared" si="11"/>
        <v>72.63</v>
      </c>
      <c r="BM43" s="12">
        <f t="shared" si="12"/>
        <v>0</v>
      </c>
      <c r="BN43" s="12">
        <f t="shared" si="13"/>
        <v>184.53</v>
      </c>
      <c r="BO43" s="12">
        <f t="shared" si="14"/>
        <v>101.32</v>
      </c>
      <c r="BP43" s="12">
        <f t="shared" si="15"/>
        <v>122.95</v>
      </c>
      <c r="BQ43" s="12">
        <f t="shared" si="16"/>
        <v>21.06</v>
      </c>
      <c r="BR43" s="12">
        <f t="shared" si="17"/>
        <v>96.62</v>
      </c>
      <c r="BS43" s="12">
        <f t="shared" si="18"/>
        <v>0</v>
      </c>
      <c r="BT43" s="1"/>
      <c r="BU43" s="11">
        <f t="shared" si="19"/>
        <v>0</v>
      </c>
      <c r="BV43" s="11">
        <f t="shared" si="20"/>
        <v>0</v>
      </c>
      <c r="BW43" s="11">
        <f t="shared" si="21"/>
        <v>0</v>
      </c>
      <c r="BX43" s="11">
        <f t="shared" si="22"/>
        <v>0</v>
      </c>
      <c r="BY43" s="11">
        <f t="shared" si="23"/>
        <v>72.63</v>
      </c>
      <c r="BZ43" s="11">
        <f t="shared" si="24"/>
        <v>0</v>
      </c>
      <c r="CA43" s="11">
        <f t="shared" si="25"/>
        <v>184.53</v>
      </c>
      <c r="CB43" s="11">
        <f t="shared" si="26"/>
        <v>101.32</v>
      </c>
      <c r="CC43" s="11">
        <f t="shared" si="27"/>
        <v>122.95</v>
      </c>
      <c r="CD43" s="11">
        <f t="shared" si="28"/>
        <v>21.06</v>
      </c>
      <c r="CE43" s="11">
        <f t="shared" si="29"/>
        <v>96.62</v>
      </c>
      <c r="CF43" s="11">
        <f t="shared" si="30"/>
        <v>0</v>
      </c>
      <c r="CG43" s="11"/>
      <c r="CH43" s="41">
        <v>1</v>
      </c>
      <c r="CI43" s="1"/>
      <c r="CJ43" s="53">
        <f t="shared" si="31"/>
        <v>0</v>
      </c>
      <c r="CK43" s="53">
        <f t="shared" si="32"/>
        <v>0</v>
      </c>
      <c r="CL43" s="53">
        <f t="shared" si="33"/>
        <v>0</v>
      </c>
      <c r="CM43" s="53">
        <f t="shared" si="34"/>
        <v>0</v>
      </c>
      <c r="CN43" s="53">
        <f t="shared" si="35"/>
        <v>257867</v>
      </c>
      <c r="CO43" s="53">
        <f t="shared" si="36"/>
        <v>0</v>
      </c>
      <c r="CP43" s="53">
        <f t="shared" si="37"/>
        <v>665505</v>
      </c>
      <c r="CQ43" s="53">
        <f t="shared" si="38"/>
        <v>363728</v>
      </c>
      <c r="CR43" s="53">
        <f t="shared" si="39"/>
        <v>439036</v>
      </c>
      <c r="CS43" s="53">
        <f t="shared" si="40"/>
        <v>72366</v>
      </c>
      <c r="CT43" s="53">
        <f t="shared" si="41"/>
        <v>332003</v>
      </c>
      <c r="CU43" s="53">
        <f t="shared" si="42"/>
        <v>0</v>
      </c>
      <c r="CV43" s="53">
        <f t="shared" si="43"/>
        <v>2130505</v>
      </c>
      <c r="CW43" s="1"/>
      <c r="CX43" s="1"/>
      <c r="CY43" s="1"/>
      <c r="CZ43" s="1"/>
      <c r="DA43" s="1"/>
      <c r="DB43" s="1"/>
      <c r="DC43" s="1"/>
      <c r="DD43" s="1"/>
      <c r="DE43" s="1"/>
      <c r="DF43" s="1"/>
      <c r="DG43" s="1"/>
      <c r="DH43" s="1"/>
      <c r="DI43" s="1"/>
      <c r="DJ43" s="1"/>
      <c r="DK43" s="1"/>
      <c r="DL43" s="1"/>
    </row>
    <row r="44" spans="1:116" ht="15.75" hidden="1" x14ac:dyDescent="0.25">
      <c r="A44" s="86"/>
      <c r="B44" s="17"/>
      <c r="C44" s="17"/>
      <c r="D44" s="17"/>
      <c r="E44" s="17"/>
      <c r="F44" s="31" t="s">
        <v>3645</v>
      </c>
      <c r="G44" s="64">
        <v>0</v>
      </c>
      <c r="H44" s="64">
        <v>0</v>
      </c>
      <c r="I44" s="64">
        <v>0</v>
      </c>
      <c r="J44" s="64">
        <v>0</v>
      </c>
      <c r="K44" s="64">
        <v>0</v>
      </c>
      <c r="L44" s="64">
        <v>0</v>
      </c>
      <c r="M44" s="64">
        <v>0</v>
      </c>
      <c r="N44" s="64">
        <v>0</v>
      </c>
      <c r="O44" s="64">
        <v>0</v>
      </c>
      <c r="P44" s="64">
        <v>0</v>
      </c>
      <c r="Q44" s="64">
        <v>0</v>
      </c>
      <c r="R44" s="64">
        <v>0</v>
      </c>
      <c r="S44" s="11">
        <f t="shared" si="1"/>
        <v>0</v>
      </c>
      <c r="T44" s="1"/>
      <c r="U44" s="1"/>
      <c r="V44" s="50">
        <f t="shared" si="6"/>
        <v>0</v>
      </c>
      <c r="W44" s="36">
        <v>0</v>
      </c>
      <c r="X44" s="36"/>
      <c r="Y44" s="36"/>
      <c r="Z44" s="36"/>
      <c r="AA44" s="36"/>
      <c r="AB44" s="36"/>
      <c r="AC44" s="36"/>
      <c r="AD44" s="36"/>
      <c r="AE44" s="36"/>
      <c r="AF44" s="36"/>
      <c r="AG44" s="36"/>
      <c r="AH44" s="36"/>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1"/>
      <c r="BH44" s="12">
        <f t="shared" si="7"/>
        <v>0</v>
      </c>
      <c r="BI44" s="12">
        <f t="shared" si="8"/>
        <v>0</v>
      </c>
      <c r="BJ44" s="12">
        <f t="shared" si="9"/>
        <v>0</v>
      </c>
      <c r="BK44" s="12">
        <f t="shared" si="10"/>
        <v>0</v>
      </c>
      <c r="BL44" s="12">
        <f t="shared" si="11"/>
        <v>0</v>
      </c>
      <c r="BM44" s="12">
        <f t="shared" si="12"/>
        <v>0</v>
      </c>
      <c r="BN44" s="12">
        <f t="shared" si="13"/>
        <v>0</v>
      </c>
      <c r="BO44" s="12">
        <f t="shared" si="14"/>
        <v>0</v>
      </c>
      <c r="BP44" s="12">
        <f t="shared" si="15"/>
        <v>0</v>
      </c>
      <c r="BQ44" s="12">
        <f t="shared" si="16"/>
        <v>0</v>
      </c>
      <c r="BR44" s="12">
        <f t="shared" si="17"/>
        <v>0</v>
      </c>
      <c r="BS44" s="12">
        <f t="shared" si="18"/>
        <v>0</v>
      </c>
      <c r="BT44" s="1"/>
      <c r="BU44" s="11">
        <f t="shared" si="19"/>
        <v>0</v>
      </c>
      <c r="BV44" s="11">
        <f t="shared" si="20"/>
        <v>0</v>
      </c>
      <c r="BW44" s="11">
        <f t="shared" si="21"/>
        <v>0</v>
      </c>
      <c r="BX44" s="11">
        <f t="shared" si="22"/>
        <v>0</v>
      </c>
      <c r="BY44" s="11">
        <f t="shared" si="23"/>
        <v>0</v>
      </c>
      <c r="BZ44" s="11">
        <f t="shared" si="24"/>
        <v>0</v>
      </c>
      <c r="CA44" s="11">
        <f t="shared" si="25"/>
        <v>0</v>
      </c>
      <c r="CB44" s="11">
        <f t="shared" si="26"/>
        <v>0</v>
      </c>
      <c r="CC44" s="11">
        <f t="shared" si="27"/>
        <v>0</v>
      </c>
      <c r="CD44" s="11">
        <f t="shared" si="28"/>
        <v>0</v>
      </c>
      <c r="CE44" s="11">
        <f t="shared" si="29"/>
        <v>0</v>
      </c>
      <c r="CF44" s="11">
        <f t="shared" si="30"/>
        <v>0</v>
      </c>
      <c r="CG44" s="11"/>
      <c r="CH44" s="41">
        <v>1</v>
      </c>
      <c r="CI44" s="1"/>
      <c r="CJ44" s="53">
        <f t="shared" si="31"/>
        <v>0</v>
      </c>
      <c r="CK44" s="53">
        <f t="shared" si="32"/>
        <v>0</v>
      </c>
      <c r="CL44" s="53">
        <f t="shared" si="33"/>
        <v>0</v>
      </c>
      <c r="CM44" s="53">
        <f t="shared" si="34"/>
        <v>0</v>
      </c>
      <c r="CN44" s="53">
        <f t="shared" si="35"/>
        <v>0</v>
      </c>
      <c r="CO44" s="53">
        <f t="shared" si="36"/>
        <v>0</v>
      </c>
      <c r="CP44" s="53">
        <f t="shared" si="37"/>
        <v>0</v>
      </c>
      <c r="CQ44" s="53">
        <f t="shared" si="38"/>
        <v>0</v>
      </c>
      <c r="CR44" s="53">
        <f t="shared" si="39"/>
        <v>0</v>
      </c>
      <c r="CS44" s="53">
        <f t="shared" si="40"/>
        <v>0</v>
      </c>
      <c r="CT44" s="53">
        <f t="shared" si="41"/>
        <v>0</v>
      </c>
      <c r="CU44" s="53">
        <f t="shared" si="42"/>
        <v>0</v>
      </c>
      <c r="CV44" s="53">
        <f t="shared" si="43"/>
        <v>0</v>
      </c>
      <c r="CW44" s="1"/>
      <c r="CX44" s="1"/>
      <c r="CY44" s="1"/>
      <c r="CZ44" s="1"/>
      <c r="DA44" s="1"/>
      <c r="DB44" s="1"/>
      <c r="DC44" s="1"/>
      <c r="DD44" s="1"/>
      <c r="DE44" s="1"/>
      <c r="DF44" s="1"/>
      <c r="DG44" s="1"/>
      <c r="DH44" s="1"/>
      <c r="DI44" s="1"/>
      <c r="DJ44" s="1"/>
      <c r="DK44" s="1"/>
      <c r="DL44" s="1"/>
    </row>
    <row r="45" spans="1:116" ht="15.75" hidden="1" x14ac:dyDescent="0.25">
      <c r="A45" s="86"/>
      <c r="B45" s="17"/>
      <c r="C45" s="17"/>
      <c r="D45" s="17"/>
      <c r="E45" s="17"/>
      <c r="F45" s="31" t="s">
        <v>3645</v>
      </c>
      <c r="G45" s="64">
        <v>14.53</v>
      </c>
      <c r="H45" s="64">
        <v>5.65</v>
      </c>
      <c r="I45" s="64">
        <v>2.31</v>
      </c>
      <c r="J45" s="64">
        <v>1.4</v>
      </c>
      <c r="K45" s="64">
        <v>3.08</v>
      </c>
      <c r="L45" s="64">
        <v>2.5499999999999998</v>
      </c>
      <c r="M45" s="64">
        <v>3.41</v>
      </c>
      <c r="N45" s="64">
        <v>6.21</v>
      </c>
      <c r="O45" s="64">
        <v>6.12</v>
      </c>
      <c r="P45" s="64">
        <v>4.6399999999999997</v>
      </c>
      <c r="Q45" s="64">
        <v>8.61</v>
      </c>
      <c r="R45" s="64">
        <v>2.78</v>
      </c>
      <c r="S45" s="11">
        <f t="shared" si="1"/>
        <v>61.29</v>
      </c>
      <c r="T45" s="1"/>
      <c r="U45" s="1"/>
      <c r="V45" s="50">
        <f t="shared" si="6"/>
        <v>114014</v>
      </c>
      <c r="W45" s="36">
        <v>0.53569029535124613</v>
      </c>
      <c r="X45" s="36">
        <v>0.53457798054988592</v>
      </c>
      <c r="Y45" s="36">
        <v>0.53586776574271677</v>
      </c>
      <c r="Z45" s="36">
        <v>0.52950952743696666</v>
      </c>
      <c r="AA45" s="36">
        <v>0.53455929599222274</v>
      </c>
      <c r="AB45" s="36">
        <v>0.5320088464788032</v>
      </c>
      <c r="AC45" s="36">
        <v>0.52632693015720067</v>
      </c>
      <c r="AD45" s="36">
        <v>0.52790738461631481</v>
      </c>
      <c r="AE45" s="36">
        <v>0.53104228319662106</v>
      </c>
      <c r="AF45" s="36">
        <v>0.55181077694235625</v>
      </c>
      <c r="AG45" s="36">
        <v>0.5518583789791216</v>
      </c>
      <c r="AH45" s="36">
        <v>0.55234163840975115</v>
      </c>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1"/>
      <c r="BH45" s="12">
        <f t="shared" si="7"/>
        <v>14.53</v>
      </c>
      <c r="BI45" s="12">
        <f t="shared" si="8"/>
        <v>5.65</v>
      </c>
      <c r="BJ45" s="12">
        <f t="shared" si="9"/>
        <v>2.31</v>
      </c>
      <c r="BK45" s="12">
        <f t="shared" si="10"/>
        <v>1.4</v>
      </c>
      <c r="BL45" s="12">
        <f t="shared" si="11"/>
        <v>3.08</v>
      </c>
      <c r="BM45" s="12">
        <f t="shared" si="12"/>
        <v>2.5499999999999998</v>
      </c>
      <c r="BN45" s="12">
        <f t="shared" si="13"/>
        <v>3.41</v>
      </c>
      <c r="BO45" s="12">
        <f t="shared" si="14"/>
        <v>6.21</v>
      </c>
      <c r="BP45" s="12">
        <f t="shared" si="15"/>
        <v>6.12</v>
      </c>
      <c r="BQ45" s="12">
        <f t="shared" si="16"/>
        <v>4.6399999999999997</v>
      </c>
      <c r="BR45" s="12">
        <f t="shared" si="17"/>
        <v>8.61</v>
      </c>
      <c r="BS45" s="12">
        <f t="shared" si="18"/>
        <v>2.78</v>
      </c>
      <c r="BT45" s="1"/>
      <c r="BU45" s="11">
        <f t="shared" si="19"/>
        <v>14.53</v>
      </c>
      <c r="BV45" s="11">
        <f t="shared" si="20"/>
        <v>5.65</v>
      </c>
      <c r="BW45" s="11">
        <f t="shared" si="21"/>
        <v>2.31</v>
      </c>
      <c r="BX45" s="11">
        <f t="shared" si="22"/>
        <v>1.4</v>
      </c>
      <c r="BY45" s="11">
        <f t="shared" si="23"/>
        <v>3.08</v>
      </c>
      <c r="BZ45" s="11">
        <f t="shared" si="24"/>
        <v>2.5499999999999998</v>
      </c>
      <c r="CA45" s="11">
        <f t="shared" si="25"/>
        <v>3.41</v>
      </c>
      <c r="CB45" s="11">
        <f t="shared" si="26"/>
        <v>6.21</v>
      </c>
      <c r="CC45" s="11">
        <f t="shared" si="27"/>
        <v>6.12</v>
      </c>
      <c r="CD45" s="11">
        <f t="shared" si="28"/>
        <v>4.6399999999999997</v>
      </c>
      <c r="CE45" s="11">
        <f t="shared" si="29"/>
        <v>8.61</v>
      </c>
      <c r="CF45" s="11">
        <f t="shared" si="30"/>
        <v>2.78</v>
      </c>
      <c r="CG45" s="11"/>
      <c r="CH45" s="41">
        <v>1</v>
      </c>
      <c r="CI45" s="1"/>
      <c r="CJ45" s="53">
        <f t="shared" si="31"/>
        <v>27124</v>
      </c>
      <c r="CK45" s="53">
        <f t="shared" si="32"/>
        <v>10569</v>
      </c>
      <c r="CL45" s="53">
        <f t="shared" si="33"/>
        <v>4311</v>
      </c>
      <c r="CM45" s="53">
        <f t="shared" si="34"/>
        <v>2644</v>
      </c>
      <c r="CN45" s="53">
        <f t="shared" si="35"/>
        <v>5762</v>
      </c>
      <c r="CO45" s="53">
        <f t="shared" si="36"/>
        <v>4793</v>
      </c>
      <c r="CP45" s="53">
        <f t="shared" si="37"/>
        <v>6479</v>
      </c>
      <c r="CQ45" s="53">
        <f t="shared" si="38"/>
        <v>11763</v>
      </c>
      <c r="CR45" s="53">
        <f t="shared" si="39"/>
        <v>11525</v>
      </c>
      <c r="CS45" s="53">
        <f t="shared" si="40"/>
        <v>8409</v>
      </c>
      <c r="CT45" s="53">
        <f t="shared" si="41"/>
        <v>15602</v>
      </c>
      <c r="CU45" s="53">
        <f t="shared" si="42"/>
        <v>5033</v>
      </c>
      <c r="CV45" s="53">
        <f t="shared" si="43"/>
        <v>114014</v>
      </c>
      <c r="CW45" s="1"/>
      <c r="CX45" s="1"/>
      <c r="CY45" s="1"/>
      <c r="CZ45" s="1"/>
      <c r="DA45" s="1"/>
      <c r="DB45" s="1"/>
      <c r="DC45" s="1"/>
      <c r="DD45" s="1"/>
      <c r="DE45" s="1"/>
      <c r="DF45" s="1"/>
      <c r="DG45" s="1"/>
      <c r="DH45" s="1"/>
      <c r="DI45" s="1"/>
      <c r="DJ45" s="1"/>
      <c r="DK45" s="1"/>
      <c r="DL45" s="1"/>
    </row>
    <row r="46" spans="1:116" ht="15.75" hidden="1" x14ac:dyDescent="0.25">
      <c r="A46" s="86"/>
      <c r="B46" s="17"/>
      <c r="C46" s="17"/>
      <c r="D46" s="17"/>
      <c r="E46" s="17"/>
      <c r="F46" s="31" t="s">
        <v>3645</v>
      </c>
      <c r="G46" s="64">
        <v>5.78</v>
      </c>
      <c r="H46" s="64">
        <v>2.62</v>
      </c>
      <c r="I46" s="64">
        <v>0.09</v>
      </c>
      <c r="J46" s="64">
        <v>0</v>
      </c>
      <c r="K46" s="64">
        <v>5.14</v>
      </c>
      <c r="L46" s="64">
        <v>4.59</v>
      </c>
      <c r="M46" s="64">
        <v>2.06</v>
      </c>
      <c r="N46" s="64">
        <v>2.8</v>
      </c>
      <c r="O46" s="64">
        <v>3.34</v>
      </c>
      <c r="P46" s="64">
        <v>5.85</v>
      </c>
      <c r="Q46" s="64">
        <v>4.76</v>
      </c>
      <c r="R46" s="64">
        <v>3.14</v>
      </c>
      <c r="S46" s="11">
        <f t="shared" si="1"/>
        <v>40.169999999999995</v>
      </c>
      <c r="T46" s="1"/>
      <c r="U46" s="1"/>
      <c r="V46" s="50">
        <f t="shared" si="6"/>
        <v>91110</v>
      </c>
      <c r="W46" s="36">
        <v>0.43798425265664725</v>
      </c>
      <c r="X46" s="36">
        <v>0.43729839516548608</v>
      </c>
      <c r="Y46" s="36">
        <v>0.43863988365974821</v>
      </c>
      <c r="Z46" s="36">
        <v>0</v>
      </c>
      <c r="AA46" s="36">
        <v>0.43724487757588792</v>
      </c>
      <c r="AB46" s="36">
        <v>0.43494782701022461</v>
      </c>
      <c r="AC46" s="36">
        <v>0.42979926845815775</v>
      </c>
      <c r="AD46" s="36">
        <v>0.43195196727818846</v>
      </c>
      <c r="AE46" s="36">
        <v>0.43480800884823928</v>
      </c>
      <c r="AF46" s="36">
        <v>0.45110294117647054</v>
      </c>
      <c r="AG46" s="36">
        <v>0.4519865106036417</v>
      </c>
      <c r="AH46" s="36">
        <v>0.45162182840468268</v>
      </c>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1"/>
      <c r="BH46" s="12">
        <f t="shared" si="7"/>
        <v>5.78</v>
      </c>
      <c r="BI46" s="12">
        <f t="shared" si="8"/>
        <v>2.62</v>
      </c>
      <c r="BJ46" s="12">
        <f t="shared" si="9"/>
        <v>0.09</v>
      </c>
      <c r="BK46" s="12">
        <f t="shared" si="10"/>
        <v>0</v>
      </c>
      <c r="BL46" s="12">
        <f t="shared" si="11"/>
        <v>5.14</v>
      </c>
      <c r="BM46" s="12">
        <f t="shared" si="12"/>
        <v>4.59</v>
      </c>
      <c r="BN46" s="12">
        <f t="shared" si="13"/>
        <v>2.06</v>
      </c>
      <c r="BO46" s="12">
        <f t="shared" si="14"/>
        <v>2.8</v>
      </c>
      <c r="BP46" s="12">
        <f t="shared" si="15"/>
        <v>3.34</v>
      </c>
      <c r="BQ46" s="12">
        <f t="shared" si="16"/>
        <v>5.85</v>
      </c>
      <c r="BR46" s="12">
        <f t="shared" si="17"/>
        <v>4.76</v>
      </c>
      <c r="BS46" s="12">
        <f t="shared" si="18"/>
        <v>3.14</v>
      </c>
      <c r="BT46" s="1"/>
      <c r="BU46" s="11">
        <f t="shared" si="19"/>
        <v>5.78</v>
      </c>
      <c r="BV46" s="11">
        <f t="shared" si="20"/>
        <v>2.62</v>
      </c>
      <c r="BW46" s="11">
        <f t="shared" si="21"/>
        <v>0.09</v>
      </c>
      <c r="BX46" s="11">
        <f t="shared" si="22"/>
        <v>0</v>
      </c>
      <c r="BY46" s="11">
        <f t="shared" si="23"/>
        <v>5.14</v>
      </c>
      <c r="BZ46" s="11">
        <f t="shared" si="24"/>
        <v>4.59</v>
      </c>
      <c r="CA46" s="11">
        <f t="shared" si="25"/>
        <v>2.06</v>
      </c>
      <c r="CB46" s="11">
        <f t="shared" si="26"/>
        <v>2.8</v>
      </c>
      <c r="CC46" s="11">
        <f t="shared" si="27"/>
        <v>3.34</v>
      </c>
      <c r="CD46" s="11">
        <f t="shared" si="28"/>
        <v>5.85</v>
      </c>
      <c r="CE46" s="11">
        <f t="shared" si="29"/>
        <v>4.76</v>
      </c>
      <c r="CF46" s="11">
        <f t="shared" si="30"/>
        <v>3.14</v>
      </c>
      <c r="CG46" s="11"/>
      <c r="CH46" s="41">
        <v>1</v>
      </c>
      <c r="CI46" s="1"/>
      <c r="CJ46" s="53">
        <f t="shared" si="31"/>
        <v>13197</v>
      </c>
      <c r="CK46" s="53">
        <f t="shared" si="32"/>
        <v>5991</v>
      </c>
      <c r="CL46" s="53">
        <f t="shared" si="33"/>
        <v>205</v>
      </c>
      <c r="CM46" s="53">
        <f t="shared" si="34"/>
        <v>0</v>
      </c>
      <c r="CN46" s="53">
        <f t="shared" si="35"/>
        <v>11755</v>
      </c>
      <c r="CO46" s="53">
        <f t="shared" si="36"/>
        <v>10553</v>
      </c>
      <c r="CP46" s="53">
        <f t="shared" si="37"/>
        <v>4793</v>
      </c>
      <c r="CQ46" s="53">
        <f t="shared" si="38"/>
        <v>6482</v>
      </c>
      <c r="CR46" s="53">
        <f t="shared" si="39"/>
        <v>7682</v>
      </c>
      <c r="CS46" s="53">
        <f t="shared" si="40"/>
        <v>12968</v>
      </c>
      <c r="CT46" s="53">
        <f t="shared" si="41"/>
        <v>10531</v>
      </c>
      <c r="CU46" s="53">
        <f t="shared" si="42"/>
        <v>6953</v>
      </c>
      <c r="CV46" s="53">
        <f t="shared" si="43"/>
        <v>91110</v>
      </c>
      <c r="CW46" s="1"/>
      <c r="CX46" s="1"/>
      <c r="CY46" s="1"/>
      <c r="CZ46" s="1"/>
      <c r="DA46" s="1"/>
      <c r="DB46" s="1"/>
      <c r="DC46" s="1"/>
      <c r="DD46" s="1"/>
      <c r="DE46" s="1"/>
      <c r="DF46" s="1"/>
      <c r="DG46" s="1"/>
      <c r="DH46" s="1"/>
      <c r="DI46" s="1"/>
      <c r="DJ46" s="1"/>
      <c r="DK46" s="1"/>
      <c r="DL46" s="1"/>
    </row>
    <row r="47" spans="1:116" ht="15.75" hidden="1" x14ac:dyDescent="0.25">
      <c r="A47" s="86"/>
      <c r="B47" s="17"/>
      <c r="C47" s="17"/>
      <c r="D47" s="17"/>
      <c r="E47" s="17"/>
      <c r="F47" s="31" t="s">
        <v>3645</v>
      </c>
      <c r="G47" s="64">
        <v>118.94</v>
      </c>
      <c r="H47" s="64">
        <v>40.79</v>
      </c>
      <c r="I47" s="64">
        <v>35.83</v>
      </c>
      <c r="J47" s="64">
        <v>37.479999999999997</v>
      </c>
      <c r="K47" s="64">
        <v>48.17</v>
      </c>
      <c r="L47" s="64">
        <v>67.19</v>
      </c>
      <c r="M47" s="64">
        <v>63</v>
      </c>
      <c r="N47" s="64">
        <v>75.989999999999995</v>
      </c>
      <c r="O47" s="64">
        <v>103.9</v>
      </c>
      <c r="P47" s="64">
        <v>95.6</v>
      </c>
      <c r="Q47" s="64">
        <v>77.39</v>
      </c>
      <c r="R47" s="64">
        <v>60.34</v>
      </c>
      <c r="S47" s="11">
        <f t="shared" si="1"/>
        <v>824.62</v>
      </c>
      <c r="T47" s="1"/>
      <c r="U47" s="1"/>
      <c r="V47" s="50">
        <f t="shared" si="6"/>
        <v>1406598</v>
      </c>
      <c r="W47" s="36">
        <v>0.58508366180348426</v>
      </c>
      <c r="X47" s="36">
        <v>0.58411048143660127</v>
      </c>
      <c r="Y47" s="36">
        <v>0.58544503562088557</v>
      </c>
      <c r="Z47" s="36">
        <v>0.57839596966075246</v>
      </c>
      <c r="AA47" s="36">
        <v>0.58342488588340835</v>
      </c>
      <c r="AB47" s="36">
        <v>0.5808359425475873</v>
      </c>
      <c r="AC47" s="36">
        <v>0.5744042737734365</v>
      </c>
      <c r="AD47" s="36">
        <v>0.5693033509302563</v>
      </c>
      <c r="AE47" s="36">
        <v>0.5802978787154135</v>
      </c>
      <c r="AF47" s="36">
        <v>0.60294220157622624</v>
      </c>
      <c r="AG47" s="36">
        <v>0.60275925175776124</v>
      </c>
      <c r="AH47" s="36">
        <v>0.60290662207076406</v>
      </c>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1"/>
      <c r="BH47" s="12">
        <f t="shared" si="7"/>
        <v>118.94</v>
      </c>
      <c r="BI47" s="12">
        <f t="shared" si="8"/>
        <v>40.79</v>
      </c>
      <c r="BJ47" s="12">
        <f t="shared" si="9"/>
        <v>35.83</v>
      </c>
      <c r="BK47" s="12">
        <f t="shared" si="10"/>
        <v>37.479999999999997</v>
      </c>
      <c r="BL47" s="12">
        <f t="shared" si="11"/>
        <v>48.17</v>
      </c>
      <c r="BM47" s="12">
        <f t="shared" si="12"/>
        <v>67.19</v>
      </c>
      <c r="BN47" s="12">
        <f t="shared" si="13"/>
        <v>63</v>
      </c>
      <c r="BO47" s="12">
        <f t="shared" si="14"/>
        <v>75.989999999999995</v>
      </c>
      <c r="BP47" s="12">
        <f t="shared" si="15"/>
        <v>103.9</v>
      </c>
      <c r="BQ47" s="12">
        <f t="shared" si="16"/>
        <v>95.6</v>
      </c>
      <c r="BR47" s="12">
        <f t="shared" si="17"/>
        <v>77.39</v>
      </c>
      <c r="BS47" s="12">
        <f t="shared" si="18"/>
        <v>60.34</v>
      </c>
      <c r="BT47" s="1"/>
      <c r="BU47" s="11">
        <f t="shared" si="19"/>
        <v>118.94</v>
      </c>
      <c r="BV47" s="11">
        <f t="shared" si="20"/>
        <v>40.79</v>
      </c>
      <c r="BW47" s="11">
        <f t="shared" si="21"/>
        <v>35.83</v>
      </c>
      <c r="BX47" s="11">
        <f t="shared" si="22"/>
        <v>37.479999999999997</v>
      </c>
      <c r="BY47" s="11">
        <f t="shared" si="23"/>
        <v>48.17</v>
      </c>
      <c r="BZ47" s="11">
        <f t="shared" si="24"/>
        <v>67.19</v>
      </c>
      <c r="CA47" s="11">
        <f t="shared" si="25"/>
        <v>63</v>
      </c>
      <c r="CB47" s="11">
        <f t="shared" si="26"/>
        <v>75.989999999999995</v>
      </c>
      <c r="CC47" s="11">
        <f t="shared" si="27"/>
        <v>103.9</v>
      </c>
      <c r="CD47" s="11">
        <f t="shared" si="28"/>
        <v>95.6</v>
      </c>
      <c r="CE47" s="11">
        <f t="shared" si="29"/>
        <v>77.39</v>
      </c>
      <c r="CF47" s="11">
        <f t="shared" si="30"/>
        <v>60.34</v>
      </c>
      <c r="CG47" s="11"/>
      <c r="CH47" s="41">
        <v>1</v>
      </c>
      <c r="CI47" s="1"/>
      <c r="CJ47" s="53">
        <f t="shared" si="31"/>
        <v>203287</v>
      </c>
      <c r="CK47" s="53">
        <f t="shared" si="32"/>
        <v>69833</v>
      </c>
      <c r="CL47" s="53">
        <f t="shared" si="33"/>
        <v>61201</v>
      </c>
      <c r="CM47" s="53">
        <f t="shared" si="34"/>
        <v>64800</v>
      </c>
      <c r="CN47" s="53">
        <f t="shared" si="35"/>
        <v>82564</v>
      </c>
      <c r="CO47" s="53">
        <f t="shared" si="36"/>
        <v>115678</v>
      </c>
      <c r="CP47" s="53">
        <f t="shared" si="37"/>
        <v>109679</v>
      </c>
      <c r="CQ47" s="53">
        <f t="shared" si="38"/>
        <v>133479</v>
      </c>
      <c r="CR47" s="53">
        <f t="shared" si="39"/>
        <v>179046</v>
      </c>
      <c r="CS47" s="53">
        <f t="shared" si="40"/>
        <v>158556</v>
      </c>
      <c r="CT47" s="53">
        <f t="shared" si="41"/>
        <v>128393</v>
      </c>
      <c r="CU47" s="53">
        <f t="shared" si="42"/>
        <v>100082</v>
      </c>
      <c r="CV47" s="53">
        <f t="shared" si="43"/>
        <v>1406598</v>
      </c>
      <c r="CW47" s="1"/>
      <c r="CX47" s="1"/>
      <c r="CY47" s="1"/>
      <c r="CZ47" s="1"/>
      <c r="DA47" s="1"/>
      <c r="DB47" s="1"/>
      <c r="DC47" s="1"/>
      <c r="DD47" s="1"/>
      <c r="DE47" s="1"/>
      <c r="DF47" s="1"/>
      <c r="DG47" s="1"/>
      <c r="DH47" s="1"/>
      <c r="DI47" s="1"/>
      <c r="DJ47" s="1"/>
      <c r="DK47" s="1"/>
      <c r="DL47" s="1"/>
    </row>
    <row r="48" spans="1:116" ht="15.75" hidden="1" x14ac:dyDescent="0.25">
      <c r="A48" s="86"/>
      <c r="B48" s="17"/>
      <c r="C48" s="17"/>
      <c r="D48" s="17"/>
      <c r="E48" s="17"/>
      <c r="F48" s="31" t="s">
        <v>3645</v>
      </c>
      <c r="G48" s="64">
        <v>129.94</v>
      </c>
      <c r="H48" s="64">
        <v>56.35</v>
      </c>
      <c r="I48" s="64">
        <v>83.96</v>
      </c>
      <c r="J48" s="64">
        <v>181.86</v>
      </c>
      <c r="K48" s="64">
        <v>30.95</v>
      </c>
      <c r="L48" s="64">
        <v>56.83</v>
      </c>
      <c r="M48" s="64">
        <v>196.78</v>
      </c>
      <c r="N48" s="64">
        <v>73.88</v>
      </c>
      <c r="O48" s="64">
        <v>0</v>
      </c>
      <c r="P48" s="64">
        <v>94.54</v>
      </c>
      <c r="Q48" s="64">
        <v>559.94000000000005</v>
      </c>
      <c r="R48" s="64">
        <v>0</v>
      </c>
      <c r="S48" s="11">
        <f t="shared" si="1"/>
        <v>1465.03</v>
      </c>
      <c r="T48" s="1"/>
      <c r="U48" s="1"/>
      <c r="V48" s="50">
        <f t="shared" si="6"/>
        <v>791909</v>
      </c>
      <c r="W48" s="36">
        <v>1.85</v>
      </c>
      <c r="X48" s="36">
        <v>1.85</v>
      </c>
      <c r="Y48" s="36">
        <v>1.8499999999999996</v>
      </c>
      <c r="Z48" s="36">
        <v>1.8500000000000003</v>
      </c>
      <c r="AA48" s="36">
        <v>1.8499999999999992</v>
      </c>
      <c r="AB48" s="36">
        <v>1.8499999999999992</v>
      </c>
      <c r="AC48" s="36">
        <v>1.8499999999999999</v>
      </c>
      <c r="AD48" s="36">
        <v>1.85</v>
      </c>
      <c r="AE48" s="36">
        <v>0</v>
      </c>
      <c r="AF48" s="36">
        <v>1.849999999999999</v>
      </c>
      <c r="AG48" s="36">
        <v>1.8499999999999999</v>
      </c>
      <c r="AH48" s="36">
        <v>0</v>
      </c>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1"/>
      <c r="BH48" s="12">
        <f t="shared" si="7"/>
        <v>129.94</v>
      </c>
      <c r="BI48" s="12">
        <f t="shared" si="8"/>
        <v>56.35</v>
      </c>
      <c r="BJ48" s="12">
        <f t="shared" si="9"/>
        <v>83.96</v>
      </c>
      <c r="BK48" s="12">
        <f t="shared" si="10"/>
        <v>181.86</v>
      </c>
      <c r="BL48" s="12">
        <f t="shared" si="11"/>
        <v>30.95</v>
      </c>
      <c r="BM48" s="12">
        <f t="shared" si="12"/>
        <v>56.83</v>
      </c>
      <c r="BN48" s="12">
        <f t="shared" si="13"/>
        <v>196.78</v>
      </c>
      <c r="BO48" s="12">
        <f t="shared" si="14"/>
        <v>73.88</v>
      </c>
      <c r="BP48" s="12">
        <f t="shared" si="15"/>
        <v>0</v>
      </c>
      <c r="BQ48" s="12">
        <f t="shared" si="16"/>
        <v>94.54</v>
      </c>
      <c r="BR48" s="12">
        <f t="shared" si="17"/>
        <v>559.94000000000005</v>
      </c>
      <c r="BS48" s="12">
        <f t="shared" si="18"/>
        <v>0</v>
      </c>
      <c r="BT48" s="1"/>
      <c r="BU48" s="11">
        <f t="shared" si="19"/>
        <v>129.94</v>
      </c>
      <c r="BV48" s="11">
        <f t="shared" si="20"/>
        <v>56.35</v>
      </c>
      <c r="BW48" s="11">
        <f t="shared" si="21"/>
        <v>83.96</v>
      </c>
      <c r="BX48" s="11">
        <f t="shared" si="22"/>
        <v>181.86</v>
      </c>
      <c r="BY48" s="11">
        <f t="shared" si="23"/>
        <v>30.95</v>
      </c>
      <c r="BZ48" s="11">
        <f t="shared" si="24"/>
        <v>56.83</v>
      </c>
      <c r="CA48" s="11">
        <f t="shared" si="25"/>
        <v>196.78</v>
      </c>
      <c r="CB48" s="11">
        <f t="shared" si="26"/>
        <v>73.88</v>
      </c>
      <c r="CC48" s="11">
        <f t="shared" si="27"/>
        <v>0</v>
      </c>
      <c r="CD48" s="11">
        <f t="shared" si="28"/>
        <v>94.54</v>
      </c>
      <c r="CE48" s="11">
        <f t="shared" si="29"/>
        <v>559.94000000000005</v>
      </c>
      <c r="CF48" s="11">
        <f t="shared" si="30"/>
        <v>0</v>
      </c>
      <c r="CG48" s="11"/>
      <c r="CH48" s="41">
        <v>1</v>
      </c>
      <c r="CI48" s="1"/>
      <c r="CJ48" s="53">
        <f t="shared" si="31"/>
        <v>70238</v>
      </c>
      <c r="CK48" s="53">
        <f t="shared" si="32"/>
        <v>30459</v>
      </c>
      <c r="CL48" s="53">
        <f t="shared" si="33"/>
        <v>45384</v>
      </c>
      <c r="CM48" s="53">
        <f t="shared" si="34"/>
        <v>98303</v>
      </c>
      <c r="CN48" s="53">
        <f t="shared" si="35"/>
        <v>16730</v>
      </c>
      <c r="CO48" s="53">
        <f t="shared" si="36"/>
        <v>30719</v>
      </c>
      <c r="CP48" s="53">
        <f t="shared" si="37"/>
        <v>106368</v>
      </c>
      <c r="CQ48" s="53">
        <f t="shared" si="38"/>
        <v>39935</v>
      </c>
      <c r="CR48" s="53">
        <f t="shared" si="39"/>
        <v>0</v>
      </c>
      <c r="CS48" s="53">
        <f t="shared" si="40"/>
        <v>51103</v>
      </c>
      <c r="CT48" s="53">
        <f t="shared" si="41"/>
        <v>302670</v>
      </c>
      <c r="CU48" s="53">
        <f t="shared" si="42"/>
        <v>0</v>
      </c>
      <c r="CV48" s="53">
        <f t="shared" si="43"/>
        <v>791909</v>
      </c>
      <c r="CW48" s="1"/>
      <c r="CX48" s="1"/>
      <c r="CY48" s="1"/>
      <c r="CZ48" s="1"/>
      <c r="DA48" s="1"/>
      <c r="DB48" s="1"/>
      <c r="DC48" s="1"/>
      <c r="DD48" s="1"/>
      <c r="DE48" s="1"/>
      <c r="DF48" s="1"/>
      <c r="DG48" s="1"/>
      <c r="DH48" s="1"/>
      <c r="DI48" s="1"/>
      <c r="DJ48" s="1"/>
      <c r="DK48" s="1"/>
      <c r="DL48" s="1"/>
    </row>
    <row r="49" spans="1:116" ht="15.75" hidden="1" x14ac:dyDescent="0.25">
      <c r="A49" s="86"/>
      <c r="B49" s="17"/>
      <c r="C49" s="17"/>
      <c r="D49" s="17"/>
      <c r="E49" s="17"/>
      <c r="F49" s="31" t="s">
        <v>3645</v>
      </c>
      <c r="G49" s="64">
        <v>0</v>
      </c>
      <c r="H49" s="64">
        <v>0</v>
      </c>
      <c r="I49" s="64">
        <v>0</v>
      </c>
      <c r="J49" s="64">
        <v>0</v>
      </c>
      <c r="K49" s="64">
        <v>0</v>
      </c>
      <c r="L49" s="64">
        <v>0</v>
      </c>
      <c r="M49" s="64">
        <v>0</v>
      </c>
      <c r="N49" s="64">
        <v>0</v>
      </c>
      <c r="O49" s="64">
        <v>0</v>
      </c>
      <c r="P49" s="64">
        <v>0</v>
      </c>
      <c r="Q49" s="64">
        <v>0</v>
      </c>
      <c r="R49" s="64">
        <v>0</v>
      </c>
      <c r="S49" s="11">
        <f t="shared" si="1"/>
        <v>0</v>
      </c>
      <c r="T49" s="1"/>
      <c r="U49" s="1"/>
      <c r="V49" s="50">
        <f t="shared" si="6"/>
        <v>0</v>
      </c>
      <c r="W49" s="36">
        <v>0</v>
      </c>
      <c r="X49" s="36"/>
      <c r="Y49" s="36"/>
      <c r="Z49" s="36"/>
      <c r="AA49" s="36"/>
      <c r="AB49" s="36"/>
      <c r="AC49" s="36"/>
      <c r="AD49" s="36"/>
      <c r="AE49" s="36"/>
      <c r="AF49" s="36"/>
      <c r="AG49" s="36"/>
      <c r="AH49" s="36"/>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1"/>
      <c r="BH49" s="12">
        <f t="shared" si="7"/>
        <v>0</v>
      </c>
      <c r="BI49" s="12">
        <f t="shared" si="8"/>
        <v>0</v>
      </c>
      <c r="BJ49" s="12">
        <f t="shared" si="9"/>
        <v>0</v>
      </c>
      <c r="BK49" s="12">
        <f t="shared" si="10"/>
        <v>0</v>
      </c>
      <c r="BL49" s="12">
        <f t="shared" si="11"/>
        <v>0</v>
      </c>
      <c r="BM49" s="12">
        <f t="shared" si="12"/>
        <v>0</v>
      </c>
      <c r="BN49" s="12">
        <f t="shared" si="13"/>
        <v>0</v>
      </c>
      <c r="BO49" s="12">
        <f t="shared" si="14"/>
        <v>0</v>
      </c>
      <c r="BP49" s="12">
        <f t="shared" si="15"/>
        <v>0</v>
      </c>
      <c r="BQ49" s="12">
        <f t="shared" si="16"/>
        <v>0</v>
      </c>
      <c r="BR49" s="12">
        <f t="shared" si="17"/>
        <v>0</v>
      </c>
      <c r="BS49" s="12">
        <f t="shared" si="18"/>
        <v>0</v>
      </c>
      <c r="BT49" s="1"/>
      <c r="BU49" s="11">
        <f t="shared" si="19"/>
        <v>0</v>
      </c>
      <c r="BV49" s="11">
        <f t="shared" si="20"/>
        <v>0</v>
      </c>
      <c r="BW49" s="11">
        <f t="shared" si="21"/>
        <v>0</v>
      </c>
      <c r="BX49" s="11">
        <f t="shared" si="22"/>
        <v>0</v>
      </c>
      <c r="BY49" s="11">
        <f t="shared" si="23"/>
        <v>0</v>
      </c>
      <c r="BZ49" s="11">
        <f t="shared" si="24"/>
        <v>0</v>
      </c>
      <c r="CA49" s="11">
        <f t="shared" si="25"/>
        <v>0</v>
      </c>
      <c r="CB49" s="11">
        <f t="shared" si="26"/>
        <v>0</v>
      </c>
      <c r="CC49" s="11">
        <f t="shared" si="27"/>
        <v>0</v>
      </c>
      <c r="CD49" s="11">
        <f t="shared" si="28"/>
        <v>0</v>
      </c>
      <c r="CE49" s="11">
        <f t="shared" si="29"/>
        <v>0</v>
      </c>
      <c r="CF49" s="11">
        <f t="shared" si="30"/>
        <v>0</v>
      </c>
      <c r="CG49" s="11"/>
      <c r="CH49" s="41">
        <v>1</v>
      </c>
      <c r="CI49" s="1"/>
      <c r="CJ49" s="53">
        <f t="shared" si="31"/>
        <v>0</v>
      </c>
      <c r="CK49" s="53">
        <f t="shared" si="32"/>
        <v>0</v>
      </c>
      <c r="CL49" s="53">
        <f t="shared" si="33"/>
        <v>0</v>
      </c>
      <c r="CM49" s="53">
        <f t="shared" si="34"/>
        <v>0</v>
      </c>
      <c r="CN49" s="53">
        <f t="shared" si="35"/>
        <v>0</v>
      </c>
      <c r="CO49" s="53">
        <f t="shared" si="36"/>
        <v>0</v>
      </c>
      <c r="CP49" s="53">
        <f t="shared" si="37"/>
        <v>0</v>
      </c>
      <c r="CQ49" s="53">
        <f t="shared" si="38"/>
        <v>0</v>
      </c>
      <c r="CR49" s="53">
        <f t="shared" si="39"/>
        <v>0</v>
      </c>
      <c r="CS49" s="53">
        <f t="shared" si="40"/>
        <v>0</v>
      </c>
      <c r="CT49" s="53">
        <f t="shared" si="41"/>
        <v>0</v>
      </c>
      <c r="CU49" s="53">
        <f t="shared" si="42"/>
        <v>0</v>
      </c>
      <c r="CV49" s="53">
        <f t="shared" si="43"/>
        <v>0</v>
      </c>
      <c r="CW49" s="1"/>
      <c r="CX49" s="1"/>
      <c r="CY49" s="1"/>
      <c r="CZ49" s="1"/>
      <c r="DA49" s="1"/>
      <c r="DB49" s="1"/>
      <c r="DC49" s="1"/>
      <c r="DD49" s="1"/>
      <c r="DE49" s="1"/>
      <c r="DF49" s="1"/>
      <c r="DG49" s="1"/>
      <c r="DH49" s="1"/>
      <c r="DI49" s="1"/>
      <c r="DJ49" s="1"/>
      <c r="DK49" s="1"/>
      <c r="DL49" s="1"/>
    </row>
    <row r="50" spans="1:116" ht="15.75" hidden="1" x14ac:dyDescent="0.25">
      <c r="A50" s="86"/>
      <c r="B50" s="17"/>
      <c r="C50" s="17"/>
      <c r="D50" s="17"/>
      <c r="E50" s="17"/>
      <c r="F50" s="31" t="s">
        <v>3645</v>
      </c>
      <c r="G50" s="64">
        <v>0</v>
      </c>
      <c r="H50" s="64">
        <v>0</v>
      </c>
      <c r="I50" s="64">
        <v>0</v>
      </c>
      <c r="J50" s="64">
        <v>0</v>
      </c>
      <c r="K50" s="64">
        <v>0</v>
      </c>
      <c r="L50" s="64">
        <v>0</v>
      </c>
      <c r="M50" s="64">
        <v>0</v>
      </c>
      <c r="N50" s="64">
        <v>0</v>
      </c>
      <c r="O50" s="64">
        <v>0</v>
      </c>
      <c r="P50" s="64">
        <v>0</v>
      </c>
      <c r="Q50" s="64">
        <v>0</v>
      </c>
      <c r="R50" s="64">
        <v>0</v>
      </c>
      <c r="S50" s="11">
        <f t="shared" si="1"/>
        <v>0</v>
      </c>
      <c r="T50" s="1"/>
      <c r="U50" s="1"/>
      <c r="V50" s="50">
        <f t="shared" si="6"/>
        <v>0</v>
      </c>
      <c r="W50" s="36">
        <v>0</v>
      </c>
      <c r="X50" s="36"/>
      <c r="Y50" s="36"/>
      <c r="Z50" s="36"/>
      <c r="AA50" s="36"/>
      <c r="AB50" s="36"/>
      <c r="AC50" s="36"/>
      <c r="AD50" s="36"/>
      <c r="AE50" s="36"/>
      <c r="AF50" s="36"/>
      <c r="AG50" s="36"/>
      <c r="AH50" s="36"/>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1"/>
      <c r="BH50" s="12">
        <f t="shared" si="7"/>
        <v>0</v>
      </c>
      <c r="BI50" s="12">
        <f t="shared" si="8"/>
        <v>0</v>
      </c>
      <c r="BJ50" s="12">
        <f t="shared" si="9"/>
        <v>0</v>
      </c>
      <c r="BK50" s="12">
        <f t="shared" si="10"/>
        <v>0</v>
      </c>
      <c r="BL50" s="12">
        <f t="shared" si="11"/>
        <v>0</v>
      </c>
      <c r="BM50" s="12">
        <f t="shared" si="12"/>
        <v>0</v>
      </c>
      <c r="BN50" s="12">
        <f t="shared" si="13"/>
        <v>0</v>
      </c>
      <c r="BO50" s="12">
        <f t="shared" si="14"/>
        <v>0</v>
      </c>
      <c r="BP50" s="12">
        <f t="shared" si="15"/>
        <v>0</v>
      </c>
      <c r="BQ50" s="12">
        <f t="shared" si="16"/>
        <v>0</v>
      </c>
      <c r="BR50" s="12">
        <f t="shared" si="17"/>
        <v>0</v>
      </c>
      <c r="BS50" s="12">
        <f t="shared" si="18"/>
        <v>0</v>
      </c>
      <c r="BT50" s="1"/>
      <c r="BU50" s="11">
        <f t="shared" si="19"/>
        <v>0</v>
      </c>
      <c r="BV50" s="11">
        <f t="shared" si="20"/>
        <v>0</v>
      </c>
      <c r="BW50" s="11">
        <f t="shared" si="21"/>
        <v>0</v>
      </c>
      <c r="BX50" s="11">
        <f t="shared" si="22"/>
        <v>0</v>
      </c>
      <c r="BY50" s="11">
        <f t="shared" si="23"/>
        <v>0</v>
      </c>
      <c r="BZ50" s="11">
        <f t="shared" si="24"/>
        <v>0</v>
      </c>
      <c r="CA50" s="11">
        <f t="shared" si="25"/>
        <v>0</v>
      </c>
      <c r="CB50" s="11">
        <f t="shared" si="26"/>
        <v>0</v>
      </c>
      <c r="CC50" s="11">
        <f t="shared" si="27"/>
        <v>0</v>
      </c>
      <c r="CD50" s="11">
        <f t="shared" si="28"/>
        <v>0</v>
      </c>
      <c r="CE50" s="11">
        <f t="shared" si="29"/>
        <v>0</v>
      </c>
      <c r="CF50" s="11">
        <f t="shared" si="30"/>
        <v>0</v>
      </c>
      <c r="CG50" s="11"/>
      <c r="CH50" s="41">
        <v>1</v>
      </c>
      <c r="CI50" s="1"/>
      <c r="CJ50" s="53">
        <f t="shared" si="31"/>
        <v>0</v>
      </c>
      <c r="CK50" s="53">
        <f t="shared" si="32"/>
        <v>0</v>
      </c>
      <c r="CL50" s="53">
        <f t="shared" si="33"/>
        <v>0</v>
      </c>
      <c r="CM50" s="53">
        <f t="shared" si="34"/>
        <v>0</v>
      </c>
      <c r="CN50" s="53">
        <f t="shared" si="35"/>
        <v>0</v>
      </c>
      <c r="CO50" s="53">
        <f t="shared" si="36"/>
        <v>0</v>
      </c>
      <c r="CP50" s="53">
        <f t="shared" si="37"/>
        <v>0</v>
      </c>
      <c r="CQ50" s="53">
        <f t="shared" si="38"/>
        <v>0</v>
      </c>
      <c r="CR50" s="53">
        <f t="shared" si="39"/>
        <v>0</v>
      </c>
      <c r="CS50" s="53">
        <f t="shared" si="40"/>
        <v>0</v>
      </c>
      <c r="CT50" s="53">
        <f t="shared" si="41"/>
        <v>0</v>
      </c>
      <c r="CU50" s="53">
        <f t="shared" si="42"/>
        <v>0</v>
      </c>
      <c r="CV50" s="53">
        <f t="shared" si="43"/>
        <v>0</v>
      </c>
      <c r="CW50" s="1"/>
      <c r="CX50" s="1"/>
      <c r="CY50" s="1"/>
      <c r="CZ50" s="1"/>
      <c r="DA50" s="1"/>
      <c r="DB50" s="1"/>
      <c r="DC50" s="1"/>
      <c r="DD50" s="1"/>
      <c r="DE50" s="1"/>
      <c r="DF50" s="1"/>
      <c r="DG50" s="1"/>
      <c r="DH50" s="1"/>
      <c r="DI50" s="1"/>
      <c r="DJ50" s="1"/>
      <c r="DK50" s="1"/>
      <c r="DL50" s="1"/>
    </row>
    <row r="51" spans="1:116" ht="15.75" hidden="1" x14ac:dyDescent="0.25">
      <c r="A51" s="86"/>
      <c r="B51" s="17"/>
      <c r="C51" s="17"/>
      <c r="D51" s="17"/>
      <c r="E51" s="17"/>
      <c r="F51" s="31" t="s">
        <v>3645</v>
      </c>
      <c r="G51" s="64">
        <v>10.11</v>
      </c>
      <c r="H51" s="64">
        <v>6.29</v>
      </c>
      <c r="I51" s="64">
        <v>2.93</v>
      </c>
      <c r="J51" s="64">
        <v>1.74</v>
      </c>
      <c r="K51" s="64">
        <v>2.57</v>
      </c>
      <c r="L51" s="64">
        <v>5.05</v>
      </c>
      <c r="M51" s="64">
        <v>5.14</v>
      </c>
      <c r="N51" s="64">
        <v>1.44</v>
      </c>
      <c r="O51" s="64">
        <v>0</v>
      </c>
      <c r="P51" s="64">
        <v>0</v>
      </c>
      <c r="Q51" s="64">
        <v>0</v>
      </c>
      <c r="R51" s="64">
        <v>0</v>
      </c>
      <c r="S51" s="11">
        <f t="shared" si="1"/>
        <v>35.269999999999996</v>
      </c>
      <c r="T51" s="1"/>
      <c r="U51" s="1"/>
      <c r="V51" s="50">
        <f t="shared" si="6"/>
        <v>108882</v>
      </c>
      <c r="W51" s="36">
        <v>0.32539138669159401</v>
      </c>
      <c r="X51" s="36">
        <v>0.32544702748534821</v>
      </c>
      <c r="Y51" s="36">
        <v>0.32573788505793172</v>
      </c>
      <c r="Z51" s="36">
        <v>0.32233304499602744</v>
      </c>
      <c r="AA51" s="36">
        <v>0.32492139892361621</v>
      </c>
      <c r="AB51" s="36">
        <v>0.32365611129589067</v>
      </c>
      <c r="AC51" s="36">
        <v>0.31952123985247649</v>
      </c>
      <c r="AD51" s="36">
        <v>0.32054813173073876</v>
      </c>
      <c r="AE51" s="36">
        <v>0</v>
      </c>
      <c r="AF51" s="36">
        <v>0</v>
      </c>
      <c r="AG51" s="36">
        <v>0</v>
      </c>
      <c r="AH51" s="36">
        <v>0</v>
      </c>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1"/>
      <c r="BH51" s="12">
        <f t="shared" si="7"/>
        <v>10.11</v>
      </c>
      <c r="BI51" s="12">
        <f t="shared" si="8"/>
        <v>6.29</v>
      </c>
      <c r="BJ51" s="12">
        <f t="shared" si="9"/>
        <v>2.93</v>
      </c>
      <c r="BK51" s="12">
        <f t="shared" si="10"/>
        <v>1.74</v>
      </c>
      <c r="BL51" s="12">
        <f t="shared" si="11"/>
        <v>2.57</v>
      </c>
      <c r="BM51" s="12">
        <f t="shared" si="12"/>
        <v>5.05</v>
      </c>
      <c r="BN51" s="12">
        <f t="shared" si="13"/>
        <v>5.14</v>
      </c>
      <c r="BO51" s="12">
        <f t="shared" si="14"/>
        <v>1.44</v>
      </c>
      <c r="BP51" s="12">
        <f t="shared" si="15"/>
        <v>0</v>
      </c>
      <c r="BQ51" s="12">
        <f t="shared" si="16"/>
        <v>0</v>
      </c>
      <c r="BR51" s="12">
        <f t="shared" si="17"/>
        <v>0</v>
      </c>
      <c r="BS51" s="12">
        <f t="shared" si="18"/>
        <v>0</v>
      </c>
      <c r="BT51" s="1"/>
      <c r="BU51" s="11">
        <f t="shared" si="19"/>
        <v>10.11</v>
      </c>
      <c r="BV51" s="11">
        <f t="shared" si="20"/>
        <v>6.29</v>
      </c>
      <c r="BW51" s="11">
        <f t="shared" si="21"/>
        <v>2.93</v>
      </c>
      <c r="BX51" s="11">
        <f t="shared" si="22"/>
        <v>1.74</v>
      </c>
      <c r="BY51" s="11">
        <f t="shared" si="23"/>
        <v>2.57</v>
      </c>
      <c r="BZ51" s="11">
        <f t="shared" si="24"/>
        <v>5.05</v>
      </c>
      <c r="CA51" s="11">
        <f t="shared" si="25"/>
        <v>5.14</v>
      </c>
      <c r="CB51" s="11">
        <f t="shared" si="26"/>
        <v>1.44</v>
      </c>
      <c r="CC51" s="11">
        <f t="shared" si="27"/>
        <v>0</v>
      </c>
      <c r="CD51" s="11">
        <f t="shared" si="28"/>
        <v>0</v>
      </c>
      <c r="CE51" s="11">
        <f t="shared" si="29"/>
        <v>0</v>
      </c>
      <c r="CF51" s="11">
        <f t="shared" si="30"/>
        <v>0</v>
      </c>
      <c r="CG51" s="11"/>
      <c r="CH51" s="41">
        <v>1</v>
      </c>
      <c r="CI51" s="1"/>
      <c r="CJ51" s="53">
        <f t="shared" si="31"/>
        <v>31070</v>
      </c>
      <c r="CK51" s="53">
        <f t="shared" si="32"/>
        <v>19327</v>
      </c>
      <c r="CL51" s="53">
        <f t="shared" si="33"/>
        <v>8995</v>
      </c>
      <c r="CM51" s="53">
        <f t="shared" si="34"/>
        <v>5398</v>
      </c>
      <c r="CN51" s="53">
        <f t="shared" si="35"/>
        <v>7910</v>
      </c>
      <c r="CO51" s="53">
        <f t="shared" si="36"/>
        <v>15603</v>
      </c>
      <c r="CP51" s="53">
        <f t="shared" si="37"/>
        <v>16087</v>
      </c>
      <c r="CQ51" s="53">
        <f t="shared" si="38"/>
        <v>4492</v>
      </c>
      <c r="CR51" s="53">
        <f t="shared" si="39"/>
        <v>0</v>
      </c>
      <c r="CS51" s="53">
        <f t="shared" si="40"/>
        <v>0</v>
      </c>
      <c r="CT51" s="53">
        <f t="shared" si="41"/>
        <v>0</v>
      </c>
      <c r="CU51" s="53">
        <f t="shared" si="42"/>
        <v>0</v>
      </c>
      <c r="CV51" s="53">
        <f t="shared" si="43"/>
        <v>108882</v>
      </c>
      <c r="CW51" s="1"/>
      <c r="CX51" s="1"/>
      <c r="CY51" s="1"/>
      <c r="CZ51" s="1"/>
      <c r="DA51" s="1"/>
      <c r="DB51" s="1"/>
      <c r="DC51" s="1"/>
      <c r="DD51" s="1"/>
      <c r="DE51" s="1"/>
      <c r="DF51" s="1"/>
      <c r="DG51" s="1"/>
      <c r="DH51" s="1"/>
      <c r="DI51" s="1"/>
      <c r="DJ51" s="1"/>
      <c r="DK51" s="1"/>
      <c r="DL51" s="1"/>
    </row>
    <row r="52" spans="1:116" ht="15.75" hidden="1" x14ac:dyDescent="0.25">
      <c r="A52" s="86"/>
      <c r="B52" s="17"/>
      <c r="C52" s="17"/>
      <c r="D52" s="17"/>
      <c r="E52" s="17"/>
      <c r="F52" s="31" t="s">
        <v>3645</v>
      </c>
      <c r="G52" s="64">
        <v>116.42</v>
      </c>
      <c r="H52" s="64">
        <v>66.510000000000005</v>
      </c>
      <c r="I52" s="64">
        <v>45.51</v>
      </c>
      <c r="J52" s="64">
        <v>15.68</v>
      </c>
      <c r="K52" s="64">
        <v>33.04</v>
      </c>
      <c r="L52" s="64">
        <v>3.07</v>
      </c>
      <c r="M52" s="64">
        <v>0</v>
      </c>
      <c r="N52" s="64">
        <v>0</v>
      </c>
      <c r="O52" s="64">
        <v>0</v>
      </c>
      <c r="P52" s="64">
        <v>279.5</v>
      </c>
      <c r="Q52" s="64">
        <v>40.380000000000003</v>
      </c>
      <c r="R52" s="64">
        <v>113.15</v>
      </c>
      <c r="S52" s="11">
        <f t="shared" si="1"/>
        <v>713.26</v>
      </c>
      <c r="T52" s="1"/>
      <c r="U52" s="1"/>
      <c r="V52" s="50">
        <f t="shared" si="6"/>
        <v>1893490</v>
      </c>
      <c r="W52" s="36">
        <v>0.36985958380090583</v>
      </c>
      <c r="X52" s="36">
        <v>0.36975370664577112</v>
      </c>
      <c r="Y52" s="36">
        <v>0.37004486410392307</v>
      </c>
      <c r="Z52" s="36">
        <v>0.36545863081274449</v>
      </c>
      <c r="AA52" s="36">
        <v>0.36930622762610171</v>
      </c>
      <c r="AB52" s="36">
        <v>0.36737436783323218</v>
      </c>
      <c r="AC52" s="36">
        <v>0</v>
      </c>
      <c r="AD52" s="36">
        <v>0</v>
      </c>
      <c r="AE52" s="36">
        <v>0</v>
      </c>
      <c r="AF52" s="36">
        <v>0.38144012366324553</v>
      </c>
      <c r="AG52" s="36">
        <v>0.38152845933695118</v>
      </c>
      <c r="AH52" s="36">
        <v>0.38155685026255648</v>
      </c>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1"/>
      <c r="BH52" s="12">
        <f t="shared" si="7"/>
        <v>116.42</v>
      </c>
      <c r="BI52" s="12">
        <f t="shared" si="8"/>
        <v>66.510000000000005</v>
      </c>
      <c r="BJ52" s="12">
        <f t="shared" si="9"/>
        <v>45.51</v>
      </c>
      <c r="BK52" s="12">
        <f t="shared" si="10"/>
        <v>15.68</v>
      </c>
      <c r="BL52" s="12">
        <f t="shared" si="11"/>
        <v>33.04</v>
      </c>
      <c r="BM52" s="12">
        <f t="shared" si="12"/>
        <v>3.07</v>
      </c>
      <c r="BN52" s="12">
        <f t="shared" si="13"/>
        <v>0</v>
      </c>
      <c r="BO52" s="12">
        <f t="shared" si="14"/>
        <v>0</v>
      </c>
      <c r="BP52" s="12">
        <f t="shared" si="15"/>
        <v>0</v>
      </c>
      <c r="BQ52" s="12">
        <f t="shared" si="16"/>
        <v>279.5</v>
      </c>
      <c r="BR52" s="12">
        <f t="shared" si="17"/>
        <v>40.380000000000003</v>
      </c>
      <c r="BS52" s="12">
        <f t="shared" si="18"/>
        <v>113.15</v>
      </c>
      <c r="BT52" s="1"/>
      <c r="BU52" s="11">
        <f t="shared" si="19"/>
        <v>116.42</v>
      </c>
      <c r="BV52" s="11">
        <f t="shared" si="20"/>
        <v>66.510000000000005</v>
      </c>
      <c r="BW52" s="11">
        <f t="shared" si="21"/>
        <v>45.51</v>
      </c>
      <c r="BX52" s="11">
        <f t="shared" si="22"/>
        <v>15.68</v>
      </c>
      <c r="BY52" s="11">
        <f t="shared" si="23"/>
        <v>33.04</v>
      </c>
      <c r="BZ52" s="11">
        <f t="shared" si="24"/>
        <v>3.07</v>
      </c>
      <c r="CA52" s="11">
        <f t="shared" si="25"/>
        <v>0</v>
      </c>
      <c r="CB52" s="11">
        <f t="shared" si="26"/>
        <v>0</v>
      </c>
      <c r="CC52" s="11">
        <f t="shared" si="27"/>
        <v>0</v>
      </c>
      <c r="CD52" s="11">
        <f t="shared" si="28"/>
        <v>279.5</v>
      </c>
      <c r="CE52" s="11">
        <f t="shared" si="29"/>
        <v>40.380000000000003</v>
      </c>
      <c r="CF52" s="11">
        <f t="shared" si="30"/>
        <v>113.15</v>
      </c>
      <c r="CG52" s="11"/>
      <c r="CH52" s="41">
        <v>1</v>
      </c>
      <c r="CI52" s="1"/>
      <c r="CJ52" s="53">
        <f t="shared" si="31"/>
        <v>314768</v>
      </c>
      <c r="CK52" s="53">
        <f t="shared" si="32"/>
        <v>179876</v>
      </c>
      <c r="CL52" s="53">
        <f t="shared" si="33"/>
        <v>122985</v>
      </c>
      <c r="CM52" s="53">
        <f t="shared" si="34"/>
        <v>42905</v>
      </c>
      <c r="CN52" s="53">
        <f t="shared" si="35"/>
        <v>89465</v>
      </c>
      <c r="CO52" s="53">
        <f t="shared" si="36"/>
        <v>8357</v>
      </c>
      <c r="CP52" s="53">
        <f t="shared" si="37"/>
        <v>0</v>
      </c>
      <c r="CQ52" s="53">
        <f t="shared" si="38"/>
        <v>0</v>
      </c>
      <c r="CR52" s="53">
        <f t="shared" si="39"/>
        <v>0</v>
      </c>
      <c r="CS52" s="53">
        <f t="shared" si="40"/>
        <v>732749</v>
      </c>
      <c r="CT52" s="53">
        <f t="shared" si="41"/>
        <v>105837</v>
      </c>
      <c r="CU52" s="53">
        <f t="shared" si="42"/>
        <v>296548</v>
      </c>
      <c r="CV52" s="53">
        <f t="shared" si="43"/>
        <v>1893490</v>
      </c>
      <c r="CW52" s="1"/>
      <c r="CX52" s="1"/>
      <c r="CY52" s="1"/>
      <c r="CZ52" s="1"/>
      <c r="DA52" s="1"/>
      <c r="DB52" s="1"/>
      <c r="DC52" s="1"/>
      <c r="DD52" s="1"/>
      <c r="DE52" s="1"/>
      <c r="DF52" s="1"/>
      <c r="DG52" s="1"/>
      <c r="DH52" s="1"/>
      <c r="DI52" s="1"/>
      <c r="DJ52" s="1"/>
      <c r="DK52" s="1"/>
      <c r="DL52" s="1"/>
    </row>
    <row r="53" spans="1:116" ht="15.75" hidden="1" x14ac:dyDescent="0.25">
      <c r="A53" s="86"/>
      <c r="B53" s="17"/>
      <c r="C53" s="17"/>
      <c r="D53" s="17"/>
      <c r="E53" s="17"/>
      <c r="F53" s="31" t="s">
        <v>3645</v>
      </c>
      <c r="G53" s="64">
        <v>122.92</v>
      </c>
      <c r="H53" s="64">
        <v>54.09</v>
      </c>
      <c r="I53" s="64">
        <v>20.2</v>
      </c>
      <c r="J53" s="64">
        <v>14.52</v>
      </c>
      <c r="K53" s="64">
        <v>13.88</v>
      </c>
      <c r="L53" s="64">
        <v>13.32</v>
      </c>
      <c r="M53" s="64">
        <v>18.73</v>
      </c>
      <c r="N53" s="64">
        <v>33.19</v>
      </c>
      <c r="O53" s="64">
        <v>68.599999999999994</v>
      </c>
      <c r="P53" s="64">
        <v>24.57</v>
      </c>
      <c r="Q53" s="64">
        <v>34.24</v>
      </c>
      <c r="R53" s="64">
        <v>19.53</v>
      </c>
      <c r="S53" s="11">
        <f t="shared" si="1"/>
        <v>437.78999999999996</v>
      </c>
      <c r="T53" s="1"/>
      <c r="U53" s="1"/>
      <c r="V53" s="50">
        <f t="shared" si="6"/>
        <v>750905</v>
      </c>
      <c r="W53" s="36">
        <v>0.58226387932789936</v>
      </c>
      <c r="X53" s="36">
        <v>0.58166392851583704</v>
      </c>
      <c r="Y53" s="36">
        <v>0.58242875412949435</v>
      </c>
      <c r="Z53" s="36">
        <v>0.57604240067691703</v>
      </c>
      <c r="AA53" s="36">
        <v>0.5799852751072252</v>
      </c>
      <c r="AB53" s="36">
        <v>0.57817353449132747</v>
      </c>
      <c r="AC53" s="36">
        <v>0.57164627420667047</v>
      </c>
      <c r="AD53" s="36">
        <v>0.57435648966827746</v>
      </c>
      <c r="AE53" s="36">
        <v>0.57740433892641463</v>
      </c>
      <c r="AF53" s="36">
        <v>0.59982160375099303</v>
      </c>
      <c r="AG53" s="36">
        <v>0.59997819200905256</v>
      </c>
      <c r="AH53" s="36">
        <v>0.59986117948362805</v>
      </c>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1"/>
      <c r="BH53" s="12">
        <f t="shared" si="7"/>
        <v>122.92</v>
      </c>
      <c r="BI53" s="12">
        <f t="shared" si="8"/>
        <v>54.09</v>
      </c>
      <c r="BJ53" s="12">
        <f t="shared" si="9"/>
        <v>20.2</v>
      </c>
      <c r="BK53" s="12">
        <f t="shared" si="10"/>
        <v>14.52</v>
      </c>
      <c r="BL53" s="12">
        <f t="shared" si="11"/>
        <v>13.88</v>
      </c>
      <c r="BM53" s="12">
        <f t="shared" si="12"/>
        <v>13.32</v>
      </c>
      <c r="BN53" s="12">
        <f t="shared" si="13"/>
        <v>18.73</v>
      </c>
      <c r="BO53" s="12">
        <f t="shared" si="14"/>
        <v>33.19</v>
      </c>
      <c r="BP53" s="12">
        <f t="shared" si="15"/>
        <v>68.599999999999994</v>
      </c>
      <c r="BQ53" s="12">
        <f t="shared" si="16"/>
        <v>24.57</v>
      </c>
      <c r="BR53" s="12">
        <f t="shared" si="17"/>
        <v>34.24</v>
      </c>
      <c r="BS53" s="12">
        <f t="shared" si="18"/>
        <v>19.53</v>
      </c>
      <c r="BT53" s="1"/>
      <c r="BU53" s="11">
        <f t="shared" si="19"/>
        <v>122.92</v>
      </c>
      <c r="BV53" s="11">
        <f t="shared" si="20"/>
        <v>54.09</v>
      </c>
      <c r="BW53" s="11">
        <f t="shared" si="21"/>
        <v>20.2</v>
      </c>
      <c r="BX53" s="11">
        <f t="shared" si="22"/>
        <v>14.52</v>
      </c>
      <c r="BY53" s="11">
        <f t="shared" si="23"/>
        <v>13.88</v>
      </c>
      <c r="BZ53" s="11">
        <f t="shared" si="24"/>
        <v>13.32</v>
      </c>
      <c r="CA53" s="11">
        <f t="shared" si="25"/>
        <v>18.73</v>
      </c>
      <c r="CB53" s="11">
        <f t="shared" si="26"/>
        <v>33.19</v>
      </c>
      <c r="CC53" s="11">
        <f t="shared" si="27"/>
        <v>68.599999999999994</v>
      </c>
      <c r="CD53" s="11">
        <f t="shared" si="28"/>
        <v>24.57</v>
      </c>
      <c r="CE53" s="11">
        <f t="shared" si="29"/>
        <v>34.24</v>
      </c>
      <c r="CF53" s="11">
        <f t="shared" si="30"/>
        <v>19.53</v>
      </c>
      <c r="CG53" s="11"/>
      <c r="CH53" s="41">
        <v>1</v>
      </c>
      <c r="CI53" s="1"/>
      <c r="CJ53" s="53">
        <f t="shared" si="31"/>
        <v>211107</v>
      </c>
      <c r="CK53" s="53">
        <f t="shared" si="32"/>
        <v>92992</v>
      </c>
      <c r="CL53" s="53">
        <f t="shared" si="33"/>
        <v>34682</v>
      </c>
      <c r="CM53" s="53">
        <f t="shared" si="34"/>
        <v>25206</v>
      </c>
      <c r="CN53" s="53">
        <f t="shared" si="35"/>
        <v>23932</v>
      </c>
      <c r="CO53" s="53">
        <f t="shared" si="36"/>
        <v>23038</v>
      </c>
      <c r="CP53" s="53">
        <f t="shared" si="37"/>
        <v>32765</v>
      </c>
      <c r="CQ53" s="53">
        <f t="shared" si="38"/>
        <v>57786</v>
      </c>
      <c r="CR53" s="53">
        <f t="shared" si="39"/>
        <v>118808</v>
      </c>
      <c r="CS53" s="53">
        <f t="shared" si="40"/>
        <v>40962</v>
      </c>
      <c r="CT53" s="53">
        <f t="shared" si="41"/>
        <v>57069</v>
      </c>
      <c r="CU53" s="53">
        <f t="shared" si="42"/>
        <v>32558</v>
      </c>
      <c r="CV53" s="53">
        <f t="shared" si="43"/>
        <v>750905</v>
      </c>
      <c r="CW53" s="1"/>
      <c r="CX53" s="1"/>
      <c r="CY53" s="1"/>
      <c r="CZ53" s="1"/>
      <c r="DA53" s="1"/>
      <c r="DB53" s="1"/>
      <c r="DC53" s="1"/>
      <c r="DD53" s="1"/>
      <c r="DE53" s="1"/>
      <c r="DF53" s="1"/>
      <c r="DG53" s="1"/>
      <c r="DH53" s="1"/>
      <c r="DI53" s="1"/>
      <c r="DJ53" s="1"/>
      <c r="DK53" s="1"/>
      <c r="DL53" s="1"/>
    </row>
    <row r="54" spans="1:116" ht="15.75" hidden="1" x14ac:dyDescent="0.25">
      <c r="A54" s="86"/>
      <c r="B54" s="17"/>
      <c r="C54" s="17"/>
      <c r="D54" s="17"/>
      <c r="E54" s="17"/>
      <c r="F54" s="31" t="s">
        <v>3645</v>
      </c>
      <c r="G54" s="64">
        <v>29.59</v>
      </c>
      <c r="H54" s="64">
        <v>28.94</v>
      </c>
      <c r="I54" s="64">
        <v>0</v>
      </c>
      <c r="J54" s="64">
        <v>0</v>
      </c>
      <c r="K54" s="64">
        <v>0</v>
      </c>
      <c r="L54" s="64">
        <v>53.91</v>
      </c>
      <c r="M54" s="64">
        <v>28.61</v>
      </c>
      <c r="N54" s="64">
        <v>54.82</v>
      </c>
      <c r="O54" s="64">
        <v>2.2799999999999998</v>
      </c>
      <c r="P54" s="64">
        <v>20.75</v>
      </c>
      <c r="Q54" s="64">
        <v>35.24</v>
      </c>
      <c r="R54" s="64">
        <v>18.010000000000002</v>
      </c>
      <c r="S54" s="11">
        <f t="shared" si="1"/>
        <v>272.15000000000003</v>
      </c>
      <c r="T54" s="1"/>
      <c r="U54" s="1"/>
      <c r="V54" s="50">
        <f t="shared" si="6"/>
        <v>506926</v>
      </c>
      <c r="W54" s="36">
        <v>0.53609544173937695</v>
      </c>
      <c r="X54" s="36">
        <v>0.53532487798306028</v>
      </c>
      <c r="Y54" s="36">
        <v>0</v>
      </c>
      <c r="Z54" s="36">
        <v>0</v>
      </c>
      <c r="AA54" s="36">
        <v>0</v>
      </c>
      <c r="AB54" s="36">
        <v>0.53247555484538056</v>
      </c>
      <c r="AC54" s="36">
        <v>0.52617234007283487</v>
      </c>
      <c r="AD54" s="36">
        <v>0.52843504752169612</v>
      </c>
      <c r="AE54" s="36">
        <v>0.52827814377624582</v>
      </c>
      <c r="AF54" s="36">
        <v>0.5520158430911325</v>
      </c>
      <c r="AG54" s="36">
        <v>0.55196665231189379</v>
      </c>
      <c r="AH54" s="36">
        <v>0.5530934179106437</v>
      </c>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1"/>
      <c r="BH54" s="12">
        <f t="shared" si="7"/>
        <v>29.59</v>
      </c>
      <c r="BI54" s="12">
        <f t="shared" si="8"/>
        <v>28.94</v>
      </c>
      <c r="BJ54" s="12">
        <f t="shared" si="9"/>
        <v>0</v>
      </c>
      <c r="BK54" s="12">
        <f t="shared" si="10"/>
        <v>0</v>
      </c>
      <c r="BL54" s="12">
        <f t="shared" si="11"/>
        <v>0</v>
      </c>
      <c r="BM54" s="12">
        <f t="shared" si="12"/>
        <v>53.91</v>
      </c>
      <c r="BN54" s="12">
        <f t="shared" si="13"/>
        <v>28.61</v>
      </c>
      <c r="BO54" s="12">
        <f t="shared" si="14"/>
        <v>54.82</v>
      </c>
      <c r="BP54" s="12">
        <f t="shared" si="15"/>
        <v>2.2799999999999998</v>
      </c>
      <c r="BQ54" s="12">
        <f t="shared" si="16"/>
        <v>20.75</v>
      </c>
      <c r="BR54" s="12">
        <f t="shared" si="17"/>
        <v>35.24</v>
      </c>
      <c r="BS54" s="12">
        <f t="shared" si="18"/>
        <v>18.010000000000002</v>
      </c>
      <c r="BT54" s="1"/>
      <c r="BU54" s="11">
        <f t="shared" si="19"/>
        <v>29.59</v>
      </c>
      <c r="BV54" s="11">
        <f t="shared" si="20"/>
        <v>28.94</v>
      </c>
      <c r="BW54" s="11">
        <f t="shared" si="21"/>
        <v>0</v>
      </c>
      <c r="BX54" s="11">
        <f t="shared" si="22"/>
        <v>0</v>
      </c>
      <c r="BY54" s="11">
        <f t="shared" si="23"/>
        <v>0</v>
      </c>
      <c r="BZ54" s="11">
        <f t="shared" si="24"/>
        <v>53.91</v>
      </c>
      <c r="CA54" s="11">
        <f t="shared" si="25"/>
        <v>28.61</v>
      </c>
      <c r="CB54" s="11">
        <f t="shared" si="26"/>
        <v>54.82</v>
      </c>
      <c r="CC54" s="11">
        <f t="shared" si="27"/>
        <v>2.2799999999999998</v>
      </c>
      <c r="CD54" s="11">
        <f t="shared" si="28"/>
        <v>20.75</v>
      </c>
      <c r="CE54" s="11">
        <f t="shared" si="29"/>
        <v>35.24</v>
      </c>
      <c r="CF54" s="11">
        <f t="shared" si="30"/>
        <v>18.010000000000002</v>
      </c>
      <c r="CG54" s="11"/>
      <c r="CH54" s="41">
        <v>1</v>
      </c>
      <c r="CI54" s="1"/>
      <c r="CJ54" s="53">
        <f t="shared" si="31"/>
        <v>55195</v>
      </c>
      <c r="CK54" s="53">
        <f t="shared" si="32"/>
        <v>54061</v>
      </c>
      <c r="CL54" s="53">
        <f t="shared" si="33"/>
        <v>0</v>
      </c>
      <c r="CM54" s="53">
        <f t="shared" si="34"/>
        <v>0</v>
      </c>
      <c r="CN54" s="53">
        <f t="shared" si="35"/>
        <v>0</v>
      </c>
      <c r="CO54" s="53">
        <f t="shared" si="36"/>
        <v>101244</v>
      </c>
      <c r="CP54" s="53">
        <f t="shared" si="37"/>
        <v>54374</v>
      </c>
      <c r="CQ54" s="53">
        <f t="shared" si="38"/>
        <v>103740</v>
      </c>
      <c r="CR54" s="53">
        <f t="shared" si="39"/>
        <v>4316</v>
      </c>
      <c r="CS54" s="53">
        <f t="shared" si="40"/>
        <v>37590</v>
      </c>
      <c r="CT54" s="53">
        <f t="shared" si="41"/>
        <v>63844</v>
      </c>
      <c r="CU54" s="53">
        <f t="shared" si="42"/>
        <v>32562</v>
      </c>
      <c r="CV54" s="53">
        <f t="shared" si="43"/>
        <v>506926</v>
      </c>
      <c r="CW54" s="1"/>
      <c r="CX54" s="1"/>
      <c r="CY54" s="1"/>
      <c r="CZ54" s="1"/>
      <c r="DA54" s="1"/>
      <c r="DB54" s="1"/>
      <c r="DC54" s="1"/>
      <c r="DD54" s="1"/>
      <c r="DE54" s="1"/>
      <c r="DF54" s="1"/>
      <c r="DG54" s="1"/>
      <c r="DH54" s="1"/>
      <c r="DI54" s="1"/>
      <c r="DJ54" s="1"/>
      <c r="DK54" s="1"/>
      <c r="DL54" s="1"/>
    </row>
    <row r="55" spans="1:116" ht="15.75" hidden="1" x14ac:dyDescent="0.25">
      <c r="A55" s="86"/>
      <c r="B55" s="17"/>
      <c r="C55" s="17"/>
      <c r="D55" s="17"/>
      <c r="E55" s="17"/>
      <c r="F55" s="31" t="s">
        <v>3645</v>
      </c>
      <c r="G55" s="64">
        <v>43.91</v>
      </c>
      <c r="H55" s="64">
        <v>104.3</v>
      </c>
      <c r="I55" s="64">
        <v>249.87</v>
      </c>
      <c r="J55" s="64">
        <v>21.64</v>
      </c>
      <c r="K55" s="64">
        <v>0.08</v>
      </c>
      <c r="L55" s="64">
        <v>19.559999999999999</v>
      </c>
      <c r="M55" s="64">
        <v>36.229999999999997</v>
      </c>
      <c r="N55" s="64">
        <v>1.68</v>
      </c>
      <c r="O55" s="64">
        <v>140.65</v>
      </c>
      <c r="P55" s="64">
        <v>148.15</v>
      </c>
      <c r="Q55" s="64">
        <v>64.83</v>
      </c>
      <c r="R55" s="64">
        <v>138.12</v>
      </c>
      <c r="S55" s="11">
        <f t="shared" si="1"/>
        <v>969.02</v>
      </c>
      <c r="T55" s="1"/>
      <c r="U55" s="1"/>
      <c r="V55" s="50">
        <f t="shared" si="6"/>
        <v>1385812</v>
      </c>
      <c r="W55" s="36">
        <v>0.69313490954706325</v>
      </c>
      <c r="X55" s="36">
        <v>0.69236487553270931</v>
      </c>
      <c r="Y55" s="36">
        <v>0.6935990317643429</v>
      </c>
      <c r="Z55" s="36">
        <v>0.68556511070502157</v>
      </c>
      <c r="AA55" s="36">
        <v>0.69887237570138816</v>
      </c>
      <c r="AB55" s="36">
        <v>0.6884986213622335</v>
      </c>
      <c r="AC55" s="36">
        <v>0.6809128417340774</v>
      </c>
      <c r="AD55" s="36">
        <v>0.69817750777891874</v>
      </c>
      <c r="AE55" s="36">
        <v>0.68802327127885021</v>
      </c>
      <c r="AF55" s="36">
        <v>0.71451621135104071</v>
      </c>
      <c r="AG55" s="36">
        <v>0.71423297254552798</v>
      </c>
      <c r="AH55" s="36">
        <v>0.71443629269276976</v>
      </c>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1"/>
      <c r="BH55" s="12">
        <f t="shared" si="7"/>
        <v>43.91</v>
      </c>
      <c r="BI55" s="12">
        <f t="shared" si="8"/>
        <v>104.3</v>
      </c>
      <c r="BJ55" s="12">
        <f t="shared" si="9"/>
        <v>249.87</v>
      </c>
      <c r="BK55" s="12">
        <f t="shared" si="10"/>
        <v>21.64</v>
      </c>
      <c r="BL55" s="12">
        <f t="shared" si="11"/>
        <v>0.08</v>
      </c>
      <c r="BM55" s="12">
        <f t="shared" si="12"/>
        <v>19.559999999999999</v>
      </c>
      <c r="BN55" s="12">
        <f t="shared" si="13"/>
        <v>36.229999999999997</v>
      </c>
      <c r="BO55" s="12">
        <f t="shared" si="14"/>
        <v>1.68</v>
      </c>
      <c r="BP55" s="12">
        <f t="shared" si="15"/>
        <v>140.65</v>
      </c>
      <c r="BQ55" s="12">
        <f t="shared" si="16"/>
        <v>148.15</v>
      </c>
      <c r="BR55" s="12">
        <f t="shared" si="17"/>
        <v>64.83</v>
      </c>
      <c r="BS55" s="12">
        <f t="shared" si="18"/>
        <v>138.12</v>
      </c>
      <c r="BT55" s="1"/>
      <c r="BU55" s="11">
        <f t="shared" si="19"/>
        <v>43.91</v>
      </c>
      <c r="BV55" s="11">
        <f t="shared" si="20"/>
        <v>104.3</v>
      </c>
      <c r="BW55" s="11">
        <f t="shared" si="21"/>
        <v>249.87</v>
      </c>
      <c r="BX55" s="11">
        <f t="shared" si="22"/>
        <v>21.64</v>
      </c>
      <c r="BY55" s="11">
        <f t="shared" si="23"/>
        <v>0.08</v>
      </c>
      <c r="BZ55" s="11">
        <f t="shared" si="24"/>
        <v>19.559999999999999</v>
      </c>
      <c r="CA55" s="11">
        <f t="shared" si="25"/>
        <v>36.229999999999997</v>
      </c>
      <c r="CB55" s="11">
        <f t="shared" si="26"/>
        <v>1.68</v>
      </c>
      <c r="CC55" s="11">
        <f t="shared" si="27"/>
        <v>140.65</v>
      </c>
      <c r="CD55" s="11">
        <f t="shared" si="28"/>
        <v>148.15</v>
      </c>
      <c r="CE55" s="11">
        <f t="shared" si="29"/>
        <v>64.83</v>
      </c>
      <c r="CF55" s="11">
        <f t="shared" si="30"/>
        <v>138.12</v>
      </c>
      <c r="CG55" s="11"/>
      <c r="CH55" s="41">
        <v>1</v>
      </c>
      <c r="CI55" s="1"/>
      <c r="CJ55" s="53">
        <f t="shared" si="31"/>
        <v>63350</v>
      </c>
      <c r="CK55" s="53">
        <f t="shared" si="32"/>
        <v>150643</v>
      </c>
      <c r="CL55" s="53">
        <f t="shared" si="33"/>
        <v>360251</v>
      </c>
      <c r="CM55" s="53">
        <f t="shared" si="34"/>
        <v>31565</v>
      </c>
      <c r="CN55" s="53">
        <f t="shared" si="35"/>
        <v>114</v>
      </c>
      <c r="CO55" s="53">
        <f t="shared" si="36"/>
        <v>28410</v>
      </c>
      <c r="CP55" s="53">
        <f t="shared" si="37"/>
        <v>53208</v>
      </c>
      <c r="CQ55" s="53">
        <f t="shared" si="38"/>
        <v>2406</v>
      </c>
      <c r="CR55" s="53">
        <f t="shared" si="39"/>
        <v>204426</v>
      </c>
      <c r="CS55" s="53">
        <f t="shared" si="40"/>
        <v>207343</v>
      </c>
      <c r="CT55" s="53">
        <f t="shared" si="41"/>
        <v>90769</v>
      </c>
      <c r="CU55" s="53">
        <f t="shared" si="42"/>
        <v>193327</v>
      </c>
      <c r="CV55" s="53">
        <f t="shared" si="43"/>
        <v>1385812</v>
      </c>
      <c r="CW55" s="1"/>
      <c r="CX55" s="1"/>
      <c r="CY55" s="1"/>
      <c r="CZ55" s="1"/>
      <c r="DA55" s="1"/>
      <c r="DB55" s="1"/>
      <c r="DC55" s="1"/>
      <c r="DD55" s="1"/>
      <c r="DE55" s="1"/>
      <c r="DF55" s="1"/>
      <c r="DG55" s="1"/>
      <c r="DH55" s="1"/>
      <c r="DI55" s="1"/>
      <c r="DJ55" s="1"/>
      <c r="DK55" s="1"/>
      <c r="DL55" s="1"/>
    </row>
    <row r="56" spans="1:116" ht="15.75" hidden="1" x14ac:dyDescent="0.25">
      <c r="A56" s="86"/>
      <c r="B56" s="17"/>
      <c r="C56" s="17"/>
      <c r="D56" s="17"/>
      <c r="E56" s="17"/>
      <c r="F56" s="31" t="s">
        <v>3645</v>
      </c>
      <c r="G56" s="64">
        <v>865.21</v>
      </c>
      <c r="H56" s="64">
        <v>771.76</v>
      </c>
      <c r="I56" s="64">
        <v>453.07</v>
      </c>
      <c r="J56" s="64">
        <v>215.36</v>
      </c>
      <c r="K56" s="64">
        <v>286.76</v>
      </c>
      <c r="L56" s="64">
        <v>290.27999999999997</v>
      </c>
      <c r="M56" s="64">
        <v>361.08</v>
      </c>
      <c r="N56" s="64">
        <v>547</v>
      </c>
      <c r="O56" s="64">
        <v>674.04</v>
      </c>
      <c r="P56" s="64">
        <v>384.68</v>
      </c>
      <c r="Q56" s="64">
        <v>553.5</v>
      </c>
      <c r="R56" s="64">
        <v>208.75</v>
      </c>
      <c r="S56" s="11">
        <f t="shared" si="1"/>
        <v>5611.49</v>
      </c>
      <c r="T56" s="1"/>
      <c r="U56" s="1"/>
      <c r="V56" s="50">
        <f t="shared" si="6"/>
        <v>9702012</v>
      </c>
      <c r="W56" s="36">
        <v>0.57727224573690028</v>
      </c>
      <c r="X56" s="36">
        <v>0.57721296486845919</v>
      </c>
      <c r="Y56" s="36">
        <v>0.57799659346041554</v>
      </c>
      <c r="Z56" s="36">
        <v>0.5710276665019357</v>
      </c>
      <c r="AA56" s="36">
        <v>0.57617956456801467</v>
      </c>
      <c r="AB56" s="36">
        <v>0.57332795055971209</v>
      </c>
      <c r="AC56" s="36">
        <v>0.56699238510428407</v>
      </c>
      <c r="AD56" s="36">
        <v>0.56966147825825464</v>
      </c>
      <c r="AE56" s="36">
        <v>0.57286072726083181</v>
      </c>
      <c r="AF56" s="36">
        <v>0.59520905142870584</v>
      </c>
      <c r="AG56" s="36">
        <v>0.59489281064673927</v>
      </c>
      <c r="AH56" s="36">
        <v>0.59510088820767515</v>
      </c>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1"/>
      <c r="BH56" s="12">
        <f t="shared" si="7"/>
        <v>865.21</v>
      </c>
      <c r="BI56" s="12">
        <f t="shared" si="8"/>
        <v>771.76</v>
      </c>
      <c r="BJ56" s="12">
        <f t="shared" si="9"/>
        <v>453.07</v>
      </c>
      <c r="BK56" s="12">
        <f t="shared" si="10"/>
        <v>215.36</v>
      </c>
      <c r="BL56" s="12">
        <f t="shared" si="11"/>
        <v>286.76</v>
      </c>
      <c r="BM56" s="12">
        <f t="shared" si="12"/>
        <v>290.27999999999997</v>
      </c>
      <c r="BN56" s="12">
        <f t="shared" si="13"/>
        <v>361.08</v>
      </c>
      <c r="BO56" s="12">
        <f t="shared" si="14"/>
        <v>547</v>
      </c>
      <c r="BP56" s="12">
        <f t="shared" si="15"/>
        <v>674.04</v>
      </c>
      <c r="BQ56" s="12">
        <f t="shared" si="16"/>
        <v>384.68</v>
      </c>
      <c r="BR56" s="12">
        <f t="shared" si="17"/>
        <v>553.5</v>
      </c>
      <c r="BS56" s="12">
        <f t="shared" si="18"/>
        <v>208.75</v>
      </c>
      <c r="BT56" s="1"/>
      <c r="BU56" s="11">
        <f t="shared" si="19"/>
        <v>865.21</v>
      </c>
      <c r="BV56" s="11">
        <f t="shared" si="20"/>
        <v>771.76</v>
      </c>
      <c r="BW56" s="11">
        <f t="shared" si="21"/>
        <v>453.07</v>
      </c>
      <c r="BX56" s="11">
        <f t="shared" si="22"/>
        <v>215.36</v>
      </c>
      <c r="BY56" s="11">
        <f t="shared" si="23"/>
        <v>286.76</v>
      </c>
      <c r="BZ56" s="11">
        <f t="shared" si="24"/>
        <v>290.27999999999997</v>
      </c>
      <c r="CA56" s="11">
        <f t="shared" si="25"/>
        <v>361.08</v>
      </c>
      <c r="CB56" s="11">
        <f t="shared" si="26"/>
        <v>547</v>
      </c>
      <c r="CC56" s="11">
        <f t="shared" si="27"/>
        <v>674.04</v>
      </c>
      <c r="CD56" s="11">
        <f t="shared" si="28"/>
        <v>384.68</v>
      </c>
      <c r="CE56" s="11">
        <f t="shared" si="29"/>
        <v>553.5</v>
      </c>
      <c r="CF56" s="11">
        <f t="shared" si="30"/>
        <v>208.75</v>
      </c>
      <c r="CG56" s="11"/>
      <c r="CH56" s="41">
        <v>1</v>
      </c>
      <c r="CI56" s="1"/>
      <c r="CJ56" s="53">
        <f t="shared" si="31"/>
        <v>1498790</v>
      </c>
      <c r="CK56" s="53">
        <f t="shared" si="32"/>
        <v>1337046</v>
      </c>
      <c r="CL56" s="53">
        <f t="shared" si="33"/>
        <v>783863</v>
      </c>
      <c r="CM56" s="53">
        <f t="shared" si="34"/>
        <v>377145</v>
      </c>
      <c r="CN56" s="53">
        <f t="shared" si="35"/>
        <v>497692</v>
      </c>
      <c r="CO56" s="53">
        <f t="shared" si="36"/>
        <v>506307</v>
      </c>
      <c r="CP56" s="53">
        <f t="shared" si="37"/>
        <v>636834</v>
      </c>
      <c r="CQ56" s="53">
        <f t="shared" si="38"/>
        <v>960219</v>
      </c>
      <c r="CR56" s="53">
        <f t="shared" si="39"/>
        <v>1176621</v>
      </c>
      <c r="CS56" s="53">
        <f t="shared" si="40"/>
        <v>646294</v>
      </c>
      <c r="CT56" s="53">
        <f t="shared" si="41"/>
        <v>930420</v>
      </c>
      <c r="CU56" s="53">
        <f t="shared" si="42"/>
        <v>350781</v>
      </c>
      <c r="CV56" s="53">
        <f t="shared" si="43"/>
        <v>9702012</v>
      </c>
      <c r="CW56" s="1"/>
      <c r="CX56" s="1"/>
      <c r="CY56" s="1"/>
      <c r="CZ56" s="1"/>
      <c r="DA56" s="1"/>
      <c r="DB56" s="1"/>
      <c r="DC56" s="1"/>
      <c r="DD56" s="1"/>
      <c r="DE56" s="1"/>
      <c r="DF56" s="1"/>
      <c r="DG56" s="1"/>
      <c r="DH56" s="1"/>
      <c r="DI56" s="1"/>
      <c r="DJ56" s="1"/>
      <c r="DK56" s="1"/>
      <c r="DL56" s="1"/>
    </row>
    <row r="57" spans="1:116" ht="15.75" hidden="1" x14ac:dyDescent="0.25">
      <c r="A57" s="86"/>
      <c r="B57" s="17"/>
      <c r="C57" s="17"/>
      <c r="D57" s="17"/>
      <c r="E57" s="17"/>
      <c r="F57" s="31" t="s">
        <v>3645</v>
      </c>
      <c r="G57" s="64">
        <v>0</v>
      </c>
      <c r="H57" s="64">
        <v>0</v>
      </c>
      <c r="I57" s="64">
        <v>0</v>
      </c>
      <c r="J57" s="64">
        <v>0</v>
      </c>
      <c r="K57" s="64">
        <v>0</v>
      </c>
      <c r="L57" s="64">
        <v>0</v>
      </c>
      <c r="M57" s="64">
        <v>0</v>
      </c>
      <c r="N57" s="64">
        <v>0</v>
      </c>
      <c r="O57" s="64">
        <v>0</v>
      </c>
      <c r="P57" s="64">
        <v>0</v>
      </c>
      <c r="Q57" s="64">
        <v>0</v>
      </c>
      <c r="R57" s="64">
        <v>0</v>
      </c>
      <c r="S57" s="11">
        <f t="shared" si="1"/>
        <v>0</v>
      </c>
      <c r="T57" s="1"/>
      <c r="U57" s="1"/>
      <c r="V57" s="50">
        <f t="shared" si="6"/>
        <v>0</v>
      </c>
      <c r="W57" s="36">
        <v>0</v>
      </c>
      <c r="X57" s="36"/>
      <c r="Y57" s="36"/>
      <c r="Z57" s="36"/>
      <c r="AA57" s="36"/>
      <c r="AB57" s="36"/>
      <c r="AC57" s="36"/>
      <c r="AD57" s="36"/>
      <c r="AE57" s="36"/>
      <c r="AF57" s="36"/>
      <c r="AG57" s="36"/>
      <c r="AH57" s="36"/>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1"/>
      <c r="BH57" s="12">
        <f t="shared" si="7"/>
        <v>0</v>
      </c>
      <c r="BI57" s="12">
        <f t="shared" si="8"/>
        <v>0</v>
      </c>
      <c r="BJ57" s="12">
        <f t="shared" si="9"/>
        <v>0</v>
      </c>
      <c r="BK57" s="12">
        <f t="shared" si="10"/>
        <v>0</v>
      </c>
      <c r="BL57" s="12">
        <f t="shared" si="11"/>
        <v>0</v>
      </c>
      <c r="BM57" s="12">
        <f t="shared" si="12"/>
        <v>0</v>
      </c>
      <c r="BN57" s="12">
        <f t="shared" si="13"/>
        <v>0</v>
      </c>
      <c r="BO57" s="12">
        <f t="shared" si="14"/>
        <v>0</v>
      </c>
      <c r="BP57" s="12">
        <f t="shared" si="15"/>
        <v>0</v>
      </c>
      <c r="BQ57" s="12">
        <f t="shared" si="16"/>
        <v>0</v>
      </c>
      <c r="BR57" s="12">
        <f t="shared" si="17"/>
        <v>0</v>
      </c>
      <c r="BS57" s="12">
        <f t="shared" si="18"/>
        <v>0</v>
      </c>
      <c r="BT57" s="1"/>
      <c r="BU57" s="11">
        <f t="shared" si="19"/>
        <v>0</v>
      </c>
      <c r="BV57" s="11">
        <f t="shared" si="20"/>
        <v>0</v>
      </c>
      <c r="BW57" s="11">
        <f t="shared" si="21"/>
        <v>0</v>
      </c>
      <c r="BX57" s="11">
        <f t="shared" si="22"/>
        <v>0</v>
      </c>
      <c r="BY57" s="11">
        <f t="shared" si="23"/>
        <v>0</v>
      </c>
      <c r="BZ57" s="11">
        <f t="shared" si="24"/>
        <v>0</v>
      </c>
      <c r="CA57" s="11">
        <f t="shared" si="25"/>
        <v>0</v>
      </c>
      <c r="CB57" s="11">
        <f t="shared" si="26"/>
        <v>0</v>
      </c>
      <c r="CC57" s="11">
        <f t="shared" si="27"/>
        <v>0</v>
      </c>
      <c r="CD57" s="11">
        <f t="shared" si="28"/>
        <v>0</v>
      </c>
      <c r="CE57" s="11">
        <f t="shared" si="29"/>
        <v>0</v>
      </c>
      <c r="CF57" s="11">
        <f t="shared" si="30"/>
        <v>0</v>
      </c>
      <c r="CG57" s="11"/>
      <c r="CH57" s="41">
        <v>1</v>
      </c>
      <c r="CI57" s="1"/>
      <c r="CJ57" s="53">
        <f t="shared" si="31"/>
        <v>0</v>
      </c>
      <c r="CK57" s="53">
        <f t="shared" si="32"/>
        <v>0</v>
      </c>
      <c r="CL57" s="53">
        <f t="shared" si="33"/>
        <v>0</v>
      </c>
      <c r="CM57" s="53">
        <f t="shared" si="34"/>
        <v>0</v>
      </c>
      <c r="CN57" s="53">
        <f t="shared" si="35"/>
        <v>0</v>
      </c>
      <c r="CO57" s="53">
        <f t="shared" si="36"/>
        <v>0</v>
      </c>
      <c r="CP57" s="53">
        <f t="shared" si="37"/>
        <v>0</v>
      </c>
      <c r="CQ57" s="53">
        <f t="shared" si="38"/>
        <v>0</v>
      </c>
      <c r="CR57" s="53">
        <f t="shared" si="39"/>
        <v>0</v>
      </c>
      <c r="CS57" s="53">
        <f t="shared" si="40"/>
        <v>0</v>
      </c>
      <c r="CT57" s="53">
        <f t="shared" si="41"/>
        <v>0</v>
      </c>
      <c r="CU57" s="53">
        <f t="shared" si="42"/>
        <v>0</v>
      </c>
      <c r="CV57" s="53">
        <f t="shared" si="43"/>
        <v>0</v>
      </c>
      <c r="CW57" s="1"/>
      <c r="CX57" s="1"/>
      <c r="CY57" s="1"/>
      <c r="CZ57" s="1"/>
      <c r="DA57" s="1"/>
      <c r="DB57" s="1"/>
      <c r="DC57" s="1"/>
      <c r="DD57" s="1"/>
      <c r="DE57" s="1"/>
      <c r="DF57" s="1"/>
      <c r="DG57" s="1"/>
      <c r="DH57" s="1"/>
      <c r="DI57" s="1"/>
      <c r="DJ57" s="1"/>
      <c r="DK57" s="1"/>
      <c r="DL57" s="1"/>
    </row>
    <row r="58" spans="1:116" ht="15.75" hidden="1" x14ac:dyDescent="0.25">
      <c r="A58" s="86"/>
      <c r="B58" s="17"/>
      <c r="C58" s="17"/>
      <c r="D58" s="17"/>
      <c r="E58" s="17"/>
      <c r="F58" s="31" t="s">
        <v>3645</v>
      </c>
      <c r="G58" s="64">
        <v>11.4</v>
      </c>
      <c r="H58" s="64">
        <v>0.11</v>
      </c>
      <c r="I58" s="64">
        <v>0</v>
      </c>
      <c r="J58" s="64">
        <v>0</v>
      </c>
      <c r="K58" s="64">
        <v>32.020000000000003</v>
      </c>
      <c r="L58" s="64">
        <v>7.67</v>
      </c>
      <c r="M58" s="64">
        <v>4.29</v>
      </c>
      <c r="N58" s="64">
        <v>0.11</v>
      </c>
      <c r="O58" s="64">
        <v>20.39</v>
      </c>
      <c r="P58" s="64">
        <v>7.66</v>
      </c>
      <c r="Q58" s="64">
        <v>0.12</v>
      </c>
      <c r="R58" s="64">
        <v>0</v>
      </c>
      <c r="S58" s="11">
        <f t="shared" si="1"/>
        <v>83.77000000000001</v>
      </c>
      <c r="T58" s="1"/>
      <c r="U58" s="1"/>
      <c r="V58" s="50">
        <f t="shared" si="6"/>
        <v>87605</v>
      </c>
      <c r="W58" s="36">
        <v>0.95494024585649506</v>
      </c>
      <c r="X58" s="36">
        <v>0.94816804738463933</v>
      </c>
      <c r="Y58" s="36">
        <v>0</v>
      </c>
      <c r="Z58" s="36">
        <v>0</v>
      </c>
      <c r="AA58" s="36">
        <v>0.9562478042021707</v>
      </c>
      <c r="AB58" s="36">
        <v>0.95428552778080644</v>
      </c>
      <c r="AC58" s="36">
        <v>0.94000164048361734</v>
      </c>
      <c r="AD58" s="36">
        <v>0.94559687854991736</v>
      </c>
      <c r="AE58" s="36">
        <v>0.9497823442383807</v>
      </c>
      <c r="AF58" s="36">
        <v>0.98705536982008413</v>
      </c>
      <c r="AG58" s="36">
        <v>0.98797729618163654</v>
      </c>
      <c r="AH58" s="36">
        <v>0</v>
      </c>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1"/>
      <c r="BH58" s="12">
        <f t="shared" si="7"/>
        <v>11.4</v>
      </c>
      <c r="BI58" s="12">
        <f t="shared" si="8"/>
        <v>0.11</v>
      </c>
      <c r="BJ58" s="12">
        <f t="shared" si="9"/>
        <v>0</v>
      </c>
      <c r="BK58" s="12">
        <f t="shared" si="10"/>
        <v>0</v>
      </c>
      <c r="BL58" s="12">
        <f t="shared" si="11"/>
        <v>32.020000000000003</v>
      </c>
      <c r="BM58" s="12">
        <f t="shared" si="12"/>
        <v>7.67</v>
      </c>
      <c r="BN58" s="12">
        <f t="shared" si="13"/>
        <v>4.29</v>
      </c>
      <c r="BO58" s="12">
        <f t="shared" si="14"/>
        <v>0.11</v>
      </c>
      <c r="BP58" s="12">
        <f t="shared" si="15"/>
        <v>20.39</v>
      </c>
      <c r="BQ58" s="12">
        <f t="shared" si="16"/>
        <v>7.66</v>
      </c>
      <c r="BR58" s="12">
        <f t="shared" si="17"/>
        <v>0.12</v>
      </c>
      <c r="BS58" s="12">
        <f t="shared" si="18"/>
        <v>0</v>
      </c>
      <c r="BT58" s="1"/>
      <c r="BU58" s="11">
        <f t="shared" si="19"/>
        <v>11.4</v>
      </c>
      <c r="BV58" s="11">
        <f t="shared" si="20"/>
        <v>0.11</v>
      </c>
      <c r="BW58" s="11">
        <f t="shared" si="21"/>
        <v>0</v>
      </c>
      <c r="BX58" s="11">
        <f t="shared" si="22"/>
        <v>0</v>
      </c>
      <c r="BY58" s="11">
        <f t="shared" si="23"/>
        <v>32.020000000000003</v>
      </c>
      <c r="BZ58" s="11">
        <f t="shared" si="24"/>
        <v>7.67</v>
      </c>
      <c r="CA58" s="11">
        <f t="shared" si="25"/>
        <v>4.29</v>
      </c>
      <c r="CB58" s="11">
        <f t="shared" si="26"/>
        <v>0.11</v>
      </c>
      <c r="CC58" s="11">
        <f t="shared" si="27"/>
        <v>20.39</v>
      </c>
      <c r="CD58" s="11">
        <f t="shared" si="28"/>
        <v>7.66</v>
      </c>
      <c r="CE58" s="11">
        <f t="shared" si="29"/>
        <v>0.12</v>
      </c>
      <c r="CF58" s="11">
        <f t="shared" si="30"/>
        <v>0</v>
      </c>
      <c r="CG58" s="11"/>
      <c r="CH58" s="41">
        <v>1</v>
      </c>
      <c r="CI58" s="1"/>
      <c r="CJ58" s="53">
        <f t="shared" si="31"/>
        <v>11938</v>
      </c>
      <c r="CK58" s="53">
        <f t="shared" si="32"/>
        <v>116</v>
      </c>
      <c r="CL58" s="53">
        <f t="shared" si="33"/>
        <v>0</v>
      </c>
      <c r="CM58" s="53">
        <f t="shared" si="34"/>
        <v>0</v>
      </c>
      <c r="CN58" s="53">
        <f t="shared" si="35"/>
        <v>33485</v>
      </c>
      <c r="CO58" s="53">
        <f t="shared" si="36"/>
        <v>8037</v>
      </c>
      <c r="CP58" s="53">
        <f t="shared" si="37"/>
        <v>4564</v>
      </c>
      <c r="CQ58" s="53">
        <f t="shared" si="38"/>
        <v>116</v>
      </c>
      <c r="CR58" s="53">
        <f t="shared" si="39"/>
        <v>21468</v>
      </c>
      <c r="CS58" s="53">
        <f t="shared" si="40"/>
        <v>7760</v>
      </c>
      <c r="CT58" s="53">
        <f t="shared" si="41"/>
        <v>121</v>
      </c>
      <c r="CU58" s="53">
        <f t="shared" si="42"/>
        <v>0</v>
      </c>
      <c r="CV58" s="53">
        <f t="shared" si="43"/>
        <v>87605</v>
      </c>
      <c r="CW58" s="1"/>
      <c r="CX58" s="1"/>
      <c r="CY58" s="1"/>
      <c r="CZ58" s="1"/>
      <c r="DA58" s="1"/>
      <c r="DB58" s="1"/>
      <c r="DC58" s="1"/>
      <c r="DD58" s="1"/>
      <c r="DE58" s="1"/>
      <c r="DF58" s="1"/>
      <c r="DG58" s="1"/>
      <c r="DH58" s="1"/>
      <c r="DI58" s="1"/>
      <c r="DJ58" s="1"/>
      <c r="DK58" s="1"/>
      <c r="DL58" s="1"/>
    </row>
    <row r="59" spans="1:116" ht="15.75" hidden="1" x14ac:dyDescent="0.25">
      <c r="A59" s="86"/>
      <c r="B59" s="17"/>
      <c r="C59" s="17"/>
      <c r="D59" s="17"/>
      <c r="E59" s="17"/>
      <c r="F59" s="31" t="s">
        <v>3645</v>
      </c>
      <c r="G59" s="64">
        <v>0</v>
      </c>
      <c r="H59" s="64">
        <v>28.91</v>
      </c>
      <c r="I59" s="64">
        <v>2</v>
      </c>
      <c r="J59" s="64">
        <v>0</v>
      </c>
      <c r="K59" s="64">
        <v>4.5999999999999996</v>
      </c>
      <c r="L59" s="64">
        <v>3.88</v>
      </c>
      <c r="M59" s="64">
        <v>2.14</v>
      </c>
      <c r="N59" s="64">
        <v>8.19</v>
      </c>
      <c r="O59" s="64">
        <v>10.4</v>
      </c>
      <c r="P59" s="64">
        <v>13.97</v>
      </c>
      <c r="Q59" s="64">
        <v>9.8699999999999992</v>
      </c>
      <c r="R59" s="64">
        <v>5.6</v>
      </c>
      <c r="S59" s="11">
        <f t="shared" si="1"/>
        <v>89.56</v>
      </c>
      <c r="T59" s="1"/>
      <c r="U59" s="1"/>
      <c r="V59" s="50">
        <f t="shared" si="6"/>
        <v>210733</v>
      </c>
      <c r="W59" s="36">
        <v>0</v>
      </c>
      <c r="X59" s="36">
        <v>0.42185991006041179</v>
      </c>
      <c r="Y59" s="36">
        <v>0.42482122120220306</v>
      </c>
      <c r="Z59" s="36">
        <v>0</v>
      </c>
      <c r="AA59" s="36">
        <v>0.42136395794932385</v>
      </c>
      <c r="AB59" s="36">
        <v>0.41963491009264087</v>
      </c>
      <c r="AC59" s="36">
        <v>0.41395842751431489</v>
      </c>
      <c r="AD59" s="36">
        <v>0.41625182050457354</v>
      </c>
      <c r="AE59" s="36">
        <v>0.41869394140973304</v>
      </c>
      <c r="AF59" s="36">
        <v>0.43500829081048392</v>
      </c>
      <c r="AG59" s="36">
        <v>0.43513970805006796</v>
      </c>
      <c r="AH59" s="36">
        <v>0.43574862802966752</v>
      </c>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1"/>
      <c r="BH59" s="12">
        <f t="shared" si="7"/>
        <v>0</v>
      </c>
      <c r="BI59" s="12">
        <f t="shared" si="8"/>
        <v>28.91</v>
      </c>
      <c r="BJ59" s="12">
        <f t="shared" si="9"/>
        <v>2</v>
      </c>
      <c r="BK59" s="12">
        <f t="shared" si="10"/>
        <v>0</v>
      </c>
      <c r="BL59" s="12">
        <f t="shared" si="11"/>
        <v>4.5999999999999996</v>
      </c>
      <c r="BM59" s="12">
        <f t="shared" si="12"/>
        <v>3.88</v>
      </c>
      <c r="BN59" s="12">
        <f t="shared" si="13"/>
        <v>2.14</v>
      </c>
      <c r="BO59" s="12">
        <f t="shared" si="14"/>
        <v>8.19</v>
      </c>
      <c r="BP59" s="12">
        <f t="shared" si="15"/>
        <v>10.4</v>
      </c>
      <c r="BQ59" s="12">
        <f t="shared" si="16"/>
        <v>13.97</v>
      </c>
      <c r="BR59" s="12">
        <f t="shared" si="17"/>
        <v>9.8699999999999992</v>
      </c>
      <c r="BS59" s="12">
        <f t="shared" si="18"/>
        <v>5.6</v>
      </c>
      <c r="BT59" s="1"/>
      <c r="BU59" s="11">
        <f t="shared" si="19"/>
        <v>0</v>
      </c>
      <c r="BV59" s="11">
        <f t="shared" si="20"/>
        <v>28.91</v>
      </c>
      <c r="BW59" s="11">
        <f t="shared" si="21"/>
        <v>2</v>
      </c>
      <c r="BX59" s="11">
        <f t="shared" si="22"/>
        <v>0</v>
      </c>
      <c r="BY59" s="11">
        <f t="shared" si="23"/>
        <v>4.5999999999999996</v>
      </c>
      <c r="BZ59" s="11">
        <f t="shared" si="24"/>
        <v>3.88</v>
      </c>
      <c r="CA59" s="11">
        <f t="shared" si="25"/>
        <v>2.14</v>
      </c>
      <c r="CB59" s="11">
        <f t="shared" si="26"/>
        <v>8.19</v>
      </c>
      <c r="CC59" s="11">
        <f t="shared" si="27"/>
        <v>10.4</v>
      </c>
      <c r="CD59" s="11">
        <f t="shared" si="28"/>
        <v>13.97</v>
      </c>
      <c r="CE59" s="11">
        <f t="shared" si="29"/>
        <v>9.8699999999999992</v>
      </c>
      <c r="CF59" s="11">
        <f t="shared" si="30"/>
        <v>5.6</v>
      </c>
      <c r="CG59" s="11"/>
      <c r="CH59" s="41">
        <v>1</v>
      </c>
      <c r="CI59" s="1"/>
      <c r="CJ59" s="53">
        <f t="shared" si="31"/>
        <v>0</v>
      </c>
      <c r="CK59" s="53">
        <f t="shared" si="32"/>
        <v>68530</v>
      </c>
      <c r="CL59" s="53">
        <f t="shared" si="33"/>
        <v>4708</v>
      </c>
      <c r="CM59" s="53">
        <f t="shared" si="34"/>
        <v>0</v>
      </c>
      <c r="CN59" s="53">
        <f t="shared" si="35"/>
        <v>10917</v>
      </c>
      <c r="CO59" s="53">
        <f t="shared" si="36"/>
        <v>9246</v>
      </c>
      <c r="CP59" s="53">
        <f t="shared" si="37"/>
        <v>5170</v>
      </c>
      <c r="CQ59" s="53">
        <f t="shared" si="38"/>
        <v>19676</v>
      </c>
      <c r="CR59" s="53">
        <f t="shared" si="39"/>
        <v>24839</v>
      </c>
      <c r="CS59" s="53">
        <f t="shared" si="40"/>
        <v>32114</v>
      </c>
      <c r="CT59" s="53">
        <f t="shared" si="41"/>
        <v>22682</v>
      </c>
      <c r="CU59" s="53">
        <f t="shared" si="42"/>
        <v>12851</v>
      </c>
      <c r="CV59" s="53">
        <f t="shared" si="43"/>
        <v>210733</v>
      </c>
      <c r="CW59" s="1"/>
      <c r="CX59" s="1"/>
      <c r="CY59" s="1"/>
      <c r="CZ59" s="1"/>
      <c r="DA59" s="1"/>
      <c r="DB59" s="1"/>
      <c r="DC59" s="1"/>
      <c r="DD59" s="1"/>
      <c r="DE59" s="1"/>
      <c r="DF59" s="1"/>
      <c r="DG59" s="1"/>
      <c r="DH59" s="1"/>
      <c r="DI59" s="1"/>
      <c r="DJ59" s="1"/>
      <c r="DK59" s="1"/>
      <c r="DL59" s="1"/>
    </row>
    <row r="60" spans="1:116" ht="15.75" hidden="1" x14ac:dyDescent="0.25">
      <c r="A60" s="86"/>
      <c r="B60" s="17"/>
      <c r="C60" s="17"/>
      <c r="D60" s="17"/>
      <c r="E60" s="17"/>
      <c r="F60" s="31" t="s">
        <v>3645</v>
      </c>
      <c r="G60" s="64">
        <v>0</v>
      </c>
      <c r="H60" s="64">
        <v>0</v>
      </c>
      <c r="I60" s="64">
        <v>0</v>
      </c>
      <c r="J60" s="64">
        <v>0</v>
      </c>
      <c r="K60" s="64">
        <v>23.55</v>
      </c>
      <c r="L60" s="64">
        <v>1.86</v>
      </c>
      <c r="M60" s="64">
        <v>1.1299999999999999</v>
      </c>
      <c r="N60" s="64">
        <v>2.16</v>
      </c>
      <c r="O60" s="64">
        <v>3.42</v>
      </c>
      <c r="P60" s="64">
        <v>3.31</v>
      </c>
      <c r="Q60" s="64">
        <v>4.2</v>
      </c>
      <c r="R60" s="64">
        <v>4.09</v>
      </c>
      <c r="S60" s="11">
        <f t="shared" si="1"/>
        <v>43.72</v>
      </c>
      <c r="T60" s="1"/>
      <c r="U60" s="1"/>
      <c r="V60" s="50">
        <f t="shared" si="6"/>
        <v>50021</v>
      </c>
      <c r="W60" s="36">
        <v>0</v>
      </c>
      <c r="X60" s="36">
        <v>0</v>
      </c>
      <c r="Y60" s="36">
        <v>0</v>
      </c>
      <c r="Z60" s="36">
        <v>0</v>
      </c>
      <c r="AA60" s="36">
        <v>0.86846403582319809</v>
      </c>
      <c r="AB60" s="36">
        <v>0.86288372015970138</v>
      </c>
      <c r="AC60" s="36">
        <v>0.85295821254937687</v>
      </c>
      <c r="AD60" s="36">
        <v>0.85887973997323386</v>
      </c>
      <c r="AE60" s="36">
        <v>0.86239186839496673</v>
      </c>
      <c r="AF60" s="36">
        <v>0.89512509413438301</v>
      </c>
      <c r="AG60" s="36">
        <v>0.89652562779497713</v>
      </c>
      <c r="AH60" s="36">
        <v>0.8971273966650386</v>
      </c>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1"/>
      <c r="BH60" s="12">
        <f t="shared" si="7"/>
        <v>0</v>
      </c>
      <c r="BI60" s="12">
        <f t="shared" si="8"/>
        <v>0</v>
      </c>
      <c r="BJ60" s="12">
        <f t="shared" si="9"/>
        <v>0</v>
      </c>
      <c r="BK60" s="12">
        <f t="shared" si="10"/>
        <v>0</v>
      </c>
      <c r="BL60" s="12">
        <f t="shared" si="11"/>
        <v>23.55</v>
      </c>
      <c r="BM60" s="12">
        <f t="shared" si="12"/>
        <v>1.86</v>
      </c>
      <c r="BN60" s="12">
        <f t="shared" si="13"/>
        <v>1.1299999999999999</v>
      </c>
      <c r="BO60" s="12">
        <f t="shared" si="14"/>
        <v>2.16</v>
      </c>
      <c r="BP60" s="12">
        <f t="shared" si="15"/>
        <v>3.42</v>
      </c>
      <c r="BQ60" s="12">
        <f t="shared" si="16"/>
        <v>3.31</v>
      </c>
      <c r="BR60" s="12">
        <f t="shared" si="17"/>
        <v>4.2</v>
      </c>
      <c r="BS60" s="12">
        <f t="shared" si="18"/>
        <v>4.09</v>
      </c>
      <c r="BT60" s="1"/>
      <c r="BU60" s="11">
        <f t="shared" si="19"/>
        <v>0</v>
      </c>
      <c r="BV60" s="11">
        <f t="shared" si="20"/>
        <v>0</v>
      </c>
      <c r="BW60" s="11">
        <f t="shared" si="21"/>
        <v>0</v>
      </c>
      <c r="BX60" s="11">
        <f t="shared" si="22"/>
        <v>0</v>
      </c>
      <c r="BY60" s="11">
        <f t="shared" si="23"/>
        <v>23.55</v>
      </c>
      <c r="BZ60" s="11">
        <f t="shared" si="24"/>
        <v>1.86</v>
      </c>
      <c r="CA60" s="11">
        <f t="shared" si="25"/>
        <v>1.1299999999999999</v>
      </c>
      <c r="CB60" s="11">
        <f t="shared" si="26"/>
        <v>2.16</v>
      </c>
      <c r="CC60" s="11">
        <f t="shared" si="27"/>
        <v>3.42</v>
      </c>
      <c r="CD60" s="11">
        <f t="shared" si="28"/>
        <v>3.31</v>
      </c>
      <c r="CE60" s="11">
        <f t="shared" si="29"/>
        <v>4.2</v>
      </c>
      <c r="CF60" s="11">
        <f t="shared" si="30"/>
        <v>4.09</v>
      </c>
      <c r="CG60" s="11"/>
      <c r="CH60" s="41">
        <v>1</v>
      </c>
      <c r="CI60" s="1"/>
      <c r="CJ60" s="53">
        <f t="shared" si="31"/>
        <v>0</v>
      </c>
      <c r="CK60" s="53">
        <f t="shared" si="32"/>
        <v>0</v>
      </c>
      <c r="CL60" s="53">
        <f t="shared" si="33"/>
        <v>0</v>
      </c>
      <c r="CM60" s="53">
        <f t="shared" si="34"/>
        <v>0</v>
      </c>
      <c r="CN60" s="53">
        <f t="shared" si="35"/>
        <v>27117</v>
      </c>
      <c r="CO60" s="53">
        <f t="shared" si="36"/>
        <v>2156</v>
      </c>
      <c r="CP60" s="53">
        <f t="shared" si="37"/>
        <v>1325</v>
      </c>
      <c r="CQ60" s="53">
        <f t="shared" si="38"/>
        <v>2515</v>
      </c>
      <c r="CR60" s="53">
        <f t="shared" si="39"/>
        <v>3966</v>
      </c>
      <c r="CS60" s="53">
        <f t="shared" si="40"/>
        <v>3698</v>
      </c>
      <c r="CT60" s="53">
        <f t="shared" si="41"/>
        <v>4685</v>
      </c>
      <c r="CU60" s="53">
        <f t="shared" si="42"/>
        <v>4559</v>
      </c>
      <c r="CV60" s="53">
        <f t="shared" si="43"/>
        <v>50021</v>
      </c>
      <c r="CW60" s="1"/>
      <c r="CX60" s="1"/>
      <c r="CY60" s="1"/>
      <c r="CZ60" s="1"/>
      <c r="DA60" s="1"/>
      <c r="DB60" s="1"/>
      <c r="DC60" s="1"/>
      <c r="DD60" s="1"/>
      <c r="DE60" s="1"/>
      <c r="DF60" s="1"/>
      <c r="DG60" s="1"/>
      <c r="DH60" s="1"/>
      <c r="DI60" s="1"/>
      <c r="DJ60" s="1"/>
      <c r="DK60" s="1"/>
      <c r="DL60" s="1"/>
    </row>
    <row r="61" spans="1:116" ht="15.75" hidden="1" x14ac:dyDescent="0.25">
      <c r="A61" s="86"/>
      <c r="B61" s="17"/>
      <c r="C61" s="17"/>
      <c r="D61" s="17"/>
      <c r="E61" s="17"/>
      <c r="F61" s="31" t="s">
        <v>3645</v>
      </c>
      <c r="G61" s="64">
        <v>244.54</v>
      </c>
      <c r="H61" s="64">
        <v>181.33</v>
      </c>
      <c r="I61" s="64">
        <v>185.64</v>
      </c>
      <c r="J61" s="64">
        <v>184.56</v>
      </c>
      <c r="K61" s="64">
        <v>77.97</v>
      </c>
      <c r="L61" s="64">
        <v>18.91</v>
      </c>
      <c r="M61" s="64">
        <v>9.42</v>
      </c>
      <c r="N61" s="64">
        <v>42.74</v>
      </c>
      <c r="O61" s="64">
        <v>56.66</v>
      </c>
      <c r="P61" s="64">
        <v>83.7</v>
      </c>
      <c r="Q61" s="64">
        <v>64.97</v>
      </c>
      <c r="R61" s="64">
        <v>75.680000000000007</v>
      </c>
      <c r="S61" s="11">
        <f t="shared" si="1"/>
        <v>1226.1199999999999</v>
      </c>
      <c r="T61" s="1"/>
      <c r="U61" s="1"/>
      <c r="V61" s="50">
        <f t="shared" si="6"/>
        <v>1196076</v>
      </c>
      <c r="W61" s="36">
        <v>1.0226018209051564</v>
      </c>
      <c r="X61" s="36">
        <v>1.0216695623285035</v>
      </c>
      <c r="Y61" s="36">
        <v>1.0232707537343377</v>
      </c>
      <c r="Z61" s="36">
        <v>1.0125196051777128</v>
      </c>
      <c r="AA61" s="36">
        <v>1.0204925645163163</v>
      </c>
      <c r="AB61" s="36">
        <v>1.0145701659466704</v>
      </c>
      <c r="AC61" s="36">
        <v>1.0019732048323384</v>
      </c>
      <c r="AD61" s="36">
        <v>1.0061443852043073</v>
      </c>
      <c r="AE61" s="36">
        <v>1.0138877023487023</v>
      </c>
      <c r="AF61" s="36">
        <v>1.0537901674651957</v>
      </c>
      <c r="AG61" s="36">
        <v>1.0523104687927467</v>
      </c>
      <c r="AH61" s="36">
        <v>1.0542306313505363</v>
      </c>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1"/>
      <c r="BH61" s="12">
        <f t="shared" si="7"/>
        <v>244.54</v>
      </c>
      <c r="BI61" s="12">
        <f t="shared" si="8"/>
        <v>181.33</v>
      </c>
      <c r="BJ61" s="12">
        <f t="shared" si="9"/>
        <v>185.64</v>
      </c>
      <c r="BK61" s="12">
        <f t="shared" si="10"/>
        <v>184.56</v>
      </c>
      <c r="BL61" s="12">
        <f t="shared" si="11"/>
        <v>77.97</v>
      </c>
      <c r="BM61" s="12">
        <f t="shared" si="12"/>
        <v>18.91</v>
      </c>
      <c r="BN61" s="12">
        <f t="shared" si="13"/>
        <v>9.42</v>
      </c>
      <c r="BO61" s="12">
        <f t="shared" si="14"/>
        <v>42.74</v>
      </c>
      <c r="BP61" s="12">
        <f t="shared" si="15"/>
        <v>56.66</v>
      </c>
      <c r="BQ61" s="12">
        <f t="shared" si="16"/>
        <v>83.7</v>
      </c>
      <c r="BR61" s="12">
        <f t="shared" si="17"/>
        <v>64.97</v>
      </c>
      <c r="BS61" s="12">
        <f t="shared" si="18"/>
        <v>75.680000000000007</v>
      </c>
      <c r="BT61" s="1"/>
      <c r="BU61" s="11">
        <f t="shared" si="19"/>
        <v>244.54</v>
      </c>
      <c r="BV61" s="11">
        <f t="shared" si="20"/>
        <v>181.33</v>
      </c>
      <c r="BW61" s="11">
        <f t="shared" si="21"/>
        <v>185.64</v>
      </c>
      <c r="BX61" s="11">
        <f t="shared" si="22"/>
        <v>184.56</v>
      </c>
      <c r="BY61" s="11">
        <f t="shared" si="23"/>
        <v>77.97</v>
      </c>
      <c r="BZ61" s="11">
        <f t="shared" si="24"/>
        <v>18.91</v>
      </c>
      <c r="CA61" s="11">
        <f t="shared" si="25"/>
        <v>9.42</v>
      </c>
      <c r="CB61" s="11">
        <f t="shared" si="26"/>
        <v>42.74</v>
      </c>
      <c r="CC61" s="11">
        <f t="shared" si="27"/>
        <v>56.66</v>
      </c>
      <c r="CD61" s="11">
        <f t="shared" si="28"/>
        <v>83.7</v>
      </c>
      <c r="CE61" s="11">
        <f t="shared" si="29"/>
        <v>64.97</v>
      </c>
      <c r="CF61" s="11">
        <f t="shared" si="30"/>
        <v>75.680000000000007</v>
      </c>
      <c r="CG61" s="11"/>
      <c r="CH61" s="41">
        <v>1</v>
      </c>
      <c r="CI61" s="1"/>
      <c r="CJ61" s="53">
        <f t="shared" si="31"/>
        <v>239135</v>
      </c>
      <c r="CK61" s="53">
        <f t="shared" si="32"/>
        <v>177484</v>
      </c>
      <c r="CL61" s="53">
        <f t="shared" si="33"/>
        <v>181418</v>
      </c>
      <c r="CM61" s="53">
        <f t="shared" si="34"/>
        <v>182278</v>
      </c>
      <c r="CN61" s="53">
        <f t="shared" si="35"/>
        <v>76404</v>
      </c>
      <c r="CO61" s="53">
        <f t="shared" si="36"/>
        <v>18638</v>
      </c>
      <c r="CP61" s="53">
        <f t="shared" si="37"/>
        <v>9401</v>
      </c>
      <c r="CQ61" s="53">
        <f t="shared" si="38"/>
        <v>42479</v>
      </c>
      <c r="CR61" s="53">
        <f t="shared" si="39"/>
        <v>55884</v>
      </c>
      <c r="CS61" s="53">
        <f t="shared" si="40"/>
        <v>79428</v>
      </c>
      <c r="CT61" s="53">
        <f t="shared" si="41"/>
        <v>61740</v>
      </c>
      <c r="CU61" s="53">
        <f t="shared" si="42"/>
        <v>71787</v>
      </c>
      <c r="CV61" s="53">
        <f t="shared" si="43"/>
        <v>1196076</v>
      </c>
      <c r="CW61" s="1"/>
      <c r="CX61" s="1"/>
      <c r="CY61" s="1"/>
      <c r="CZ61" s="1"/>
      <c r="DA61" s="1"/>
      <c r="DB61" s="1"/>
      <c r="DC61" s="1"/>
      <c r="DD61" s="1"/>
      <c r="DE61" s="1"/>
      <c r="DF61" s="1"/>
      <c r="DG61" s="1"/>
      <c r="DH61" s="1"/>
      <c r="DI61" s="1"/>
      <c r="DJ61" s="1"/>
      <c r="DK61" s="1"/>
      <c r="DL61" s="1"/>
    </row>
    <row r="62" spans="1:116" ht="15.75" hidden="1" x14ac:dyDescent="0.25">
      <c r="A62" s="86"/>
      <c r="B62" s="17"/>
      <c r="C62" s="17"/>
      <c r="D62" s="17"/>
      <c r="E62" s="17"/>
      <c r="F62" s="31" t="s">
        <v>3645</v>
      </c>
      <c r="G62" s="64">
        <v>0</v>
      </c>
      <c r="H62" s="64">
        <v>0</v>
      </c>
      <c r="I62" s="64">
        <v>352.52</v>
      </c>
      <c r="J62" s="64">
        <v>360.83</v>
      </c>
      <c r="K62" s="64">
        <v>95.35</v>
      </c>
      <c r="L62" s="64">
        <v>29.8</v>
      </c>
      <c r="M62" s="64">
        <v>23.58</v>
      </c>
      <c r="N62" s="64">
        <v>79.06</v>
      </c>
      <c r="O62" s="64">
        <v>155.77000000000001</v>
      </c>
      <c r="P62" s="64">
        <v>103.28</v>
      </c>
      <c r="Q62" s="64">
        <v>130.19</v>
      </c>
      <c r="R62" s="64">
        <v>94.48</v>
      </c>
      <c r="S62" s="11">
        <f t="shared" si="1"/>
        <v>1424.86</v>
      </c>
      <c r="T62" s="1"/>
      <c r="U62" s="1"/>
      <c r="V62" s="50">
        <f t="shared" si="6"/>
        <v>1236989</v>
      </c>
      <c r="W62" s="36">
        <v>0</v>
      </c>
      <c r="X62" s="36">
        <v>0</v>
      </c>
      <c r="Y62" s="36">
        <v>1.1525520629901591</v>
      </c>
      <c r="Z62" s="36">
        <v>1.1389889796277686</v>
      </c>
      <c r="AA62" s="36">
        <v>1.149537921085813</v>
      </c>
      <c r="AB62" s="36">
        <v>1.1433962189892928</v>
      </c>
      <c r="AC62" s="36">
        <v>1.129517619536986</v>
      </c>
      <c r="AD62" s="36">
        <v>1.1343636716713885</v>
      </c>
      <c r="AE62" s="36">
        <v>1.1422819319530526</v>
      </c>
      <c r="AF62" s="36">
        <v>1.1866108613073012</v>
      </c>
      <c r="AG62" s="36">
        <v>1.1852111440903401</v>
      </c>
      <c r="AH62" s="36">
        <v>1.159251315212096</v>
      </c>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1"/>
      <c r="BH62" s="12">
        <f t="shared" si="7"/>
        <v>0</v>
      </c>
      <c r="BI62" s="12">
        <f t="shared" si="8"/>
        <v>0</v>
      </c>
      <c r="BJ62" s="12">
        <f t="shared" si="9"/>
        <v>352.52</v>
      </c>
      <c r="BK62" s="12">
        <f t="shared" si="10"/>
        <v>360.83</v>
      </c>
      <c r="BL62" s="12">
        <f t="shared" si="11"/>
        <v>95.35</v>
      </c>
      <c r="BM62" s="12">
        <f t="shared" si="12"/>
        <v>29.8</v>
      </c>
      <c r="BN62" s="12">
        <f t="shared" si="13"/>
        <v>23.58</v>
      </c>
      <c r="BO62" s="12">
        <f t="shared" si="14"/>
        <v>79.06</v>
      </c>
      <c r="BP62" s="12">
        <f t="shared" si="15"/>
        <v>155.77000000000001</v>
      </c>
      <c r="BQ62" s="12">
        <f t="shared" si="16"/>
        <v>103.28</v>
      </c>
      <c r="BR62" s="12">
        <f t="shared" si="17"/>
        <v>130.19</v>
      </c>
      <c r="BS62" s="12">
        <f t="shared" si="18"/>
        <v>94.48</v>
      </c>
      <c r="BT62" s="1"/>
      <c r="BU62" s="11">
        <f t="shared" si="19"/>
        <v>0</v>
      </c>
      <c r="BV62" s="11">
        <f t="shared" si="20"/>
        <v>0</v>
      </c>
      <c r="BW62" s="11">
        <f t="shared" si="21"/>
        <v>352.52</v>
      </c>
      <c r="BX62" s="11">
        <f t="shared" si="22"/>
        <v>360.83</v>
      </c>
      <c r="BY62" s="11">
        <f t="shared" si="23"/>
        <v>95.35</v>
      </c>
      <c r="BZ62" s="11">
        <f t="shared" si="24"/>
        <v>29.8</v>
      </c>
      <c r="CA62" s="11">
        <f t="shared" si="25"/>
        <v>23.58</v>
      </c>
      <c r="CB62" s="11">
        <f t="shared" si="26"/>
        <v>79.06</v>
      </c>
      <c r="CC62" s="11">
        <f t="shared" si="27"/>
        <v>155.77000000000001</v>
      </c>
      <c r="CD62" s="11">
        <f t="shared" si="28"/>
        <v>103.28</v>
      </c>
      <c r="CE62" s="11">
        <f t="shared" si="29"/>
        <v>130.19</v>
      </c>
      <c r="CF62" s="11">
        <f t="shared" si="30"/>
        <v>94.48</v>
      </c>
      <c r="CG62" s="11"/>
      <c r="CH62" s="41">
        <v>1</v>
      </c>
      <c r="CI62" s="1"/>
      <c r="CJ62" s="53">
        <f t="shared" si="31"/>
        <v>0</v>
      </c>
      <c r="CK62" s="53">
        <f t="shared" si="32"/>
        <v>0</v>
      </c>
      <c r="CL62" s="53">
        <f t="shared" si="33"/>
        <v>305860</v>
      </c>
      <c r="CM62" s="53">
        <f t="shared" si="34"/>
        <v>316798</v>
      </c>
      <c r="CN62" s="53">
        <f t="shared" si="35"/>
        <v>82946</v>
      </c>
      <c r="CO62" s="53">
        <f t="shared" si="36"/>
        <v>26063</v>
      </c>
      <c r="CP62" s="53">
        <f t="shared" si="37"/>
        <v>20876</v>
      </c>
      <c r="CQ62" s="53">
        <f t="shared" si="38"/>
        <v>69695</v>
      </c>
      <c r="CR62" s="53">
        <f t="shared" si="39"/>
        <v>136367</v>
      </c>
      <c r="CS62" s="53">
        <f t="shared" si="40"/>
        <v>87038</v>
      </c>
      <c r="CT62" s="53">
        <f t="shared" si="41"/>
        <v>109845</v>
      </c>
      <c r="CU62" s="53">
        <f t="shared" si="42"/>
        <v>81501</v>
      </c>
      <c r="CV62" s="53">
        <f t="shared" si="43"/>
        <v>1236989</v>
      </c>
      <c r="CW62" s="1"/>
      <c r="CX62" s="1"/>
      <c r="CY62" s="1"/>
      <c r="CZ62" s="1"/>
      <c r="DA62" s="1"/>
      <c r="DB62" s="1"/>
      <c r="DC62" s="1"/>
      <c r="DD62" s="1"/>
      <c r="DE62" s="1"/>
      <c r="DF62" s="1"/>
      <c r="DG62" s="1"/>
      <c r="DH62" s="1"/>
      <c r="DI62" s="1"/>
      <c r="DJ62" s="1"/>
      <c r="DK62" s="1"/>
      <c r="DL62" s="1"/>
    </row>
    <row r="63" spans="1:116" ht="15.75" hidden="1" x14ac:dyDescent="0.25">
      <c r="A63" s="86"/>
      <c r="B63" s="17"/>
      <c r="C63" s="17"/>
      <c r="D63" s="17"/>
      <c r="E63" s="17"/>
      <c r="F63" s="31" t="s">
        <v>3645</v>
      </c>
      <c r="G63" s="64">
        <v>0</v>
      </c>
      <c r="H63" s="64">
        <v>11.69</v>
      </c>
      <c r="I63" s="64">
        <v>0</v>
      </c>
      <c r="J63" s="64">
        <v>3.62</v>
      </c>
      <c r="K63" s="64">
        <v>92.63</v>
      </c>
      <c r="L63" s="64">
        <v>0</v>
      </c>
      <c r="M63" s="64">
        <v>0</v>
      </c>
      <c r="N63" s="64">
        <v>0</v>
      </c>
      <c r="O63" s="64">
        <v>0</v>
      </c>
      <c r="P63" s="64">
        <v>0</v>
      </c>
      <c r="Q63" s="64">
        <v>48.68</v>
      </c>
      <c r="R63" s="64">
        <v>0</v>
      </c>
      <c r="S63" s="11">
        <f t="shared" si="1"/>
        <v>156.62</v>
      </c>
      <c r="T63" s="1"/>
      <c r="U63" s="1"/>
      <c r="V63" s="50">
        <f t="shared" si="6"/>
        <v>17287</v>
      </c>
      <c r="W63" s="36">
        <v>0</v>
      </c>
      <c r="X63" s="36">
        <v>9.06</v>
      </c>
      <c r="Y63" s="36">
        <v>0</v>
      </c>
      <c r="Z63" s="36">
        <v>9.06</v>
      </c>
      <c r="AA63" s="36">
        <v>9.06</v>
      </c>
      <c r="AB63" s="36">
        <v>0</v>
      </c>
      <c r="AC63" s="36">
        <v>0</v>
      </c>
      <c r="AD63" s="36">
        <v>0</v>
      </c>
      <c r="AE63" s="36">
        <v>0</v>
      </c>
      <c r="AF63" s="36">
        <v>0</v>
      </c>
      <c r="AG63" s="36">
        <v>9.0599999999999987</v>
      </c>
      <c r="AH63" s="36">
        <v>0</v>
      </c>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1"/>
      <c r="BH63" s="12">
        <f t="shared" si="7"/>
        <v>0</v>
      </c>
      <c r="BI63" s="12">
        <f t="shared" si="8"/>
        <v>11.69</v>
      </c>
      <c r="BJ63" s="12">
        <f t="shared" si="9"/>
        <v>0</v>
      </c>
      <c r="BK63" s="12">
        <f t="shared" si="10"/>
        <v>3.62</v>
      </c>
      <c r="BL63" s="12">
        <f t="shared" si="11"/>
        <v>92.63</v>
      </c>
      <c r="BM63" s="12">
        <f t="shared" si="12"/>
        <v>0</v>
      </c>
      <c r="BN63" s="12">
        <f t="shared" si="13"/>
        <v>0</v>
      </c>
      <c r="BO63" s="12">
        <f t="shared" si="14"/>
        <v>0</v>
      </c>
      <c r="BP63" s="12">
        <f t="shared" si="15"/>
        <v>0</v>
      </c>
      <c r="BQ63" s="12">
        <f t="shared" si="16"/>
        <v>0</v>
      </c>
      <c r="BR63" s="12">
        <f t="shared" si="17"/>
        <v>48.68</v>
      </c>
      <c r="BS63" s="12">
        <f t="shared" si="18"/>
        <v>0</v>
      </c>
      <c r="BT63" s="1"/>
      <c r="BU63" s="11">
        <f t="shared" si="19"/>
        <v>0</v>
      </c>
      <c r="BV63" s="11">
        <f t="shared" si="20"/>
        <v>11.69</v>
      </c>
      <c r="BW63" s="11">
        <f t="shared" si="21"/>
        <v>0</v>
      </c>
      <c r="BX63" s="11">
        <f t="shared" si="22"/>
        <v>3.62</v>
      </c>
      <c r="BY63" s="11">
        <f t="shared" si="23"/>
        <v>92.63</v>
      </c>
      <c r="BZ63" s="11">
        <f t="shared" si="24"/>
        <v>0</v>
      </c>
      <c r="CA63" s="11">
        <f t="shared" si="25"/>
        <v>0</v>
      </c>
      <c r="CB63" s="11">
        <f t="shared" si="26"/>
        <v>0</v>
      </c>
      <c r="CC63" s="11">
        <f t="shared" si="27"/>
        <v>0</v>
      </c>
      <c r="CD63" s="11">
        <f t="shared" si="28"/>
        <v>0</v>
      </c>
      <c r="CE63" s="11">
        <f t="shared" si="29"/>
        <v>48.68</v>
      </c>
      <c r="CF63" s="11">
        <f t="shared" si="30"/>
        <v>0</v>
      </c>
      <c r="CG63" s="11"/>
      <c r="CH63" s="41">
        <v>1</v>
      </c>
      <c r="CI63" s="1"/>
      <c r="CJ63" s="53">
        <f t="shared" si="31"/>
        <v>0</v>
      </c>
      <c r="CK63" s="53">
        <f t="shared" si="32"/>
        <v>1290</v>
      </c>
      <c r="CL63" s="53">
        <f t="shared" si="33"/>
        <v>0</v>
      </c>
      <c r="CM63" s="53">
        <f t="shared" si="34"/>
        <v>400</v>
      </c>
      <c r="CN63" s="53">
        <f t="shared" si="35"/>
        <v>10224</v>
      </c>
      <c r="CO63" s="53">
        <f t="shared" si="36"/>
        <v>0</v>
      </c>
      <c r="CP63" s="53">
        <f t="shared" si="37"/>
        <v>0</v>
      </c>
      <c r="CQ63" s="53">
        <f t="shared" si="38"/>
        <v>0</v>
      </c>
      <c r="CR63" s="53">
        <f t="shared" si="39"/>
        <v>0</v>
      </c>
      <c r="CS63" s="53">
        <f t="shared" si="40"/>
        <v>0</v>
      </c>
      <c r="CT63" s="53">
        <f t="shared" si="41"/>
        <v>5373</v>
      </c>
      <c r="CU63" s="53">
        <f t="shared" si="42"/>
        <v>0</v>
      </c>
      <c r="CV63" s="53">
        <f t="shared" si="43"/>
        <v>17287</v>
      </c>
      <c r="CW63" s="1"/>
      <c r="CX63" s="1"/>
      <c r="CY63" s="1"/>
      <c r="CZ63" s="1"/>
      <c r="DA63" s="1"/>
      <c r="DB63" s="1"/>
      <c r="DC63" s="1"/>
      <c r="DD63" s="1"/>
      <c r="DE63" s="1"/>
      <c r="DF63" s="1"/>
      <c r="DG63" s="1"/>
      <c r="DH63" s="1"/>
      <c r="DI63" s="1"/>
      <c r="DJ63" s="1"/>
      <c r="DK63" s="1"/>
      <c r="DL63" s="1"/>
    </row>
    <row r="64" spans="1:116" ht="15.75" hidden="1" x14ac:dyDescent="0.25">
      <c r="A64" s="86"/>
      <c r="B64" s="17"/>
      <c r="C64" s="17"/>
      <c r="D64" s="17"/>
      <c r="E64" s="17"/>
      <c r="F64" s="31" t="s">
        <v>3645</v>
      </c>
      <c r="G64" s="64">
        <v>0</v>
      </c>
      <c r="H64" s="64">
        <v>8.7899999999999991</v>
      </c>
      <c r="I64" s="64">
        <v>0</v>
      </c>
      <c r="J64" s="64">
        <v>8.7899999999999991</v>
      </c>
      <c r="K64" s="64">
        <v>43.13</v>
      </c>
      <c r="L64" s="64">
        <v>0</v>
      </c>
      <c r="M64" s="64">
        <v>0</v>
      </c>
      <c r="N64" s="64">
        <v>0</v>
      </c>
      <c r="O64" s="64">
        <v>0</v>
      </c>
      <c r="P64" s="64">
        <v>0</v>
      </c>
      <c r="Q64" s="64">
        <v>0</v>
      </c>
      <c r="R64" s="64">
        <v>0</v>
      </c>
      <c r="S64" s="11">
        <f t="shared" si="1"/>
        <v>60.71</v>
      </c>
      <c r="T64" s="1"/>
      <c r="U64" s="1"/>
      <c r="V64" s="50">
        <f t="shared" si="6"/>
        <v>35923</v>
      </c>
      <c r="W64" s="36">
        <v>0</v>
      </c>
      <c r="X64" s="36">
        <v>1.69</v>
      </c>
      <c r="Y64" s="36">
        <v>0</v>
      </c>
      <c r="Z64" s="36">
        <v>1.69</v>
      </c>
      <c r="AA64" s="36">
        <v>1.6900000000000002</v>
      </c>
      <c r="AB64" s="36">
        <v>0</v>
      </c>
      <c r="AC64" s="36">
        <v>0</v>
      </c>
      <c r="AD64" s="36">
        <v>0</v>
      </c>
      <c r="AE64" s="36">
        <v>0</v>
      </c>
      <c r="AF64" s="36">
        <v>0</v>
      </c>
      <c r="AG64" s="36">
        <v>0</v>
      </c>
      <c r="AH64" s="36">
        <v>0</v>
      </c>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1"/>
      <c r="BH64" s="12">
        <f t="shared" si="7"/>
        <v>0</v>
      </c>
      <c r="BI64" s="12">
        <f t="shared" si="8"/>
        <v>8.7899999999999991</v>
      </c>
      <c r="BJ64" s="12">
        <f t="shared" si="9"/>
        <v>0</v>
      </c>
      <c r="BK64" s="12">
        <f t="shared" si="10"/>
        <v>8.7899999999999991</v>
      </c>
      <c r="BL64" s="12">
        <f t="shared" si="11"/>
        <v>43.13</v>
      </c>
      <c r="BM64" s="12">
        <f t="shared" si="12"/>
        <v>0</v>
      </c>
      <c r="BN64" s="12">
        <f t="shared" si="13"/>
        <v>0</v>
      </c>
      <c r="BO64" s="12">
        <f t="shared" si="14"/>
        <v>0</v>
      </c>
      <c r="BP64" s="12">
        <f t="shared" si="15"/>
        <v>0</v>
      </c>
      <c r="BQ64" s="12">
        <f t="shared" si="16"/>
        <v>0</v>
      </c>
      <c r="BR64" s="12">
        <f t="shared" si="17"/>
        <v>0</v>
      </c>
      <c r="BS64" s="12">
        <f t="shared" si="18"/>
        <v>0</v>
      </c>
      <c r="BT64" s="1"/>
      <c r="BU64" s="11">
        <f t="shared" si="19"/>
        <v>0</v>
      </c>
      <c r="BV64" s="11">
        <f t="shared" si="20"/>
        <v>8.7899999999999991</v>
      </c>
      <c r="BW64" s="11">
        <f t="shared" si="21"/>
        <v>0</v>
      </c>
      <c r="BX64" s="11">
        <f t="shared" si="22"/>
        <v>8.7899999999999991</v>
      </c>
      <c r="BY64" s="11">
        <f t="shared" si="23"/>
        <v>43.13</v>
      </c>
      <c r="BZ64" s="11">
        <f t="shared" si="24"/>
        <v>0</v>
      </c>
      <c r="CA64" s="11">
        <f t="shared" si="25"/>
        <v>0</v>
      </c>
      <c r="CB64" s="11">
        <f t="shared" si="26"/>
        <v>0</v>
      </c>
      <c r="CC64" s="11">
        <f t="shared" si="27"/>
        <v>0</v>
      </c>
      <c r="CD64" s="11">
        <f t="shared" si="28"/>
        <v>0</v>
      </c>
      <c r="CE64" s="11">
        <f t="shared" si="29"/>
        <v>0</v>
      </c>
      <c r="CF64" s="11">
        <f t="shared" si="30"/>
        <v>0</v>
      </c>
      <c r="CG64" s="11"/>
      <c r="CH64" s="41">
        <v>1</v>
      </c>
      <c r="CI64" s="1"/>
      <c r="CJ64" s="53">
        <f t="shared" si="31"/>
        <v>0</v>
      </c>
      <c r="CK64" s="53">
        <f t="shared" si="32"/>
        <v>5201</v>
      </c>
      <c r="CL64" s="53">
        <f t="shared" si="33"/>
        <v>0</v>
      </c>
      <c r="CM64" s="53">
        <f t="shared" si="34"/>
        <v>5201</v>
      </c>
      <c r="CN64" s="53">
        <f t="shared" si="35"/>
        <v>25521</v>
      </c>
      <c r="CO64" s="53">
        <f t="shared" si="36"/>
        <v>0</v>
      </c>
      <c r="CP64" s="53">
        <f t="shared" si="37"/>
        <v>0</v>
      </c>
      <c r="CQ64" s="53">
        <f t="shared" si="38"/>
        <v>0</v>
      </c>
      <c r="CR64" s="53">
        <f t="shared" si="39"/>
        <v>0</v>
      </c>
      <c r="CS64" s="53">
        <f t="shared" si="40"/>
        <v>0</v>
      </c>
      <c r="CT64" s="53">
        <f t="shared" si="41"/>
        <v>0</v>
      </c>
      <c r="CU64" s="53">
        <f t="shared" si="42"/>
        <v>0</v>
      </c>
      <c r="CV64" s="53">
        <f t="shared" si="43"/>
        <v>35923</v>
      </c>
      <c r="CW64" s="1"/>
      <c r="CX64" s="1"/>
      <c r="CY64" s="1"/>
      <c r="CZ64" s="1"/>
      <c r="DA64" s="1"/>
      <c r="DB64" s="1"/>
      <c r="DC64" s="1"/>
      <c r="DD64" s="1"/>
      <c r="DE64" s="1"/>
      <c r="DF64" s="1"/>
      <c r="DG64" s="1"/>
      <c r="DH64" s="1"/>
      <c r="DI64" s="1"/>
      <c r="DJ64" s="1"/>
      <c r="DK64" s="1"/>
      <c r="DL64" s="1"/>
    </row>
    <row r="65" spans="1:116" ht="15.75" hidden="1" x14ac:dyDescent="0.25">
      <c r="A65" s="86"/>
      <c r="B65" s="17"/>
      <c r="C65" s="17"/>
      <c r="D65" s="17"/>
      <c r="E65" s="17"/>
      <c r="F65" s="31" t="s">
        <v>3645</v>
      </c>
      <c r="G65" s="64">
        <v>9.57</v>
      </c>
      <c r="H65" s="64">
        <v>0</v>
      </c>
      <c r="I65" s="64">
        <v>0</v>
      </c>
      <c r="J65" s="64">
        <v>9.57</v>
      </c>
      <c r="K65" s="64">
        <v>30.39</v>
      </c>
      <c r="L65" s="64">
        <v>0</v>
      </c>
      <c r="M65" s="64">
        <v>0</v>
      </c>
      <c r="N65" s="64">
        <v>0</v>
      </c>
      <c r="O65" s="64">
        <v>0</v>
      </c>
      <c r="P65" s="64">
        <v>0</v>
      </c>
      <c r="Q65" s="64">
        <v>0</v>
      </c>
      <c r="R65" s="64">
        <v>0</v>
      </c>
      <c r="S65" s="11">
        <f t="shared" si="1"/>
        <v>49.53</v>
      </c>
      <c r="T65" s="1"/>
      <c r="U65" s="1"/>
      <c r="V65" s="50">
        <f t="shared" si="6"/>
        <v>26918</v>
      </c>
      <c r="W65" s="36">
        <v>1.84</v>
      </c>
      <c r="X65" s="36">
        <v>0</v>
      </c>
      <c r="Y65" s="36">
        <v>0</v>
      </c>
      <c r="Z65" s="36">
        <v>1.84</v>
      </c>
      <c r="AA65" s="36">
        <v>1.8399999999999999</v>
      </c>
      <c r="AB65" s="36">
        <v>0</v>
      </c>
      <c r="AC65" s="36">
        <v>0</v>
      </c>
      <c r="AD65" s="36">
        <v>0</v>
      </c>
      <c r="AE65" s="36">
        <v>0</v>
      </c>
      <c r="AF65" s="36">
        <v>0</v>
      </c>
      <c r="AG65" s="36">
        <v>0</v>
      </c>
      <c r="AH65" s="36">
        <v>0</v>
      </c>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1"/>
      <c r="BH65" s="12">
        <f t="shared" si="7"/>
        <v>9.57</v>
      </c>
      <c r="BI65" s="12">
        <f t="shared" si="8"/>
        <v>0</v>
      </c>
      <c r="BJ65" s="12">
        <f t="shared" si="9"/>
        <v>0</v>
      </c>
      <c r="BK65" s="12">
        <f t="shared" si="10"/>
        <v>9.57</v>
      </c>
      <c r="BL65" s="12">
        <f t="shared" si="11"/>
        <v>30.39</v>
      </c>
      <c r="BM65" s="12">
        <f t="shared" si="12"/>
        <v>0</v>
      </c>
      <c r="BN65" s="12">
        <f t="shared" si="13"/>
        <v>0</v>
      </c>
      <c r="BO65" s="12">
        <f t="shared" si="14"/>
        <v>0</v>
      </c>
      <c r="BP65" s="12">
        <f t="shared" si="15"/>
        <v>0</v>
      </c>
      <c r="BQ65" s="12">
        <f t="shared" si="16"/>
        <v>0</v>
      </c>
      <c r="BR65" s="12">
        <f t="shared" si="17"/>
        <v>0</v>
      </c>
      <c r="BS65" s="12">
        <f t="shared" si="18"/>
        <v>0</v>
      </c>
      <c r="BT65" s="1"/>
      <c r="BU65" s="11">
        <f t="shared" si="19"/>
        <v>9.57</v>
      </c>
      <c r="BV65" s="11">
        <f t="shared" si="20"/>
        <v>0</v>
      </c>
      <c r="BW65" s="11">
        <f t="shared" si="21"/>
        <v>0</v>
      </c>
      <c r="BX65" s="11">
        <f t="shared" si="22"/>
        <v>9.57</v>
      </c>
      <c r="BY65" s="11">
        <f t="shared" si="23"/>
        <v>30.39</v>
      </c>
      <c r="BZ65" s="11">
        <f t="shared" si="24"/>
        <v>0</v>
      </c>
      <c r="CA65" s="11">
        <f t="shared" si="25"/>
        <v>0</v>
      </c>
      <c r="CB65" s="11">
        <f t="shared" si="26"/>
        <v>0</v>
      </c>
      <c r="CC65" s="11">
        <f t="shared" si="27"/>
        <v>0</v>
      </c>
      <c r="CD65" s="11">
        <f t="shared" si="28"/>
        <v>0</v>
      </c>
      <c r="CE65" s="11">
        <f t="shared" si="29"/>
        <v>0</v>
      </c>
      <c r="CF65" s="11">
        <f t="shared" si="30"/>
        <v>0</v>
      </c>
      <c r="CG65" s="11"/>
      <c r="CH65" s="41">
        <v>1</v>
      </c>
      <c r="CI65" s="1"/>
      <c r="CJ65" s="53">
        <f t="shared" si="31"/>
        <v>5201</v>
      </c>
      <c r="CK65" s="53">
        <f t="shared" si="32"/>
        <v>0</v>
      </c>
      <c r="CL65" s="53">
        <f t="shared" si="33"/>
        <v>0</v>
      </c>
      <c r="CM65" s="53">
        <f t="shared" si="34"/>
        <v>5201</v>
      </c>
      <c r="CN65" s="53">
        <f t="shared" si="35"/>
        <v>16516</v>
      </c>
      <c r="CO65" s="53">
        <f t="shared" si="36"/>
        <v>0</v>
      </c>
      <c r="CP65" s="53">
        <f t="shared" si="37"/>
        <v>0</v>
      </c>
      <c r="CQ65" s="53">
        <f t="shared" si="38"/>
        <v>0</v>
      </c>
      <c r="CR65" s="53">
        <f t="shared" si="39"/>
        <v>0</v>
      </c>
      <c r="CS65" s="53">
        <f t="shared" si="40"/>
        <v>0</v>
      </c>
      <c r="CT65" s="53">
        <f t="shared" si="41"/>
        <v>0</v>
      </c>
      <c r="CU65" s="53">
        <f t="shared" si="42"/>
        <v>0</v>
      </c>
      <c r="CV65" s="53">
        <f t="shared" si="43"/>
        <v>26918</v>
      </c>
      <c r="CW65" s="1"/>
      <c r="CX65" s="1"/>
      <c r="CY65" s="1"/>
      <c r="CZ65" s="1"/>
      <c r="DA65" s="1"/>
      <c r="DB65" s="1"/>
      <c r="DC65" s="1"/>
      <c r="DD65" s="1"/>
      <c r="DE65" s="1"/>
      <c r="DF65" s="1"/>
      <c r="DG65" s="1"/>
      <c r="DH65" s="1"/>
      <c r="DI65" s="1"/>
      <c r="DJ65" s="1"/>
      <c r="DK65" s="1"/>
      <c r="DL65" s="1"/>
    </row>
    <row r="66" spans="1:116" ht="15.75" hidden="1" x14ac:dyDescent="0.25">
      <c r="A66" s="86"/>
      <c r="B66" s="17"/>
      <c r="C66" s="17"/>
      <c r="D66" s="17"/>
      <c r="E66" s="17"/>
      <c r="F66" s="31" t="s">
        <v>3645</v>
      </c>
      <c r="G66" s="64">
        <v>0</v>
      </c>
      <c r="H66" s="64">
        <v>0</v>
      </c>
      <c r="I66" s="64">
        <v>0</v>
      </c>
      <c r="J66" s="64">
        <v>0</v>
      </c>
      <c r="K66" s="64">
        <v>0</v>
      </c>
      <c r="L66" s="64">
        <v>0</v>
      </c>
      <c r="M66" s="64">
        <v>0</v>
      </c>
      <c r="N66" s="64">
        <v>0</v>
      </c>
      <c r="O66" s="64">
        <v>0</v>
      </c>
      <c r="P66" s="64">
        <v>0</v>
      </c>
      <c r="Q66" s="64">
        <v>0</v>
      </c>
      <c r="R66" s="64">
        <v>0</v>
      </c>
      <c r="S66" s="11">
        <f t="shared" si="1"/>
        <v>0</v>
      </c>
      <c r="T66" s="1"/>
      <c r="U66" s="1"/>
      <c r="V66" s="50">
        <f t="shared" si="6"/>
        <v>0</v>
      </c>
      <c r="W66" s="36">
        <v>0</v>
      </c>
      <c r="X66" s="36"/>
      <c r="Y66" s="36"/>
      <c r="Z66" s="36"/>
      <c r="AA66" s="36"/>
      <c r="AB66" s="36"/>
      <c r="AC66" s="36"/>
      <c r="AD66" s="36"/>
      <c r="AE66" s="36"/>
      <c r="AF66" s="36"/>
      <c r="AG66" s="36"/>
      <c r="AH66" s="36"/>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1"/>
      <c r="BH66" s="12">
        <f t="shared" si="7"/>
        <v>0</v>
      </c>
      <c r="BI66" s="12">
        <f t="shared" si="8"/>
        <v>0</v>
      </c>
      <c r="BJ66" s="12">
        <f t="shared" si="9"/>
        <v>0</v>
      </c>
      <c r="BK66" s="12">
        <f t="shared" si="10"/>
        <v>0</v>
      </c>
      <c r="BL66" s="12">
        <f t="shared" si="11"/>
        <v>0</v>
      </c>
      <c r="BM66" s="12">
        <f t="shared" si="12"/>
        <v>0</v>
      </c>
      <c r="BN66" s="12">
        <f t="shared" si="13"/>
        <v>0</v>
      </c>
      <c r="BO66" s="12">
        <f t="shared" si="14"/>
        <v>0</v>
      </c>
      <c r="BP66" s="12">
        <f t="shared" si="15"/>
        <v>0</v>
      </c>
      <c r="BQ66" s="12">
        <f t="shared" si="16"/>
        <v>0</v>
      </c>
      <c r="BR66" s="12">
        <f t="shared" si="17"/>
        <v>0</v>
      </c>
      <c r="BS66" s="12">
        <f t="shared" si="18"/>
        <v>0</v>
      </c>
      <c r="BT66" s="1"/>
      <c r="BU66" s="11">
        <f t="shared" si="19"/>
        <v>0</v>
      </c>
      <c r="BV66" s="11">
        <f t="shared" si="20"/>
        <v>0</v>
      </c>
      <c r="BW66" s="11">
        <f t="shared" si="21"/>
        <v>0</v>
      </c>
      <c r="BX66" s="11">
        <f t="shared" si="22"/>
        <v>0</v>
      </c>
      <c r="BY66" s="11">
        <f t="shared" si="23"/>
        <v>0</v>
      </c>
      <c r="BZ66" s="11">
        <f t="shared" si="24"/>
        <v>0</v>
      </c>
      <c r="CA66" s="11">
        <f t="shared" si="25"/>
        <v>0</v>
      </c>
      <c r="CB66" s="11">
        <f t="shared" si="26"/>
        <v>0</v>
      </c>
      <c r="CC66" s="11">
        <f t="shared" si="27"/>
        <v>0</v>
      </c>
      <c r="CD66" s="11">
        <f t="shared" si="28"/>
        <v>0</v>
      </c>
      <c r="CE66" s="11">
        <f t="shared" si="29"/>
        <v>0</v>
      </c>
      <c r="CF66" s="11">
        <f t="shared" si="30"/>
        <v>0</v>
      </c>
      <c r="CG66" s="11"/>
      <c r="CH66" s="41">
        <v>1</v>
      </c>
      <c r="CI66" s="1"/>
      <c r="CJ66" s="53">
        <f t="shared" si="31"/>
        <v>0</v>
      </c>
      <c r="CK66" s="53">
        <f t="shared" si="32"/>
        <v>0</v>
      </c>
      <c r="CL66" s="53">
        <f t="shared" si="33"/>
        <v>0</v>
      </c>
      <c r="CM66" s="53">
        <f t="shared" si="34"/>
        <v>0</v>
      </c>
      <c r="CN66" s="53">
        <f t="shared" si="35"/>
        <v>0</v>
      </c>
      <c r="CO66" s="53">
        <f t="shared" si="36"/>
        <v>0</v>
      </c>
      <c r="CP66" s="53">
        <f t="shared" si="37"/>
        <v>0</v>
      </c>
      <c r="CQ66" s="53">
        <f t="shared" si="38"/>
        <v>0</v>
      </c>
      <c r="CR66" s="53">
        <f t="shared" si="39"/>
        <v>0</v>
      </c>
      <c r="CS66" s="53">
        <f t="shared" si="40"/>
        <v>0</v>
      </c>
      <c r="CT66" s="53">
        <f t="shared" si="41"/>
        <v>0</v>
      </c>
      <c r="CU66" s="53">
        <f t="shared" si="42"/>
        <v>0</v>
      </c>
      <c r="CV66" s="53">
        <f t="shared" si="43"/>
        <v>0</v>
      </c>
      <c r="CW66" s="1"/>
      <c r="CX66" s="1"/>
      <c r="CY66" s="1"/>
      <c r="CZ66" s="1"/>
      <c r="DA66" s="1"/>
      <c r="DB66" s="1"/>
      <c r="DC66" s="1"/>
      <c r="DD66" s="1"/>
      <c r="DE66" s="1"/>
      <c r="DF66" s="1"/>
      <c r="DG66" s="1"/>
      <c r="DH66" s="1"/>
      <c r="DI66" s="1"/>
      <c r="DJ66" s="1"/>
      <c r="DK66" s="1"/>
      <c r="DL66" s="1"/>
    </row>
    <row r="67" spans="1:116" ht="15.75" hidden="1" x14ac:dyDescent="0.25">
      <c r="A67" s="17"/>
      <c r="B67" s="17"/>
      <c r="C67" s="17"/>
      <c r="D67" s="17"/>
      <c r="E67" s="17"/>
      <c r="F67" s="31" t="s">
        <v>19</v>
      </c>
      <c r="G67" s="71">
        <v>19.96</v>
      </c>
      <c r="H67" s="64">
        <v>41.32</v>
      </c>
      <c r="I67" s="64">
        <v>28.7</v>
      </c>
      <c r="J67" s="64">
        <v>15.05</v>
      </c>
      <c r="K67" s="64">
        <v>16.93</v>
      </c>
      <c r="L67" s="64">
        <v>25.7</v>
      </c>
      <c r="M67" s="64">
        <v>24.64</v>
      </c>
      <c r="N67" s="64">
        <v>38.270000000000003</v>
      </c>
      <c r="O67" s="64">
        <v>39.51</v>
      </c>
      <c r="P67" s="64">
        <v>40.17</v>
      </c>
      <c r="Q67" s="64">
        <v>40.17</v>
      </c>
      <c r="R67" s="64">
        <v>22.96</v>
      </c>
      <c r="S67" s="11">
        <f t="shared" si="1"/>
        <v>353.38</v>
      </c>
      <c r="T67" s="8">
        <f t="shared" ref="T67:T91" si="44">IFERROR((S17-S67)/S67,0)</f>
        <v>5.2238383609711871E-2</v>
      </c>
      <c r="U67" s="13" t="s">
        <v>3628</v>
      </c>
      <c r="V67" s="50">
        <f t="shared" si="6"/>
        <v>307795</v>
      </c>
      <c r="W67" s="36">
        <v>3.766</v>
      </c>
      <c r="X67" s="36">
        <v>3.766</v>
      </c>
      <c r="Y67" s="36">
        <v>3.766</v>
      </c>
      <c r="Z67" s="36">
        <v>3.766</v>
      </c>
      <c r="AA67" s="36">
        <v>3.766</v>
      </c>
      <c r="AB67" s="36">
        <v>3.766</v>
      </c>
      <c r="AC67" s="36">
        <v>3.766</v>
      </c>
      <c r="AD67" s="36">
        <v>3.766</v>
      </c>
      <c r="AE67" s="36">
        <v>3.766</v>
      </c>
      <c r="AF67" s="36">
        <v>3.766</v>
      </c>
      <c r="AG67" s="36">
        <v>3.766</v>
      </c>
      <c r="AH67" s="36">
        <v>3.766</v>
      </c>
      <c r="AI67" s="39">
        <v>1.33634708931066E-2</v>
      </c>
      <c r="AJ67" s="39">
        <v>1.33634708931066E-2</v>
      </c>
      <c r="AK67" s="39">
        <v>1.33634708931066E-2</v>
      </c>
      <c r="AL67" s="39">
        <v>1.33634708931066E-2</v>
      </c>
      <c r="AM67" s="39">
        <v>1.33634708931066E-2</v>
      </c>
      <c r="AN67" s="39">
        <v>1.33634708931066E-2</v>
      </c>
      <c r="AO67" s="39">
        <v>1.33634708931066E-2</v>
      </c>
      <c r="AP67" s="39">
        <v>1.33634708931066E-2</v>
      </c>
      <c r="AQ67" s="39">
        <v>1.33634708931066E-2</v>
      </c>
      <c r="AR67" s="39">
        <v>1.33634708931066E-2</v>
      </c>
      <c r="AS67" s="39">
        <v>1.33634708931066E-2</v>
      </c>
      <c r="AT67" s="39">
        <v>1.33634708931066E-2</v>
      </c>
      <c r="AU67" s="39">
        <v>1.2392217523121999E-3</v>
      </c>
      <c r="AV67" s="39">
        <v>1.2392217523121999E-3</v>
      </c>
      <c r="AW67" s="39">
        <v>1.2392217523121999E-3</v>
      </c>
      <c r="AX67" s="39">
        <v>1.2392217523121999E-3</v>
      </c>
      <c r="AY67" s="39">
        <v>1.2392217523121999E-3</v>
      </c>
      <c r="AZ67" s="39">
        <v>1.2392217523121999E-3</v>
      </c>
      <c r="BA67" s="39">
        <v>1.2392217523121999E-3</v>
      </c>
      <c r="BB67" s="39">
        <v>1.2392217523121999E-3</v>
      </c>
      <c r="BC67" s="39">
        <v>1.2392217523121999E-3</v>
      </c>
      <c r="BD67" s="39">
        <v>1.2392217523121999E-3</v>
      </c>
      <c r="BE67" s="39">
        <v>1.2392217523121999E-3</v>
      </c>
      <c r="BF67" s="39">
        <v>1.2392217523121999E-3</v>
      </c>
      <c r="BG67" s="1"/>
      <c r="BH67" s="12">
        <f t="shared" si="7"/>
        <v>64.530680000000004</v>
      </c>
      <c r="BI67" s="12">
        <f t="shared" si="8"/>
        <v>133.58756</v>
      </c>
      <c r="BJ67" s="12">
        <f t="shared" si="9"/>
        <v>92.787099999999995</v>
      </c>
      <c r="BK67" s="12">
        <f t="shared" si="10"/>
        <v>48.656650000000006</v>
      </c>
      <c r="BL67" s="12">
        <f t="shared" si="11"/>
        <v>54.734690000000001</v>
      </c>
      <c r="BM67" s="12">
        <f t="shared" si="12"/>
        <v>83.088099999999997</v>
      </c>
      <c r="BN67" s="12">
        <f t="shared" si="13"/>
        <v>79.661120000000011</v>
      </c>
      <c r="BO67" s="12">
        <f t="shared" si="14"/>
        <v>123.72691000000002</v>
      </c>
      <c r="BP67" s="12">
        <f t="shared" si="15"/>
        <v>127.73582999999999</v>
      </c>
      <c r="BQ67" s="12">
        <f t="shared" si="16"/>
        <v>129.86961000000002</v>
      </c>
      <c r="BR67" s="12">
        <f t="shared" si="17"/>
        <v>129.86961000000002</v>
      </c>
      <c r="BS67" s="12">
        <f t="shared" si="18"/>
        <v>74.229680000000002</v>
      </c>
      <c r="BT67" s="1"/>
      <c r="BU67" s="11">
        <f t="shared" si="19"/>
        <v>65.473001686239883</v>
      </c>
      <c r="BV67" s="11">
        <f t="shared" si="20"/>
        <v>135.53829807993145</v>
      </c>
      <c r="BW67" s="11">
        <f t="shared" si="21"/>
        <v>94.142041502759739</v>
      </c>
      <c r="BX67" s="11">
        <f t="shared" si="22"/>
        <v>49.367168105105726</v>
      </c>
      <c r="BY67" s="11">
        <f t="shared" si="23"/>
        <v>55.533963855112276</v>
      </c>
      <c r="BZ67" s="11">
        <f t="shared" si="24"/>
        <v>84.301409986791825</v>
      </c>
      <c r="CA67" s="11">
        <f t="shared" si="25"/>
        <v>80.824386851149839</v>
      </c>
      <c r="CB67" s="11">
        <f t="shared" si="26"/>
        <v>125.53365603869742</v>
      </c>
      <c r="CC67" s="11">
        <f t="shared" si="27"/>
        <v>129.60111706529747</v>
      </c>
      <c r="CD67" s="11">
        <f t="shared" si="28"/>
        <v>131.76605599881043</v>
      </c>
      <c r="CE67" s="11">
        <f t="shared" si="29"/>
        <v>131.76605599881043</v>
      </c>
      <c r="CF67" s="11">
        <f t="shared" si="30"/>
        <v>75.313633202207797</v>
      </c>
      <c r="CG67" s="11"/>
      <c r="CH67" s="41">
        <v>3.2330000000000001</v>
      </c>
      <c r="CI67" s="1"/>
      <c r="CJ67" s="53">
        <f t="shared" si="31"/>
        <v>17385</v>
      </c>
      <c r="CK67" s="53">
        <f t="shared" si="32"/>
        <v>35990</v>
      </c>
      <c r="CL67" s="53">
        <f t="shared" si="33"/>
        <v>24998</v>
      </c>
      <c r="CM67" s="53">
        <f t="shared" si="34"/>
        <v>13109</v>
      </c>
      <c r="CN67" s="53">
        <f t="shared" si="35"/>
        <v>14746</v>
      </c>
      <c r="CO67" s="53">
        <f t="shared" si="36"/>
        <v>22385</v>
      </c>
      <c r="CP67" s="53">
        <f t="shared" si="37"/>
        <v>21462</v>
      </c>
      <c r="CQ67" s="53">
        <f t="shared" si="38"/>
        <v>33333</v>
      </c>
      <c r="CR67" s="53">
        <f t="shared" si="39"/>
        <v>34413</v>
      </c>
      <c r="CS67" s="53">
        <f t="shared" si="40"/>
        <v>34988</v>
      </c>
      <c r="CT67" s="53">
        <f t="shared" si="41"/>
        <v>34988</v>
      </c>
      <c r="CU67" s="53">
        <f t="shared" si="42"/>
        <v>19998</v>
      </c>
      <c r="CV67" s="53">
        <f t="shared" si="43"/>
        <v>307795</v>
      </c>
      <c r="CW67" s="1"/>
      <c r="CX67" s="1"/>
      <c r="CY67" s="1"/>
      <c r="CZ67" s="1"/>
      <c r="DA67" s="1"/>
      <c r="DB67" s="1"/>
      <c r="DC67" s="1"/>
      <c r="DD67" s="1"/>
      <c r="DE67" s="1"/>
      <c r="DF67" s="1"/>
      <c r="DG67" s="1"/>
      <c r="DH67" s="1"/>
      <c r="DI67" s="1"/>
      <c r="DJ67" s="1"/>
      <c r="DK67" s="1"/>
      <c r="DL67" s="1"/>
    </row>
    <row r="68" spans="1:116" ht="15.75" hidden="1" x14ac:dyDescent="0.25">
      <c r="A68" s="17"/>
      <c r="B68" s="17"/>
      <c r="C68" s="17"/>
      <c r="D68" s="17"/>
      <c r="E68" s="17"/>
      <c r="F68" s="31" t="s">
        <v>19</v>
      </c>
      <c r="G68" s="71">
        <v>26.44</v>
      </c>
      <c r="H68" s="64">
        <v>0</v>
      </c>
      <c r="I68" s="64">
        <v>0</v>
      </c>
      <c r="J68" s="64">
        <v>0</v>
      </c>
      <c r="K68" s="64">
        <v>0</v>
      </c>
      <c r="L68" s="64">
        <v>0</v>
      </c>
      <c r="M68" s="64">
        <v>0</v>
      </c>
      <c r="N68" s="64">
        <v>0</v>
      </c>
      <c r="O68" s="64">
        <v>0</v>
      </c>
      <c r="P68" s="64">
        <v>0</v>
      </c>
      <c r="Q68" s="64">
        <v>0</v>
      </c>
      <c r="R68" s="64">
        <v>0</v>
      </c>
      <c r="S68" s="11">
        <f t="shared" si="1"/>
        <v>26.44</v>
      </c>
      <c r="T68" s="8">
        <f t="shared" si="44"/>
        <v>0</v>
      </c>
      <c r="U68" s="13" t="s">
        <v>3628</v>
      </c>
      <c r="V68" s="50">
        <f t="shared" si="6"/>
        <v>92265</v>
      </c>
      <c r="W68" s="36">
        <v>0.94</v>
      </c>
      <c r="X68" s="36">
        <v>0.94</v>
      </c>
      <c r="Y68" s="36">
        <v>0.94</v>
      </c>
      <c r="Z68" s="36">
        <v>0.94</v>
      </c>
      <c r="AA68" s="36">
        <v>0.94</v>
      </c>
      <c r="AB68" s="36">
        <v>0.94</v>
      </c>
      <c r="AC68" s="36">
        <v>0.94</v>
      </c>
      <c r="AD68" s="36">
        <v>0.94</v>
      </c>
      <c r="AE68" s="36">
        <v>0.94</v>
      </c>
      <c r="AF68" s="36">
        <v>0.94</v>
      </c>
      <c r="AG68" s="36">
        <v>0.94</v>
      </c>
      <c r="AH68" s="36">
        <v>0.94</v>
      </c>
      <c r="AI68" s="39">
        <v>1.33634708931066E-2</v>
      </c>
      <c r="AJ68" s="39">
        <v>1.33634708931066E-2</v>
      </c>
      <c r="AK68" s="39">
        <v>1.33634708931066E-2</v>
      </c>
      <c r="AL68" s="39">
        <v>1.33634708931066E-2</v>
      </c>
      <c r="AM68" s="39">
        <v>1.33634708931066E-2</v>
      </c>
      <c r="AN68" s="39">
        <v>1.33634708931066E-2</v>
      </c>
      <c r="AO68" s="39">
        <v>1.33634708931066E-2</v>
      </c>
      <c r="AP68" s="39">
        <v>1.33634708931066E-2</v>
      </c>
      <c r="AQ68" s="39">
        <v>1.33634708931066E-2</v>
      </c>
      <c r="AR68" s="39">
        <v>1.33634708931066E-2</v>
      </c>
      <c r="AS68" s="39">
        <v>1.33634708931066E-2</v>
      </c>
      <c r="AT68" s="39">
        <v>1.33634708931066E-2</v>
      </c>
      <c r="AU68" s="39">
        <v>1.2392217523121999E-3</v>
      </c>
      <c r="AV68" s="39">
        <v>1.2392217523121999E-3</v>
      </c>
      <c r="AW68" s="39">
        <v>1.2392217523121999E-3</v>
      </c>
      <c r="AX68" s="39">
        <v>1.2392217523121999E-3</v>
      </c>
      <c r="AY68" s="39">
        <v>1.2392217523121999E-3</v>
      </c>
      <c r="AZ68" s="39">
        <v>1.2392217523121999E-3</v>
      </c>
      <c r="BA68" s="39">
        <v>1.2392217523121999E-3</v>
      </c>
      <c r="BB68" s="39">
        <v>1.2392217523121999E-3</v>
      </c>
      <c r="BC68" s="39">
        <v>1.2392217523121999E-3</v>
      </c>
      <c r="BD68" s="39">
        <v>1.2392217523121999E-3</v>
      </c>
      <c r="BE68" s="39">
        <v>1.2392217523121999E-3</v>
      </c>
      <c r="BF68" s="39">
        <v>1.2392217523121999E-3</v>
      </c>
      <c r="BG68" s="1"/>
      <c r="BH68" s="12">
        <f t="shared" si="7"/>
        <v>85.480520000000013</v>
      </c>
      <c r="BI68" s="12">
        <f t="shared" si="8"/>
        <v>0</v>
      </c>
      <c r="BJ68" s="12">
        <f t="shared" si="9"/>
        <v>0</v>
      </c>
      <c r="BK68" s="12">
        <f t="shared" si="10"/>
        <v>0</v>
      </c>
      <c r="BL68" s="12">
        <f t="shared" si="11"/>
        <v>0</v>
      </c>
      <c r="BM68" s="12">
        <f t="shared" si="12"/>
        <v>0</v>
      </c>
      <c r="BN68" s="12">
        <f t="shared" si="13"/>
        <v>0</v>
      </c>
      <c r="BO68" s="12">
        <f t="shared" si="14"/>
        <v>0</v>
      </c>
      <c r="BP68" s="12">
        <f t="shared" si="15"/>
        <v>0</v>
      </c>
      <c r="BQ68" s="12">
        <f t="shared" si="16"/>
        <v>0</v>
      </c>
      <c r="BR68" s="12">
        <f t="shared" si="17"/>
        <v>0</v>
      </c>
      <c r="BS68" s="12">
        <f t="shared" si="18"/>
        <v>0</v>
      </c>
      <c r="BT68" s="1"/>
      <c r="BU68" s="11">
        <f t="shared" si="19"/>
        <v>86.728765760730582</v>
      </c>
      <c r="BV68" s="11">
        <f t="shared" si="20"/>
        <v>0</v>
      </c>
      <c r="BW68" s="11">
        <f t="shared" si="21"/>
        <v>0</v>
      </c>
      <c r="BX68" s="11">
        <f t="shared" si="22"/>
        <v>0</v>
      </c>
      <c r="BY68" s="11">
        <f t="shared" si="23"/>
        <v>0</v>
      </c>
      <c r="BZ68" s="11">
        <f t="shared" si="24"/>
        <v>0</v>
      </c>
      <c r="CA68" s="11">
        <f t="shared" si="25"/>
        <v>0</v>
      </c>
      <c r="CB68" s="11">
        <f t="shared" si="26"/>
        <v>0</v>
      </c>
      <c r="CC68" s="11">
        <f t="shared" si="27"/>
        <v>0</v>
      </c>
      <c r="CD68" s="11">
        <f t="shared" si="28"/>
        <v>0</v>
      </c>
      <c r="CE68" s="11">
        <f t="shared" si="29"/>
        <v>0</v>
      </c>
      <c r="CF68" s="11">
        <f t="shared" si="30"/>
        <v>0</v>
      </c>
      <c r="CG68" s="11"/>
      <c r="CH68" s="41">
        <v>3.2330000000000001</v>
      </c>
      <c r="CI68" s="1"/>
      <c r="CJ68" s="53">
        <f t="shared" si="31"/>
        <v>92265</v>
      </c>
      <c r="CK68" s="53">
        <f t="shared" si="32"/>
        <v>0</v>
      </c>
      <c r="CL68" s="53">
        <f t="shared" si="33"/>
        <v>0</v>
      </c>
      <c r="CM68" s="53">
        <f t="shared" si="34"/>
        <v>0</v>
      </c>
      <c r="CN68" s="53">
        <f t="shared" si="35"/>
        <v>0</v>
      </c>
      <c r="CO68" s="53">
        <f t="shared" si="36"/>
        <v>0</v>
      </c>
      <c r="CP68" s="53">
        <f t="shared" si="37"/>
        <v>0</v>
      </c>
      <c r="CQ68" s="53">
        <f t="shared" si="38"/>
        <v>0</v>
      </c>
      <c r="CR68" s="53">
        <f t="shared" si="39"/>
        <v>0</v>
      </c>
      <c r="CS68" s="53">
        <f t="shared" si="40"/>
        <v>0</v>
      </c>
      <c r="CT68" s="53">
        <f t="shared" si="41"/>
        <v>0</v>
      </c>
      <c r="CU68" s="53">
        <f t="shared" si="42"/>
        <v>0</v>
      </c>
      <c r="CV68" s="53">
        <f t="shared" si="43"/>
        <v>92265</v>
      </c>
      <c r="CW68" s="1"/>
      <c r="CX68" s="1"/>
      <c r="CY68" s="1"/>
      <c r="CZ68" s="1"/>
      <c r="DA68" s="1"/>
      <c r="DB68" s="1"/>
      <c r="DC68" s="1"/>
      <c r="DD68" s="1"/>
      <c r="DE68" s="1"/>
      <c r="DF68" s="1"/>
      <c r="DG68" s="1"/>
      <c r="DH68" s="1"/>
      <c r="DI68" s="1"/>
      <c r="DJ68" s="1"/>
      <c r="DK68" s="1"/>
      <c r="DL68" s="1"/>
    </row>
    <row r="69" spans="1:116" ht="15.75" hidden="1" x14ac:dyDescent="0.25">
      <c r="A69" s="17"/>
      <c r="B69" s="17"/>
      <c r="C69" s="17"/>
      <c r="D69" s="17"/>
      <c r="E69" s="17"/>
      <c r="F69" s="31" t="s">
        <v>19</v>
      </c>
      <c r="G69" s="71">
        <v>0</v>
      </c>
      <c r="H69" s="64">
        <v>0</v>
      </c>
      <c r="I69" s="64">
        <v>0</v>
      </c>
      <c r="J69" s="64">
        <v>0</v>
      </c>
      <c r="K69" s="64">
        <v>0</v>
      </c>
      <c r="L69" s="64">
        <v>0</v>
      </c>
      <c r="M69" s="64">
        <v>0</v>
      </c>
      <c r="N69" s="64">
        <v>0</v>
      </c>
      <c r="O69" s="64">
        <v>0</v>
      </c>
      <c r="P69" s="64">
        <v>0</v>
      </c>
      <c r="Q69" s="64">
        <v>0</v>
      </c>
      <c r="R69" s="64">
        <v>0</v>
      </c>
      <c r="S69" s="11">
        <f t="shared" si="1"/>
        <v>0</v>
      </c>
      <c r="T69" s="8">
        <f t="shared" si="44"/>
        <v>0</v>
      </c>
      <c r="U69" s="13" t="s">
        <v>3628</v>
      </c>
      <c r="V69" s="50">
        <f t="shared" si="6"/>
        <v>0</v>
      </c>
      <c r="W69" s="36">
        <v>1.75</v>
      </c>
      <c r="X69" s="36">
        <v>1.75</v>
      </c>
      <c r="Y69" s="36">
        <v>1.75</v>
      </c>
      <c r="Z69" s="36">
        <v>1.75</v>
      </c>
      <c r="AA69" s="36">
        <v>1.75</v>
      </c>
      <c r="AB69" s="36">
        <v>1.75</v>
      </c>
      <c r="AC69" s="36">
        <v>1.75</v>
      </c>
      <c r="AD69" s="36">
        <v>1.75</v>
      </c>
      <c r="AE69" s="36">
        <v>1.75</v>
      </c>
      <c r="AF69" s="36">
        <v>1.75</v>
      </c>
      <c r="AG69" s="36">
        <v>1.75</v>
      </c>
      <c r="AH69" s="36">
        <v>1.75</v>
      </c>
      <c r="AI69" s="39">
        <v>1.33634708931066E-2</v>
      </c>
      <c r="AJ69" s="39">
        <v>1.33634708931066E-2</v>
      </c>
      <c r="AK69" s="39">
        <v>1.33634708931066E-2</v>
      </c>
      <c r="AL69" s="39">
        <v>1.33634708931066E-2</v>
      </c>
      <c r="AM69" s="39">
        <v>1.33634708931066E-2</v>
      </c>
      <c r="AN69" s="39">
        <v>1.33634708931066E-2</v>
      </c>
      <c r="AO69" s="39">
        <v>1.33634708931066E-2</v>
      </c>
      <c r="AP69" s="39">
        <v>1.33634708931066E-2</v>
      </c>
      <c r="AQ69" s="39">
        <v>1.33634708931066E-2</v>
      </c>
      <c r="AR69" s="39">
        <v>1.33634708931066E-2</v>
      </c>
      <c r="AS69" s="39">
        <v>1.33634708931066E-2</v>
      </c>
      <c r="AT69" s="39">
        <v>1.33634708931066E-2</v>
      </c>
      <c r="AU69" s="39">
        <v>1.2392217523121999E-3</v>
      </c>
      <c r="AV69" s="39">
        <v>1.2392217523121999E-3</v>
      </c>
      <c r="AW69" s="39">
        <v>1.2392217523121999E-3</v>
      </c>
      <c r="AX69" s="39">
        <v>1.2392217523121999E-3</v>
      </c>
      <c r="AY69" s="39">
        <v>1.2392217523121999E-3</v>
      </c>
      <c r="AZ69" s="39">
        <v>1.2392217523121999E-3</v>
      </c>
      <c r="BA69" s="39">
        <v>1.2392217523121999E-3</v>
      </c>
      <c r="BB69" s="39">
        <v>1.2392217523121999E-3</v>
      </c>
      <c r="BC69" s="39">
        <v>1.2392217523121999E-3</v>
      </c>
      <c r="BD69" s="39">
        <v>1.2392217523121999E-3</v>
      </c>
      <c r="BE69" s="39">
        <v>1.2392217523121999E-3</v>
      </c>
      <c r="BF69" s="39">
        <v>1.2392217523121999E-3</v>
      </c>
      <c r="BG69" s="1"/>
      <c r="BH69" s="12">
        <f t="shared" si="7"/>
        <v>0</v>
      </c>
      <c r="BI69" s="12">
        <f t="shared" si="8"/>
        <v>0</v>
      </c>
      <c r="BJ69" s="12">
        <f t="shared" si="9"/>
        <v>0</v>
      </c>
      <c r="BK69" s="12">
        <f t="shared" si="10"/>
        <v>0</v>
      </c>
      <c r="BL69" s="12">
        <f t="shared" si="11"/>
        <v>0</v>
      </c>
      <c r="BM69" s="12">
        <f t="shared" si="12"/>
        <v>0</v>
      </c>
      <c r="BN69" s="12">
        <f t="shared" si="13"/>
        <v>0</v>
      </c>
      <c r="BO69" s="12">
        <f t="shared" si="14"/>
        <v>0</v>
      </c>
      <c r="BP69" s="12">
        <f t="shared" si="15"/>
        <v>0</v>
      </c>
      <c r="BQ69" s="12">
        <f t="shared" si="16"/>
        <v>0</v>
      </c>
      <c r="BR69" s="12">
        <f t="shared" si="17"/>
        <v>0</v>
      </c>
      <c r="BS69" s="12">
        <f t="shared" si="18"/>
        <v>0</v>
      </c>
      <c r="BT69" s="1"/>
      <c r="BU69" s="11">
        <f t="shared" si="19"/>
        <v>0</v>
      </c>
      <c r="BV69" s="11">
        <f t="shared" si="20"/>
        <v>0</v>
      </c>
      <c r="BW69" s="11">
        <f t="shared" si="21"/>
        <v>0</v>
      </c>
      <c r="BX69" s="11">
        <f t="shared" si="22"/>
        <v>0</v>
      </c>
      <c r="BY69" s="11">
        <f t="shared" si="23"/>
        <v>0</v>
      </c>
      <c r="BZ69" s="11">
        <f t="shared" si="24"/>
        <v>0</v>
      </c>
      <c r="CA69" s="11">
        <f t="shared" si="25"/>
        <v>0</v>
      </c>
      <c r="CB69" s="11">
        <f t="shared" si="26"/>
        <v>0</v>
      </c>
      <c r="CC69" s="11">
        <f t="shared" si="27"/>
        <v>0</v>
      </c>
      <c r="CD69" s="11">
        <f t="shared" si="28"/>
        <v>0</v>
      </c>
      <c r="CE69" s="11">
        <f t="shared" si="29"/>
        <v>0</v>
      </c>
      <c r="CF69" s="11">
        <f t="shared" si="30"/>
        <v>0</v>
      </c>
      <c r="CG69" s="11"/>
      <c r="CH69" s="41">
        <v>3.2330000000000001</v>
      </c>
      <c r="CI69" s="1"/>
      <c r="CJ69" s="53">
        <f t="shared" si="31"/>
        <v>0</v>
      </c>
      <c r="CK69" s="53">
        <f t="shared" si="32"/>
        <v>0</v>
      </c>
      <c r="CL69" s="53">
        <f t="shared" si="33"/>
        <v>0</v>
      </c>
      <c r="CM69" s="53">
        <f t="shared" si="34"/>
        <v>0</v>
      </c>
      <c r="CN69" s="53">
        <f t="shared" si="35"/>
        <v>0</v>
      </c>
      <c r="CO69" s="53">
        <f t="shared" si="36"/>
        <v>0</v>
      </c>
      <c r="CP69" s="53">
        <f t="shared" si="37"/>
        <v>0</v>
      </c>
      <c r="CQ69" s="53">
        <f t="shared" si="38"/>
        <v>0</v>
      </c>
      <c r="CR69" s="53">
        <f t="shared" si="39"/>
        <v>0</v>
      </c>
      <c r="CS69" s="53">
        <f t="shared" si="40"/>
        <v>0</v>
      </c>
      <c r="CT69" s="53">
        <f t="shared" si="41"/>
        <v>0</v>
      </c>
      <c r="CU69" s="53">
        <f t="shared" si="42"/>
        <v>0</v>
      </c>
      <c r="CV69" s="53">
        <f t="shared" si="43"/>
        <v>0</v>
      </c>
      <c r="CW69" s="1"/>
      <c r="CX69" s="1"/>
      <c r="CY69" s="1"/>
      <c r="CZ69" s="1"/>
      <c r="DA69" s="1"/>
      <c r="DB69" s="1"/>
      <c r="DC69" s="1"/>
      <c r="DD69" s="1"/>
      <c r="DE69" s="1"/>
      <c r="DF69" s="1"/>
      <c r="DG69" s="1"/>
      <c r="DH69" s="1"/>
      <c r="DI69" s="1"/>
      <c r="DJ69" s="1"/>
      <c r="DK69" s="1"/>
      <c r="DL69" s="1"/>
    </row>
    <row r="70" spans="1:116" ht="15.75" hidden="1" x14ac:dyDescent="0.25">
      <c r="A70" s="17"/>
      <c r="B70" s="17"/>
      <c r="C70" s="17"/>
      <c r="D70" s="17"/>
      <c r="E70" s="17"/>
      <c r="F70" s="31" t="s">
        <v>19</v>
      </c>
      <c r="G70" s="71">
        <v>5.86</v>
      </c>
      <c r="H70" s="64">
        <v>5.55</v>
      </c>
      <c r="I70" s="64">
        <v>10.82</v>
      </c>
      <c r="J70" s="64">
        <v>7.21</v>
      </c>
      <c r="K70" s="64">
        <v>5.05</v>
      </c>
      <c r="L70" s="64">
        <v>5.32</v>
      </c>
      <c r="M70" s="64">
        <v>5.32</v>
      </c>
      <c r="N70" s="64">
        <v>8.56</v>
      </c>
      <c r="O70" s="64">
        <v>11.45</v>
      </c>
      <c r="P70" s="64">
        <v>12.26</v>
      </c>
      <c r="Q70" s="64">
        <v>14.43</v>
      </c>
      <c r="R70" s="64">
        <v>10.82</v>
      </c>
      <c r="S70" s="11">
        <f t="shared" si="1"/>
        <v>102.65</v>
      </c>
      <c r="T70" s="8">
        <f t="shared" si="44"/>
        <v>0.1118363370677057</v>
      </c>
      <c r="U70" s="13" t="s">
        <v>3628</v>
      </c>
      <c r="V70" s="50">
        <f t="shared" si="6"/>
        <v>147007</v>
      </c>
      <c r="W70" s="36">
        <v>1.82</v>
      </c>
      <c r="X70" s="36">
        <v>1.82</v>
      </c>
      <c r="Y70" s="36">
        <v>2.367</v>
      </c>
      <c r="Z70" s="36">
        <v>2.367</v>
      </c>
      <c r="AA70" s="36">
        <v>2.367</v>
      </c>
      <c r="AB70" s="36">
        <v>2.367</v>
      </c>
      <c r="AC70" s="36">
        <v>2.367</v>
      </c>
      <c r="AD70" s="36">
        <v>2.367</v>
      </c>
      <c r="AE70" s="36">
        <v>2.367</v>
      </c>
      <c r="AF70" s="36">
        <v>2.367</v>
      </c>
      <c r="AG70" s="36">
        <v>2.367</v>
      </c>
      <c r="AH70" s="36">
        <v>2.367</v>
      </c>
      <c r="AI70" s="39">
        <v>1.33634708931066E-2</v>
      </c>
      <c r="AJ70" s="39">
        <v>1.33634708931066E-2</v>
      </c>
      <c r="AK70" s="39">
        <v>1.33634708931066E-2</v>
      </c>
      <c r="AL70" s="39">
        <v>1.33634708931066E-2</v>
      </c>
      <c r="AM70" s="39">
        <v>1.33634708931066E-2</v>
      </c>
      <c r="AN70" s="39">
        <v>1.33634708931066E-2</v>
      </c>
      <c r="AO70" s="39">
        <v>1.33634708931066E-2</v>
      </c>
      <c r="AP70" s="39">
        <v>1.33634708931066E-2</v>
      </c>
      <c r="AQ70" s="39">
        <v>1.33634708931066E-2</v>
      </c>
      <c r="AR70" s="39">
        <v>1.33634708931066E-2</v>
      </c>
      <c r="AS70" s="39">
        <v>1.33634708931066E-2</v>
      </c>
      <c r="AT70" s="39">
        <v>1.33634708931066E-2</v>
      </c>
      <c r="AU70" s="39">
        <v>1.2392217523121999E-3</v>
      </c>
      <c r="AV70" s="39">
        <v>1.2392217523121999E-3</v>
      </c>
      <c r="AW70" s="39">
        <v>1.2392217523121999E-3</v>
      </c>
      <c r="AX70" s="39">
        <v>1.2392217523121999E-3</v>
      </c>
      <c r="AY70" s="39">
        <v>1.2392217523121999E-3</v>
      </c>
      <c r="AZ70" s="39">
        <v>1.2392217523121999E-3</v>
      </c>
      <c r="BA70" s="39">
        <v>1.2392217523121999E-3</v>
      </c>
      <c r="BB70" s="39">
        <v>1.2392217523121999E-3</v>
      </c>
      <c r="BC70" s="39">
        <v>1.2392217523121999E-3</v>
      </c>
      <c r="BD70" s="39">
        <v>1.2392217523121999E-3</v>
      </c>
      <c r="BE70" s="39">
        <v>1.2392217523121999E-3</v>
      </c>
      <c r="BF70" s="39">
        <v>1.2392217523121999E-3</v>
      </c>
      <c r="BG70" s="1"/>
      <c r="BH70" s="12">
        <f t="shared" si="7"/>
        <v>18.94538</v>
      </c>
      <c r="BI70" s="12">
        <f t="shared" si="8"/>
        <v>17.943149999999999</v>
      </c>
      <c r="BJ70" s="12">
        <f t="shared" si="9"/>
        <v>34.981059999999999</v>
      </c>
      <c r="BK70" s="12">
        <f t="shared" si="10"/>
        <v>23.309930000000001</v>
      </c>
      <c r="BL70" s="12">
        <f t="shared" si="11"/>
        <v>16.326650000000001</v>
      </c>
      <c r="BM70" s="12">
        <f t="shared" si="12"/>
        <v>17.199560000000002</v>
      </c>
      <c r="BN70" s="12">
        <f t="shared" si="13"/>
        <v>17.199560000000002</v>
      </c>
      <c r="BO70" s="12">
        <f t="shared" si="14"/>
        <v>27.674480000000003</v>
      </c>
      <c r="BP70" s="12">
        <f t="shared" si="15"/>
        <v>37.017849999999996</v>
      </c>
      <c r="BQ70" s="12">
        <f t="shared" si="16"/>
        <v>39.636580000000002</v>
      </c>
      <c r="BR70" s="12">
        <f t="shared" si="17"/>
        <v>46.652189999999997</v>
      </c>
      <c r="BS70" s="12">
        <f t="shared" si="18"/>
        <v>34.981059999999999</v>
      </c>
      <c r="BT70" s="1"/>
      <c r="BU70" s="11">
        <f t="shared" si="19"/>
        <v>19.222033561190663</v>
      </c>
      <c r="BV70" s="11">
        <f t="shared" si="20"/>
        <v>18.205168304540646</v>
      </c>
      <c r="BW70" s="11">
        <f t="shared" si="21"/>
        <v>35.491877667590956</v>
      </c>
      <c r="BX70" s="11">
        <f t="shared" si="22"/>
        <v>23.650317743376227</v>
      </c>
      <c r="BY70" s="11">
        <f t="shared" si="23"/>
        <v>16.565063051879328</v>
      </c>
      <c r="BZ70" s="11">
        <f t="shared" si="24"/>
        <v>17.450719888316442</v>
      </c>
      <c r="CA70" s="11">
        <f t="shared" si="25"/>
        <v>17.450719888316442</v>
      </c>
      <c r="CB70" s="11">
        <f t="shared" si="26"/>
        <v>28.078601925561792</v>
      </c>
      <c r="CC70" s="11">
        <f t="shared" si="27"/>
        <v>37.558410285944213</v>
      </c>
      <c r="CD70" s="11">
        <f t="shared" si="28"/>
        <v>40.215380795255555</v>
      </c>
      <c r="CE70" s="11">
        <f t="shared" si="29"/>
        <v>47.333437591805676</v>
      </c>
      <c r="CF70" s="11">
        <f t="shared" si="30"/>
        <v>35.491877667590956</v>
      </c>
      <c r="CG70" s="11"/>
      <c r="CH70" s="41">
        <v>3.2330000000000001</v>
      </c>
      <c r="CI70" s="1"/>
      <c r="CJ70" s="53">
        <f t="shared" si="31"/>
        <v>10562</v>
      </c>
      <c r="CK70" s="53">
        <f t="shared" si="32"/>
        <v>10003</v>
      </c>
      <c r="CL70" s="53">
        <f t="shared" si="33"/>
        <v>14994</v>
      </c>
      <c r="CM70" s="53">
        <f t="shared" si="34"/>
        <v>9992</v>
      </c>
      <c r="CN70" s="53">
        <f t="shared" si="35"/>
        <v>6998</v>
      </c>
      <c r="CO70" s="53">
        <f t="shared" si="36"/>
        <v>7373</v>
      </c>
      <c r="CP70" s="53">
        <f t="shared" si="37"/>
        <v>7373</v>
      </c>
      <c r="CQ70" s="53">
        <f t="shared" si="38"/>
        <v>11863</v>
      </c>
      <c r="CR70" s="53">
        <f t="shared" si="39"/>
        <v>15868</v>
      </c>
      <c r="CS70" s="53">
        <f t="shared" si="40"/>
        <v>16990</v>
      </c>
      <c r="CT70" s="53">
        <f t="shared" si="41"/>
        <v>19997</v>
      </c>
      <c r="CU70" s="53">
        <f t="shared" si="42"/>
        <v>14994</v>
      </c>
      <c r="CV70" s="53">
        <f t="shared" si="43"/>
        <v>147007</v>
      </c>
      <c r="CW70" s="1"/>
      <c r="CX70" s="1"/>
      <c r="CY70" s="1"/>
      <c r="CZ70" s="1"/>
      <c r="DA70" s="1"/>
      <c r="DB70" s="1"/>
      <c r="DC70" s="1"/>
      <c r="DD70" s="1"/>
      <c r="DE70" s="1"/>
      <c r="DF70" s="1"/>
      <c r="DG70" s="1"/>
      <c r="DH70" s="1"/>
      <c r="DI70" s="1"/>
      <c r="DJ70" s="1"/>
      <c r="DK70" s="1"/>
      <c r="DL70" s="1"/>
    </row>
    <row r="71" spans="1:116" ht="15.75" hidden="1" x14ac:dyDescent="0.25">
      <c r="A71" s="17"/>
      <c r="B71" s="17"/>
      <c r="C71" s="17"/>
      <c r="D71" s="17"/>
      <c r="E71" s="17"/>
      <c r="F71" s="31" t="s">
        <v>19</v>
      </c>
      <c r="G71" s="71">
        <v>3.42</v>
      </c>
      <c r="H71" s="64">
        <v>0</v>
      </c>
      <c r="I71" s="64">
        <v>0</v>
      </c>
      <c r="J71" s="64">
        <v>0</v>
      </c>
      <c r="K71" s="64">
        <v>0</v>
      </c>
      <c r="L71" s="64">
        <v>0</v>
      </c>
      <c r="M71" s="64">
        <v>0</v>
      </c>
      <c r="N71" s="64">
        <v>0</v>
      </c>
      <c r="O71" s="64">
        <v>0</v>
      </c>
      <c r="P71" s="64">
        <v>0</v>
      </c>
      <c r="Q71" s="64">
        <v>0</v>
      </c>
      <c r="R71" s="64">
        <v>0</v>
      </c>
      <c r="S71" s="11">
        <f t="shared" si="1"/>
        <v>3.42</v>
      </c>
      <c r="T71" s="8">
        <f t="shared" si="44"/>
        <v>0</v>
      </c>
      <c r="U71" s="13" t="s">
        <v>3628</v>
      </c>
      <c r="V71" s="50">
        <f t="shared" si="6"/>
        <v>7534</v>
      </c>
      <c r="W71" s="36">
        <v>1.4890000000000001</v>
      </c>
      <c r="X71" s="36">
        <v>1.4890000000000001</v>
      </c>
      <c r="Y71" s="36">
        <v>1.9370000000000001</v>
      </c>
      <c r="Z71" s="36">
        <v>1.9370000000000001</v>
      </c>
      <c r="AA71" s="36">
        <v>1.9370000000000001</v>
      </c>
      <c r="AB71" s="36">
        <v>1.9370000000000001</v>
      </c>
      <c r="AC71" s="36">
        <v>1.9370000000000001</v>
      </c>
      <c r="AD71" s="36">
        <v>1.9370000000000001</v>
      </c>
      <c r="AE71" s="36">
        <v>1.9370000000000001</v>
      </c>
      <c r="AF71" s="36">
        <v>1.9370000000000001</v>
      </c>
      <c r="AG71" s="36">
        <v>1.9370000000000001</v>
      </c>
      <c r="AH71" s="36">
        <v>1.9370000000000001</v>
      </c>
      <c r="AI71" s="39">
        <v>1.33634708931066E-2</v>
      </c>
      <c r="AJ71" s="39">
        <v>1.33634708931066E-2</v>
      </c>
      <c r="AK71" s="39">
        <v>1.33634708931066E-2</v>
      </c>
      <c r="AL71" s="39">
        <v>1.33634708931066E-2</v>
      </c>
      <c r="AM71" s="39">
        <v>1.33634708931066E-2</v>
      </c>
      <c r="AN71" s="39">
        <v>1.33634708931066E-2</v>
      </c>
      <c r="AO71" s="39">
        <v>1.33634708931066E-2</v>
      </c>
      <c r="AP71" s="39">
        <v>1.33634708931066E-2</v>
      </c>
      <c r="AQ71" s="39">
        <v>1.33634708931066E-2</v>
      </c>
      <c r="AR71" s="39">
        <v>1.33634708931066E-2</v>
      </c>
      <c r="AS71" s="39">
        <v>1.33634708931066E-2</v>
      </c>
      <c r="AT71" s="39">
        <v>1.33634708931066E-2</v>
      </c>
      <c r="AU71" s="39">
        <v>1.2392217523121999E-3</v>
      </c>
      <c r="AV71" s="39">
        <v>1.2392217523121999E-3</v>
      </c>
      <c r="AW71" s="39">
        <v>1.2392217523121999E-3</v>
      </c>
      <c r="AX71" s="39">
        <v>1.2392217523121999E-3</v>
      </c>
      <c r="AY71" s="39">
        <v>1.2392217523121999E-3</v>
      </c>
      <c r="AZ71" s="39">
        <v>1.2392217523121999E-3</v>
      </c>
      <c r="BA71" s="39">
        <v>1.2392217523121999E-3</v>
      </c>
      <c r="BB71" s="39">
        <v>1.2392217523121999E-3</v>
      </c>
      <c r="BC71" s="39">
        <v>1.2392217523121999E-3</v>
      </c>
      <c r="BD71" s="39">
        <v>1.2392217523121999E-3</v>
      </c>
      <c r="BE71" s="39">
        <v>1.2392217523121999E-3</v>
      </c>
      <c r="BF71" s="39">
        <v>1.2392217523121999E-3</v>
      </c>
      <c r="BG71" s="1"/>
      <c r="BH71" s="12">
        <f t="shared" si="7"/>
        <v>11.05686</v>
      </c>
      <c r="BI71" s="12">
        <f t="shared" si="8"/>
        <v>0</v>
      </c>
      <c r="BJ71" s="12">
        <f t="shared" si="9"/>
        <v>0</v>
      </c>
      <c r="BK71" s="12">
        <f t="shared" si="10"/>
        <v>0</v>
      </c>
      <c r="BL71" s="12">
        <f t="shared" si="11"/>
        <v>0</v>
      </c>
      <c r="BM71" s="12">
        <f t="shared" si="12"/>
        <v>0</v>
      </c>
      <c r="BN71" s="12">
        <f t="shared" si="13"/>
        <v>0</v>
      </c>
      <c r="BO71" s="12">
        <f t="shared" si="14"/>
        <v>0</v>
      </c>
      <c r="BP71" s="12">
        <f t="shared" si="15"/>
        <v>0</v>
      </c>
      <c r="BQ71" s="12">
        <f t="shared" si="16"/>
        <v>0</v>
      </c>
      <c r="BR71" s="12">
        <f t="shared" si="17"/>
        <v>0</v>
      </c>
      <c r="BS71" s="12">
        <f t="shared" si="18"/>
        <v>0</v>
      </c>
      <c r="BT71" s="1"/>
      <c r="BU71" s="11">
        <f t="shared" si="19"/>
        <v>11.218319928203426</v>
      </c>
      <c r="BV71" s="11">
        <f t="shared" si="20"/>
        <v>0</v>
      </c>
      <c r="BW71" s="11">
        <f t="shared" si="21"/>
        <v>0</v>
      </c>
      <c r="BX71" s="11">
        <f t="shared" si="22"/>
        <v>0</v>
      </c>
      <c r="BY71" s="11">
        <f t="shared" si="23"/>
        <v>0</v>
      </c>
      <c r="BZ71" s="11">
        <f t="shared" si="24"/>
        <v>0</v>
      </c>
      <c r="CA71" s="11">
        <f t="shared" si="25"/>
        <v>0</v>
      </c>
      <c r="CB71" s="11">
        <f t="shared" si="26"/>
        <v>0</v>
      </c>
      <c r="CC71" s="11">
        <f t="shared" si="27"/>
        <v>0</v>
      </c>
      <c r="CD71" s="11">
        <f t="shared" si="28"/>
        <v>0</v>
      </c>
      <c r="CE71" s="11">
        <f t="shared" si="29"/>
        <v>0</v>
      </c>
      <c r="CF71" s="11">
        <f t="shared" si="30"/>
        <v>0</v>
      </c>
      <c r="CG71" s="11"/>
      <c r="CH71" s="41">
        <v>3.2330000000000001</v>
      </c>
      <c r="CI71" s="1"/>
      <c r="CJ71" s="53">
        <f t="shared" si="31"/>
        <v>7534</v>
      </c>
      <c r="CK71" s="53">
        <f t="shared" si="32"/>
        <v>0</v>
      </c>
      <c r="CL71" s="53">
        <f t="shared" si="33"/>
        <v>0</v>
      </c>
      <c r="CM71" s="53">
        <f t="shared" si="34"/>
        <v>0</v>
      </c>
      <c r="CN71" s="53">
        <f t="shared" si="35"/>
        <v>0</v>
      </c>
      <c r="CO71" s="53">
        <f t="shared" si="36"/>
        <v>0</v>
      </c>
      <c r="CP71" s="53">
        <f t="shared" si="37"/>
        <v>0</v>
      </c>
      <c r="CQ71" s="53">
        <f t="shared" si="38"/>
        <v>0</v>
      </c>
      <c r="CR71" s="53">
        <f t="shared" si="39"/>
        <v>0</v>
      </c>
      <c r="CS71" s="53">
        <f t="shared" si="40"/>
        <v>0</v>
      </c>
      <c r="CT71" s="53">
        <f t="shared" si="41"/>
        <v>0</v>
      </c>
      <c r="CU71" s="53">
        <f t="shared" si="42"/>
        <v>0</v>
      </c>
      <c r="CV71" s="53">
        <f t="shared" si="43"/>
        <v>7534</v>
      </c>
      <c r="CW71" s="1"/>
      <c r="CX71" s="1"/>
      <c r="CY71" s="1"/>
      <c r="CZ71" s="1"/>
      <c r="DA71" s="1"/>
      <c r="DB71" s="1"/>
      <c r="DC71" s="1"/>
      <c r="DD71" s="1"/>
      <c r="DE71" s="1"/>
      <c r="DF71" s="1"/>
      <c r="DG71" s="1"/>
      <c r="DH71" s="1"/>
      <c r="DI71" s="1"/>
      <c r="DJ71" s="1"/>
      <c r="DK71" s="1"/>
      <c r="DL71" s="1"/>
    </row>
    <row r="72" spans="1:116" ht="15.75" hidden="1" x14ac:dyDescent="0.25">
      <c r="A72" s="17"/>
      <c r="B72" s="17"/>
      <c r="C72" s="17"/>
      <c r="D72" s="17"/>
      <c r="E72" s="17"/>
      <c r="F72" s="31" t="s">
        <v>19</v>
      </c>
      <c r="G72" s="71">
        <v>95.27</v>
      </c>
      <c r="H72" s="64">
        <v>97</v>
      </c>
      <c r="I72" s="64">
        <v>48.63</v>
      </c>
      <c r="J72" s="64">
        <v>72.94</v>
      </c>
      <c r="K72" s="64">
        <v>72.94</v>
      </c>
      <c r="L72" s="64">
        <v>72.94</v>
      </c>
      <c r="M72" s="64">
        <v>72.94</v>
      </c>
      <c r="N72" s="64">
        <v>97.25</v>
      </c>
      <c r="O72" s="64">
        <v>97.25</v>
      </c>
      <c r="P72" s="64">
        <v>97.25</v>
      </c>
      <c r="Q72" s="64">
        <v>97.25</v>
      </c>
      <c r="R72" s="64">
        <v>81.040000000000006</v>
      </c>
      <c r="S72" s="11">
        <f t="shared" si="1"/>
        <v>1002.6999999999999</v>
      </c>
      <c r="T72" s="8">
        <f t="shared" si="44"/>
        <v>0.13072703700009977</v>
      </c>
      <c r="U72" s="13" t="s">
        <v>3628</v>
      </c>
      <c r="V72" s="50">
        <f t="shared" si="6"/>
        <v>1316855</v>
      </c>
      <c r="W72" s="36">
        <v>1.9890000000000001</v>
      </c>
      <c r="X72" s="36">
        <v>1.9890000000000001</v>
      </c>
      <c r="Y72" s="36">
        <v>2.6589999999999998</v>
      </c>
      <c r="Z72" s="36">
        <v>2.6589999999999998</v>
      </c>
      <c r="AA72" s="36">
        <v>2.6589999999999998</v>
      </c>
      <c r="AB72" s="36">
        <v>2.6589999999999998</v>
      </c>
      <c r="AC72" s="36">
        <v>2.6589999999999998</v>
      </c>
      <c r="AD72" s="36">
        <v>2.6589999999999998</v>
      </c>
      <c r="AE72" s="36">
        <v>2.6589999999999998</v>
      </c>
      <c r="AF72" s="36">
        <v>2.6589999999999998</v>
      </c>
      <c r="AG72" s="36">
        <v>2.6589999999999998</v>
      </c>
      <c r="AH72" s="36">
        <v>2.6589999999999998</v>
      </c>
      <c r="AI72" s="39">
        <v>1.33634708931066E-2</v>
      </c>
      <c r="AJ72" s="39">
        <v>1.33634708931066E-2</v>
      </c>
      <c r="AK72" s="39">
        <v>1.33634708931066E-2</v>
      </c>
      <c r="AL72" s="39">
        <v>1.33634708931066E-2</v>
      </c>
      <c r="AM72" s="39">
        <v>1.33634708931066E-2</v>
      </c>
      <c r="AN72" s="39">
        <v>1.33634708931066E-2</v>
      </c>
      <c r="AO72" s="39">
        <v>1.33634708931066E-2</v>
      </c>
      <c r="AP72" s="39">
        <v>1.33634708931066E-2</v>
      </c>
      <c r="AQ72" s="39">
        <v>1.33634708931066E-2</v>
      </c>
      <c r="AR72" s="39">
        <v>1.33634708931066E-2</v>
      </c>
      <c r="AS72" s="39">
        <v>1.33634708931066E-2</v>
      </c>
      <c r="AT72" s="39">
        <v>1.33634708931066E-2</v>
      </c>
      <c r="AU72" s="39">
        <v>1.2392217523121999E-3</v>
      </c>
      <c r="AV72" s="39">
        <v>1.2392217523121999E-3</v>
      </c>
      <c r="AW72" s="39">
        <v>1.2392217523121999E-3</v>
      </c>
      <c r="AX72" s="39">
        <v>1.2392217523121999E-3</v>
      </c>
      <c r="AY72" s="39">
        <v>1.2392217523121999E-3</v>
      </c>
      <c r="AZ72" s="39">
        <v>1.2392217523121999E-3</v>
      </c>
      <c r="BA72" s="39">
        <v>1.2392217523121999E-3</v>
      </c>
      <c r="BB72" s="39">
        <v>1.2392217523121999E-3</v>
      </c>
      <c r="BC72" s="39">
        <v>1.2392217523121999E-3</v>
      </c>
      <c r="BD72" s="39">
        <v>1.2392217523121999E-3</v>
      </c>
      <c r="BE72" s="39">
        <v>1.2392217523121999E-3</v>
      </c>
      <c r="BF72" s="39">
        <v>1.2392217523121999E-3</v>
      </c>
      <c r="BG72" s="1"/>
      <c r="BH72" s="12">
        <f t="shared" si="7"/>
        <v>308.00790999999998</v>
      </c>
      <c r="BI72" s="12">
        <f t="shared" si="8"/>
        <v>313.601</v>
      </c>
      <c r="BJ72" s="12">
        <f t="shared" si="9"/>
        <v>157.22079000000002</v>
      </c>
      <c r="BK72" s="12">
        <f t="shared" si="10"/>
        <v>235.81502</v>
      </c>
      <c r="BL72" s="12">
        <f t="shared" si="11"/>
        <v>235.81502</v>
      </c>
      <c r="BM72" s="12">
        <f t="shared" si="12"/>
        <v>235.81502</v>
      </c>
      <c r="BN72" s="12">
        <f t="shared" si="13"/>
        <v>235.81502</v>
      </c>
      <c r="BO72" s="12">
        <f t="shared" si="14"/>
        <v>314.40924999999999</v>
      </c>
      <c r="BP72" s="12">
        <f t="shared" si="15"/>
        <v>314.40924999999999</v>
      </c>
      <c r="BQ72" s="12">
        <f t="shared" si="16"/>
        <v>314.40924999999999</v>
      </c>
      <c r="BR72" s="12">
        <f t="shared" si="17"/>
        <v>314.40924999999999</v>
      </c>
      <c r="BS72" s="12">
        <f t="shared" si="18"/>
        <v>262.00232000000005</v>
      </c>
      <c r="BT72" s="1"/>
      <c r="BU72" s="11">
        <f t="shared" si="19"/>
        <v>312.50565484208778</v>
      </c>
      <c r="BV72" s="11">
        <f t="shared" si="20"/>
        <v>318.18041901629596</v>
      </c>
      <c r="BW72" s="11">
        <f t="shared" si="21"/>
        <v>159.51663687383996</v>
      </c>
      <c r="BX72" s="11">
        <f t="shared" si="22"/>
        <v>239.25855425823329</v>
      </c>
      <c r="BY72" s="11">
        <f t="shared" si="23"/>
        <v>239.25855425823329</v>
      </c>
      <c r="BZ72" s="11">
        <f t="shared" si="24"/>
        <v>239.25855425823329</v>
      </c>
      <c r="CA72" s="11">
        <f t="shared" si="25"/>
        <v>239.25855425823329</v>
      </c>
      <c r="CB72" s="11">
        <f t="shared" si="26"/>
        <v>319.00047164262662</v>
      </c>
      <c r="CC72" s="11">
        <f t="shared" si="27"/>
        <v>319.00047164262662</v>
      </c>
      <c r="CD72" s="11">
        <f t="shared" si="28"/>
        <v>319.00047164262662</v>
      </c>
      <c r="CE72" s="11">
        <f t="shared" si="29"/>
        <v>319.00047164262662</v>
      </c>
      <c r="CF72" s="11">
        <f t="shared" si="30"/>
        <v>265.82825935134673</v>
      </c>
      <c r="CG72" s="11"/>
      <c r="CH72" s="41">
        <v>3.2330000000000001</v>
      </c>
      <c r="CI72" s="1"/>
      <c r="CJ72" s="53">
        <f t="shared" si="31"/>
        <v>157117</v>
      </c>
      <c r="CK72" s="53">
        <f t="shared" si="32"/>
        <v>159970</v>
      </c>
      <c r="CL72" s="53">
        <f t="shared" si="33"/>
        <v>59991</v>
      </c>
      <c r="CM72" s="53">
        <f t="shared" si="34"/>
        <v>89981</v>
      </c>
      <c r="CN72" s="53">
        <f t="shared" si="35"/>
        <v>89981</v>
      </c>
      <c r="CO72" s="53">
        <f t="shared" si="36"/>
        <v>89981</v>
      </c>
      <c r="CP72" s="53">
        <f t="shared" si="37"/>
        <v>89981</v>
      </c>
      <c r="CQ72" s="53">
        <f t="shared" si="38"/>
        <v>119970</v>
      </c>
      <c r="CR72" s="53">
        <f t="shared" si="39"/>
        <v>119970</v>
      </c>
      <c r="CS72" s="53">
        <f t="shared" si="40"/>
        <v>119970</v>
      </c>
      <c r="CT72" s="53">
        <f t="shared" si="41"/>
        <v>119970</v>
      </c>
      <c r="CU72" s="53">
        <f t="shared" si="42"/>
        <v>99973</v>
      </c>
      <c r="CV72" s="53">
        <f t="shared" si="43"/>
        <v>1316855</v>
      </c>
      <c r="CW72" s="1"/>
      <c r="CX72" s="1"/>
      <c r="CY72" s="1"/>
      <c r="CZ72" s="1"/>
      <c r="DA72" s="1"/>
      <c r="DB72" s="1"/>
      <c r="DC72" s="1"/>
      <c r="DD72" s="1"/>
      <c r="DE72" s="1"/>
      <c r="DF72" s="1"/>
      <c r="DG72" s="1"/>
      <c r="DH72" s="1"/>
      <c r="DI72" s="1"/>
      <c r="DJ72" s="1"/>
      <c r="DK72" s="1"/>
      <c r="DL72" s="1"/>
    </row>
    <row r="73" spans="1:116" ht="15.75" hidden="1" x14ac:dyDescent="0.25">
      <c r="A73" s="17"/>
      <c r="B73" s="17"/>
      <c r="C73" s="17"/>
      <c r="D73" s="17"/>
      <c r="E73" s="17"/>
      <c r="F73" s="31" t="s">
        <v>19</v>
      </c>
      <c r="G73" s="71">
        <v>147.76</v>
      </c>
      <c r="H73" s="64">
        <v>121.16</v>
      </c>
      <c r="I73" s="64">
        <v>68.040000000000006</v>
      </c>
      <c r="J73" s="64">
        <v>74.39</v>
      </c>
      <c r="K73" s="64">
        <v>164.7</v>
      </c>
      <c r="L73" s="64">
        <v>178.75</v>
      </c>
      <c r="M73" s="64">
        <v>56.83</v>
      </c>
      <c r="N73" s="64">
        <v>157.82</v>
      </c>
      <c r="O73" s="64">
        <v>73.849999999999994</v>
      </c>
      <c r="P73" s="64">
        <v>185</v>
      </c>
      <c r="Q73" s="64">
        <v>405.34</v>
      </c>
      <c r="R73" s="64">
        <v>95.13</v>
      </c>
      <c r="S73" s="11">
        <f t="shared" si="1"/>
        <v>1728.77</v>
      </c>
      <c r="T73" s="8">
        <f t="shared" si="44"/>
        <v>5.1360215644649064E-2</v>
      </c>
      <c r="U73" s="13" t="s">
        <v>3628</v>
      </c>
      <c r="V73" s="50">
        <f t="shared" si="6"/>
        <v>934471</v>
      </c>
      <c r="W73" s="36">
        <v>1.8500010816189674</v>
      </c>
      <c r="X73" s="36">
        <v>1.8500010816189674</v>
      </c>
      <c r="Y73" s="36">
        <v>1.8500010816189674</v>
      </c>
      <c r="Z73" s="36">
        <v>1.8500010816189674</v>
      </c>
      <c r="AA73" s="36">
        <v>1.8500010816189674</v>
      </c>
      <c r="AB73" s="36">
        <v>1.8500010816189674</v>
      </c>
      <c r="AC73" s="36">
        <v>1.8500010816189674</v>
      </c>
      <c r="AD73" s="36">
        <v>1.8500010816189674</v>
      </c>
      <c r="AE73" s="36">
        <v>1.8500010816189674</v>
      </c>
      <c r="AF73" s="36">
        <v>1.8500010816189674</v>
      </c>
      <c r="AG73" s="36">
        <v>1.8500010816189674</v>
      </c>
      <c r="AH73" s="36">
        <v>1.8500010816189674</v>
      </c>
      <c r="AI73" s="39">
        <v>0</v>
      </c>
      <c r="AJ73" s="39">
        <v>0</v>
      </c>
      <c r="AK73" s="39">
        <v>0</v>
      </c>
      <c r="AL73" s="39">
        <v>0</v>
      </c>
      <c r="AM73" s="39">
        <v>0</v>
      </c>
      <c r="AN73" s="39">
        <v>0</v>
      </c>
      <c r="AO73" s="39">
        <v>0</v>
      </c>
      <c r="AP73" s="39">
        <v>0</v>
      </c>
      <c r="AQ73" s="39">
        <v>0</v>
      </c>
      <c r="AR73" s="39">
        <v>0</v>
      </c>
      <c r="AS73" s="39">
        <v>0</v>
      </c>
      <c r="AT73" s="39">
        <v>0</v>
      </c>
      <c r="AU73" s="39">
        <v>0</v>
      </c>
      <c r="AV73" s="39">
        <v>0</v>
      </c>
      <c r="AW73" s="39">
        <v>0</v>
      </c>
      <c r="AX73" s="39">
        <v>0</v>
      </c>
      <c r="AY73" s="39">
        <v>0</v>
      </c>
      <c r="AZ73" s="39">
        <v>0</v>
      </c>
      <c r="BA73" s="39">
        <v>0</v>
      </c>
      <c r="BB73" s="39">
        <v>0</v>
      </c>
      <c r="BC73" s="39">
        <v>0</v>
      </c>
      <c r="BD73" s="39">
        <v>0</v>
      </c>
      <c r="BE73" s="39">
        <v>0</v>
      </c>
      <c r="BF73" s="39">
        <v>0</v>
      </c>
      <c r="BG73" s="1"/>
      <c r="BH73" s="12">
        <f t="shared" si="7"/>
        <v>147.76</v>
      </c>
      <c r="BI73" s="12">
        <f t="shared" si="8"/>
        <v>121.16</v>
      </c>
      <c r="BJ73" s="12">
        <f t="shared" si="9"/>
        <v>68.040000000000006</v>
      </c>
      <c r="BK73" s="12">
        <f t="shared" si="10"/>
        <v>74.39</v>
      </c>
      <c r="BL73" s="12">
        <f t="shared" si="11"/>
        <v>164.7</v>
      </c>
      <c r="BM73" s="12">
        <f t="shared" si="12"/>
        <v>178.75</v>
      </c>
      <c r="BN73" s="12">
        <f t="shared" si="13"/>
        <v>56.83</v>
      </c>
      <c r="BO73" s="12">
        <f t="shared" si="14"/>
        <v>157.82</v>
      </c>
      <c r="BP73" s="12">
        <f t="shared" si="15"/>
        <v>73.849999999999994</v>
      </c>
      <c r="BQ73" s="12">
        <f t="shared" si="16"/>
        <v>185</v>
      </c>
      <c r="BR73" s="12">
        <f t="shared" si="17"/>
        <v>405.34</v>
      </c>
      <c r="BS73" s="12">
        <f t="shared" si="18"/>
        <v>95.13</v>
      </c>
      <c r="BT73" s="1"/>
      <c r="BU73" s="11">
        <f t="shared" si="19"/>
        <v>147.76</v>
      </c>
      <c r="BV73" s="11">
        <f t="shared" si="20"/>
        <v>121.16</v>
      </c>
      <c r="BW73" s="11">
        <f t="shared" si="21"/>
        <v>68.040000000000006</v>
      </c>
      <c r="BX73" s="11">
        <f t="shared" si="22"/>
        <v>74.39</v>
      </c>
      <c r="BY73" s="11">
        <f t="shared" si="23"/>
        <v>164.7</v>
      </c>
      <c r="BZ73" s="11">
        <f t="shared" si="24"/>
        <v>178.75</v>
      </c>
      <c r="CA73" s="11">
        <f t="shared" si="25"/>
        <v>56.83</v>
      </c>
      <c r="CB73" s="11">
        <f t="shared" si="26"/>
        <v>157.82</v>
      </c>
      <c r="CC73" s="11">
        <f t="shared" si="27"/>
        <v>73.849999999999994</v>
      </c>
      <c r="CD73" s="11">
        <f t="shared" si="28"/>
        <v>185</v>
      </c>
      <c r="CE73" s="11">
        <f t="shared" si="29"/>
        <v>405.34</v>
      </c>
      <c r="CF73" s="11">
        <f t="shared" si="30"/>
        <v>95.13</v>
      </c>
      <c r="CG73" s="11"/>
      <c r="CH73" s="41">
        <v>1</v>
      </c>
      <c r="CI73" s="1"/>
      <c r="CJ73" s="53">
        <f t="shared" si="31"/>
        <v>79870</v>
      </c>
      <c r="CK73" s="53">
        <f t="shared" si="32"/>
        <v>65492</v>
      </c>
      <c r="CL73" s="53">
        <f t="shared" si="33"/>
        <v>36778</v>
      </c>
      <c r="CM73" s="53">
        <f t="shared" si="34"/>
        <v>40211</v>
      </c>
      <c r="CN73" s="53">
        <f t="shared" si="35"/>
        <v>89027</v>
      </c>
      <c r="CO73" s="53">
        <f t="shared" si="36"/>
        <v>96622</v>
      </c>
      <c r="CP73" s="53">
        <f t="shared" si="37"/>
        <v>30719</v>
      </c>
      <c r="CQ73" s="53">
        <f t="shared" si="38"/>
        <v>85308</v>
      </c>
      <c r="CR73" s="53">
        <f t="shared" si="39"/>
        <v>39919</v>
      </c>
      <c r="CS73" s="53">
        <f t="shared" si="40"/>
        <v>100000</v>
      </c>
      <c r="CT73" s="53">
        <f t="shared" si="41"/>
        <v>219103</v>
      </c>
      <c r="CU73" s="53">
        <f t="shared" si="42"/>
        <v>51422</v>
      </c>
      <c r="CV73" s="53">
        <f t="shared" si="43"/>
        <v>934471</v>
      </c>
      <c r="CW73" s="1"/>
      <c r="CX73" s="1"/>
      <c r="CY73" s="1"/>
      <c r="CZ73" s="1"/>
      <c r="DA73" s="1"/>
      <c r="DB73" s="1"/>
      <c r="DC73" s="1"/>
      <c r="DD73" s="1"/>
      <c r="DE73" s="1"/>
      <c r="DF73" s="1"/>
      <c r="DG73" s="1"/>
      <c r="DH73" s="1"/>
      <c r="DI73" s="1"/>
      <c r="DJ73" s="1"/>
      <c r="DK73" s="1"/>
      <c r="DL73" s="1"/>
    </row>
    <row r="74" spans="1:116" ht="15.75" hidden="1" x14ac:dyDescent="0.25">
      <c r="A74" s="17"/>
      <c r="B74" s="17"/>
      <c r="C74" s="17"/>
      <c r="D74" s="17"/>
      <c r="E74" s="17"/>
      <c r="F74" s="31" t="s">
        <v>19</v>
      </c>
      <c r="G74" s="71">
        <v>0</v>
      </c>
      <c r="H74" s="64">
        <v>0</v>
      </c>
      <c r="I74" s="64">
        <v>0</v>
      </c>
      <c r="J74" s="64">
        <v>0</v>
      </c>
      <c r="K74" s="64">
        <v>0</v>
      </c>
      <c r="L74" s="64">
        <v>0</v>
      </c>
      <c r="M74" s="64">
        <v>0</v>
      </c>
      <c r="N74" s="64">
        <v>0</v>
      </c>
      <c r="O74" s="64">
        <v>0</v>
      </c>
      <c r="P74" s="64">
        <v>0</v>
      </c>
      <c r="Q74" s="64">
        <v>0</v>
      </c>
      <c r="R74" s="64">
        <v>31.7</v>
      </c>
      <c r="S74" s="11">
        <f t="shared" ref="S74:S137" si="45">SUM(G74:R74)</f>
        <v>31.7</v>
      </c>
      <c r="T74" s="8">
        <f t="shared" si="44"/>
        <v>0</v>
      </c>
      <c r="U74" s="13" t="s">
        <v>3628</v>
      </c>
      <c r="V74" s="50">
        <f t="shared" si="6"/>
        <v>10000</v>
      </c>
      <c r="W74" s="36">
        <v>3.17</v>
      </c>
      <c r="X74" s="36">
        <v>3.17</v>
      </c>
      <c r="Y74" s="36">
        <v>3.17</v>
      </c>
      <c r="Z74" s="36">
        <v>3.17</v>
      </c>
      <c r="AA74" s="36">
        <v>3.17</v>
      </c>
      <c r="AB74" s="36">
        <v>3.17</v>
      </c>
      <c r="AC74" s="36">
        <v>3.17</v>
      </c>
      <c r="AD74" s="36">
        <v>3.17</v>
      </c>
      <c r="AE74" s="36">
        <v>3.17</v>
      </c>
      <c r="AF74" s="36">
        <v>3.17</v>
      </c>
      <c r="AG74" s="36">
        <v>3.17</v>
      </c>
      <c r="AH74" s="36">
        <v>3.17</v>
      </c>
      <c r="AI74" s="39">
        <v>0</v>
      </c>
      <c r="AJ74" s="39">
        <v>0</v>
      </c>
      <c r="AK74" s="39">
        <v>0</v>
      </c>
      <c r="AL74" s="39">
        <v>0</v>
      </c>
      <c r="AM74" s="39">
        <v>0</v>
      </c>
      <c r="AN74" s="39">
        <v>0</v>
      </c>
      <c r="AO74" s="39">
        <v>0</v>
      </c>
      <c r="AP74" s="39">
        <v>0</v>
      </c>
      <c r="AQ74" s="39">
        <v>0</v>
      </c>
      <c r="AR74" s="39">
        <v>0</v>
      </c>
      <c r="AS74" s="39">
        <v>0</v>
      </c>
      <c r="AT74" s="39">
        <v>0</v>
      </c>
      <c r="AU74" s="39">
        <v>0</v>
      </c>
      <c r="AV74" s="39">
        <v>0</v>
      </c>
      <c r="AW74" s="39">
        <v>0</v>
      </c>
      <c r="AX74" s="39">
        <v>0</v>
      </c>
      <c r="AY74" s="39">
        <v>0</v>
      </c>
      <c r="AZ74" s="39">
        <v>0</v>
      </c>
      <c r="BA74" s="39">
        <v>0</v>
      </c>
      <c r="BB74" s="39">
        <v>0</v>
      </c>
      <c r="BC74" s="39">
        <v>0</v>
      </c>
      <c r="BD74" s="39">
        <v>0</v>
      </c>
      <c r="BE74" s="39">
        <v>0</v>
      </c>
      <c r="BF74" s="39">
        <v>0</v>
      </c>
      <c r="BG74" s="1"/>
      <c r="BH74" s="12">
        <f t="shared" si="7"/>
        <v>0</v>
      </c>
      <c r="BI74" s="12">
        <f t="shared" si="8"/>
        <v>0</v>
      </c>
      <c r="BJ74" s="12">
        <f t="shared" si="9"/>
        <v>0</v>
      </c>
      <c r="BK74" s="12">
        <f t="shared" si="10"/>
        <v>0</v>
      </c>
      <c r="BL74" s="12">
        <f t="shared" si="11"/>
        <v>0</v>
      </c>
      <c r="BM74" s="12">
        <f t="shared" si="12"/>
        <v>0</v>
      </c>
      <c r="BN74" s="12">
        <f t="shared" si="13"/>
        <v>0</v>
      </c>
      <c r="BO74" s="12">
        <f t="shared" si="14"/>
        <v>0</v>
      </c>
      <c r="BP74" s="12">
        <f t="shared" si="15"/>
        <v>0</v>
      </c>
      <c r="BQ74" s="12">
        <f t="shared" si="16"/>
        <v>0</v>
      </c>
      <c r="BR74" s="12">
        <f t="shared" si="17"/>
        <v>0</v>
      </c>
      <c r="BS74" s="12">
        <f t="shared" si="18"/>
        <v>31.7</v>
      </c>
      <c r="BT74" s="1"/>
      <c r="BU74" s="11">
        <f t="shared" si="19"/>
        <v>0</v>
      </c>
      <c r="BV74" s="11">
        <f t="shared" si="20"/>
        <v>0</v>
      </c>
      <c r="BW74" s="11">
        <f t="shared" si="21"/>
        <v>0</v>
      </c>
      <c r="BX74" s="11">
        <f t="shared" si="22"/>
        <v>0</v>
      </c>
      <c r="BY74" s="11">
        <f t="shared" si="23"/>
        <v>0</v>
      </c>
      <c r="BZ74" s="11">
        <f t="shared" si="24"/>
        <v>0</v>
      </c>
      <c r="CA74" s="11">
        <f t="shared" si="25"/>
        <v>0</v>
      </c>
      <c r="CB74" s="11">
        <f t="shared" si="26"/>
        <v>0</v>
      </c>
      <c r="CC74" s="11">
        <f t="shared" si="27"/>
        <v>0</v>
      </c>
      <c r="CD74" s="11">
        <f t="shared" si="28"/>
        <v>0</v>
      </c>
      <c r="CE74" s="11">
        <f t="shared" si="29"/>
        <v>0</v>
      </c>
      <c r="CF74" s="11">
        <f t="shared" si="30"/>
        <v>31.7</v>
      </c>
      <c r="CG74" s="11"/>
      <c r="CH74" s="41">
        <v>1</v>
      </c>
      <c r="CI74" s="1"/>
      <c r="CJ74" s="53">
        <f t="shared" si="31"/>
        <v>0</v>
      </c>
      <c r="CK74" s="53">
        <f t="shared" si="32"/>
        <v>0</v>
      </c>
      <c r="CL74" s="53">
        <f t="shared" si="33"/>
        <v>0</v>
      </c>
      <c r="CM74" s="53">
        <f t="shared" si="34"/>
        <v>0</v>
      </c>
      <c r="CN74" s="53">
        <f t="shared" si="35"/>
        <v>0</v>
      </c>
      <c r="CO74" s="53">
        <f t="shared" si="36"/>
        <v>0</v>
      </c>
      <c r="CP74" s="53">
        <f t="shared" si="37"/>
        <v>0</v>
      </c>
      <c r="CQ74" s="53">
        <f t="shared" si="38"/>
        <v>0</v>
      </c>
      <c r="CR74" s="53">
        <f t="shared" si="39"/>
        <v>0</v>
      </c>
      <c r="CS74" s="53">
        <f t="shared" si="40"/>
        <v>0</v>
      </c>
      <c r="CT74" s="53">
        <f t="shared" si="41"/>
        <v>0</v>
      </c>
      <c r="CU74" s="53">
        <f t="shared" si="42"/>
        <v>10000</v>
      </c>
      <c r="CV74" s="53">
        <f t="shared" si="43"/>
        <v>10000</v>
      </c>
      <c r="CW74" s="1"/>
      <c r="CX74" s="1"/>
      <c r="CY74" s="1"/>
      <c r="CZ74" s="1"/>
      <c r="DA74" s="1"/>
      <c r="DB74" s="1"/>
      <c r="DC74" s="1"/>
      <c r="DD74" s="1"/>
      <c r="DE74" s="1"/>
      <c r="DF74" s="1"/>
      <c r="DG74" s="1"/>
      <c r="DH74" s="1"/>
      <c r="DI74" s="1"/>
      <c r="DJ74" s="1"/>
      <c r="DK74" s="1"/>
      <c r="DL74" s="1"/>
    </row>
    <row r="75" spans="1:116" ht="15.75" hidden="1" x14ac:dyDescent="0.25">
      <c r="A75" s="17"/>
      <c r="B75" s="17"/>
      <c r="C75" s="17"/>
      <c r="D75" s="17"/>
      <c r="E75" s="17"/>
      <c r="F75" s="31" t="s">
        <v>19</v>
      </c>
      <c r="G75" s="71">
        <v>0</v>
      </c>
      <c r="H75" s="64">
        <v>0</v>
      </c>
      <c r="I75" s="64">
        <v>0</v>
      </c>
      <c r="J75" s="64">
        <v>0</v>
      </c>
      <c r="K75" s="64">
        <v>0</v>
      </c>
      <c r="L75" s="64">
        <v>0</v>
      </c>
      <c r="M75" s="64">
        <v>0</v>
      </c>
      <c r="N75" s="64">
        <v>0</v>
      </c>
      <c r="O75" s="64">
        <v>0</v>
      </c>
      <c r="P75" s="64">
        <v>0</v>
      </c>
      <c r="Q75" s="64">
        <v>0</v>
      </c>
      <c r="R75" s="64">
        <v>0</v>
      </c>
      <c r="S75" s="11">
        <f t="shared" si="45"/>
        <v>0</v>
      </c>
      <c r="T75" s="8">
        <f t="shared" si="44"/>
        <v>0</v>
      </c>
      <c r="U75" s="13" t="s">
        <v>3628</v>
      </c>
      <c r="V75" s="50">
        <f t="shared" si="6"/>
        <v>0</v>
      </c>
      <c r="W75" s="36">
        <v>3.149</v>
      </c>
      <c r="X75" s="36">
        <v>3.149</v>
      </c>
      <c r="Y75" s="36">
        <v>3.149</v>
      </c>
      <c r="Z75" s="36">
        <v>3.149</v>
      </c>
      <c r="AA75" s="36">
        <v>3.149</v>
      </c>
      <c r="AB75" s="36">
        <v>3.149</v>
      </c>
      <c r="AC75" s="36">
        <v>3.149</v>
      </c>
      <c r="AD75" s="36">
        <v>3.149</v>
      </c>
      <c r="AE75" s="36">
        <v>3.149</v>
      </c>
      <c r="AF75" s="36">
        <v>3.149</v>
      </c>
      <c r="AG75" s="36">
        <v>3.149</v>
      </c>
      <c r="AH75" s="36">
        <v>3.149</v>
      </c>
      <c r="AI75" s="39">
        <v>1.33634708931066E-2</v>
      </c>
      <c r="AJ75" s="39">
        <v>1.33634708931066E-2</v>
      </c>
      <c r="AK75" s="39">
        <v>1.33634708931066E-2</v>
      </c>
      <c r="AL75" s="39">
        <v>1.33634708931066E-2</v>
      </c>
      <c r="AM75" s="39">
        <v>1.33634708931066E-2</v>
      </c>
      <c r="AN75" s="39">
        <v>1.33634708931066E-2</v>
      </c>
      <c r="AO75" s="39">
        <v>1.33634708931066E-2</v>
      </c>
      <c r="AP75" s="39">
        <v>1.33634708931066E-2</v>
      </c>
      <c r="AQ75" s="39">
        <v>1.33634708931066E-2</v>
      </c>
      <c r="AR75" s="39">
        <v>1.33634708931066E-2</v>
      </c>
      <c r="AS75" s="39">
        <v>1.33634708931066E-2</v>
      </c>
      <c r="AT75" s="39">
        <v>1.33634708931066E-2</v>
      </c>
      <c r="AU75" s="39">
        <v>1.2392217523121999E-3</v>
      </c>
      <c r="AV75" s="39">
        <v>1.2392217523121999E-3</v>
      </c>
      <c r="AW75" s="39">
        <v>1.2392217523121999E-3</v>
      </c>
      <c r="AX75" s="39">
        <v>1.2392217523121999E-3</v>
      </c>
      <c r="AY75" s="39">
        <v>1.2392217523121999E-3</v>
      </c>
      <c r="AZ75" s="39">
        <v>1.2392217523121999E-3</v>
      </c>
      <c r="BA75" s="39">
        <v>1.2392217523121999E-3</v>
      </c>
      <c r="BB75" s="39">
        <v>1.2392217523121999E-3</v>
      </c>
      <c r="BC75" s="39">
        <v>1.2392217523121999E-3</v>
      </c>
      <c r="BD75" s="39">
        <v>1.2392217523121999E-3</v>
      </c>
      <c r="BE75" s="39">
        <v>1.2392217523121999E-3</v>
      </c>
      <c r="BF75" s="39">
        <v>1.2392217523121999E-3</v>
      </c>
      <c r="BG75" s="1"/>
      <c r="BH75" s="12">
        <f t="shared" si="7"/>
        <v>0</v>
      </c>
      <c r="BI75" s="12">
        <f t="shared" si="8"/>
        <v>0</v>
      </c>
      <c r="BJ75" s="12">
        <f t="shared" si="9"/>
        <v>0</v>
      </c>
      <c r="BK75" s="12">
        <f t="shared" si="10"/>
        <v>0</v>
      </c>
      <c r="BL75" s="12">
        <f t="shared" si="11"/>
        <v>0</v>
      </c>
      <c r="BM75" s="12">
        <f t="shared" si="12"/>
        <v>0</v>
      </c>
      <c r="BN75" s="12">
        <f t="shared" si="13"/>
        <v>0</v>
      </c>
      <c r="BO75" s="12">
        <f t="shared" si="14"/>
        <v>0</v>
      </c>
      <c r="BP75" s="12">
        <f t="shared" si="15"/>
        <v>0</v>
      </c>
      <c r="BQ75" s="12">
        <f t="shared" si="16"/>
        <v>0</v>
      </c>
      <c r="BR75" s="12">
        <f t="shared" si="17"/>
        <v>0</v>
      </c>
      <c r="BS75" s="12">
        <f t="shared" si="18"/>
        <v>0</v>
      </c>
      <c r="BT75" s="1"/>
      <c r="BU75" s="11">
        <f t="shared" si="19"/>
        <v>0</v>
      </c>
      <c r="BV75" s="11">
        <f t="shared" si="20"/>
        <v>0</v>
      </c>
      <c r="BW75" s="11">
        <f t="shared" si="21"/>
        <v>0</v>
      </c>
      <c r="BX75" s="11">
        <f t="shared" si="22"/>
        <v>0</v>
      </c>
      <c r="BY75" s="11">
        <f t="shared" si="23"/>
        <v>0</v>
      </c>
      <c r="BZ75" s="11">
        <f t="shared" si="24"/>
        <v>0</v>
      </c>
      <c r="CA75" s="11">
        <f t="shared" si="25"/>
        <v>0</v>
      </c>
      <c r="CB75" s="11">
        <f t="shared" si="26"/>
        <v>0</v>
      </c>
      <c r="CC75" s="11">
        <f t="shared" si="27"/>
        <v>0</v>
      </c>
      <c r="CD75" s="11">
        <f t="shared" si="28"/>
        <v>0</v>
      </c>
      <c r="CE75" s="11">
        <f t="shared" si="29"/>
        <v>0</v>
      </c>
      <c r="CF75" s="11">
        <f t="shared" si="30"/>
        <v>0</v>
      </c>
      <c r="CG75" s="11"/>
      <c r="CH75" s="41">
        <v>3.2330000000000001</v>
      </c>
      <c r="CI75" s="1"/>
      <c r="CJ75" s="53">
        <f t="shared" si="31"/>
        <v>0</v>
      </c>
      <c r="CK75" s="53">
        <f t="shared" si="32"/>
        <v>0</v>
      </c>
      <c r="CL75" s="53">
        <f t="shared" si="33"/>
        <v>0</v>
      </c>
      <c r="CM75" s="53">
        <f t="shared" si="34"/>
        <v>0</v>
      </c>
      <c r="CN75" s="53">
        <f t="shared" si="35"/>
        <v>0</v>
      </c>
      <c r="CO75" s="53">
        <f t="shared" si="36"/>
        <v>0</v>
      </c>
      <c r="CP75" s="53">
        <f t="shared" si="37"/>
        <v>0</v>
      </c>
      <c r="CQ75" s="53">
        <f t="shared" si="38"/>
        <v>0</v>
      </c>
      <c r="CR75" s="53">
        <f t="shared" si="39"/>
        <v>0</v>
      </c>
      <c r="CS75" s="53">
        <f t="shared" si="40"/>
        <v>0</v>
      </c>
      <c r="CT75" s="53">
        <f t="shared" si="41"/>
        <v>0</v>
      </c>
      <c r="CU75" s="53">
        <f t="shared" si="42"/>
        <v>0</v>
      </c>
      <c r="CV75" s="53">
        <f t="shared" si="43"/>
        <v>0</v>
      </c>
      <c r="CW75" s="1"/>
      <c r="CX75" s="1"/>
      <c r="CY75" s="1"/>
      <c r="CZ75" s="1"/>
      <c r="DA75" s="1"/>
      <c r="DB75" s="1"/>
      <c r="DC75" s="1"/>
      <c r="DD75" s="1"/>
      <c r="DE75" s="1"/>
      <c r="DF75" s="1"/>
      <c r="DG75" s="1"/>
      <c r="DH75" s="1"/>
      <c r="DI75" s="1"/>
      <c r="DJ75" s="1"/>
      <c r="DK75" s="1"/>
      <c r="DL75" s="1"/>
    </row>
    <row r="76" spans="1:116" ht="15.75" hidden="1" x14ac:dyDescent="0.25">
      <c r="A76" s="17"/>
      <c r="B76" s="17"/>
      <c r="C76" s="17"/>
      <c r="D76" s="17"/>
      <c r="E76" s="17"/>
      <c r="F76" s="31" t="s">
        <v>19</v>
      </c>
      <c r="G76" s="71">
        <v>0</v>
      </c>
      <c r="H76" s="64">
        <v>0</v>
      </c>
      <c r="I76" s="64">
        <v>0</v>
      </c>
      <c r="J76" s="64">
        <v>0</v>
      </c>
      <c r="K76" s="64">
        <v>0</v>
      </c>
      <c r="L76" s="64">
        <v>0</v>
      </c>
      <c r="M76" s="64">
        <v>0</v>
      </c>
      <c r="N76" s="64">
        <v>0</v>
      </c>
      <c r="O76" s="64">
        <v>0</v>
      </c>
      <c r="P76" s="64">
        <v>0</v>
      </c>
      <c r="Q76" s="64">
        <v>0</v>
      </c>
      <c r="R76" s="64">
        <v>0</v>
      </c>
      <c r="S76" s="11">
        <f t="shared" si="45"/>
        <v>0</v>
      </c>
      <c r="T76" s="8">
        <f t="shared" si="44"/>
        <v>0</v>
      </c>
      <c r="U76" s="13" t="s">
        <v>3628</v>
      </c>
      <c r="V76" s="50">
        <f t="shared" si="6"/>
        <v>0</v>
      </c>
      <c r="W76" s="36">
        <v>1.107</v>
      </c>
      <c r="X76" s="36">
        <v>1.107</v>
      </c>
      <c r="Y76" s="36">
        <v>1.4379999999999999</v>
      </c>
      <c r="Z76" s="36">
        <v>1.4379999999999999</v>
      </c>
      <c r="AA76" s="36">
        <v>1.4379999999999999</v>
      </c>
      <c r="AB76" s="36">
        <v>1.4379999999999999</v>
      </c>
      <c r="AC76" s="36">
        <v>1.4379999999999999</v>
      </c>
      <c r="AD76" s="36">
        <v>1.4379999999999999</v>
      </c>
      <c r="AE76" s="36">
        <v>1.4379999999999999</v>
      </c>
      <c r="AF76" s="36">
        <v>1.4379999999999999</v>
      </c>
      <c r="AG76" s="36">
        <v>1.4379999999999999</v>
      </c>
      <c r="AH76" s="36">
        <v>1.4379999999999999</v>
      </c>
      <c r="AI76" s="39">
        <v>1.33634708931066E-2</v>
      </c>
      <c r="AJ76" s="39">
        <v>1.33634708931066E-2</v>
      </c>
      <c r="AK76" s="39">
        <v>1.33634708931066E-2</v>
      </c>
      <c r="AL76" s="39">
        <v>1.33634708931066E-2</v>
      </c>
      <c r="AM76" s="39">
        <v>1.33634708931066E-2</v>
      </c>
      <c r="AN76" s="39">
        <v>1.33634708931066E-2</v>
      </c>
      <c r="AO76" s="39">
        <v>1.33634708931066E-2</v>
      </c>
      <c r="AP76" s="39">
        <v>1.33634708931066E-2</v>
      </c>
      <c r="AQ76" s="39">
        <v>1.33634708931066E-2</v>
      </c>
      <c r="AR76" s="39">
        <v>1.33634708931066E-2</v>
      </c>
      <c r="AS76" s="39">
        <v>1.33634708931066E-2</v>
      </c>
      <c r="AT76" s="39">
        <v>1.33634708931066E-2</v>
      </c>
      <c r="AU76" s="39">
        <v>1.2392217523121999E-3</v>
      </c>
      <c r="AV76" s="39">
        <v>1.2392217523121999E-3</v>
      </c>
      <c r="AW76" s="39">
        <v>1.2392217523121999E-3</v>
      </c>
      <c r="AX76" s="39">
        <v>1.2392217523121999E-3</v>
      </c>
      <c r="AY76" s="39">
        <v>1.2392217523121999E-3</v>
      </c>
      <c r="AZ76" s="39">
        <v>1.2392217523121999E-3</v>
      </c>
      <c r="BA76" s="39">
        <v>1.2392217523121999E-3</v>
      </c>
      <c r="BB76" s="39">
        <v>1.2392217523121999E-3</v>
      </c>
      <c r="BC76" s="39">
        <v>1.2392217523121999E-3</v>
      </c>
      <c r="BD76" s="39">
        <v>1.2392217523121999E-3</v>
      </c>
      <c r="BE76" s="39">
        <v>1.2392217523121999E-3</v>
      </c>
      <c r="BF76" s="39">
        <v>1.2392217523121999E-3</v>
      </c>
      <c r="BG76" s="1"/>
      <c r="BH76" s="12">
        <f t="shared" si="7"/>
        <v>0</v>
      </c>
      <c r="BI76" s="12">
        <f t="shared" si="8"/>
        <v>0</v>
      </c>
      <c r="BJ76" s="12">
        <f t="shared" si="9"/>
        <v>0</v>
      </c>
      <c r="BK76" s="12">
        <f t="shared" si="10"/>
        <v>0</v>
      </c>
      <c r="BL76" s="12">
        <f t="shared" si="11"/>
        <v>0</v>
      </c>
      <c r="BM76" s="12">
        <f t="shared" si="12"/>
        <v>0</v>
      </c>
      <c r="BN76" s="12">
        <f t="shared" si="13"/>
        <v>0</v>
      </c>
      <c r="BO76" s="12">
        <f t="shared" si="14"/>
        <v>0</v>
      </c>
      <c r="BP76" s="12">
        <f t="shared" si="15"/>
        <v>0</v>
      </c>
      <c r="BQ76" s="12">
        <f t="shared" si="16"/>
        <v>0</v>
      </c>
      <c r="BR76" s="12">
        <f t="shared" si="17"/>
        <v>0</v>
      </c>
      <c r="BS76" s="12">
        <f t="shared" si="18"/>
        <v>0</v>
      </c>
      <c r="BT76" s="1"/>
      <c r="BU76" s="11">
        <f t="shared" si="19"/>
        <v>0</v>
      </c>
      <c r="BV76" s="11">
        <f t="shared" si="20"/>
        <v>0</v>
      </c>
      <c r="BW76" s="11">
        <f t="shared" si="21"/>
        <v>0</v>
      </c>
      <c r="BX76" s="11">
        <f t="shared" si="22"/>
        <v>0</v>
      </c>
      <c r="BY76" s="11">
        <f t="shared" si="23"/>
        <v>0</v>
      </c>
      <c r="BZ76" s="11">
        <f t="shared" si="24"/>
        <v>0</v>
      </c>
      <c r="CA76" s="11">
        <f t="shared" si="25"/>
        <v>0</v>
      </c>
      <c r="CB76" s="11">
        <f t="shared" si="26"/>
        <v>0</v>
      </c>
      <c r="CC76" s="11">
        <f t="shared" si="27"/>
        <v>0</v>
      </c>
      <c r="CD76" s="11">
        <f t="shared" si="28"/>
        <v>0</v>
      </c>
      <c r="CE76" s="11">
        <f t="shared" si="29"/>
        <v>0</v>
      </c>
      <c r="CF76" s="11">
        <f t="shared" si="30"/>
        <v>0</v>
      </c>
      <c r="CG76" s="11"/>
      <c r="CH76" s="41">
        <v>3.2330000000000001</v>
      </c>
      <c r="CI76" s="1"/>
      <c r="CJ76" s="53">
        <f t="shared" si="31"/>
        <v>0</v>
      </c>
      <c r="CK76" s="53">
        <f t="shared" si="32"/>
        <v>0</v>
      </c>
      <c r="CL76" s="53">
        <f t="shared" si="33"/>
        <v>0</v>
      </c>
      <c r="CM76" s="53">
        <f t="shared" si="34"/>
        <v>0</v>
      </c>
      <c r="CN76" s="53">
        <f t="shared" si="35"/>
        <v>0</v>
      </c>
      <c r="CO76" s="53">
        <f t="shared" si="36"/>
        <v>0</v>
      </c>
      <c r="CP76" s="53">
        <f t="shared" si="37"/>
        <v>0</v>
      </c>
      <c r="CQ76" s="53">
        <f t="shared" si="38"/>
        <v>0</v>
      </c>
      <c r="CR76" s="53">
        <f t="shared" si="39"/>
        <v>0</v>
      </c>
      <c r="CS76" s="53">
        <f t="shared" si="40"/>
        <v>0</v>
      </c>
      <c r="CT76" s="53">
        <f t="shared" si="41"/>
        <v>0</v>
      </c>
      <c r="CU76" s="53">
        <f t="shared" si="42"/>
        <v>0</v>
      </c>
      <c r="CV76" s="53">
        <f t="shared" si="43"/>
        <v>0</v>
      </c>
      <c r="CW76" s="1"/>
      <c r="CX76" s="1"/>
      <c r="CY76" s="1"/>
      <c r="CZ76" s="1"/>
      <c r="DA76" s="1"/>
      <c r="DB76" s="1"/>
      <c r="DC76" s="1"/>
      <c r="DD76" s="1"/>
      <c r="DE76" s="1"/>
      <c r="DF76" s="1"/>
      <c r="DG76" s="1"/>
      <c r="DH76" s="1"/>
      <c r="DI76" s="1"/>
      <c r="DJ76" s="1"/>
      <c r="DK76" s="1"/>
      <c r="DL76" s="1"/>
    </row>
    <row r="77" spans="1:116" ht="15.75" hidden="1" x14ac:dyDescent="0.25">
      <c r="A77" s="17"/>
      <c r="B77" s="17"/>
      <c r="C77" s="17"/>
      <c r="D77" s="17"/>
      <c r="E77" s="17"/>
      <c r="F77" s="31" t="s">
        <v>19</v>
      </c>
      <c r="G77" s="71">
        <v>32.96</v>
      </c>
      <c r="H77" s="64">
        <v>134.19999999999999</v>
      </c>
      <c r="I77" s="64">
        <v>24.9</v>
      </c>
      <c r="J77" s="64">
        <v>49.8</v>
      </c>
      <c r="K77" s="64">
        <v>64.55</v>
      </c>
      <c r="L77" s="64">
        <v>64.55</v>
      </c>
      <c r="M77" s="64">
        <v>49.8</v>
      </c>
      <c r="N77" s="64">
        <v>49.8</v>
      </c>
      <c r="O77" s="64">
        <v>74.7</v>
      </c>
      <c r="P77" s="64">
        <v>74.7</v>
      </c>
      <c r="Q77" s="64">
        <v>74.7</v>
      </c>
      <c r="R77" s="64">
        <v>39.840000000000003</v>
      </c>
      <c r="S77" s="11">
        <f t="shared" si="45"/>
        <v>734.50000000000023</v>
      </c>
      <c r="T77" s="8">
        <f t="shared" si="44"/>
        <v>0.10069434989788958</v>
      </c>
      <c r="U77" s="13" t="s">
        <v>3628</v>
      </c>
      <c r="V77" s="50">
        <f t="shared" si="6"/>
        <v>1574785</v>
      </c>
      <c r="W77" s="36">
        <v>1.258</v>
      </c>
      <c r="X77" s="36">
        <v>1.258</v>
      </c>
      <c r="Y77" s="36">
        <v>1.6339999999999999</v>
      </c>
      <c r="Z77" s="36">
        <v>1.6339999999999999</v>
      </c>
      <c r="AA77" s="36">
        <v>1.6339999999999999</v>
      </c>
      <c r="AB77" s="36">
        <v>1.6339999999999999</v>
      </c>
      <c r="AC77" s="36">
        <v>1.6339999999999999</v>
      </c>
      <c r="AD77" s="36">
        <v>1.6339999999999999</v>
      </c>
      <c r="AE77" s="36">
        <v>1.6339999999999999</v>
      </c>
      <c r="AF77" s="36">
        <v>1.6339999999999999</v>
      </c>
      <c r="AG77" s="36">
        <v>1.6339999999999999</v>
      </c>
      <c r="AH77" s="36">
        <v>1.6339999999999999</v>
      </c>
      <c r="AI77" s="39">
        <v>1.33634708931066E-2</v>
      </c>
      <c r="AJ77" s="39">
        <v>1.33634708931066E-2</v>
      </c>
      <c r="AK77" s="39">
        <v>1.33634708931066E-2</v>
      </c>
      <c r="AL77" s="39">
        <v>1.33634708931066E-2</v>
      </c>
      <c r="AM77" s="39">
        <v>1.33634708931066E-2</v>
      </c>
      <c r="AN77" s="39">
        <v>1.33634708931066E-2</v>
      </c>
      <c r="AO77" s="39">
        <v>1.33634708931066E-2</v>
      </c>
      <c r="AP77" s="39">
        <v>1.33634708931066E-2</v>
      </c>
      <c r="AQ77" s="39">
        <v>1.33634708931066E-2</v>
      </c>
      <c r="AR77" s="39">
        <v>1.33634708931066E-2</v>
      </c>
      <c r="AS77" s="39">
        <v>1.33634708931066E-2</v>
      </c>
      <c r="AT77" s="39">
        <v>1.33634708931066E-2</v>
      </c>
      <c r="AU77" s="39">
        <v>1.2392217523121999E-3</v>
      </c>
      <c r="AV77" s="39">
        <v>1.2392217523121999E-3</v>
      </c>
      <c r="AW77" s="39">
        <v>1.2392217523121999E-3</v>
      </c>
      <c r="AX77" s="39">
        <v>1.2392217523121999E-3</v>
      </c>
      <c r="AY77" s="39">
        <v>1.2392217523121999E-3</v>
      </c>
      <c r="AZ77" s="39">
        <v>1.2392217523121999E-3</v>
      </c>
      <c r="BA77" s="39">
        <v>1.2392217523121999E-3</v>
      </c>
      <c r="BB77" s="39">
        <v>1.2392217523121999E-3</v>
      </c>
      <c r="BC77" s="39">
        <v>1.2392217523121999E-3</v>
      </c>
      <c r="BD77" s="39">
        <v>1.2392217523121999E-3</v>
      </c>
      <c r="BE77" s="39">
        <v>1.2392217523121999E-3</v>
      </c>
      <c r="BF77" s="39">
        <v>1.2392217523121999E-3</v>
      </c>
      <c r="BG77" s="1"/>
      <c r="BH77" s="12">
        <f t="shared" si="7"/>
        <v>106.55968</v>
      </c>
      <c r="BI77" s="12">
        <f t="shared" si="8"/>
        <v>433.86859999999996</v>
      </c>
      <c r="BJ77" s="12">
        <f t="shared" si="9"/>
        <v>80.5017</v>
      </c>
      <c r="BK77" s="12">
        <f t="shared" si="10"/>
        <v>161.0034</v>
      </c>
      <c r="BL77" s="12">
        <f t="shared" si="11"/>
        <v>208.69014999999999</v>
      </c>
      <c r="BM77" s="12">
        <f t="shared" si="12"/>
        <v>208.69014999999999</v>
      </c>
      <c r="BN77" s="12">
        <f t="shared" si="13"/>
        <v>161.0034</v>
      </c>
      <c r="BO77" s="12">
        <f t="shared" si="14"/>
        <v>161.0034</v>
      </c>
      <c r="BP77" s="12">
        <f t="shared" si="15"/>
        <v>241.50510000000003</v>
      </c>
      <c r="BQ77" s="12">
        <f t="shared" si="16"/>
        <v>241.50510000000003</v>
      </c>
      <c r="BR77" s="12">
        <f t="shared" si="17"/>
        <v>241.50510000000003</v>
      </c>
      <c r="BS77" s="12">
        <f t="shared" si="18"/>
        <v>128.80272000000002</v>
      </c>
      <c r="BT77" s="1"/>
      <c r="BU77" s="11">
        <f t="shared" si="19"/>
        <v>108.11573825543418</v>
      </c>
      <c r="BV77" s="11">
        <f t="shared" si="20"/>
        <v>440.20424981429812</v>
      </c>
      <c r="BW77" s="11">
        <f t="shared" si="21"/>
        <v>81.677241582533711</v>
      </c>
      <c r="BX77" s="11">
        <f t="shared" si="22"/>
        <v>163.35448316506742</v>
      </c>
      <c r="BY77" s="11">
        <f t="shared" si="23"/>
        <v>211.73758811857633</v>
      </c>
      <c r="BZ77" s="11">
        <f t="shared" si="24"/>
        <v>211.73758811857633</v>
      </c>
      <c r="CA77" s="11">
        <f t="shared" si="25"/>
        <v>163.35448316506742</v>
      </c>
      <c r="CB77" s="11">
        <f t="shared" si="26"/>
        <v>163.35448316506742</v>
      </c>
      <c r="CC77" s="11">
        <f t="shared" si="27"/>
        <v>245.03172474760115</v>
      </c>
      <c r="CD77" s="11">
        <f t="shared" si="28"/>
        <v>245.03172474760115</v>
      </c>
      <c r="CE77" s="11">
        <f t="shared" si="29"/>
        <v>245.03172474760115</v>
      </c>
      <c r="CF77" s="11">
        <f t="shared" si="30"/>
        <v>130.68358653205397</v>
      </c>
      <c r="CG77" s="11"/>
      <c r="CH77" s="41">
        <v>3.2330000000000001</v>
      </c>
      <c r="CI77" s="1"/>
      <c r="CJ77" s="53">
        <f t="shared" si="31"/>
        <v>85943</v>
      </c>
      <c r="CK77" s="53">
        <f t="shared" si="32"/>
        <v>349924</v>
      </c>
      <c r="CL77" s="53">
        <f t="shared" si="33"/>
        <v>49986</v>
      </c>
      <c r="CM77" s="53">
        <f t="shared" si="34"/>
        <v>99972</v>
      </c>
      <c r="CN77" s="53">
        <f t="shared" si="35"/>
        <v>129582</v>
      </c>
      <c r="CO77" s="53">
        <f t="shared" si="36"/>
        <v>129582</v>
      </c>
      <c r="CP77" s="53">
        <f t="shared" si="37"/>
        <v>99972</v>
      </c>
      <c r="CQ77" s="53">
        <f t="shared" si="38"/>
        <v>99972</v>
      </c>
      <c r="CR77" s="53">
        <f t="shared" si="39"/>
        <v>149958</v>
      </c>
      <c r="CS77" s="53">
        <f t="shared" si="40"/>
        <v>149958</v>
      </c>
      <c r="CT77" s="53">
        <f t="shared" si="41"/>
        <v>149958</v>
      </c>
      <c r="CU77" s="53">
        <f t="shared" si="42"/>
        <v>79978</v>
      </c>
      <c r="CV77" s="53">
        <f t="shared" si="43"/>
        <v>1574785</v>
      </c>
      <c r="CW77" s="1"/>
      <c r="CX77" s="1"/>
      <c r="CY77" s="1"/>
      <c r="CZ77" s="1"/>
      <c r="DA77" s="1"/>
      <c r="DB77" s="1"/>
      <c r="DC77" s="1"/>
      <c r="DD77" s="1"/>
      <c r="DE77" s="1"/>
      <c r="DF77" s="1"/>
      <c r="DG77" s="1"/>
      <c r="DH77" s="1"/>
      <c r="DI77" s="1"/>
      <c r="DJ77" s="1"/>
      <c r="DK77" s="1"/>
      <c r="DL77" s="1"/>
    </row>
    <row r="78" spans="1:116" ht="15.75" hidden="1" x14ac:dyDescent="0.25">
      <c r="A78" s="17"/>
      <c r="B78" s="17"/>
      <c r="C78" s="17"/>
      <c r="D78" s="17"/>
      <c r="E78" s="17"/>
      <c r="F78" s="31" t="s">
        <v>19</v>
      </c>
      <c r="G78" s="71">
        <v>35.880000000000003</v>
      </c>
      <c r="H78" s="64">
        <v>78.41</v>
      </c>
      <c r="I78" s="64">
        <v>24.19</v>
      </c>
      <c r="J78" s="64">
        <v>40.32</v>
      </c>
      <c r="K78" s="64">
        <v>40.32</v>
      </c>
      <c r="L78" s="64">
        <v>44.36</v>
      </c>
      <c r="M78" s="64">
        <v>44.36</v>
      </c>
      <c r="N78" s="64">
        <v>48.39</v>
      </c>
      <c r="O78" s="64">
        <v>48.39</v>
      </c>
      <c r="P78" s="64">
        <v>48.39</v>
      </c>
      <c r="Q78" s="64">
        <v>48.39</v>
      </c>
      <c r="R78" s="64">
        <v>24.19</v>
      </c>
      <c r="S78" s="11">
        <f t="shared" si="45"/>
        <v>525.58999999999992</v>
      </c>
      <c r="T78" s="8">
        <f t="shared" si="44"/>
        <v>0.12968283262619171</v>
      </c>
      <c r="U78" s="13" t="s">
        <v>3628</v>
      </c>
      <c r="V78" s="50">
        <f t="shared" si="6"/>
        <v>699316</v>
      </c>
      <c r="W78" s="36">
        <v>1.9790000000000001</v>
      </c>
      <c r="X78" s="36">
        <v>1.9790000000000001</v>
      </c>
      <c r="Y78" s="36">
        <v>2.6459999999999999</v>
      </c>
      <c r="Z78" s="36">
        <v>2.6459999999999999</v>
      </c>
      <c r="AA78" s="36">
        <v>2.6459999999999999</v>
      </c>
      <c r="AB78" s="36">
        <v>2.6459999999999999</v>
      </c>
      <c r="AC78" s="36">
        <v>2.6459999999999999</v>
      </c>
      <c r="AD78" s="36">
        <v>2.6459999999999999</v>
      </c>
      <c r="AE78" s="36">
        <v>2.6459999999999999</v>
      </c>
      <c r="AF78" s="36">
        <v>2.6459999999999999</v>
      </c>
      <c r="AG78" s="36">
        <v>2.6459999999999999</v>
      </c>
      <c r="AH78" s="36">
        <v>2.6459999999999999</v>
      </c>
      <c r="AI78" s="39">
        <v>1.33634708931066E-2</v>
      </c>
      <c r="AJ78" s="39">
        <v>1.33634708931066E-2</v>
      </c>
      <c r="AK78" s="39">
        <v>1.33634708931066E-2</v>
      </c>
      <c r="AL78" s="39">
        <v>1.33634708931066E-2</v>
      </c>
      <c r="AM78" s="39">
        <v>1.33634708931066E-2</v>
      </c>
      <c r="AN78" s="39">
        <v>1.33634708931066E-2</v>
      </c>
      <c r="AO78" s="39">
        <v>1.33634708931066E-2</v>
      </c>
      <c r="AP78" s="39">
        <v>1.33634708931066E-2</v>
      </c>
      <c r="AQ78" s="39">
        <v>1.33634708931066E-2</v>
      </c>
      <c r="AR78" s="39">
        <v>1.33634708931066E-2</v>
      </c>
      <c r="AS78" s="39">
        <v>1.33634708931066E-2</v>
      </c>
      <c r="AT78" s="39">
        <v>1.33634708931066E-2</v>
      </c>
      <c r="AU78" s="39">
        <v>1.2392217523121999E-3</v>
      </c>
      <c r="AV78" s="39">
        <v>1.2392217523121999E-3</v>
      </c>
      <c r="AW78" s="39">
        <v>1.2392217523121999E-3</v>
      </c>
      <c r="AX78" s="39">
        <v>1.2392217523121999E-3</v>
      </c>
      <c r="AY78" s="39">
        <v>1.2392217523121999E-3</v>
      </c>
      <c r="AZ78" s="39">
        <v>1.2392217523121999E-3</v>
      </c>
      <c r="BA78" s="39">
        <v>1.2392217523121999E-3</v>
      </c>
      <c r="BB78" s="39">
        <v>1.2392217523121999E-3</v>
      </c>
      <c r="BC78" s="39">
        <v>1.2392217523121999E-3</v>
      </c>
      <c r="BD78" s="39">
        <v>1.2392217523121999E-3</v>
      </c>
      <c r="BE78" s="39">
        <v>1.2392217523121999E-3</v>
      </c>
      <c r="BF78" s="39">
        <v>1.2392217523121999E-3</v>
      </c>
      <c r="BG78" s="1"/>
      <c r="BH78" s="12">
        <f t="shared" si="7"/>
        <v>116.00004000000001</v>
      </c>
      <c r="BI78" s="12">
        <f t="shared" si="8"/>
        <v>253.49952999999999</v>
      </c>
      <c r="BJ78" s="12">
        <f t="shared" si="9"/>
        <v>78.206270000000004</v>
      </c>
      <c r="BK78" s="12">
        <f t="shared" si="10"/>
        <v>130.35455999999999</v>
      </c>
      <c r="BL78" s="12">
        <f t="shared" si="11"/>
        <v>130.35455999999999</v>
      </c>
      <c r="BM78" s="12">
        <f t="shared" si="12"/>
        <v>143.41588000000002</v>
      </c>
      <c r="BN78" s="12">
        <f t="shared" si="13"/>
        <v>143.41588000000002</v>
      </c>
      <c r="BO78" s="12">
        <f t="shared" si="14"/>
        <v>156.44487000000001</v>
      </c>
      <c r="BP78" s="12">
        <f t="shared" si="15"/>
        <v>156.44487000000001</v>
      </c>
      <c r="BQ78" s="12">
        <f t="shared" si="16"/>
        <v>156.44487000000001</v>
      </c>
      <c r="BR78" s="12">
        <f t="shared" si="17"/>
        <v>156.44487000000001</v>
      </c>
      <c r="BS78" s="12">
        <f t="shared" si="18"/>
        <v>78.206270000000004</v>
      </c>
      <c r="BT78" s="1"/>
      <c r="BU78" s="11">
        <f t="shared" si="19"/>
        <v>117.69395293097629</v>
      </c>
      <c r="BV78" s="11">
        <f t="shared" si="20"/>
        <v>257.20130572234814</v>
      </c>
      <c r="BW78" s="11">
        <f t="shared" si="21"/>
        <v>79.348292123754646</v>
      </c>
      <c r="BX78" s="11">
        <f t="shared" si="22"/>
        <v>132.25808757460879</v>
      </c>
      <c r="BY78" s="11">
        <f t="shared" si="23"/>
        <v>132.25808757460879</v>
      </c>
      <c r="BZ78" s="11">
        <f t="shared" si="24"/>
        <v>145.51013801611228</v>
      </c>
      <c r="CA78" s="11">
        <f t="shared" si="25"/>
        <v>145.51013801611228</v>
      </c>
      <c r="CB78" s="11">
        <f t="shared" si="26"/>
        <v>158.7293863525625</v>
      </c>
      <c r="CC78" s="11">
        <f t="shared" si="27"/>
        <v>158.7293863525625</v>
      </c>
      <c r="CD78" s="11">
        <f t="shared" si="28"/>
        <v>158.7293863525625</v>
      </c>
      <c r="CE78" s="11">
        <f t="shared" si="29"/>
        <v>158.7293863525625</v>
      </c>
      <c r="CF78" s="11">
        <f t="shared" si="30"/>
        <v>79.348292123754646</v>
      </c>
      <c r="CG78" s="11"/>
      <c r="CH78" s="41">
        <v>3.2330000000000001</v>
      </c>
      <c r="CI78" s="1"/>
      <c r="CJ78" s="53">
        <f t="shared" si="31"/>
        <v>59471</v>
      </c>
      <c r="CK78" s="53">
        <f t="shared" si="32"/>
        <v>129965</v>
      </c>
      <c r="CL78" s="53">
        <f t="shared" si="33"/>
        <v>29988</v>
      </c>
      <c r="CM78" s="53">
        <f t="shared" si="34"/>
        <v>49984</v>
      </c>
      <c r="CN78" s="53">
        <f t="shared" si="35"/>
        <v>49984</v>
      </c>
      <c r="CO78" s="53">
        <f t="shared" si="36"/>
        <v>54992</v>
      </c>
      <c r="CP78" s="53">
        <f t="shared" si="37"/>
        <v>54992</v>
      </c>
      <c r="CQ78" s="53">
        <f t="shared" si="38"/>
        <v>59988</v>
      </c>
      <c r="CR78" s="53">
        <f t="shared" si="39"/>
        <v>59988</v>
      </c>
      <c r="CS78" s="53">
        <f t="shared" si="40"/>
        <v>59988</v>
      </c>
      <c r="CT78" s="53">
        <f t="shared" si="41"/>
        <v>59988</v>
      </c>
      <c r="CU78" s="53">
        <f t="shared" si="42"/>
        <v>29988</v>
      </c>
      <c r="CV78" s="53">
        <f t="shared" si="43"/>
        <v>699316</v>
      </c>
      <c r="CW78" s="1"/>
      <c r="CX78" s="1"/>
      <c r="CY78" s="1"/>
      <c r="CZ78" s="1"/>
      <c r="DA78" s="1"/>
      <c r="DB78" s="1"/>
      <c r="DC78" s="1"/>
      <c r="DD78" s="1"/>
      <c r="DE78" s="1"/>
      <c r="DF78" s="1"/>
      <c r="DG78" s="1"/>
      <c r="DH78" s="1"/>
      <c r="DI78" s="1"/>
      <c r="DJ78" s="1"/>
      <c r="DK78" s="1"/>
      <c r="DL78" s="1"/>
    </row>
    <row r="79" spans="1:116" ht="15.75" hidden="1" x14ac:dyDescent="0.25">
      <c r="A79" s="17"/>
      <c r="B79" s="17"/>
      <c r="C79" s="17"/>
      <c r="D79" s="17"/>
      <c r="E79" s="17"/>
      <c r="F79" s="31" t="s">
        <v>19</v>
      </c>
      <c r="G79" s="71">
        <v>16.96</v>
      </c>
      <c r="H79" s="64">
        <v>22.19</v>
      </c>
      <c r="I79" s="64">
        <v>37.880000000000003</v>
      </c>
      <c r="J79" s="64">
        <v>21.64</v>
      </c>
      <c r="K79" s="64">
        <v>21.64</v>
      </c>
      <c r="L79" s="64">
        <v>28.86</v>
      </c>
      <c r="M79" s="64">
        <v>28.86</v>
      </c>
      <c r="N79" s="64">
        <v>28.86</v>
      </c>
      <c r="O79" s="64">
        <v>28.86</v>
      </c>
      <c r="P79" s="64">
        <v>28.86</v>
      </c>
      <c r="Q79" s="64">
        <v>28.86</v>
      </c>
      <c r="R79" s="64">
        <v>28.86</v>
      </c>
      <c r="S79" s="11">
        <f t="shared" si="45"/>
        <v>322.3300000000001</v>
      </c>
      <c r="T79" s="8">
        <f t="shared" si="44"/>
        <v>0.18999162349145265</v>
      </c>
      <c r="U79" s="13" t="s">
        <v>3628</v>
      </c>
      <c r="V79" s="50">
        <f t="shared" si="6"/>
        <v>462990</v>
      </c>
      <c r="W79" s="36">
        <v>1.82</v>
      </c>
      <c r="X79" s="36">
        <v>1.82</v>
      </c>
      <c r="Y79" s="36">
        <v>2.367</v>
      </c>
      <c r="Z79" s="36">
        <v>2.367</v>
      </c>
      <c r="AA79" s="36">
        <v>2.367</v>
      </c>
      <c r="AB79" s="36">
        <v>2.367</v>
      </c>
      <c r="AC79" s="36">
        <v>2.367</v>
      </c>
      <c r="AD79" s="36">
        <v>2.367</v>
      </c>
      <c r="AE79" s="36">
        <v>2.367</v>
      </c>
      <c r="AF79" s="36">
        <v>2.367</v>
      </c>
      <c r="AG79" s="36">
        <v>2.367</v>
      </c>
      <c r="AH79" s="36">
        <v>2.367</v>
      </c>
      <c r="AI79" s="39">
        <v>1.33634708931066E-2</v>
      </c>
      <c r="AJ79" s="39">
        <v>1.33634708931066E-2</v>
      </c>
      <c r="AK79" s="39">
        <v>1.33634708931066E-2</v>
      </c>
      <c r="AL79" s="39">
        <v>1.33634708931066E-2</v>
      </c>
      <c r="AM79" s="39">
        <v>1.33634708931066E-2</v>
      </c>
      <c r="AN79" s="39">
        <v>1.33634708931066E-2</v>
      </c>
      <c r="AO79" s="39">
        <v>1.33634708931066E-2</v>
      </c>
      <c r="AP79" s="39">
        <v>1.33634708931066E-2</v>
      </c>
      <c r="AQ79" s="39">
        <v>1.33634708931066E-2</v>
      </c>
      <c r="AR79" s="39">
        <v>1.33634708931066E-2</v>
      </c>
      <c r="AS79" s="39">
        <v>1.33634708931066E-2</v>
      </c>
      <c r="AT79" s="39">
        <v>1.33634708931066E-2</v>
      </c>
      <c r="AU79" s="39">
        <v>1.2392217523121999E-3</v>
      </c>
      <c r="AV79" s="39">
        <v>1.2392217523121999E-3</v>
      </c>
      <c r="AW79" s="39">
        <v>1.2392217523121999E-3</v>
      </c>
      <c r="AX79" s="39">
        <v>1.2392217523121999E-3</v>
      </c>
      <c r="AY79" s="39">
        <v>1.2392217523121999E-3</v>
      </c>
      <c r="AZ79" s="39">
        <v>1.2392217523121999E-3</v>
      </c>
      <c r="BA79" s="39">
        <v>1.2392217523121999E-3</v>
      </c>
      <c r="BB79" s="39">
        <v>1.2392217523121999E-3</v>
      </c>
      <c r="BC79" s="39">
        <v>1.2392217523121999E-3</v>
      </c>
      <c r="BD79" s="39">
        <v>1.2392217523121999E-3</v>
      </c>
      <c r="BE79" s="39">
        <v>1.2392217523121999E-3</v>
      </c>
      <c r="BF79" s="39">
        <v>1.2392217523121999E-3</v>
      </c>
      <c r="BG79" s="1"/>
      <c r="BH79" s="12">
        <f t="shared" si="7"/>
        <v>54.831680000000006</v>
      </c>
      <c r="BI79" s="12">
        <f t="shared" si="8"/>
        <v>71.74027000000001</v>
      </c>
      <c r="BJ79" s="12">
        <f t="shared" si="9"/>
        <v>122.46604000000001</v>
      </c>
      <c r="BK79" s="12">
        <f t="shared" si="10"/>
        <v>69.962119999999999</v>
      </c>
      <c r="BL79" s="12">
        <f t="shared" si="11"/>
        <v>69.962119999999999</v>
      </c>
      <c r="BM79" s="12">
        <f t="shared" si="12"/>
        <v>93.304379999999995</v>
      </c>
      <c r="BN79" s="12">
        <f t="shared" si="13"/>
        <v>93.304379999999995</v>
      </c>
      <c r="BO79" s="12">
        <f t="shared" si="14"/>
        <v>93.304379999999995</v>
      </c>
      <c r="BP79" s="12">
        <f t="shared" si="15"/>
        <v>93.304379999999995</v>
      </c>
      <c r="BQ79" s="12">
        <f t="shared" si="16"/>
        <v>93.304379999999995</v>
      </c>
      <c r="BR79" s="12">
        <f t="shared" si="17"/>
        <v>93.304379999999995</v>
      </c>
      <c r="BS79" s="12">
        <f t="shared" si="18"/>
        <v>93.304379999999995</v>
      </c>
      <c r="BT79" s="1"/>
      <c r="BU79" s="11">
        <f t="shared" si="19"/>
        <v>55.632370170271962</v>
      </c>
      <c r="BV79" s="11">
        <f t="shared" si="20"/>
        <v>72.787871113109375</v>
      </c>
      <c r="BW79" s="11">
        <f t="shared" si="21"/>
        <v>124.25437394162157</v>
      </c>
      <c r="BX79" s="11">
        <f t="shared" si="22"/>
        <v>70.983755335181911</v>
      </c>
      <c r="BY79" s="11">
        <f t="shared" si="23"/>
        <v>70.983755335181911</v>
      </c>
      <c r="BZ79" s="11">
        <f t="shared" si="24"/>
        <v>94.666875183611353</v>
      </c>
      <c r="CA79" s="11">
        <f t="shared" si="25"/>
        <v>94.666875183611353</v>
      </c>
      <c r="CB79" s="11">
        <f t="shared" si="26"/>
        <v>94.666875183611353</v>
      </c>
      <c r="CC79" s="11">
        <f t="shared" si="27"/>
        <v>94.666875183611353</v>
      </c>
      <c r="CD79" s="11">
        <f t="shared" si="28"/>
        <v>94.666875183611353</v>
      </c>
      <c r="CE79" s="11">
        <f t="shared" si="29"/>
        <v>94.666875183611353</v>
      </c>
      <c r="CF79" s="11">
        <f t="shared" si="30"/>
        <v>94.666875183611353</v>
      </c>
      <c r="CG79" s="11"/>
      <c r="CH79" s="41">
        <v>3.2330000000000001</v>
      </c>
      <c r="CI79" s="1"/>
      <c r="CJ79" s="53">
        <f t="shared" si="31"/>
        <v>30567</v>
      </c>
      <c r="CK79" s="53">
        <f t="shared" si="32"/>
        <v>39993</v>
      </c>
      <c r="CL79" s="53">
        <f t="shared" si="33"/>
        <v>52494</v>
      </c>
      <c r="CM79" s="53">
        <f t="shared" si="34"/>
        <v>29989</v>
      </c>
      <c r="CN79" s="53">
        <f t="shared" si="35"/>
        <v>29989</v>
      </c>
      <c r="CO79" s="53">
        <f t="shared" si="36"/>
        <v>39994</v>
      </c>
      <c r="CP79" s="53">
        <f t="shared" si="37"/>
        <v>39994</v>
      </c>
      <c r="CQ79" s="53">
        <f t="shared" si="38"/>
        <v>39994</v>
      </c>
      <c r="CR79" s="53">
        <f t="shared" si="39"/>
        <v>39994</v>
      </c>
      <c r="CS79" s="53">
        <f t="shared" si="40"/>
        <v>39994</v>
      </c>
      <c r="CT79" s="53">
        <f t="shared" si="41"/>
        <v>39994</v>
      </c>
      <c r="CU79" s="53">
        <f t="shared" si="42"/>
        <v>39994</v>
      </c>
      <c r="CV79" s="53">
        <f t="shared" si="43"/>
        <v>462990</v>
      </c>
      <c r="CW79" s="1"/>
      <c r="CX79" s="1"/>
      <c r="CY79" s="1"/>
      <c r="CZ79" s="1"/>
      <c r="DA79" s="1"/>
      <c r="DB79" s="1"/>
      <c r="DC79" s="1"/>
      <c r="DD79" s="1"/>
      <c r="DE79" s="1"/>
      <c r="DF79" s="1"/>
      <c r="DG79" s="1"/>
      <c r="DH79" s="1"/>
      <c r="DI79" s="1"/>
      <c r="DJ79" s="1"/>
      <c r="DK79" s="1"/>
      <c r="DL79" s="1"/>
    </row>
    <row r="80" spans="1:116" ht="15.75" hidden="1" x14ac:dyDescent="0.25">
      <c r="A80" s="17"/>
      <c r="B80" s="17"/>
      <c r="C80" s="17"/>
      <c r="D80" s="17"/>
      <c r="E80" s="17"/>
      <c r="F80" s="31" t="s">
        <v>19</v>
      </c>
      <c r="G80" s="71">
        <v>170.25</v>
      </c>
      <c r="H80" s="64">
        <v>70.37</v>
      </c>
      <c r="I80" s="64">
        <v>186.78</v>
      </c>
      <c r="J80" s="64">
        <v>74.709999999999994</v>
      </c>
      <c r="K80" s="64">
        <v>74.709999999999994</v>
      </c>
      <c r="L80" s="64">
        <v>74.709999999999994</v>
      </c>
      <c r="M80" s="64">
        <v>86.85</v>
      </c>
      <c r="N80" s="64">
        <v>91.05</v>
      </c>
      <c r="O80" s="64">
        <v>186.78</v>
      </c>
      <c r="P80" s="64">
        <v>186.78</v>
      </c>
      <c r="Q80" s="64">
        <v>158.76</v>
      </c>
      <c r="R80" s="64">
        <v>121.41</v>
      </c>
      <c r="S80" s="11">
        <f t="shared" si="45"/>
        <v>1483.16</v>
      </c>
      <c r="T80" s="8">
        <f t="shared" si="44"/>
        <v>4.6050324981795593E-2</v>
      </c>
      <c r="U80" s="13" t="s">
        <v>3628</v>
      </c>
      <c r="V80" s="50">
        <f t="shared" si="6"/>
        <v>1665231</v>
      </c>
      <c r="W80" s="36">
        <v>2.3559999999999999</v>
      </c>
      <c r="X80" s="36">
        <v>2.3559999999999999</v>
      </c>
      <c r="Y80" s="36">
        <v>3.0640000000000001</v>
      </c>
      <c r="Z80" s="36">
        <v>3.0640000000000001</v>
      </c>
      <c r="AA80" s="36">
        <v>3.0640000000000001</v>
      </c>
      <c r="AB80" s="36">
        <v>3.0640000000000001</v>
      </c>
      <c r="AC80" s="36">
        <v>3.0640000000000001</v>
      </c>
      <c r="AD80" s="36">
        <v>3.0640000000000001</v>
      </c>
      <c r="AE80" s="36">
        <v>3.0640000000000001</v>
      </c>
      <c r="AF80" s="36">
        <v>3.0640000000000001</v>
      </c>
      <c r="AG80" s="36">
        <v>3.0640000000000001</v>
      </c>
      <c r="AH80" s="36">
        <v>3.0640000000000001</v>
      </c>
      <c r="AI80" s="39">
        <v>1.33634708931066E-2</v>
      </c>
      <c r="AJ80" s="39">
        <v>1.33634708931066E-2</v>
      </c>
      <c r="AK80" s="39">
        <v>1.33634708931066E-2</v>
      </c>
      <c r="AL80" s="39">
        <v>1.33634708931066E-2</v>
      </c>
      <c r="AM80" s="39">
        <v>1.33634708931066E-2</v>
      </c>
      <c r="AN80" s="39">
        <v>1.33634708931066E-2</v>
      </c>
      <c r="AO80" s="39">
        <v>1.33634708931066E-2</v>
      </c>
      <c r="AP80" s="39">
        <v>1.33634708931066E-2</v>
      </c>
      <c r="AQ80" s="39">
        <v>1.33634708931066E-2</v>
      </c>
      <c r="AR80" s="39">
        <v>1.33634708931066E-2</v>
      </c>
      <c r="AS80" s="39">
        <v>1.33634708931066E-2</v>
      </c>
      <c r="AT80" s="39">
        <v>1.33634708931066E-2</v>
      </c>
      <c r="AU80" s="39">
        <v>1.2392217523121999E-3</v>
      </c>
      <c r="AV80" s="39">
        <v>1.2392217523121999E-3</v>
      </c>
      <c r="AW80" s="39">
        <v>1.2392217523121999E-3</v>
      </c>
      <c r="AX80" s="39">
        <v>1.2392217523121999E-3</v>
      </c>
      <c r="AY80" s="39">
        <v>1.2392217523121999E-3</v>
      </c>
      <c r="AZ80" s="39">
        <v>1.2392217523121999E-3</v>
      </c>
      <c r="BA80" s="39">
        <v>1.2392217523121999E-3</v>
      </c>
      <c r="BB80" s="39">
        <v>1.2392217523121999E-3</v>
      </c>
      <c r="BC80" s="39">
        <v>1.2392217523121999E-3</v>
      </c>
      <c r="BD80" s="39">
        <v>1.2392217523121999E-3</v>
      </c>
      <c r="BE80" s="39">
        <v>1.2392217523121999E-3</v>
      </c>
      <c r="BF80" s="39">
        <v>1.2392217523121999E-3</v>
      </c>
      <c r="BG80" s="1"/>
      <c r="BH80" s="12">
        <f t="shared" si="7"/>
        <v>550.41825000000006</v>
      </c>
      <c r="BI80" s="12">
        <f t="shared" si="8"/>
        <v>227.50621000000001</v>
      </c>
      <c r="BJ80" s="12">
        <f t="shared" si="9"/>
        <v>603.85973999999999</v>
      </c>
      <c r="BK80" s="12">
        <f t="shared" si="10"/>
        <v>241.53743</v>
      </c>
      <c r="BL80" s="12">
        <f t="shared" si="11"/>
        <v>241.53743</v>
      </c>
      <c r="BM80" s="12">
        <f t="shared" si="12"/>
        <v>241.53743</v>
      </c>
      <c r="BN80" s="12">
        <f t="shared" si="13"/>
        <v>280.78604999999999</v>
      </c>
      <c r="BO80" s="12">
        <f t="shared" si="14"/>
        <v>294.36464999999998</v>
      </c>
      <c r="BP80" s="12">
        <f t="shared" si="15"/>
        <v>603.85973999999999</v>
      </c>
      <c r="BQ80" s="12">
        <f t="shared" si="16"/>
        <v>603.85973999999999</v>
      </c>
      <c r="BR80" s="12">
        <f t="shared" si="17"/>
        <v>513.27107999999998</v>
      </c>
      <c r="BS80" s="12">
        <f t="shared" si="18"/>
        <v>392.51853</v>
      </c>
      <c r="BT80" s="1"/>
      <c r="BU80" s="11">
        <f t="shared" si="19"/>
        <v>558.45583853117932</v>
      </c>
      <c r="BV80" s="11">
        <f t="shared" si="20"/>
        <v>230.82841325955411</v>
      </c>
      <c r="BW80" s="11">
        <f t="shared" si="21"/>
        <v>612.67771818416247</v>
      </c>
      <c r="BX80" s="11">
        <f t="shared" si="22"/>
        <v>245.06452685265435</v>
      </c>
      <c r="BY80" s="11">
        <f t="shared" si="23"/>
        <v>245.06452685265435</v>
      </c>
      <c r="BZ80" s="11">
        <f t="shared" si="24"/>
        <v>245.06452685265435</v>
      </c>
      <c r="CA80" s="11">
        <f t="shared" si="25"/>
        <v>284.88628238727119</v>
      </c>
      <c r="CB80" s="11">
        <f t="shared" si="26"/>
        <v>298.66316650962625</v>
      </c>
      <c r="CC80" s="11">
        <f t="shared" si="27"/>
        <v>612.67771818416247</v>
      </c>
      <c r="CD80" s="11">
        <f t="shared" si="28"/>
        <v>612.67771818416247</v>
      </c>
      <c r="CE80" s="11">
        <f t="shared" si="29"/>
        <v>520.76621982502218</v>
      </c>
      <c r="CF80" s="11">
        <f t="shared" si="30"/>
        <v>398.25035745122159</v>
      </c>
      <c r="CG80" s="11"/>
      <c r="CH80" s="41">
        <v>3.2330000000000001</v>
      </c>
      <c r="CI80" s="1"/>
      <c r="CJ80" s="53">
        <f t="shared" si="31"/>
        <v>237036</v>
      </c>
      <c r="CK80" s="53">
        <f t="shared" si="32"/>
        <v>97975</v>
      </c>
      <c r="CL80" s="53">
        <f t="shared" si="33"/>
        <v>199960</v>
      </c>
      <c r="CM80" s="53">
        <f t="shared" si="34"/>
        <v>79982</v>
      </c>
      <c r="CN80" s="53">
        <f t="shared" si="35"/>
        <v>79982</v>
      </c>
      <c r="CO80" s="53">
        <f t="shared" si="36"/>
        <v>79982</v>
      </c>
      <c r="CP80" s="53">
        <f t="shared" si="37"/>
        <v>92979</v>
      </c>
      <c r="CQ80" s="53">
        <f t="shared" si="38"/>
        <v>97475</v>
      </c>
      <c r="CR80" s="53">
        <f t="shared" si="39"/>
        <v>199960</v>
      </c>
      <c r="CS80" s="53">
        <f t="shared" si="40"/>
        <v>199960</v>
      </c>
      <c r="CT80" s="53">
        <f t="shared" si="41"/>
        <v>169963</v>
      </c>
      <c r="CU80" s="53">
        <f t="shared" si="42"/>
        <v>129977</v>
      </c>
      <c r="CV80" s="53">
        <f t="shared" si="43"/>
        <v>1665231</v>
      </c>
      <c r="CW80" s="1"/>
      <c r="CX80" s="1"/>
      <c r="CY80" s="1"/>
      <c r="CZ80" s="1"/>
      <c r="DA80" s="1"/>
      <c r="DB80" s="1"/>
      <c r="DC80" s="1"/>
      <c r="DD80" s="1"/>
      <c r="DE80" s="1"/>
      <c r="DF80" s="1"/>
      <c r="DG80" s="1"/>
      <c r="DH80" s="1"/>
      <c r="DI80" s="1"/>
      <c r="DJ80" s="1"/>
      <c r="DK80" s="1"/>
      <c r="DL80" s="1"/>
    </row>
    <row r="81" spans="1:116" ht="15.75" hidden="1" x14ac:dyDescent="0.25">
      <c r="A81" s="17"/>
      <c r="B81" s="17"/>
      <c r="C81" s="17"/>
      <c r="D81" s="17"/>
      <c r="E81" s="17"/>
      <c r="F81" s="31" t="s">
        <v>19</v>
      </c>
      <c r="G81" s="71">
        <v>510.76</v>
      </c>
      <c r="H81" s="64">
        <v>1077.51</v>
      </c>
      <c r="I81" s="64">
        <v>160.19999999999999</v>
      </c>
      <c r="J81" s="64">
        <v>320.39999999999998</v>
      </c>
      <c r="K81" s="64">
        <v>480.6</v>
      </c>
      <c r="L81" s="64">
        <v>440.55</v>
      </c>
      <c r="M81" s="64">
        <v>440.55</v>
      </c>
      <c r="N81" s="64">
        <v>680.85</v>
      </c>
      <c r="O81" s="64">
        <v>640.79999999999995</v>
      </c>
      <c r="P81" s="64">
        <v>640.79999999999995</v>
      </c>
      <c r="Q81" s="64">
        <v>640.79999999999995</v>
      </c>
      <c r="R81" s="64">
        <v>320.39999999999998</v>
      </c>
      <c r="S81" s="11">
        <f t="shared" si="45"/>
        <v>6354.22</v>
      </c>
      <c r="T81" s="8">
        <f t="shared" si="44"/>
        <v>4.7831205088901735E-2</v>
      </c>
      <c r="U81" s="13" t="s">
        <v>3628</v>
      </c>
      <c r="V81" s="50">
        <f t="shared" si="6"/>
        <v>8601430</v>
      </c>
      <c r="W81" s="36">
        <v>1.964</v>
      </c>
      <c r="X81" s="36">
        <v>1.964</v>
      </c>
      <c r="Y81" s="36">
        <v>2.6280000000000001</v>
      </c>
      <c r="Z81" s="36">
        <v>2.6280000000000001</v>
      </c>
      <c r="AA81" s="36">
        <v>2.6280000000000001</v>
      </c>
      <c r="AB81" s="36">
        <v>2.6280000000000001</v>
      </c>
      <c r="AC81" s="36">
        <v>2.6280000000000001</v>
      </c>
      <c r="AD81" s="36">
        <v>2.6280000000000001</v>
      </c>
      <c r="AE81" s="36">
        <v>2.6280000000000001</v>
      </c>
      <c r="AF81" s="36">
        <v>2.6280000000000001</v>
      </c>
      <c r="AG81" s="36">
        <v>2.6280000000000001</v>
      </c>
      <c r="AH81" s="36">
        <v>2.6280000000000001</v>
      </c>
      <c r="AI81" s="39">
        <v>1.33634708931066E-2</v>
      </c>
      <c r="AJ81" s="39">
        <v>1.33634708931066E-2</v>
      </c>
      <c r="AK81" s="39">
        <v>1.33634708931066E-2</v>
      </c>
      <c r="AL81" s="39">
        <v>1.33634708931066E-2</v>
      </c>
      <c r="AM81" s="39">
        <v>1.33634708931066E-2</v>
      </c>
      <c r="AN81" s="39">
        <v>1.33634708931066E-2</v>
      </c>
      <c r="AO81" s="39">
        <v>1.33634708931066E-2</v>
      </c>
      <c r="AP81" s="39">
        <v>1.33634708931066E-2</v>
      </c>
      <c r="AQ81" s="39">
        <v>1.33634708931066E-2</v>
      </c>
      <c r="AR81" s="39">
        <v>1.33634708931066E-2</v>
      </c>
      <c r="AS81" s="39">
        <v>1.33634708931066E-2</v>
      </c>
      <c r="AT81" s="39">
        <v>1.33634708931066E-2</v>
      </c>
      <c r="AU81" s="39">
        <v>1.2392217523121999E-3</v>
      </c>
      <c r="AV81" s="39">
        <v>1.2392217523121999E-3</v>
      </c>
      <c r="AW81" s="39">
        <v>1.2392217523121999E-3</v>
      </c>
      <c r="AX81" s="39">
        <v>1.2392217523121999E-3</v>
      </c>
      <c r="AY81" s="39">
        <v>1.2392217523121999E-3</v>
      </c>
      <c r="AZ81" s="39">
        <v>1.2392217523121999E-3</v>
      </c>
      <c r="BA81" s="39">
        <v>1.2392217523121999E-3</v>
      </c>
      <c r="BB81" s="39">
        <v>1.2392217523121999E-3</v>
      </c>
      <c r="BC81" s="39">
        <v>1.2392217523121999E-3</v>
      </c>
      <c r="BD81" s="39">
        <v>1.2392217523121999E-3</v>
      </c>
      <c r="BE81" s="39">
        <v>1.2392217523121999E-3</v>
      </c>
      <c r="BF81" s="39">
        <v>1.2392217523121999E-3</v>
      </c>
      <c r="BG81" s="1"/>
      <c r="BH81" s="12">
        <f t="shared" si="7"/>
        <v>1651.2870800000001</v>
      </c>
      <c r="BI81" s="12">
        <f t="shared" si="8"/>
        <v>3483.5898299999999</v>
      </c>
      <c r="BJ81" s="12">
        <f t="shared" si="9"/>
        <v>517.92660000000001</v>
      </c>
      <c r="BK81" s="12">
        <f t="shared" si="10"/>
        <v>1035.8532</v>
      </c>
      <c r="BL81" s="12">
        <f t="shared" si="11"/>
        <v>1553.7798</v>
      </c>
      <c r="BM81" s="12">
        <f t="shared" si="12"/>
        <v>1424.2981500000001</v>
      </c>
      <c r="BN81" s="12">
        <f t="shared" si="13"/>
        <v>1424.2981500000001</v>
      </c>
      <c r="BO81" s="12">
        <f t="shared" si="14"/>
        <v>2201.1880500000002</v>
      </c>
      <c r="BP81" s="12">
        <f t="shared" si="15"/>
        <v>2071.7064</v>
      </c>
      <c r="BQ81" s="12">
        <f t="shared" si="16"/>
        <v>2071.7064</v>
      </c>
      <c r="BR81" s="12">
        <f t="shared" si="17"/>
        <v>2071.7064</v>
      </c>
      <c r="BS81" s="12">
        <f t="shared" si="18"/>
        <v>1035.8532</v>
      </c>
      <c r="BT81" s="1"/>
      <c r="BU81" s="11">
        <f t="shared" si="19"/>
        <v>1675.4003176985912</v>
      </c>
      <c r="BV81" s="11">
        <f t="shared" si="20"/>
        <v>3534.4596215901965</v>
      </c>
      <c r="BW81" s="11">
        <f t="shared" si="21"/>
        <v>525.48972295268675</v>
      </c>
      <c r="BX81" s="11">
        <f t="shared" si="22"/>
        <v>1050.9794459053735</v>
      </c>
      <c r="BY81" s="11">
        <f t="shared" si="23"/>
        <v>1576.4691688580604</v>
      </c>
      <c r="BZ81" s="11">
        <f t="shared" si="24"/>
        <v>1445.0967381198886</v>
      </c>
      <c r="CA81" s="11">
        <f t="shared" si="25"/>
        <v>1445.0967381198886</v>
      </c>
      <c r="CB81" s="11">
        <f t="shared" si="26"/>
        <v>2233.3313225489192</v>
      </c>
      <c r="CC81" s="11">
        <f t="shared" si="27"/>
        <v>2101.958891810747</v>
      </c>
      <c r="CD81" s="11">
        <f t="shared" si="28"/>
        <v>2101.958891810747</v>
      </c>
      <c r="CE81" s="11">
        <f t="shared" si="29"/>
        <v>2101.958891810747</v>
      </c>
      <c r="CF81" s="11">
        <f t="shared" si="30"/>
        <v>1050.9794459053735</v>
      </c>
      <c r="CG81" s="11"/>
      <c r="CH81" s="41">
        <v>3.2330000000000001</v>
      </c>
      <c r="CI81" s="1"/>
      <c r="CJ81" s="53">
        <f t="shared" si="31"/>
        <v>853055</v>
      </c>
      <c r="CK81" s="53">
        <f t="shared" si="32"/>
        <v>1799623</v>
      </c>
      <c r="CL81" s="53">
        <f t="shared" si="33"/>
        <v>199958</v>
      </c>
      <c r="CM81" s="53">
        <f t="shared" si="34"/>
        <v>399916</v>
      </c>
      <c r="CN81" s="53">
        <f t="shared" si="35"/>
        <v>599874</v>
      </c>
      <c r="CO81" s="53">
        <f t="shared" si="36"/>
        <v>549885</v>
      </c>
      <c r="CP81" s="53">
        <f t="shared" si="37"/>
        <v>549885</v>
      </c>
      <c r="CQ81" s="53">
        <f t="shared" si="38"/>
        <v>849822</v>
      </c>
      <c r="CR81" s="53">
        <f t="shared" si="39"/>
        <v>799832</v>
      </c>
      <c r="CS81" s="53">
        <f t="shared" si="40"/>
        <v>799832</v>
      </c>
      <c r="CT81" s="53">
        <f t="shared" si="41"/>
        <v>799832</v>
      </c>
      <c r="CU81" s="53">
        <f t="shared" si="42"/>
        <v>399916</v>
      </c>
      <c r="CV81" s="53">
        <f t="shared" si="43"/>
        <v>8601430</v>
      </c>
      <c r="CW81" s="1"/>
      <c r="CX81" s="1"/>
      <c r="CY81" s="1"/>
      <c r="CZ81" s="1"/>
      <c r="DA81" s="1"/>
      <c r="DB81" s="1"/>
      <c r="DC81" s="1"/>
      <c r="DD81" s="1"/>
      <c r="DE81" s="1"/>
      <c r="DF81" s="1"/>
      <c r="DG81" s="1"/>
      <c r="DH81" s="1"/>
      <c r="DI81" s="1"/>
      <c r="DJ81" s="1"/>
      <c r="DK81" s="1"/>
      <c r="DL81" s="1"/>
    </row>
    <row r="82" spans="1:116" ht="15.75" hidden="1" x14ac:dyDescent="0.25">
      <c r="A82" s="17"/>
      <c r="B82" s="17"/>
      <c r="C82" s="17"/>
      <c r="D82" s="17"/>
      <c r="E82" s="17"/>
      <c r="F82" s="31" t="s">
        <v>19</v>
      </c>
      <c r="G82" s="71">
        <v>0</v>
      </c>
      <c r="H82" s="64">
        <v>0</v>
      </c>
      <c r="I82" s="64">
        <v>20.239999999999998</v>
      </c>
      <c r="J82" s="64">
        <v>20.239999999999998</v>
      </c>
      <c r="K82" s="64">
        <v>20.239999999999998</v>
      </c>
      <c r="L82" s="64">
        <v>20.239999999999998</v>
      </c>
      <c r="M82" s="64">
        <v>20.239999999999998</v>
      </c>
      <c r="N82" s="64">
        <v>20.239999999999998</v>
      </c>
      <c r="O82" s="64">
        <v>20.239999999999998</v>
      </c>
      <c r="P82" s="64">
        <v>20.239999999999998</v>
      </c>
      <c r="Q82" s="64">
        <v>20.239999999999998</v>
      </c>
      <c r="R82" s="64">
        <v>20.239999999999998</v>
      </c>
      <c r="S82" s="11">
        <f t="shared" si="45"/>
        <v>202.4</v>
      </c>
      <c r="T82" s="8">
        <f t="shared" si="44"/>
        <v>0</v>
      </c>
      <c r="U82" s="13" t="s">
        <v>3628</v>
      </c>
      <c r="V82" s="50">
        <f t="shared" si="6"/>
        <v>130000</v>
      </c>
      <c r="W82" s="36">
        <v>5.1070000000000002</v>
      </c>
      <c r="X82" s="36">
        <v>5.1070000000000002</v>
      </c>
      <c r="Y82" s="36">
        <v>5.1070000000000002</v>
      </c>
      <c r="Z82" s="36">
        <v>5.1070000000000002</v>
      </c>
      <c r="AA82" s="36">
        <v>5.1070000000000002</v>
      </c>
      <c r="AB82" s="36">
        <v>5.1070000000000002</v>
      </c>
      <c r="AC82" s="36">
        <v>5.1070000000000002</v>
      </c>
      <c r="AD82" s="36">
        <v>5.1070000000000002</v>
      </c>
      <c r="AE82" s="36">
        <v>5.1070000000000002</v>
      </c>
      <c r="AF82" s="36">
        <v>5.1070000000000002</v>
      </c>
      <c r="AG82" s="36">
        <v>5.1070000000000002</v>
      </c>
      <c r="AH82" s="36">
        <v>5.1070000000000002</v>
      </c>
      <c r="AI82" s="39">
        <v>1.33634708931066E-2</v>
      </c>
      <c r="AJ82" s="39">
        <v>1.33634708931066E-2</v>
      </c>
      <c r="AK82" s="39">
        <v>1.33634708931066E-2</v>
      </c>
      <c r="AL82" s="39">
        <v>1.33634708931066E-2</v>
      </c>
      <c r="AM82" s="39">
        <v>1.33634708931066E-2</v>
      </c>
      <c r="AN82" s="39">
        <v>1.33634708931066E-2</v>
      </c>
      <c r="AO82" s="39">
        <v>1.33634708931066E-2</v>
      </c>
      <c r="AP82" s="39">
        <v>1.33634708931066E-2</v>
      </c>
      <c r="AQ82" s="39">
        <v>1.33634708931066E-2</v>
      </c>
      <c r="AR82" s="39">
        <v>1.33634708931066E-2</v>
      </c>
      <c r="AS82" s="39">
        <v>1.33634708931066E-2</v>
      </c>
      <c r="AT82" s="39">
        <v>1.33634708931066E-2</v>
      </c>
      <c r="AU82" s="39">
        <v>1.2392217523121999E-3</v>
      </c>
      <c r="AV82" s="39">
        <v>1.2392217523121999E-3</v>
      </c>
      <c r="AW82" s="39">
        <v>1.2392217523121999E-3</v>
      </c>
      <c r="AX82" s="39">
        <v>1.2392217523121999E-3</v>
      </c>
      <c r="AY82" s="39">
        <v>1.2392217523121999E-3</v>
      </c>
      <c r="AZ82" s="39">
        <v>1.2392217523121999E-3</v>
      </c>
      <c r="BA82" s="39">
        <v>1.2392217523121999E-3</v>
      </c>
      <c r="BB82" s="39">
        <v>1.2392217523121999E-3</v>
      </c>
      <c r="BC82" s="39">
        <v>1.2392217523121999E-3</v>
      </c>
      <c r="BD82" s="39">
        <v>1.2392217523121999E-3</v>
      </c>
      <c r="BE82" s="39">
        <v>1.2392217523121999E-3</v>
      </c>
      <c r="BF82" s="39">
        <v>1.2392217523121999E-3</v>
      </c>
      <c r="BG82" s="1"/>
      <c r="BH82" s="12">
        <f t="shared" ref="BH82:BH145" si="46">G82*$CH82</f>
        <v>0</v>
      </c>
      <c r="BI82" s="12">
        <f t="shared" ref="BI82:BI145" si="47">H82*$CH82</f>
        <v>0</v>
      </c>
      <c r="BJ82" s="12">
        <f t="shared" ref="BJ82:BJ145" si="48">I82*$CH82</f>
        <v>65.435919999999996</v>
      </c>
      <c r="BK82" s="12">
        <f t="shared" ref="BK82:BK145" si="49">J82*$CH82</f>
        <v>65.435919999999996</v>
      </c>
      <c r="BL82" s="12">
        <f t="shared" ref="BL82:BL145" si="50">K82*$CH82</f>
        <v>65.435919999999996</v>
      </c>
      <c r="BM82" s="12">
        <f t="shared" ref="BM82:BM145" si="51">L82*$CH82</f>
        <v>65.435919999999996</v>
      </c>
      <c r="BN82" s="12">
        <f t="shared" ref="BN82:BN145" si="52">M82*$CH82</f>
        <v>65.435919999999996</v>
      </c>
      <c r="BO82" s="12">
        <f t="shared" ref="BO82:BO145" si="53">N82*$CH82</f>
        <v>65.435919999999996</v>
      </c>
      <c r="BP82" s="12">
        <f t="shared" ref="BP82:BP145" si="54">O82*$CH82</f>
        <v>65.435919999999996</v>
      </c>
      <c r="BQ82" s="12">
        <f t="shared" ref="BQ82:BQ145" si="55">P82*$CH82</f>
        <v>65.435919999999996</v>
      </c>
      <c r="BR82" s="12">
        <f t="shared" ref="BR82:BR145" si="56">Q82*$CH82</f>
        <v>65.435919999999996</v>
      </c>
      <c r="BS82" s="12">
        <f t="shared" ref="BS82:BS145" si="57">R82*$CH82</f>
        <v>65.435919999999996</v>
      </c>
      <c r="BT82" s="1"/>
      <c r="BU82" s="11">
        <f t="shared" ref="BU82:BU145" si="58">BH82*(1+(AI82+AU82))</f>
        <v>0</v>
      </c>
      <c r="BV82" s="11">
        <f t="shared" ref="BV82:BV145" si="59">BI82*(1+(AJ82+AV82))</f>
        <v>0</v>
      </c>
      <c r="BW82" s="11">
        <f t="shared" ref="BW82:BW145" si="60">BJ82*(1+(AK82+AW82))</f>
        <v>66.391460627730211</v>
      </c>
      <c r="BX82" s="11">
        <f t="shared" ref="BX82:BX145" si="61">BK82*(1+(AL82+AX82))</f>
        <v>66.391460627730211</v>
      </c>
      <c r="BY82" s="11">
        <f t="shared" ref="BY82:BY145" si="62">BL82*(1+(AM82+AY82))</f>
        <v>66.391460627730211</v>
      </c>
      <c r="BZ82" s="11">
        <f t="shared" ref="BZ82:BZ145" si="63">BM82*(1+(AN82+AZ82))</f>
        <v>66.391460627730211</v>
      </c>
      <c r="CA82" s="11">
        <f t="shared" ref="CA82:CA145" si="64">BN82*(1+(AO82+BA82))</f>
        <v>66.391460627730211</v>
      </c>
      <c r="CB82" s="11">
        <f t="shared" ref="CB82:CB145" si="65">BO82*(1+(AP82+BB82))</f>
        <v>66.391460627730211</v>
      </c>
      <c r="CC82" s="11">
        <f t="shared" ref="CC82:CC145" si="66">BP82*(1+(AQ82+BC82))</f>
        <v>66.391460627730211</v>
      </c>
      <c r="CD82" s="11">
        <f t="shared" ref="CD82:CD145" si="67">BQ82*(1+(AR82+BD82))</f>
        <v>66.391460627730211</v>
      </c>
      <c r="CE82" s="11">
        <f t="shared" ref="CE82:CE145" si="68">BR82*(1+(AS82+BE82))</f>
        <v>66.391460627730211</v>
      </c>
      <c r="CF82" s="11">
        <f t="shared" ref="CF82:CF145" si="69">BS82*(1+(AT82+BF82))</f>
        <v>66.391460627730211</v>
      </c>
      <c r="CG82" s="11"/>
      <c r="CH82" s="41">
        <v>3.2330000000000001</v>
      </c>
      <c r="CI82" s="1"/>
      <c r="CJ82" s="53">
        <f t="shared" ref="CJ82:CJ145" si="70">IFERROR(ROUND((BU82*1000)/W82,),0)</f>
        <v>0</v>
      </c>
      <c r="CK82" s="53">
        <f t="shared" ref="CK82:CK145" si="71">IFERROR(ROUND((BV82*1000)/X82,),0)</f>
        <v>0</v>
      </c>
      <c r="CL82" s="53">
        <f t="shared" ref="CL82:CL145" si="72">IFERROR(ROUND((BW82*1000)/Y82,),0)</f>
        <v>13000</v>
      </c>
      <c r="CM82" s="53">
        <f t="shared" ref="CM82:CM145" si="73">IFERROR(ROUND((BX82*1000)/Z82,),0)</f>
        <v>13000</v>
      </c>
      <c r="CN82" s="53">
        <f t="shared" ref="CN82:CN145" si="74">IFERROR(ROUND((BY82*1000)/AA82,),0)</f>
        <v>13000</v>
      </c>
      <c r="CO82" s="53">
        <f t="shared" ref="CO82:CO145" si="75">IFERROR(ROUND((BZ82*1000)/AB82,),0)</f>
        <v>13000</v>
      </c>
      <c r="CP82" s="53">
        <f t="shared" ref="CP82:CP145" si="76">IFERROR(ROUND((CA82*1000)/AC82,),0)</f>
        <v>13000</v>
      </c>
      <c r="CQ82" s="53">
        <f t="shared" ref="CQ82:CQ145" si="77">IFERROR(ROUND((CB82*1000)/AD82,),0)</f>
        <v>13000</v>
      </c>
      <c r="CR82" s="53">
        <f t="shared" ref="CR82:CR145" si="78">IFERROR(ROUND((CC82*1000)/AE82,),0)</f>
        <v>13000</v>
      </c>
      <c r="CS82" s="53">
        <f t="shared" ref="CS82:CS145" si="79">IFERROR(ROUND((CD82*1000)/AF82,),0)</f>
        <v>13000</v>
      </c>
      <c r="CT82" s="53">
        <f t="shared" ref="CT82:CT145" si="80">IFERROR(ROUND((CE82*1000)/AG82,),0)</f>
        <v>13000</v>
      </c>
      <c r="CU82" s="53">
        <f t="shared" ref="CU82:CU145" si="81">IFERROR(ROUND((CF82*1000)/AH82,),0)</f>
        <v>13000</v>
      </c>
      <c r="CV82" s="53">
        <f t="shared" si="43"/>
        <v>130000</v>
      </c>
      <c r="CW82" s="1"/>
      <c r="CX82" s="1"/>
      <c r="CY82" s="1"/>
      <c r="CZ82" s="1"/>
      <c r="DA82" s="1"/>
      <c r="DB82" s="1"/>
      <c r="DC82" s="1"/>
      <c r="DD82" s="1"/>
      <c r="DE82" s="1"/>
      <c r="DF82" s="1"/>
      <c r="DG82" s="1"/>
      <c r="DH82" s="1"/>
      <c r="DI82" s="1"/>
      <c r="DJ82" s="1"/>
      <c r="DK82" s="1"/>
      <c r="DL82" s="1"/>
    </row>
    <row r="83" spans="1:116" ht="15.75" hidden="1" x14ac:dyDescent="0.25">
      <c r="A83" s="17"/>
      <c r="B83" s="17"/>
      <c r="C83" s="17"/>
      <c r="D83" s="17"/>
      <c r="E83" s="17"/>
      <c r="F83" s="31" t="s">
        <v>19</v>
      </c>
      <c r="G83" s="71">
        <v>0</v>
      </c>
      <c r="H83" s="64">
        <v>54.58</v>
      </c>
      <c r="I83" s="64">
        <v>24.81</v>
      </c>
      <c r="J83" s="64">
        <v>21.83</v>
      </c>
      <c r="K83" s="64">
        <v>16.87</v>
      </c>
      <c r="L83" s="64">
        <v>3.97</v>
      </c>
      <c r="M83" s="64">
        <v>3.97</v>
      </c>
      <c r="N83" s="64">
        <v>2.98</v>
      </c>
      <c r="O83" s="64">
        <v>11.91</v>
      </c>
      <c r="P83" s="64">
        <v>19.850000000000001</v>
      </c>
      <c r="Q83" s="64">
        <v>24.81</v>
      </c>
      <c r="R83" s="64">
        <v>24.81</v>
      </c>
      <c r="S83" s="11">
        <f t="shared" si="45"/>
        <v>210.39</v>
      </c>
      <c r="T83" s="8">
        <f t="shared" si="44"/>
        <v>-4.7150529968154324E-2</v>
      </c>
      <c r="U83" s="13" t="s">
        <v>3628</v>
      </c>
      <c r="V83" s="50">
        <f t="shared" si="6"/>
        <v>211954</v>
      </c>
      <c r="W83" s="36">
        <v>3.2559999999999998</v>
      </c>
      <c r="X83" s="36">
        <v>3.2559999999999998</v>
      </c>
      <c r="Y83" s="36">
        <v>3.2559999999999998</v>
      </c>
      <c r="Z83" s="36">
        <v>3.2559999999999998</v>
      </c>
      <c r="AA83" s="36">
        <v>3.2559999999999998</v>
      </c>
      <c r="AB83" s="36">
        <v>3.2559999999999998</v>
      </c>
      <c r="AC83" s="36">
        <v>3.2559999999999998</v>
      </c>
      <c r="AD83" s="36">
        <v>3.2559999999999998</v>
      </c>
      <c r="AE83" s="36">
        <v>3.2559999999999998</v>
      </c>
      <c r="AF83" s="36">
        <v>3.2559999999999998</v>
      </c>
      <c r="AG83" s="36">
        <v>3.2559999999999998</v>
      </c>
      <c r="AH83" s="36">
        <v>3.2559999999999998</v>
      </c>
      <c r="AI83" s="39">
        <v>1.33634708931066E-2</v>
      </c>
      <c r="AJ83" s="39">
        <v>1.33634708931066E-2</v>
      </c>
      <c r="AK83" s="39">
        <v>1.33634708931066E-2</v>
      </c>
      <c r="AL83" s="39">
        <v>1.33634708931066E-2</v>
      </c>
      <c r="AM83" s="39">
        <v>1.33634708931066E-2</v>
      </c>
      <c r="AN83" s="39">
        <v>1.33634708931066E-2</v>
      </c>
      <c r="AO83" s="39">
        <v>1.33634708931066E-2</v>
      </c>
      <c r="AP83" s="39">
        <v>1.33634708931066E-2</v>
      </c>
      <c r="AQ83" s="39">
        <v>1.33634708931066E-2</v>
      </c>
      <c r="AR83" s="39">
        <v>1.33634708931066E-2</v>
      </c>
      <c r="AS83" s="39">
        <v>1.33634708931066E-2</v>
      </c>
      <c r="AT83" s="39">
        <v>1.33634708931066E-2</v>
      </c>
      <c r="AU83" s="39">
        <v>1.2392217523121999E-3</v>
      </c>
      <c r="AV83" s="39">
        <v>1.2392217523121999E-3</v>
      </c>
      <c r="AW83" s="39">
        <v>1.2392217523121999E-3</v>
      </c>
      <c r="AX83" s="39">
        <v>1.2392217523121999E-3</v>
      </c>
      <c r="AY83" s="39">
        <v>1.2392217523121999E-3</v>
      </c>
      <c r="AZ83" s="39">
        <v>1.2392217523121999E-3</v>
      </c>
      <c r="BA83" s="39">
        <v>1.2392217523121999E-3</v>
      </c>
      <c r="BB83" s="39">
        <v>1.2392217523121999E-3</v>
      </c>
      <c r="BC83" s="39">
        <v>1.2392217523121999E-3</v>
      </c>
      <c r="BD83" s="39">
        <v>1.2392217523121999E-3</v>
      </c>
      <c r="BE83" s="39">
        <v>1.2392217523121999E-3</v>
      </c>
      <c r="BF83" s="39">
        <v>1.2392217523121999E-3</v>
      </c>
      <c r="BG83" s="1"/>
      <c r="BH83" s="12">
        <f t="shared" si="46"/>
        <v>0</v>
      </c>
      <c r="BI83" s="12">
        <f t="shared" si="47"/>
        <v>176.45714000000001</v>
      </c>
      <c r="BJ83" s="12">
        <f t="shared" si="48"/>
        <v>80.210729999999998</v>
      </c>
      <c r="BK83" s="12">
        <f t="shared" si="49"/>
        <v>70.576390000000004</v>
      </c>
      <c r="BL83" s="12">
        <f t="shared" si="50"/>
        <v>54.540710000000004</v>
      </c>
      <c r="BM83" s="12">
        <f t="shared" si="51"/>
        <v>12.83501</v>
      </c>
      <c r="BN83" s="12">
        <f t="shared" si="52"/>
        <v>12.83501</v>
      </c>
      <c r="BO83" s="12">
        <f t="shared" si="53"/>
        <v>9.6343399999999999</v>
      </c>
      <c r="BP83" s="12">
        <f t="shared" si="54"/>
        <v>38.505030000000005</v>
      </c>
      <c r="BQ83" s="12">
        <f t="shared" si="55"/>
        <v>64.175050000000013</v>
      </c>
      <c r="BR83" s="12">
        <f t="shared" si="56"/>
        <v>80.210729999999998</v>
      </c>
      <c r="BS83" s="12">
        <f t="shared" si="57"/>
        <v>80.210729999999998</v>
      </c>
      <c r="BT83" s="1"/>
      <c r="BU83" s="11">
        <f t="shared" si="58"/>
        <v>0</v>
      </c>
      <c r="BV83" s="11">
        <f t="shared" si="59"/>
        <v>179.03388938050963</v>
      </c>
      <c r="BW83" s="11">
        <f t="shared" si="60"/>
        <v>81.382022637054675</v>
      </c>
      <c r="BX83" s="11">
        <f t="shared" si="61"/>
        <v>71.606995331193218</v>
      </c>
      <c r="BY83" s="11">
        <f t="shared" si="62"/>
        <v>55.337151224792926</v>
      </c>
      <c r="BZ83" s="11">
        <f t="shared" si="63"/>
        <v>13.022435706130878</v>
      </c>
      <c r="CA83" s="11">
        <f t="shared" si="64"/>
        <v>13.022435706130878</v>
      </c>
      <c r="CB83" s="11">
        <f t="shared" si="65"/>
        <v>9.7750273058614638</v>
      </c>
      <c r="CC83" s="11">
        <f t="shared" si="66"/>
        <v>39.067307118392634</v>
      </c>
      <c r="CD83" s="11">
        <f t="shared" si="67"/>
        <v>65.112178530654404</v>
      </c>
      <c r="CE83" s="11">
        <f t="shared" si="68"/>
        <v>81.382022637054675</v>
      </c>
      <c r="CF83" s="11">
        <f t="shared" si="69"/>
        <v>81.382022637054675</v>
      </c>
      <c r="CG83" s="11"/>
      <c r="CH83" s="41">
        <v>3.2330000000000001</v>
      </c>
      <c r="CI83" s="1"/>
      <c r="CJ83" s="53">
        <f t="shared" si="70"/>
        <v>0</v>
      </c>
      <c r="CK83" s="53">
        <f t="shared" si="71"/>
        <v>54986</v>
      </c>
      <c r="CL83" s="53">
        <f t="shared" si="72"/>
        <v>24994</v>
      </c>
      <c r="CM83" s="53">
        <f t="shared" si="73"/>
        <v>21992</v>
      </c>
      <c r="CN83" s="53">
        <f t="shared" si="74"/>
        <v>16995</v>
      </c>
      <c r="CO83" s="53">
        <f t="shared" si="75"/>
        <v>4000</v>
      </c>
      <c r="CP83" s="53">
        <f t="shared" si="76"/>
        <v>4000</v>
      </c>
      <c r="CQ83" s="53">
        <f t="shared" si="77"/>
        <v>3002</v>
      </c>
      <c r="CR83" s="53">
        <f t="shared" si="78"/>
        <v>11999</v>
      </c>
      <c r="CS83" s="53">
        <f t="shared" si="79"/>
        <v>19998</v>
      </c>
      <c r="CT83" s="53">
        <f t="shared" si="80"/>
        <v>24994</v>
      </c>
      <c r="CU83" s="53">
        <f t="shared" si="81"/>
        <v>24994</v>
      </c>
      <c r="CV83" s="53">
        <f t="shared" si="43"/>
        <v>211954</v>
      </c>
      <c r="CW83" s="1"/>
      <c r="CX83" s="1"/>
      <c r="CY83" s="1"/>
      <c r="CZ83" s="1"/>
      <c r="DA83" s="1"/>
      <c r="DB83" s="1"/>
      <c r="DC83" s="1"/>
      <c r="DD83" s="1"/>
      <c r="DE83" s="1"/>
      <c r="DF83" s="1"/>
      <c r="DG83" s="1"/>
      <c r="DH83" s="1"/>
      <c r="DI83" s="1"/>
      <c r="DJ83" s="1"/>
      <c r="DK83" s="1"/>
      <c r="DL83" s="1"/>
    </row>
    <row r="84" spans="1:116" ht="15.75" hidden="1" x14ac:dyDescent="0.25">
      <c r="A84" s="17"/>
      <c r="B84" s="17"/>
      <c r="C84" s="17"/>
      <c r="D84" s="17"/>
      <c r="E84" s="17"/>
      <c r="F84" s="31" t="s">
        <v>19</v>
      </c>
      <c r="G84" s="71">
        <v>9.26</v>
      </c>
      <c r="H84" s="64">
        <v>8.75</v>
      </c>
      <c r="I84" s="64">
        <v>10.06</v>
      </c>
      <c r="J84" s="64">
        <v>7.87</v>
      </c>
      <c r="K84" s="64">
        <v>9.19</v>
      </c>
      <c r="L84" s="64">
        <v>4.8099999999999996</v>
      </c>
      <c r="M84" s="64">
        <v>4.8099999999999996</v>
      </c>
      <c r="N84" s="64">
        <v>4.8099999999999996</v>
      </c>
      <c r="O84" s="64">
        <v>7.87</v>
      </c>
      <c r="P84" s="64">
        <v>14.43</v>
      </c>
      <c r="Q84" s="64">
        <v>14.43</v>
      </c>
      <c r="R84" s="64">
        <v>10.06</v>
      </c>
      <c r="S84" s="11">
        <f t="shared" si="45"/>
        <v>106.35000000000002</v>
      </c>
      <c r="T84" s="8">
        <f t="shared" si="44"/>
        <v>6.7700987306064759E-3</v>
      </c>
      <c r="U84" s="13" t="s">
        <v>3628</v>
      </c>
      <c r="V84" s="50">
        <f t="shared" si="6"/>
        <v>243102</v>
      </c>
      <c r="W84" s="36">
        <v>1.4350000000000001</v>
      </c>
      <c r="X84" s="36">
        <v>1.4350000000000001</v>
      </c>
      <c r="Y84" s="36">
        <v>1.4350000000000001</v>
      </c>
      <c r="Z84" s="36">
        <v>1.4350000000000001</v>
      </c>
      <c r="AA84" s="36">
        <v>1.4350000000000001</v>
      </c>
      <c r="AB84" s="36">
        <v>1.4350000000000001</v>
      </c>
      <c r="AC84" s="36">
        <v>1.4350000000000001</v>
      </c>
      <c r="AD84" s="36">
        <v>1.4350000000000001</v>
      </c>
      <c r="AE84" s="36">
        <v>1.4350000000000001</v>
      </c>
      <c r="AF84" s="36">
        <v>1.4350000000000001</v>
      </c>
      <c r="AG84" s="36">
        <v>1.4350000000000001</v>
      </c>
      <c r="AH84" s="36">
        <v>1.4350000000000001</v>
      </c>
      <c r="AI84" s="39">
        <v>1.33634708931066E-2</v>
      </c>
      <c r="AJ84" s="39">
        <v>1.33634708931066E-2</v>
      </c>
      <c r="AK84" s="39">
        <v>1.33634708931066E-2</v>
      </c>
      <c r="AL84" s="39">
        <v>1.33634708931066E-2</v>
      </c>
      <c r="AM84" s="39">
        <v>1.33634708931066E-2</v>
      </c>
      <c r="AN84" s="39">
        <v>1.33634708931066E-2</v>
      </c>
      <c r="AO84" s="39">
        <v>1.33634708931066E-2</v>
      </c>
      <c r="AP84" s="39">
        <v>1.33634708931066E-2</v>
      </c>
      <c r="AQ84" s="39">
        <v>1.33634708931066E-2</v>
      </c>
      <c r="AR84" s="39">
        <v>1.33634708931066E-2</v>
      </c>
      <c r="AS84" s="39">
        <v>1.33634708931066E-2</v>
      </c>
      <c r="AT84" s="39">
        <v>1.33634708931066E-2</v>
      </c>
      <c r="AU84" s="39">
        <v>1.2392217523121999E-3</v>
      </c>
      <c r="AV84" s="39">
        <v>1.2392217523121999E-3</v>
      </c>
      <c r="AW84" s="39">
        <v>1.2392217523121999E-3</v>
      </c>
      <c r="AX84" s="39">
        <v>1.2392217523121999E-3</v>
      </c>
      <c r="AY84" s="39">
        <v>1.2392217523121999E-3</v>
      </c>
      <c r="AZ84" s="39">
        <v>1.2392217523121999E-3</v>
      </c>
      <c r="BA84" s="39">
        <v>1.2392217523121999E-3</v>
      </c>
      <c r="BB84" s="39">
        <v>1.2392217523121999E-3</v>
      </c>
      <c r="BC84" s="39">
        <v>1.2392217523121999E-3</v>
      </c>
      <c r="BD84" s="39">
        <v>1.2392217523121999E-3</v>
      </c>
      <c r="BE84" s="39">
        <v>1.2392217523121999E-3</v>
      </c>
      <c r="BF84" s="39">
        <v>1.2392217523121999E-3</v>
      </c>
      <c r="BG84" s="1"/>
      <c r="BH84" s="12">
        <f t="shared" si="46"/>
        <v>29.937580000000001</v>
      </c>
      <c r="BI84" s="12">
        <f t="shared" si="47"/>
        <v>28.28875</v>
      </c>
      <c r="BJ84" s="12">
        <f t="shared" si="48"/>
        <v>32.523980000000002</v>
      </c>
      <c r="BK84" s="12">
        <f t="shared" si="49"/>
        <v>25.443709999999999</v>
      </c>
      <c r="BL84" s="12">
        <f t="shared" si="50"/>
        <v>29.711269999999999</v>
      </c>
      <c r="BM84" s="12">
        <f t="shared" si="51"/>
        <v>15.55073</v>
      </c>
      <c r="BN84" s="12">
        <f t="shared" si="52"/>
        <v>15.55073</v>
      </c>
      <c r="BO84" s="12">
        <f t="shared" si="53"/>
        <v>15.55073</v>
      </c>
      <c r="BP84" s="12">
        <f t="shared" si="54"/>
        <v>25.443709999999999</v>
      </c>
      <c r="BQ84" s="12">
        <f t="shared" si="55"/>
        <v>46.652189999999997</v>
      </c>
      <c r="BR84" s="12">
        <f t="shared" si="56"/>
        <v>46.652189999999997</v>
      </c>
      <c r="BS84" s="12">
        <f t="shared" si="57"/>
        <v>32.523980000000002</v>
      </c>
      <c r="BT84" s="1"/>
      <c r="BU84" s="11">
        <f t="shared" si="58"/>
        <v>30.374749279287638</v>
      </c>
      <c r="BV84" s="11">
        <f t="shared" si="59"/>
        <v>28.701841921573092</v>
      </c>
      <c r="BW84" s="11">
        <f t="shared" si="60"/>
        <v>32.998917683545749</v>
      </c>
      <c r="BX84" s="11">
        <f t="shared" si="61"/>
        <v>25.815256676889167</v>
      </c>
      <c r="BY84" s="11">
        <f t="shared" si="62"/>
        <v>30.145134543915052</v>
      </c>
      <c r="BZ84" s="11">
        <f t="shared" si="63"/>
        <v>15.777812530601894</v>
      </c>
      <c r="CA84" s="11">
        <f t="shared" si="64"/>
        <v>15.777812530601894</v>
      </c>
      <c r="CB84" s="11">
        <f t="shared" si="65"/>
        <v>15.777812530601894</v>
      </c>
      <c r="CC84" s="11">
        <f t="shared" si="66"/>
        <v>25.815256676889167</v>
      </c>
      <c r="CD84" s="11">
        <f t="shared" si="67"/>
        <v>47.333437591805676</v>
      </c>
      <c r="CE84" s="11">
        <f t="shared" si="68"/>
        <v>47.333437591805676</v>
      </c>
      <c r="CF84" s="11">
        <f t="shared" si="69"/>
        <v>32.998917683545749</v>
      </c>
      <c r="CG84" s="11"/>
      <c r="CH84" s="41">
        <v>3.2330000000000001</v>
      </c>
      <c r="CI84" s="1"/>
      <c r="CJ84" s="53">
        <f t="shared" si="70"/>
        <v>21167</v>
      </c>
      <c r="CK84" s="53">
        <f t="shared" si="71"/>
        <v>20001</v>
      </c>
      <c r="CL84" s="53">
        <f t="shared" si="72"/>
        <v>22996</v>
      </c>
      <c r="CM84" s="53">
        <f t="shared" si="73"/>
        <v>17990</v>
      </c>
      <c r="CN84" s="53">
        <f t="shared" si="74"/>
        <v>21007</v>
      </c>
      <c r="CO84" s="53">
        <f t="shared" si="75"/>
        <v>10995</v>
      </c>
      <c r="CP84" s="53">
        <f t="shared" si="76"/>
        <v>10995</v>
      </c>
      <c r="CQ84" s="53">
        <f t="shared" si="77"/>
        <v>10995</v>
      </c>
      <c r="CR84" s="53">
        <f t="shared" si="78"/>
        <v>17990</v>
      </c>
      <c r="CS84" s="53">
        <f t="shared" si="79"/>
        <v>32985</v>
      </c>
      <c r="CT84" s="53">
        <f t="shared" si="80"/>
        <v>32985</v>
      </c>
      <c r="CU84" s="53">
        <f t="shared" si="81"/>
        <v>22996</v>
      </c>
      <c r="CV84" s="53">
        <f t="shared" si="43"/>
        <v>243102</v>
      </c>
      <c r="CW84" s="1"/>
      <c r="CX84" s="1"/>
      <c r="CY84" s="1"/>
      <c r="CZ84" s="1"/>
      <c r="DA84" s="1"/>
      <c r="DB84" s="1"/>
      <c r="DC84" s="1"/>
      <c r="DD84" s="1"/>
      <c r="DE84" s="1"/>
      <c r="DF84" s="1"/>
      <c r="DG84" s="1"/>
      <c r="DH84" s="1"/>
      <c r="DI84" s="1"/>
      <c r="DJ84" s="1"/>
      <c r="DK84" s="1"/>
      <c r="DL84" s="1"/>
    </row>
    <row r="85" spans="1:116" ht="15.75" hidden="1" x14ac:dyDescent="0.25">
      <c r="A85" s="17"/>
      <c r="B85" s="17"/>
      <c r="C85" s="17"/>
      <c r="D85" s="17"/>
      <c r="E85" s="17"/>
      <c r="F85" s="31" t="s">
        <v>19</v>
      </c>
      <c r="G85" s="71">
        <v>7.19</v>
      </c>
      <c r="H85" s="64">
        <v>7.21</v>
      </c>
      <c r="I85" s="64">
        <v>6.31</v>
      </c>
      <c r="J85" s="64">
        <v>6.31</v>
      </c>
      <c r="K85" s="64">
        <v>6.31</v>
      </c>
      <c r="L85" s="64">
        <v>3.6</v>
      </c>
      <c r="M85" s="64">
        <v>3.6</v>
      </c>
      <c r="N85" s="64">
        <v>10.81</v>
      </c>
      <c r="O85" s="64">
        <v>13.51</v>
      </c>
      <c r="P85" s="64">
        <v>13.51</v>
      </c>
      <c r="Q85" s="64">
        <v>13.51</v>
      </c>
      <c r="R85" s="64">
        <v>13.51</v>
      </c>
      <c r="S85" s="11">
        <f t="shared" si="45"/>
        <v>105.38000000000002</v>
      </c>
      <c r="T85" s="8">
        <f t="shared" si="44"/>
        <v>-6.8324160182197634E-3</v>
      </c>
      <c r="U85" s="13" t="s">
        <v>3628</v>
      </c>
      <c r="V85" s="50">
        <f t="shared" si="6"/>
        <v>116940</v>
      </c>
      <c r="W85" s="36">
        <v>2.956</v>
      </c>
      <c r="X85" s="36">
        <v>2.956</v>
      </c>
      <c r="Y85" s="36">
        <v>2.956</v>
      </c>
      <c r="Z85" s="36">
        <v>2.956</v>
      </c>
      <c r="AA85" s="36">
        <v>2.956</v>
      </c>
      <c r="AB85" s="36">
        <v>2.956</v>
      </c>
      <c r="AC85" s="36">
        <v>2.956</v>
      </c>
      <c r="AD85" s="36">
        <v>2.956</v>
      </c>
      <c r="AE85" s="36">
        <v>2.956</v>
      </c>
      <c r="AF85" s="36">
        <v>2.956</v>
      </c>
      <c r="AG85" s="36">
        <v>2.956</v>
      </c>
      <c r="AH85" s="36">
        <v>2.956</v>
      </c>
      <c r="AI85" s="39">
        <v>1.33634708931066E-2</v>
      </c>
      <c r="AJ85" s="39">
        <v>1.33634708931066E-2</v>
      </c>
      <c r="AK85" s="39">
        <v>1.33634708931066E-2</v>
      </c>
      <c r="AL85" s="39">
        <v>1.33634708931066E-2</v>
      </c>
      <c r="AM85" s="39">
        <v>1.33634708931066E-2</v>
      </c>
      <c r="AN85" s="39">
        <v>1.33634708931066E-2</v>
      </c>
      <c r="AO85" s="39">
        <v>1.33634708931066E-2</v>
      </c>
      <c r="AP85" s="39">
        <v>1.33634708931066E-2</v>
      </c>
      <c r="AQ85" s="39">
        <v>1.33634708931066E-2</v>
      </c>
      <c r="AR85" s="39">
        <v>1.33634708931066E-2</v>
      </c>
      <c r="AS85" s="39">
        <v>1.33634708931066E-2</v>
      </c>
      <c r="AT85" s="39">
        <v>1.33634708931066E-2</v>
      </c>
      <c r="AU85" s="39">
        <v>1.2392217523121999E-3</v>
      </c>
      <c r="AV85" s="39">
        <v>1.2392217523121999E-3</v>
      </c>
      <c r="AW85" s="39">
        <v>1.2392217523121999E-3</v>
      </c>
      <c r="AX85" s="39">
        <v>1.2392217523121999E-3</v>
      </c>
      <c r="AY85" s="39">
        <v>1.2392217523121999E-3</v>
      </c>
      <c r="AZ85" s="39">
        <v>1.2392217523121999E-3</v>
      </c>
      <c r="BA85" s="39">
        <v>1.2392217523121999E-3</v>
      </c>
      <c r="BB85" s="39">
        <v>1.2392217523121999E-3</v>
      </c>
      <c r="BC85" s="39">
        <v>1.2392217523121999E-3</v>
      </c>
      <c r="BD85" s="39">
        <v>1.2392217523121999E-3</v>
      </c>
      <c r="BE85" s="39">
        <v>1.2392217523121999E-3</v>
      </c>
      <c r="BF85" s="39">
        <v>1.2392217523121999E-3</v>
      </c>
      <c r="BG85" s="1"/>
      <c r="BH85" s="12">
        <f t="shared" si="46"/>
        <v>23.245270000000001</v>
      </c>
      <c r="BI85" s="12">
        <f t="shared" si="47"/>
        <v>23.309930000000001</v>
      </c>
      <c r="BJ85" s="12">
        <f t="shared" si="48"/>
        <v>20.400230000000001</v>
      </c>
      <c r="BK85" s="12">
        <f t="shared" si="49"/>
        <v>20.400230000000001</v>
      </c>
      <c r="BL85" s="12">
        <f t="shared" si="50"/>
        <v>20.400230000000001</v>
      </c>
      <c r="BM85" s="12">
        <f t="shared" si="51"/>
        <v>11.6388</v>
      </c>
      <c r="BN85" s="12">
        <f t="shared" si="52"/>
        <v>11.6388</v>
      </c>
      <c r="BO85" s="12">
        <f t="shared" si="53"/>
        <v>34.948730000000005</v>
      </c>
      <c r="BP85" s="12">
        <f t="shared" si="54"/>
        <v>43.67783</v>
      </c>
      <c r="BQ85" s="12">
        <f t="shared" si="55"/>
        <v>43.67783</v>
      </c>
      <c r="BR85" s="12">
        <f t="shared" si="56"/>
        <v>43.67783</v>
      </c>
      <c r="BS85" s="12">
        <f t="shared" si="57"/>
        <v>43.67783</v>
      </c>
      <c r="BT85" s="1"/>
      <c r="BU85" s="11">
        <f t="shared" si="58"/>
        <v>23.584713533269777</v>
      </c>
      <c r="BV85" s="11">
        <f t="shared" si="59"/>
        <v>23.650317743376227</v>
      </c>
      <c r="BW85" s="11">
        <f t="shared" si="60"/>
        <v>20.698128288585853</v>
      </c>
      <c r="BX85" s="11">
        <f t="shared" si="61"/>
        <v>20.698128288585853</v>
      </c>
      <c r="BY85" s="11">
        <f t="shared" si="62"/>
        <v>20.698128288585853</v>
      </c>
      <c r="BZ85" s="11">
        <f t="shared" si="63"/>
        <v>11.808757819161499</v>
      </c>
      <c r="CA85" s="11">
        <f t="shared" si="64"/>
        <v>11.808757819161499</v>
      </c>
      <c r="CB85" s="11">
        <f t="shared" si="65"/>
        <v>35.459075562537734</v>
      </c>
      <c r="CC85" s="11">
        <f t="shared" si="66"/>
        <v>44.315643926908855</v>
      </c>
      <c r="CD85" s="11">
        <f t="shared" si="67"/>
        <v>44.315643926908855</v>
      </c>
      <c r="CE85" s="11">
        <f t="shared" si="68"/>
        <v>44.315643926908855</v>
      </c>
      <c r="CF85" s="11">
        <f t="shared" si="69"/>
        <v>44.315643926908855</v>
      </c>
      <c r="CG85" s="11"/>
      <c r="CH85" s="41">
        <v>3.2330000000000001</v>
      </c>
      <c r="CI85" s="1"/>
      <c r="CJ85" s="53">
        <f t="shared" si="70"/>
        <v>7979</v>
      </c>
      <c r="CK85" s="53">
        <f t="shared" si="71"/>
        <v>8001</v>
      </c>
      <c r="CL85" s="53">
        <f t="shared" si="72"/>
        <v>7002</v>
      </c>
      <c r="CM85" s="53">
        <f t="shared" si="73"/>
        <v>7002</v>
      </c>
      <c r="CN85" s="53">
        <f t="shared" si="74"/>
        <v>7002</v>
      </c>
      <c r="CO85" s="53">
        <f t="shared" si="75"/>
        <v>3995</v>
      </c>
      <c r="CP85" s="53">
        <f t="shared" si="76"/>
        <v>3995</v>
      </c>
      <c r="CQ85" s="53">
        <f t="shared" si="77"/>
        <v>11996</v>
      </c>
      <c r="CR85" s="53">
        <f t="shared" si="78"/>
        <v>14992</v>
      </c>
      <c r="CS85" s="53">
        <f t="shared" si="79"/>
        <v>14992</v>
      </c>
      <c r="CT85" s="53">
        <f t="shared" si="80"/>
        <v>14992</v>
      </c>
      <c r="CU85" s="53">
        <f t="shared" si="81"/>
        <v>14992</v>
      </c>
      <c r="CV85" s="53">
        <f t="shared" si="43"/>
        <v>116940</v>
      </c>
      <c r="CW85" s="1"/>
      <c r="CX85" s="1"/>
      <c r="CY85" s="1"/>
      <c r="CZ85" s="1"/>
      <c r="DA85" s="1"/>
      <c r="DB85" s="1"/>
      <c r="DC85" s="1"/>
      <c r="DD85" s="1"/>
      <c r="DE85" s="1"/>
      <c r="DF85" s="1"/>
      <c r="DG85" s="1"/>
      <c r="DH85" s="1"/>
      <c r="DI85" s="1"/>
      <c r="DJ85" s="1"/>
      <c r="DK85" s="1"/>
      <c r="DL85" s="1"/>
    </row>
    <row r="86" spans="1:116" ht="15.75" hidden="1" x14ac:dyDescent="0.25">
      <c r="A86" s="17"/>
      <c r="B86" s="17"/>
      <c r="C86" s="17"/>
      <c r="D86" s="17"/>
      <c r="E86" s="17"/>
      <c r="F86" s="31" t="s">
        <v>19</v>
      </c>
      <c r="G86" s="71">
        <v>101.4</v>
      </c>
      <c r="H86" s="64">
        <v>190.7</v>
      </c>
      <c r="I86" s="64">
        <v>158.91999999999999</v>
      </c>
      <c r="J86" s="64">
        <v>84.76</v>
      </c>
      <c r="K86" s="64">
        <v>63.57</v>
      </c>
      <c r="L86" s="64">
        <v>63.57</v>
      </c>
      <c r="M86" s="64">
        <v>63.57</v>
      </c>
      <c r="N86" s="64">
        <v>84.76</v>
      </c>
      <c r="O86" s="64">
        <v>137.72999999999999</v>
      </c>
      <c r="P86" s="64">
        <v>148.32</v>
      </c>
      <c r="Q86" s="64">
        <v>148.32</v>
      </c>
      <c r="R86" s="64">
        <v>132.43</v>
      </c>
      <c r="S86" s="11">
        <f t="shared" si="45"/>
        <v>1378.0500000000002</v>
      </c>
      <c r="T86" s="8">
        <f t="shared" si="44"/>
        <v>-0.17421719095823818</v>
      </c>
      <c r="U86" s="13" t="s">
        <v>3628</v>
      </c>
      <c r="V86" s="50">
        <f t="shared" si="6"/>
        <v>1300431</v>
      </c>
      <c r="W86" s="36">
        <v>3.476</v>
      </c>
      <c r="X86" s="36">
        <v>3.476</v>
      </c>
      <c r="Y86" s="36">
        <v>3.476</v>
      </c>
      <c r="Z86" s="36">
        <v>3.476</v>
      </c>
      <c r="AA86" s="36">
        <v>3.476</v>
      </c>
      <c r="AB86" s="36">
        <v>3.476</v>
      </c>
      <c r="AC86" s="36">
        <v>3.476</v>
      </c>
      <c r="AD86" s="36">
        <v>3.476</v>
      </c>
      <c r="AE86" s="36">
        <v>3.476</v>
      </c>
      <c r="AF86" s="36">
        <v>3.476</v>
      </c>
      <c r="AG86" s="36">
        <v>3.476</v>
      </c>
      <c r="AH86" s="36">
        <v>3.476</v>
      </c>
      <c r="AI86" s="39">
        <v>1.33634708931066E-2</v>
      </c>
      <c r="AJ86" s="39">
        <v>1.33634708931066E-2</v>
      </c>
      <c r="AK86" s="39">
        <v>1.33634708931066E-2</v>
      </c>
      <c r="AL86" s="39">
        <v>1.33634708931066E-2</v>
      </c>
      <c r="AM86" s="39">
        <v>1.33634708931066E-2</v>
      </c>
      <c r="AN86" s="39">
        <v>1.33634708931066E-2</v>
      </c>
      <c r="AO86" s="39">
        <v>1.33634708931066E-2</v>
      </c>
      <c r="AP86" s="39">
        <v>1.33634708931066E-2</v>
      </c>
      <c r="AQ86" s="39">
        <v>1.33634708931066E-2</v>
      </c>
      <c r="AR86" s="39">
        <v>1.33634708931066E-2</v>
      </c>
      <c r="AS86" s="39">
        <v>1.33634708931066E-2</v>
      </c>
      <c r="AT86" s="39">
        <v>1.33634708931066E-2</v>
      </c>
      <c r="AU86" s="39">
        <v>1.2392217523121999E-3</v>
      </c>
      <c r="AV86" s="39">
        <v>1.2392217523121999E-3</v>
      </c>
      <c r="AW86" s="39">
        <v>1.2392217523121999E-3</v>
      </c>
      <c r="AX86" s="39">
        <v>1.2392217523121999E-3</v>
      </c>
      <c r="AY86" s="39">
        <v>1.2392217523121999E-3</v>
      </c>
      <c r="AZ86" s="39">
        <v>1.2392217523121999E-3</v>
      </c>
      <c r="BA86" s="39">
        <v>1.2392217523121999E-3</v>
      </c>
      <c r="BB86" s="39">
        <v>1.2392217523121999E-3</v>
      </c>
      <c r="BC86" s="39">
        <v>1.2392217523121999E-3</v>
      </c>
      <c r="BD86" s="39">
        <v>1.2392217523121999E-3</v>
      </c>
      <c r="BE86" s="39">
        <v>1.2392217523121999E-3</v>
      </c>
      <c r="BF86" s="39">
        <v>1.2392217523121999E-3</v>
      </c>
      <c r="BG86" s="1"/>
      <c r="BH86" s="12">
        <f t="shared" si="46"/>
        <v>327.82620000000003</v>
      </c>
      <c r="BI86" s="12">
        <f t="shared" si="47"/>
        <v>616.53309999999999</v>
      </c>
      <c r="BJ86" s="12">
        <f t="shared" si="48"/>
        <v>513.78836000000001</v>
      </c>
      <c r="BK86" s="12">
        <f t="shared" si="49"/>
        <v>274.02908000000002</v>
      </c>
      <c r="BL86" s="12">
        <f t="shared" si="50"/>
        <v>205.52181000000002</v>
      </c>
      <c r="BM86" s="12">
        <f t="shared" si="51"/>
        <v>205.52181000000002</v>
      </c>
      <c r="BN86" s="12">
        <f t="shared" si="52"/>
        <v>205.52181000000002</v>
      </c>
      <c r="BO86" s="12">
        <f t="shared" si="53"/>
        <v>274.02908000000002</v>
      </c>
      <c r="BP86" s="12">
        <f t="shared" si="54"/>
        <v>445.28109000000001</v>
      </c>
      <c r="BQ86" s="12">
        <f t="shared" si="55"/>
        <v>479.51855999999998</v>
      </c>
      <c r="BR86" s="12">
        <f t="shared" si="56"/>
        <v>479.51855999999998</v>
      </c>
      <c r="BS86" s="12">
        <f t="shared" si="57"/>
        <v>428.14619000000005</v>
      </c>
      <c r="BT86" s="1"/>
      <c r="BU86" s="11">
        <f t="shared" si="58"/>
        <v>332.61334523971561</v>
      </c>
      <c r="BV86" s="11">
        <f t="shared" si="59"/>
        <v>625.53614336502721</v>
      </c>
      <c r="BW86" s="11">
        <f t="shared" si="60"/>
        <v>521.29105350587383</v>
      </c>
      <c r="BX86" s="11">
        <f t="shared" si="61"/>
        <v>278.03064243114693</v>
      </c>
      <c r="BY86" s="11">
        <f t="shared" si="62"/>
        <v>208.52298182336017</v>
      </c>
      <c r="BZ86" s="11">
        <f t="shared" si="63"/>
        <v>208.52298182336017</v>
      </c>
      <c r="CA86" s="11">
        <f t="shared" si="64"/>
        <v>208.52298182336017</v>
      </c>
      <c r="CB86" s="11">
        <f t="shared" si="65"/>
        <v>278.03064243114693</v>
      </c>
      <c r="CC86" s="11">
        <f t="shared" si="66"/>
        <v>451.78339289808707</v>
      </c>
      <c r="CD86" s="11">
        <f t="shared" si="67"/>
        <v>486.52082214945381</v>
      </c>
      <c r="CE86" s="11">
        <f t="shared" si="68"/>
        <v>486.52082214945381</v>
      </c>
      <c r="CF86" s="11">
        <f t="shared" si="69"/>
        <v>434.39827721987712</v>
      </c>
      <c r="CG86" s="11"/>
      <c r="CH86" s="41">
        <v>3.2330000000000001</v>
      </c>
      <c r="CI86" s="1"/>
      <c r="CJ86" s="53">
        <f t="shared" si="70"/>
        <v>95689</v>
      </c>
      <c r="CK86" s="53">
        <f t="shared" si="71"/>
        <v>179959</v>
      </c>
      <c r="CL86" s="53">
        <f t="shared" si="72"/>
        <v>149969</v>
      </c>
      <c r="CM86" s="53">
        <f t="shared" si="73"/>
        <v>79986</v>
      </c>
      <c r="CN86" s="53">
        <f t="shared" si="74"/>
        <v>59989</v>
      </c>
      <c r="CO86" s="53">
        <f t="shared" si="75"/>
        <v>59989</v>
      </c>
      <c r="CP86" s="53">
        <f t="shared" si="76"/>
        <v>59989</v>
      </c>
      <c r="CQ86" s="53">
        <f t="shared" si="77"/>
        <v>79986</v>
      </c>
      <c r="CR86" s="53">
        <f t="shared" si="78"/>
        <v>129972</v>
      </c>
      <c r="CS86" s="53">
        <f t="shared" si="79"/>
        <v>139966</v>
      </c>
      <c r="CT86" s="53">
        <f t="shared" si="80"/>
        <v>139966</v>
      </c>
      <c r="CU86" s="53">
        <f t="shared" si="81"/>
        <v>124971</v>
      </c>
      <c r="CV86" s="53">
        <f t="shared" si="43"/>
        <v>1300431</v>
      </c>
      <c r="CW86" s="1"/>
      <c r="CX86" s="1"/>
      <c r="CY86" s="1"/>
      <c r="CZ86" s="1"/>
      <c r="DA86" s="1"/>
      <c r="DB86" s="1"/>
      <c r="DC86" s="1"/>
      <c r="DD86" s="1"/>
      <c r="DE86" s="1"/>
      <c r="DF86" s="1"/>
      <c r="DG86" s="1"/>
      <c r="DH86" s="1"/>
      <c r="DI86" s="1"/>
      <c r="DJ86" s="1"/>
      <c r="DK86" s="1"/>
      <c r="DL86" s="1"/>
    </row>
    <row r="87" spans="1:116" ht="15.75" hidden="1" x14ac:dyDescent="0.25">
      <c r="A87" s="17"/>
      <c r="B87" s="17"/>
      <c r="C87" s="17"/>
      <c r="D87" s="17"/>
      <c r="E87" s="17"/>
      <c r="F87" s="31" t="s">
        <v>19</v>
      </c>
      <c r="G87" s="71">
        <v>215.08</v>
      </c>
      <c r="H87" s="64">
        <v>238.65</v>
      </c>
      <c r="I87" s="64">
        <v>155.12</v>
      </c>
      <c r="J87" s="64">
        <v>95.46</v>
      </c>
      <c r="K87" s="64">
        <v>83.53</v>
      </c>
      <c r="L87" s="64">
        <v>65.63</v>
      </c>
      <c r="M87" s="64">
        <v>65.63</v>
      </c>
      <c r="N87" s="64">
        <v>65.63</v>
      </c>
      <c r="O87" s="64">
        <v>137.22999999999999</v>
      </c>
      <c r="P87" s="64">
        <v>178.99</v>
      </c>
      <c r="Q87" s="64">
        <v>178.99</v>
      </c>
      <c r="R87" s="64">
        <v>143.19</v>
      </c>
      <c r="S87" s="11">
        <f t="shared" si="45"/>
        <v>1623.13</v>
      </c>
      <c r="T87" s="8">
        <f t="shared" si="44"/>
        <v>-3.6916328328599722E-2</v>
      </c>
      <c r="U87" s="13" t="s">
        <v>3628</v>
      </c>
      <c r="V87" s="50">
        <f t="shared" si="6"/>
        <v>1359952</v>
      </c>
      <c r="W87" s="36">
        <v>3.915</v>
      </c>
      <c r="X87" s="36">
        <v>3.915</v>
      </c>
      <c r="Y87" s="36">
        <v>3.915</v>
      </c>
      <c r="Z87" s="36">
        <v>3.915</v>
      </c>
      <c r="AA87" s="36">
        <v>3.915</v>
      </c>
      <c r="AB87" s="36">
        <v>3.915</v>
      </c>
      <c r="AC87" s="36">
        <v>3.915</v>
      </c>
      <c r="AD87" s="36">
        <v>3.915</v>
      </c>
      <c r="AE87" s="36">
        <v>3.915</v>
      </c>
      <c r="AF87" s="36">
        <v>3.915</v>
      </c>
      <c r="AG87" s="36">
        <v>3.915</v>
      </c>
      <c r="AH87" s="36">
        <v>3.915</v>
      </c>
      <c r="AI87" s="39">
        <v>1.33634708931066E-2</v>
      </c>
      <c r="AJ87" s="39">
        <v>1.33634708931066E-2</v>
      </c>
      <c r="AK87" s="39">
        <v>1.33634708931066E-2</v>
      </c>
      <c r="AL87" s="39">
        <v>1.33634708931066E-2</v>
      </c>
      <c r="AM87" s="39">
        <v>1.33634708931066E-2</v>
      </c>
      <c r="AN87" s="39">
        <v>1.33634708931066E-2</v>
      </c>
      <c r="AO87" s="39">
        <v>1.33634708931066E-2</v>
      </c>
      <c r="AP87" s="39">
        <v>1.33634708931066E-2</v>
      </c>
      <c r="AQ87" s="39">
        <v>1.33634708931066E-2</v>
      </c>
      <c r="AR87" s="39">
        <v>1.33634708931066E-2</v>
      </c>
      <c r="AS87" s="39">
        <v>1.33634708931066E-2</v>
      </c>
      <c r="AT87" s="39">
        <v>1.33634708931066E-2</v>
      </c>
      <c r="AU87" s="39">
        <v>1.2392217523121999E-3</v>
      </c>
      <c r="AV87" s="39">
        <v>1.2392217523121999E-3</v>
      </c>
      <c r="AW87" s="39">
        <v>1.2392217523121999E-3</v>
      </c>
      <c r="AX87" s="39">
        <v>1.2392217523121999E-3</v>
      </c>
      <c r="AY87" s="39">
        <v>1.2392217523121999E-3</v>
      </c>
      <c r="AZ87" s="39">
        <v>1.2392217523121999E-3</v>
      </c>
      <c r="BA87" s="39">
        <v>1.2392217523121999E-3</v>
      </c>
      <c r="BB87" s="39">
        <v>1.2392217523121999E-3</v>
      </c>
      <c r="BC87" s="39">
        <v>1.2392217523121999E-3</v>
      </c>
      <c r="BD87" s="39">
        <v>1.2392217523121999E-3</v>
      </c>
      <c r="BE87" s="39">
        <v>1.2392217523121999E-3</v>
      </c>
      <c r="BF87" s="39">
        <v>1.2392217523121999E-3</v>
      </c>
      <c r="BG87" s="1"/>
      <c r="BH87" s="12">
        <f t="shared" si="46"/>
        <v>695.35364000000004</v>
      </c>
      <c r="BI87" s="12">
        <f t="shared" si="47"/>
        <v>771.55545000000006</v>
      </c>
      <c r="BJ87" s="12">
        <f t="shared" si="48"/>
        <v>501.50296000000003</v>
      </c>
      <c r="BK87" s="12">
        <f t="shared" si="49"/>
        <v>308.62218000000001</v>
      </c>
      <c r="BL87" s="12">
        <f t="shared" si="50"/>
        <v>270.05249000000003</v>
      </c>
      <c r="BM87" s="12">
        <f t="shared" si="51"/>
        <v>212.18178999999998</v>
      </c>
      <c r="BN87" s="12">
        <f t="shared" si="52"/>
        <v>212.18178999999998</v>
      </c>
      <c r="BO87" s="12">
        <f t="shared" si="53"/>
        <v>212.18178999999998</v>
      </c>
      <c r="BP87" s="12">
        <f t="shared" si="54"/>
        <v>443.66458999999998</v>
      </c>
      <c r="BQ87" s="12">
        <f t="shared" si="55"/>
        <v>578.67466999999999</v>
      </c>
      <c r="BR87" s="12">
        <f t="shared" si="56"/>
        <v>578.67466999999999</v>
      </c>
      <c r="BS87" s="12">
        <f t="shared" si="57"/>
        <v>462.93326999999999</v>
      </c>
      <c r="BT87" s="1"/>
      <c r="BU87" s="11">
        <f t="shared" si="58"/>
        <v>705.50767548479325</v>
      </c>
      <c r="BV87" s="11">
        <f t="shared" si="59"/>
        <v>782.82223709524783</v>
      </c>
      <c r="BW87" s="11">
        <f t="shared" si="60"/>
        <v>508.82625358564781</v>
      </c>
      <c r="BX87" s="11">
        <f t="shared" si="61"/>
        <v>313.12889483809914</v>
      </c>
      <c r="BY87" s="11">
        <f t="shared" si="62"/>
        <v>273.99598350960008</v>
      </c>
      <c r="BZ87" s="11">
        <f t="shared" si="63"/>
        <v>215.28021546432478</v>
      </c>
      <c r="CA87" s="11">
        <f t="shared" si="64"/>
        <v>215.28021546432478</v>
      </c>
      <c r="CB87" s="11">
        <f t="shared" si="65"/>
        <v>215.28021546432478</v>
      </c>
      <c r="CC87" s="11">
        <f t="shared" si="66"/>
        <v>450.14328764542574</v>
      </c>
      <c r="CD87" s="11">
        <f t="shared" si="67"/>
        <v>587.12487834769911</v>
      </c>
      <c r="CE87" s="11">
        <f t="shared" si="68"/>
        <v>587.12487834769911</v>
      </c>
      <c r="CF87" s="11">
        <f t="shared" si="69"/>
        <v>469.69334225714869</v>
      </c>
      <c r="CG87" s="11"/>
      <c r="CH87" s="41">
        <v>3.2330000000000001</v>
      </c>
      <c r="CI87" s="1"/>
      <c r="CJ87" s="53">
        <f t="shared" si="70"/>
        <v>180206</v>
      </c>
      <c r="CK87" s="53">
        <f t="shared" si="71"/>
        <v>199955</v>
      </c>
      <c r="CL87" s="53">
        <f t="shared" si="72"/>
        <v>129968</v>
      </c>
      <c r="CM87" s="53">
        <f t="shared" si="73"/>
        <v>79982</v>
      </c>
      <c r="CN87" s="53">
        <f t="shared" si="74"/>
        <v>69986</v>
      </c>
      <c r="CO87" s="53">
        <f t="shared" si="75"/>
        <v>54989</v>
      </c>
      <c r="CP87" s="53">
        <f t="shared" si="76"/>
        <v>54989</v>
      </c>
      <c r="CQ87" s="53">
        <f t="shared" si="77"/>
        <v>54989</v>
      </c>
      <c r="CR87" s="53">
        <f t="shared" si="78"/>
        <v>114979</v>
      </c>
      <c r="CS87" s="53">
        <f t="shared" si="79"/>
        <v>149968</v>
      </c>
      <c r="CT87" s="53">
        <f t="shared" si="80"/>
        <v>149968</v>
      </c>
      <c r="CU87" s="53">
        <f t="shared" si="81"/>
        <v>119973</v>
      </c>
      <c r="CV87" s="53">
        <f t="shared" si="43"/>
        <v>1359952</v>
      </c>
      <c r="CW87" s="1"/>
      <c r="CX87" s="1"/>
      <c r="CY87" s="1"/>
      <c r="CZ87" s="1"/>
      <c r="DA87" s="1"/>
      <c r="DB87" s="1"/>
      <c r="DC87" s="1"/>
      <c r="DD87" s="1"/>
      <c r="DE87" s="1"/>
      <c r="DF87" s="1"/>
      <c r="DG87" s="1"/>
      <c r="DH87" s="1"/>
      <c r="DI87" s="1"/>
      <c r="DJ87" s="1"/>
      <c r="DK87" s="1"/>
      <c r="DL87" s="1"/>
    </row>
    <row r="88" spans="1:116" ht="15.75" hidden="1" x14ac:dyDescent="0.25">
      <c r="A88" s="17"/>
      <c r="B88" s="17"/>
      <c r="C88" s="17"/>
      <c r="D88" s="17"/>
      <c r="E88" s="17"/>
      <c r="F88" s="31" t="s">
        <v>19</v>
      </c>
      <c r="G88" s="71">
        <v>0</v>
      </c>
      <c r="H88" s="64">
        <v>0</v>
      </c>
      <c r="I88" s="64">
        <v>39.14</v>
      </c>
      <c r="J88" s="64">
        <v>39.14</v>
      </c>
      <c r="K88" s="64">
        <v>39.14</v>
      </c>
      <c r="L88" s="64">
        <v>0</v>
      </c>
      <c r="M88" s="64">
        <v>0</v>
      </c>
      <c r="N88" s="64">
        <v>39.14</v>
      </c>
      <c r="O88" s="64">
        <v>0</v>
      </c>
      <c r="P88" s="64">
        <v>0</v>
      </c>
      <c r="Q88" s="64">
        <v>0</v>
      </c>
      <c r="R88" s="64">
        <v>39.14</v>
      </c>
      <c r="S88" s="11">
        <f t="shared" si="45"/>
        <v>195.7</v>
      </c>
      <c r="T88" s="8">
        <f t="shared" si="44"/>
        <v>0</v>
      </c>
      <c r="U88" s="13" t="s">
        <v>3628</v>
      </c>
      <c r="V88" s="50">
        <f t="shared" si="6"/>
        <v>21600</v>
      </c>
      <c r="W88" s="36">
        <v>9.06</v>
      </c>
      <c r="X88" s="36">
        <v>9.06</v>
      </c>
      <c r="Y88" s="36">
        <v>9.06</v>
      </c>
      <c r="Z88" s="36">
        <v>9.06</v>
      </c>
      <c r="AA88" s="36">
        <v>9.06</v>
      </c>
      <c r="AB88" s="36">
        <v>9.06</v>
      </c>
      <c r="AC88" s="36">
        <v>9.06</v>
      </c>
      <c r="AD88" s="36">
        <v>9.06</v>
      </c>
      <c r="AE88" s="36">
        <v>9.06</v>
      </c>
      <c r="AF88" s="36">
        <v>9.06</v>
      </c>
      <c r="AG88" s="36">
        <v>9.06</v>
      </c>
      <c r="AH88" s="36">
        <v>9.06</v>
      </c>
      <c r="AI88" s="39">
        <v>0</v>
      </c>
      <c r="AJ88" s="39">
        <v>0</v>
      </c>
      <c r="AK88" s="39">
        <v>0</v>
      </c>
      <c r="AL88" s="39">
        <v>0</v>
      </c>
      <c r="AM88" s="39">
        <v>0</v>
      </c>
      <c r="AN88" s="39">
        <v>0</v>
      </c>
      <c r="AO88" s="39">
        <v>0</v>
      </c>
      <c r="AP88" s="39">
        <v>0</v>
      </c>
      <c r="AQ88" s="39">
        <v>0</v>
      </c>
      <c r="AR88" s="39">
        <v>0</v>
      </c>
      <c r="AS88" s="39">
        <v>0</v>
      </c>
      <c r="AT88" s="39">
        <v>0</v>
      </c>
      <c r="AU88" s="39">
        <v>0</v>
      </c>
      <c r="AV88" s="39">
        <v>0</v>
      </c>
      <c r="AW88" s="39">
        <v>0</v>
      </c>
      <c r="AX88" s="39">
        <v>0</v>
      </c>
      <c r="AY88" s="39">
        <v>0</v>
      </c>
      <c r="AZ88" s="39">
        <v>0</v>
      </c>
      <c r="BA88" s="39">
        <v>0</v>
      </c>
      <c r="BB88" s="39">
        <v>0</v>
      </c>
      <c r="BC88" s="39">
        <v>0</v>
      </c>
      <c r="BD88" s="39">
        <v>0</v>
      </c>
      <c r="BE88" s="39">
        <v>0</v>
      </c>
      <c r="BF88" s="39">
        <v>0</v>
      </c>
      <c r="BG88" s="1"/>
      <c r="BH88" s="12">
        <f t="shared" si="46"/>
        <v>0</v>
      </c>
      <c r="BI88" s="12">
        <f t="shared" si="47"/>
        <v>0</v>
      </c>
      <c r="BJ88" s="12">
        <f t="shared" si="48"/>
        <v>39.14</v>
      </c>
      <c r="BK88" s="12">
        <f t="shared" si="49"/>
        <v>39.14</v>
      </c>
      <c r="BL88" s="12">
        <f t="shared" si="50"/>
        <v>39.14</v>
      </c>
      <c r="BM88" s="12">
        <f t="shared" si="51"/>
        <v>0</v>
      </c>
      <c r="BN88" s="12">
        <f t="shared" si="52"/>
        <v>0</v>
      </c>
      <c r="BO88" s="12">
        <f t="shared" si="53"/>
        <v>39.14</v>
      </c>
      <c r="BP88" s="12">
        <f t="shared" si="54"/>
        <v>0</v>
      </c>
      <c r="BQ88" s="12">
        <f t="shared" si="55"/>
        <v>0</v>
      </c>
      <c r="BR88" s="12">
        <f t="shared" si="56"/>
        <v>0</v>
      </c>
      <c r="BS88" s="12">
        <f t="shared" si="57"/>
        <v>39.14</v>
      </c>
      <c r="BT88" s="1"/>
      <c r="BU88" s="11">
        <f t="shared" si="58"/>
        <v>0</v>
      </c>
      <c r="BV88" s="11">
        <f t="shared" si="59"/>
        <v>0</v>
      </c>
      <c r="BW88" s="11">
        <f t="shared" si="60"/>
        <v>39.14</v>
      </c>
      <c r="BX88" s="11">
        <f t="shared" si="61"/>
        <v>39.14</v>
      </c>
      <c r="BY88" s="11">
        <f t="shared" si="62"/>
        <v>39.14</v>
      </c>
      <c r="BZ88" s="11">
        <f t="shared" si="63"/>
        <v>0</v>
      </c>
      <c r="CA88" s="11">
        <f t="shared" si="64"/>
        <v>0</v>
      </c>
      <c r="CB88" s="11">
        <f t="shared" si="65"/>
        <v>39.14</v>
      </c>
      <c r="CC88" s="11">
        <f t="shared" si="66"/>
        <v>0</v>
      </c>
      <c r="CD88" s="11">
        <f t="shared" si="67"/>
        <v>0</v>
      </c>
      <c r="CE88" s="11">
        <f t="shared" si="68"/>
        <v>0</v>
      </c>
      <c r="CF88" s="11">
        <f t="shared" si="69"/>
        <v>39.14</v>
      </c>
      <c r="CG88" s="11"/>
      <c r="CH88" s="41">
        <v>1</v>
      </c>
      <c r="CI88" s="1"/>
      <c r="CJ88" s="53">
        <f t="shared" si="70"/>
        <v>0</v>
      </c>
      <c r="CK88" s="53">
        <f t="shared" si="71"/>
        <v>0</v>
      </c>
      <c r="CL88" s="53">
        <f t="shared" si="72"/>
        <v>4320</v>
      </c>
      <c r="CM88" s="53">
        <f t="shared" si="73"/>
        <v>4320</v>
      </c>
      <c r="CN88" s="53">
        <f t="shared" si="74"/>
        <v>4320</v>
      </c>
      <c r="CO88" s="53">
        <f t="shared" si="75"/>
        <v>0</v>
      </c>
      <c r="CP88" s="53">
        <f t="shared" si="76"/>
        <v>0</v>
      </c>
      <c r="CQ88" s="53">
        <f t="shared" si="77"/>
        <v>4320</v>
      </c>
      <c r="CR88" s="53">
        <f t="shared" si="78"/>
        <v>0</v>
      </c>
      <c r="CS88" s="53">
        <f t="shared" si="79"/>
        <v>0</v>
      </c>
      <c r="CT88" s="53">
        <f t="shared" si="80"/>
        <v>0</v>
      </c>
      <c r="CU88" s="53">
        <f t="shared" si="81"/>
        <v>4320</v>
      </c>
      <c r="CV88" s="53">
        <f t="shared" si="43"/>
        <v>21600</v>
      </c>
      <c r="CW88" s="1"/>
      <c r="CX88" s="1"/>
      <c r="CY88" s="1"/>
      <c r="CZ88" s="1"/>
      <c r="DA88" s="1"/>
      <c r="DB88" s="1"/>
      <c r="DC88" s="1"/>
      <c r="DD88" s="1"/>
      <c r="DE88" s="1"/>
      <c r="DF88" s="1"/>
      <c r="DG88" s="1"/>
      <c r="DH88" s="1"/>
      <c r="DI88" s="1"/>
      <c r="DJ88" s="1"/>
      <c r="DK88" s="1"/>
      <c r="DL88" s="1"/>
    </row>
    <row r="89" spans="1:116" ht="15.75" hidden="1" x14ac:dyDescent="0.25">
      <c r="A89" s="17"/>
      <c r="B89" s="17"/>
      <c r="C89" s="17"/>
      <c r="D89" s="17"/>
      <c r="E89" s="17"/>
      <c r="F89" s="31" t="s">
        <v>19</v>
      </c>
      <c r="G89" s="71">
        <v>0</v>
      </c>
      <c r="H89" s="64">
        <v>17.579999999999998</v>
      </c>
      <c r="I89" s="64">
        <v>0</v>
      </c>
      <c r="J89" s="64">
        <v>0</v>
      </c>
      <c r="K89" s="64">
        <v>0</v>
      </c>
      <c r="L89" s="64">
        <v>8.7899999999999991</v>
      </c>
      <c r="M89" s="64">
        <v>0</v>
      </c>
      <c r="N89" s="64">
        <v>0</v>
      </c>
      <c r="O89" s="64">
        <v>17.579999999999998</v>
      </c>
      <c r="P89" s="64">
        <v>0</v>
      </c>
      <c r="Q89" s="64">
        <v>17.579999999999998</v>
      </c>
      <c r="R89" s="64">
        <v>0</v>
      </c>
      <c r="S89" s="11">
        <f t="shared" si="45"/>
        <v>61.529999999999994</v>
      </c>
      <c r="T89" s="8">
        <f t="shared" si="44"/>
        <v>0.18608808711197786</v>
      </c>
      <c r="U89" s="13" t="s">
        <v>3628</v>
      </c>
      <c r="V89" s="50">
        <f t="shared" si="6"/>
        <v>36407</v>
      </c>
      <c r="W89" s="36">
        <v>1.69</v>
      </c>
      <c r="X89" s="36">
        <v>1.69</v>
      </c>
      <c r="Y89" s="36">
        <v>1.69</v>
      </c>
      <c r="Z89" s="36">
        <v>1.69</v>
      </c>
      <c r="AA89" s="36">
        <v>1.69</v>
      </c>
      <c r="AB89" s="36">
        <v>1.69</v>
      </c>
      <c r="AC89" s="36">
        <v>1.69</v>
      </c>
      <c r="AD89" s="36">
        <v>1.69</v>
      </c>
      <c r="AE89" s="36">
        <v>1.69</v>
      </c>
      <c r="AF89" s="36">
        <v>1.69</v>
      </c>
      <c r="AG89" s="36">
        <v>1.69</v>
      </c>
      <c r="AH89" s="36">
        <v>1.69</v>
      </c>
      <c r="AI89" s="39">
        <v>0</v>
      </c>
      <c r="AJ89" s="39">
        <v>0</v>
      </c>
      <c r="AK89" s="39">
        <v>0</v>
      </c>
      <c r="AL89" s="39">
        <v>0</v>
      </c>
      <c r="AM89" s="39">
        <v>0</v>
      </c>
      <c r="AN89" s="39">
        <v>0</v>
      </c>
      <c r="AO89" s="39">
        <v>0</v>
      </c>
      <c r="AP89" s="39">
        <v>0</v>
      </c>
      <c r="AQ89" s="39">
        <v>0</v>
      </c>
      <c r="AR89" s="39">
        <v>0</v>
      </c>
      <c r="AS89" s="39">
        <v>0</v>
      </c>
      <c r="AT89" s="39">
        <v>0</v>
      </c>
      <c r="AU89" s="39">
        <v>0</v>
      </c>
      <c r="AV89" s="39">
        <v>0</v>
      </c>
      <c r="AW89" s="39">
        <v>0</v>
      </c>
      <c r="AX89" s="39">
        <v>0</v>
      </c>
      <c r="AY89" s="39">
        <v>0</v>
      </c>
      <c r="AZ89" s="39">
        <v>0</v>
      </c>
      <c r="BA89" s="39">
        <v>0</v>
      </c>
      <c r="BB89" s="39">
        <v>0</v>
      </c>
      <c r="BC89" s="39">
        <v>0</v>
      </c>
      <c r="BD89" s="39">
        <v>0</v>
      </c>
      <c r="BE89" s="39">
        <v>0</v>
      </c>
      <c r="BF89" s="39">
        <v>0</v>
      </c>
      <c r="BG89" s="1"/>
      <c r="BH89" s="12">
        <f t="shared" si="46"/>
        <v>0</v>
      </c>
      <c r="BI89" s="12">
        <f t="shared" si="47"/>
        <v>17.579999999999998</v>
      </c>
      <c r="BJ89" s="12">
        <f t="shared" si="48"/>
        <v>0</v>
      </c>
      <c r="BK89" s="12">
        <f t="shared" si="49"/>
        <v>0</v>
      </c>
      <c r="BL89" s="12">
        <f t="shared" si="50"/>
        <v>0</v>
      </c>
      <c r="BM89" s="12">
        <f t="shared" si="51"/>
        <v>8.7899999999999991</v>
      </c>
      <c r="BN89" s="12">
        <f t="shared" si="52"/>
        <v>0</v>
      </c>
      <c r="BO89" s="12">
        <f t="shared" si="53"/>
        <v>0</v>
      </c>
      <c r="BP89" s="12">
        <f t="shared" si="54"/>
        <v>17.579999999999998</v>
      </c>
      <c r="BQ89" s="12">
        <f t="shared" si="55"/>
        <v>0</v>
      </c>
      <c r="BR89" s="12">
        <f t="shared" si="56"/>
        <v>17.579999999999998</v>
      </c>
      <c r="BS89" s="12">
        <f t="shared" si="57"/>
        <v>0</v>
      </c>
      <c r="BT89" s="1"/>
      <c r="BU89" s="11">
        <f t="shared" si="58"/>
        <v>0</v>
      </c>
      <c r="BV89" s="11">
        <f t="shared" si="59"/>
        <v>17.579999999999998</v>
      </c>
      <c r="BW89" s="11">
        <f t="shared" si="60"/>
        <v>0</v>
      </c>
      <c r="BX89" s="11">
        <f t="shared" si="61"/>
        <v>0</v>
      </c>
      <c r="BY89" s="11">
        <f t="shared" si="62"/>
        <v>0</v>
      </c>
      <c r="BZ89" s="11">
        <f t="shared" si="63"/>
        <v>8.7899999999999991</v>
      </c>
      <c r="CA89" s="11">
        <f t="shared" si="64"/>
        <v>0</v>
      </c>
      <c r="CB89" s="11">
        <f t="shared" si="65"/>
        <v>0</v>
      </c>
      <c r="CC89" s="11">
        <f t="shared" si="66"/>
        <v>17.579999999999998</v>
      </c>
      <c r="CD89" s="11">
        <f t="shared" si="67"/>
        <v>0</v>
      </c>
      <c r="CE89" s="11">
        <f t="shared" si="68"/>
        <v>17.579999999999998</v>
      </c>
      <c r="CF89" s="11">
        <f t="shared" si="69"/>
        <v>0</v>
      </c>
      <c r="CG89" s="11"/>
      <c r="CH89" s="41">
        <v>1</v>
      </c>
      <c r="CI89" s="1"/>
      <c r="CJ89" s="53">
        <f t="shared" si="70"/>
        <v>0</v>
      </c>
      <c r="CK89" s="53">
        <f t="shared" si="71"/>
        <v>10402</v>
      </c>
      <c r="CL89" s="53">
        <f t="shared" si="72"/>
        <v>0</v>
      </c>
      <c r="CM89" s="53">
        <f t="shared" si="73"/>
        <v>0</v>
      </c>
      <c r="CN89" s="53">
        <f t="shared" si="74"/>
        <v>0</v>
      </c>
      <c r="CO89" s="53">
        <f t="shared" si="75"/>
        <v>5201</v>
      </c>
      <c r="CP89" s="53">
        <f t="shared" si="76"/>
        <v>0</v>
      </c>
      <c r="CQ89" s="53">
        <f t="shared" si="77"/>
        <v>0</v>
      </c>
      <c r="CR89" s="53">
        <f t="shared" si="78"/>
        <v>10402</v>
      </c>
      <c r="CS89" s="53">
        <f t="shared" si="79"/>
        <v>0</v>
      </c>
      <c r="CT89" s="53">
        <f t="shared" si="80"/>
        <v>10402</v>
      </c>
      <c r="CU89" s="53">
        <f t="shared" si="81"/>
        <v>0</v>
      </c>
      <c r="CV89" s="53">
        <f t="shared" si="43"/>
        <v>36407</v>
      </c>
      <c r="CW89" s="1"/>
      <c r="CX89" s="1"/>
      <c r="CY89" s="1"/>
      <c r="CZ89" s="1"/>
      <c r="DA89" s="1"/>
      <c r="DB89" s="1"/>
      <c r="DC89" s="1"/>
      <c r="DD89" s="1"/>
      <c r="DE89" s="1"/>
      <c r="DF89" s="1"/>
      <c r="DG89" s="1"/>
      <c r="DH89" s="1"/>
      <c r="DI89" s="1"/>
      <c r="DJ89" s="1"/>
      <c r="DK89" s="1"/>
      <c r="DL89" s="1"/>
    </row>
    <row r="90" spans="1:116" ht="15.75" hidden="1" x14ac:dyDescent="0.25">
      <c r="A90" s="17"/>
      <c r="B90" s="17"/>
      <c r="C90" s="17"/>
      <c r="D90" s="17"/>
      <c r="E90" s="17"/>
      <c r="F90" s="31" t="s">
        <v>19</v>
      </c>
      <c r="G90" s="71">
        <v>0</v>
      </c>
      <c r="H90" s="64">
        <v>19.14</v>
      </c>
      <c r="I90" s="64">
        <v>9.57</v>
      </c>
      <c r="J90" s="64">
        <v>9.57</v>
      </c>
      <c r="K90" s="64">
        <v>0</v>
      </c>
      <c r="L90" s="64">
        <v>19.14</v>
      </c>
      <c r="M90" s="64">
        <v>0</v>
      </c>
      <c r="N90" s="64">
        <v>0</v>
      </c>
      <c r="O90" s="64">
        <v>0</v>
      </c>
      <c r="P90" s="64">
        <v>19.14</v>
      </c>
      <c r="Q90" s="64">
        <v>19.14</v>
      </c>
      <c r="R90" s="64">
        <v>9.57</v>
      </c>
      <c r="S90" s="11">
        <f t="shared" si="45"/>
        <v>105.27000000000001</v>
      </c>
      <c r="T90" s="8">
        <f t="shared" si="44"/>
        <v>5.0156739811912231E-2</v>
      </c>
      <c r="U90" s="13" t="s">
        <v>3628</v>
      </c>
      <c r="V90" s="50">
        <f t="shared" si="6"/>
        <v>57211</v>
      </c>
      <c r="W90" s="36">
        <v>1.8400042087542088</v>
      </c>
      <c r="X90" s="36">
        <v>1.8400042087542088</v>
      </c>
      <c r="Y90" s="36">
        <v>1.8400042087542088</v>
      </c>
      <c r="Z90" s="36">
        <v>1.8400042087542088</v>
      </c>
      <c r="AA90" s="36">
        <v>1.8400042087542088</v>
      </c>
      <c r="AB90" s="36">
        <v>1.8400042087542088</v>
      </c>
      <c r="AC90" s="36">
        <v>1.8400042087542088</v>
      </c>
      <c r="AD90" s="36">
        <v>1.8400042087542088</v>
      </c>
      <c r="AE90" s="36">
        <v>1.8400042087542088</v>
      </c>
      <c r="AF90" s="36">
        <v>1.8400042087542088</v>
      </c>
      <c r="AG90" s="36">
        <v>1.8400042087542088</v>
      </c>
      <c r="AH90" s="36">
        <v>1.8400042087542088</v>
      </c>
      <c r="AI90" s="39">
        <v>0</v>
      </c>
      <c r="AJ90" s="39">
        <v>0</v>
      </c>
      <c r="AK90" s="39">
        <v>0</v>
      </c>
      <c r="AL90" s="39">
        <v>0</v>
      </c>
      <c r="AM90" s="39">
        <v>0</v>
      </c>
      <c r="AN90" s="39">
        <v>0</v>
      </c>
      <c r="AO90" s="39">
        <v>0</v>
      </c>
      <c r="AP90" s="39">
        <v>0</v>
      </c>
      <c r="AQ90" s="39">
        <v>0</v>
      </c>
      <c r="AR90" s="39">
        <v>0</v>
      </c>
      <c r="AS90" s="39">
        <v>0</v>
      </c>
      <c r="AT90" s="39">
        <v>0</v>
      </c>
      <c r="AU90" s="39">
        <v>0</v>
      </c>
      <c r="AV90" s="39">
        <v>0</v>
      </c>
      <c r="AW90" s="39">
        <v>0</v>
      </c>
      <c r="AX90" s="39">
        <v>0</v>
      </c>
      <c r="AY90" s="39">
        <v>0</v>
      </c>
      <c r="AZ90" s="39">
        <v>0</v>
      </c>
      <c r="BA90" s="39">
        <v>0</v>
      </c>
      <c r="BB90" s="39">
        <v>0</v>
      </c>
      <c r="BC90" s="39">
        <v>0</v>
      </c>
      <c r="BD90" s="39">
        <v>0</v>
      </c>
      <c r="BE90" s="39">
        <v>0</v>
      </c>
      <c r="BF90" s="39">
        <v>0</v>
      </c>
      <c r="BG90" s="1"/>
      <c r="BH90" s="12">
        <f t="shared" si="46"/>
        <v>0</v>
      </c>
      <c r="BI90" s="12">
        <f t="shared" si="47"/>
        <v>19.14</v>
      </c>
      <c r="BJ90" s="12">
        <f t="shared" si="48"/>
        <v>9.57</v>
      </c>
      <c r="BK90" s="12">
        <f t="shared" si="49"/>
        <v>9.57</v>
      </c>
      <c r="BL90" s="12">
        <f t="shared" si="50"/>
        <v>0</v>
      </c>
      <c r="BM90" s="12">
        <f t="shared" si="51"/>
        <v>19.14</v>
      </c>
      <c r="BN90" s="12">
        <f t="shared" si="52"/>
        <v>0</v>
      </c>
      <c r="BO90" s="12">
        <f t="shared" si="53"/>
        <v>0</v>
      </c>
      <c r="BP90" s="12">
        <f t="shared" si="54"/>
        <v>0</v>
      </c>
      <c r="BQ90" s="12">
        <f t="shared" si="55"/>
        <v>19.14</v>
      </c>
      <c r="BR90" s="12">
        <f t="shared" si="56"/>
        <v>19.14</v>
      </c>
      <c r="BS90" s="12">
        <f t="shared" si="57"/>
        <v>9.57</v>
      </c>
      <c r="BT90" s="1"/>
      <c r="BU90" s="11">
        <f t="shared" si="58"/>
        <v>0</v>
      </c>
      <c r="BV90" s="11">
        <f t="shared" si="59"/>
        <v>19.14</v>
      </c>
      <c r="BW90" s="11">
        <f t="shared" si="60"/>
        <v>9.57</v>
      </c>
      <c r="BX90" s="11">
        <f t="shared" si="61"/>
        <v>9.57</v>
      </c>
      <c r="BY90" s="11">
        <f t="shared" si="62"/>
        <v>0</v>
      </c>
      <c r="BZ90" s="11">
        <f t="shared" si="63"/>
        <v>19.14</v>
      </c>
      <c r="CA90" s="11">
        <f t="shared" si="64"/>
        <v>0</v>
      </c>
      <c r="CB90" s="11">
        <f t="shared" si="65"/>
        <v>0</v>
      </c>
      <c r="CC90" s="11">
        <f t="shared" si="66"/>
        <v>0</v>
      </c>
      <c r="CD90" s="11">
        <f t="shared" si="67"/>
        <v>19.14</v>
      </c>
      <c r="CE90" s="11">
        <f t="shared" si="68"/>
        <v>19.14</v>
      </c>
      <c r="CF90" s="11">
        <f t="shared" si="69"/>
        <v>9.57</v>
      </c>
      <c r="CG90" s="11"/>
      <c r="CH90" s="41">
        <v>1</v>
      </c>
      <c r="CI90" s="1"/>
      <c r="CJ90" s="53">
        <f t="shared" si="70"/>
        <v>0</v>
      </c>
      <c r="CK90" s="53">
        <f t="shared" si="71"/>
        <v>10402</v>
      </c>
      <c r="CL90" s="53">
        <f t="shared" si="72"/>
        <v>5201</v>
      </c>
      <c r="CM90" s="53">
        <f t="shared" si="73"/>
        <v>5201</v>
      </c>
      <c r="CN90" s="53">
        <f t="shared" si="74"/>
        <v>0</v>
      </c>
      <c r="CO90" s="53">
        <f t="shared" si="75"/>
        <v>10402</v>
      </c>
      <c r="CP90" s="53">
        <f t="shared" si="76"/>
        <v>0</v>
      </c>
      <c r="CQ90" s="53">
        <f t="shared" si="77"/>
        <v>0</v>
      </c>
      <c r="CR90" s="53">
        <f t="shared" si="78"/>
        <v>0</v>
      </c>
      <c r="CS90" s="53">
        <f t="shared" si="79"/>
        <v>10402</v>
      </c>
      <c r="CT90" s="53">
        <f t="shared" si="80"/>
        <v>10402</v>
      </c>
      <c r="CU90" s="53">
        <f t="shared" si="81"/>
        <v>5201</v>
      </c>
      <c r="CV90" s="53">
        <f t="shared" si="43"/>
        <v>57211</v>
      </c>
      <c r="CW90" s="1"/>
      <c r="CX90" s="1"/>
      <c r="CY90" s="1"/>
      <c r="CZ90" s="1"/>
      <c r="DA90" s="1"/>
      <c r="DB90" s="1"/>
      <c r="DC90" s="1"/>
      <c r="DD90" s="1"/>
      <c r="DE90" s="1"/>
      <c r="DF90" s="1"/>
      <c r="DG90" s="1"/>
      <c r="DH90" s="1"/>
      <c r="DI90" s="1"/>
      <c r="DJ90" s="1"/>
      <c r="DK90" s="1"/>
      <c r="DL90" s="1"/>
    </row>
    <row r="91" spans="1:116" ht="15.75" hidden="1" x14ac:dyDescent="0.25">
      <c r="A91" s="17"/>
      <c r="B91" s="17"/>
      <c r="C91" s="17"/>
      <c r="D91" s="17"/>
      <c r="E91" s="17"/>
      <c r="F91" s="31" t="s">
        <v>19</v>
      </c>
      <c r="G91" s="71">
        <v>0</v>
      </c>
      <c r="H91" s="64">
        <v>0</v>
      </c>
      <c r="I91" s="64">
        <v>0</v>
      </c>
      <c r="J91" s="64">
        <v>0</v>
      </c>
      <c r="K91" s="64">
        <v>0</v>
      </c>
      <c r="L91" s="64">
        <v>0</v>
      </c>
      <c r="M91" s="64">
        <v>0</v>
      </c>
      <c r="N91" s="64">
        <v>0</v>
      </c>
      <c r="O91" s="64">
        <v>0</v>
      </c>
      <c r="P91" s="64">
        <v>0</v>
      </c>
      <c r="Q91" s="64">
        <v>0</v>
      </c>
      <c r="R91" s="64">
        <v>0</v>
      </c>
      <c r="S91" s="11">
        <f t="shared" si="45"/>
        <v>0</v>
      </c>
      <c r="T91" s="8">
        <f t="shared" si="44"/>
        <v>0</v>
      </c>
      <c r="U91" s="13" t="s">
        <v>3628</v>
      </c>
      <c r="V91" s="50">
        <f t="shared" si="6"/>
        <v>0</v>
      </c>
      <c r="W91" s="36">
        <v>11.423999999999999</v>
      </c>
      <c r="X91" s="36">
        <v>11.423999999999999</v>
      </c>
      <c r="Y91" s="36">
        <v>11.423999999999999</v>
      </c>
      <c r="Z91" s="36">
        <v>11.423999999999999</v>
      </c>
      <c r="AA91" s="36">
        <v>11.423999999999999</v>
      </c>
      <c r="AB91" s="36">
        <v>11.423999999999999</v>
      </c>
      <c r="AC91" s="36">
        <v>11.423999999999999</v>
      </c>
      <c r="AD91" s="36">
        <v>11.423999999999999</v>
      </c>
      <c r="AE91" s="36">
        <v>11.423999999999999</v>
      </c>
      <c r="AF91" s="36">
        <v>11.423999999999999</v>
      </c>
      <c r="AG91" s="36">
        <v>11.423999999999999</v>
      </c>
      <c r="AH91" s="36">
        <v>11.423999999999999</v>
      </c>
      <c r="AI91" s="39">
        <v>0.22999999999999998</v>
      </c>
      <c r="AJ91" s="39">
        <v>0.22999999999999998</v>
      </c>
      <c r="AK91" s="39">
        <v>0.22999999999999998</v>
      </c>
      <c r="AL91" s="39">
        <v>0.22999999999999998</v>
      </c>
      <c r="AM91" s="39">
        <v>0.22999999999999998</v>
      </c>
      <c r="AN91" s="39">
        <v>0.22999999999999998</v>
      </c>
      <c r="AO91" s="39">
        <v>0.22999999999999998</v>
      </c>
      <c r="AP91" s="39">
        <v>0.22999999999999998</v>
      </c>
      <c r="AQ91" s="39">
        <v>0.22999999999999998</v>
      </c>
      <c r="AR91" s="39">
        <v>0.22999999999999998</v>
      </c>
      <c r="AS91" s="39">
        <v>0.22999999999999998</v>
      </c>
      <c r="AT91" s="39">
        <v>0.22999999999999998</v>
      </c>
      <c r="AU91" s="39">
        <v>0</v>
      </c>
      <c r="AV91" s="39">
        <v>0</v>
      </c>
      <c r="AW91" s="39">
        <v>0</v>
      </c>
      <c r="AX91" s="39">
        <v>0</v>
      </c>
      <c r="AY91" s="39">
        <v>0</v>
      </c>
      <c r="AZ91" s="39">
        <v>0</v>
      </c>
      <c r="BA91" s="39">
        <v>0</v>
      </c>
      <c r="BB91" s="39">
        <v>0</v>
      </c>
      <c r="BC91" s="39">
        <v>0</v>
      </c>
      <c r="BD91" s="39">
        <v>0</v>
      </c>
      <c r="BE91" s="39">
        <v>0</v>
      </c>
      <c r="BF91" s="39">
        <v>0</v>
      </c>
      <c r="BG91" s="1"/>
      <c r="BH91" s="12">
        <f t="shared" si="46"/>
        <v>0</v>
      </c>
      <c r="BI91" s="12">
        <f t="shared" si="47"/>
        <v>0</v>
      </c>
      <c r="BJ91" s="12">
        <f t="shared" si="48"/>
        <v>0</v>
      </c>
      <c r="BK91" s="12">
        <f t="shared" si="49"/>
        <v>0</v>
      </c>
      <c r="BL91" s="12">
        <f t="shared" si="50"/>
        <v>0</v>
      </c>
      <c r="BM91" s="12">
        <f t="shared" si="51"/>
        <v>0</v>
      </c>
      <c r="BN91" s="12">
        <f t="shared" si="52"/>
        <v>0</v>
      </c>
      <c r="BO91" s="12">
        <f t="shared" si="53"/>
        <v>0</v>
      </c>
      <c r="BP91" s="12">
        <f t="shared" si="54"/>
        <v>0</v>
      </c>
      <c r="BQ91" s="12">
        <f t="shared" si="55"/>
        <v>0</v>
      </c>
      <c r="BR91" s="12">
        <f t="shared" si="56"/>
        <v>0</v>
      </c>
      <c r="BS91" s="12">
        <f t="shared" si="57"/>
        <v>0</v>
      </c>
      <c r="BT91" s="1"/>
      <c r="BU91" s="11">
        <f t="shared" si="58"/>
        <v>0</v>
      </c>
      <c r="BV91" s="11">
        <f t="shared" si="59"/>
        <v>0</v>
      </c>
      <c r="BW91" s="11">
        <f t="shared" si="60"/>
        <v>0</v>
      </c>
      <c r="BX91" s="11">
        <f t="shared" si="61"/>
        <v>0</v>
      </c>
      <c r="BY91" s="11">
        <f t="shared" si="62"/>
        <v>0</v>
      </c>
      <c r="BZ91" s="11">
        <f t="shared" si="63"/>
        <v>0</v>
      </c>
      <c r="CA91" s="11">
        <f t="shared" si="64"/>
        <v>0</v>
      </c>
      <c r="CB91" s="11">
        <f t="shared" si="65"/>
        <v>0</v>
      </c>
      <c r="CC91" s="11">
        <f t="shared" si="66"/>
        <v>0</v>
      </c>
      <c r="CD91" s="11">
        <f t="shared" si="67"/>
        <v>0</v>
      </c>
      <c r="CE91" s="11">
        <f t="shared" si="68"/>
        <v>0</v>
      </c>
      <c r="CF91" s="11">
        <f t="shared" si="69"/>
        <v>0</v>
      </c>
      <c r="CG91" s="11"/>
      <c r="CH91" s="41">
        <v>1</v>
      </c>
      <c r="CI91" s="1"/>
      <c r="CJ91" s="53">
        <f t="shared" si="70"/>
        <v>0</v>
      </c>
      <c r="CK91" s="53">
        <f t="shared" si="71"/>
        <v>0</v>
      </c>
      <c r="CL91" s="53">
        <f t="shared" si="72"/>
        <v>0</v>
      </c>
      <c r="CM91" s="53">
        <f t="shared" si="73"/>
        <v>0</v>
      </c>
      <c r="CN91" s="53">
        <f t="shared" si="74"/>
        <v>0</v>
      </c>
      <c r="CO91" s="53">
        <f t="shared" si="75"/>
        <v>0</v>
      </c>
      <c r="CP91" s="53">
        <f t="shared" si="76"/>
        <v>0</v>
      </c>
      <c r="CQ91" s="53">
        <f t="shared" si="77"/>
        <v>0</v>
      </c>
      <c r="CR91" s="53">
        <f t="shared" si="78"/>
        <v>0</v>
      </c>
      <c r="CS91" s="53">
        <f t="shared" si="79"/>
        <v>0</v>
      </c>
      <c r="CT91" s="53">
        <f t="shared" si="80"/>
        <v>0</v>
      </c>
      <c r="CU91" s="53">
        <f t="shared" si="81"/>
        <v>0</v>
      </c>
      <c r="CV91" s="53">
        <f t="shared" si="43"/>
        <v>0</v>
      </c>
      <c r="CW91" s="1"/>
      <c r="CX91" s="1"/>
      <c r="CY91" s="1"/>
      <c r="CZ91" s="1"/>
      <c r="DA91" s="1"/>
      <c r="DB91" s="1"/>
      <c r="DC91" s="1"/>
      <c r="DD91" s="1"/>
      <c r="DE91" s="1"/>
      <c r="DF91" s="1"/>
      <c r="DG91" s="1"/>
      <c r="DH91" s="1"/>
      <c r="DI91" s="1"/>
      <c r="DJ91" s="1"/>
      <c r="DK91" s="1"/>
      <c r="DL91" s="1"/>
    </row>
    <row r="92" spans="1:116" ht="15.75" hidden="1" x14ac:dyDescent="0.25">
      <c r="A92" s="17"/>
      <c r="B92" s="17"/>
      <c r="C92" s="17"/>
      <c r="D92" s="17"/>
      <c r="E92" s="17"/>
      <c r="F92" s="33" t="s">
        <v>18</v>
      </c>
      <c r="G92" s="55">
        <v>46273.32</v>
      </c>
      <c r="H92" s="55">
        <v>66833.08</v>
      </c>
      <c r="I92" s="55">
        <v>50199.26</v>
      </c>
      <c r="J92" s="55">
        <v>16540.560000000001</v>
      </c>
      <c r="K92" s="55">
        <v>16678.650000000001</v>
      </c>
      <c r="L92" s="55">
        <v>16600.02</v>
      </c>
      <c r="M92" s="55">
        <v>21894.47</v>
      </c>
      <c r="N92" s="55">
        <v>23094.639999999999</v>
      </c>
      <c r="O92" s="55">
        <v>33168.44</v>
      </c>
      <c r="P92" s="55">
        <v>51701.31</v>
      </c>
      <c r="Q92" s="55">
        <v>60318.14</v>
      </c>
      <c r="R92" s="55">
        <v>51703.21</v>
      </c>
      <c r="S92" s="11">
        <f t="shared" si="45"/>
        <v>455005.10000000003</v>
      </c>
      <c r="T92" s="8">
        <f t="shared" ref="T92:T116" si="82">IFERROR((S17-S92)/S92,0)</f>
        <v>-0.99918277839083558</v>
      </c>
      <c r="U92" s="13" t="s">
        <v>23</v>
      </c>
      <c r="V92" s="50">
        <f t="shared" si="6"/>
        <v>405004837</v>
      </c>
      <c r="W92" s="36">
        <v>1.1148702569408897</v>
      </c>
      <c r="X92" s="36">
        <v>1.1138998151876396</v>
      </c>
      <c r="Y92" s="36">
        <v>1.1155405129044216</v>
      </c>
      <c r="Z92" s="36">
        <v>1.1027124931001189</v>
      </c>
      <c r="AA92" s="36">
        <v>1.1119639912144603</v>
      </c>
      <c r="AB92" s="36">
        <v>1.1066255029906482</v>
      </c>
      <c r="AC92" s="36">
        <v>1.0946782172440752</v>
      </c>
      <c r="AD92" s="36">
        <v>1.099738812943885</v>
      </c>
      <c r="AE92" s="36">
        <v>1.1056034750280461</v>
      </c>
      <c r="AF92" s="36">
        <v>1.1489376545755847</v>
      </c>
      <c r="AG92" s="36">
        <v>1.1489376545755849</v>
      </c>
      <c r="AH92" s="36">
        <v>1.1489376545755852</v>
      </c>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1"/>
      <c r="BH92" s="12">
        <f t="shared" si="46"/>
        <v>46273.32</v>
      </c>
      <c r="BI92" s="12">
        <f t="shared" si="47"/>
        <v>66833.08</v>
      </c>
      <c r="BJ92" s="12">
        <f t="shared" si="48"/>
        <v>50199.26</v>
      </c>
      <c r="BK92" s="12">
        <f t="shared" si="49"/>
        <v>16540.560000000001</v>
      </c>
      <c r="BL92" s="12">
        <f t="shared" si="50"/>
        <v>16678.650000000001</v>
      </c>
      <c r="BM92" s="12">
        <f t="shared" si="51"/>
        <v>16600.02</v>
      </c>
      <c r="BN92" s="12">
        <f t="shared" si="52"/>
        <v>21894.47</v>
      </c>
      <c r="BO92" s="12">
        <f t="shared" si="53"/>
        <v>23094.639999999999</v>
      </c>
      <c r="BP92" s="12">
        <f t="shared" si="54"/>
        <v>33168.44</v>
      </c>
      <c r="BQ92" s="12">
        <f t="shared" si="55"/>
        <v>51701.31</v>
      </c>
      <c r="BR92" s="12">
        <f t="shared" si="56"/>
        <v>60318.14</v>
      </c>
      <c r="BS92" s="12">
        <f t="shared" si="57"/>
        <v>51703.21</v>
      </c>
      <c r="BT92" s="1"/>
      <c r="BU92" s="11">
        <f t="shared" si="58"/>
        <v>46273.32</v>
      </c>
      <c r="BV92" s="11">
        <f t="shared" si="59"/>
        <v>66833.08</v>
      </c>
      <c r="BW92" s="11">
        <f t="shared" si="60"/>
        <v>50199.26</v>
      </c>
      <c r="BX92" s="11">
        <f t="shared" si="61"/>
        <v>16540.560000000001</v>
      </c>
      <c r="BY92" s="11">
        <f t="shared" si="62"/>
        <v>16678.650000000001</v>
      </c>
      <c r="BZ92" s="11">
        <f t="shared" si="63"/>
        <v>16600.02</v>
      </c>
      <c r="CA92" s="11">
        <f t="shared" si="64"/>
        <v>21894.47</v>
      </c>
      <c r="CB92" s="11">
        <f t="shared" si="65"/>
        <v>23094.639999999999</v>
      </c>
      <c r="CC92" s="11">
        <f t="shared" si="66"/>
        <v>33168.44</v>
      </c>
      <c r="CD92" s="11">
        <f t="shared" si="67"/>
        <v>51701.31</v>
      </c>
      <c r="CE92" s="11">
        <f t="shared" si="68"/>
        <v>60318.14</v>
      </c>
      <c r="CF92" s="11">
        <f t="shared" si="69"/>
        <v>51703.21</v>
      </c>
      <c r="CG92" s="11"/>
      <c r="CH92" s="41">
        <v>1</v>
      </c>
      <c r="CI92" s="1"/>
      <c r="CJ92" s="53">
        <f t="shared" si="70"/>
        <v>41505565</v>
      </c>
      <c r="CK92" s="53">
        <f t="shared" si="71"/>
        <v>59999184</v>
      </c>
      <c r="CL92" s="53">
        <f t="shared" si="72"/>
        <v>44999943</v>
      </c>
      <c r="CM92" s="53">
        <f t="shared" si="73"/>
        <v>14999884</v>
      </c>
      <c r="CN92" s="53">
        <f t="shared" si="74"/>
        <v>14999272</v>
      </c>
      <c r="CO92" s="53">
        <f t="shared" si="75"/>
        <v>15000576</v>
      </c>
      <c r="CP92" s="53">
        <f t="shared" si="76"/>
        <v>20000827</v>
      </c>
      <c r="CQ92" s="53">
        <f t="shared" si="77"/>
        <v>21000114</v>
      </c>
      <c r="CR92" s="53">
        <f t="shared" si="78"/>
        <v>30000304</v>
      </c>
      <c r="CS92" s="53">
        <f t="shared" si="79"/>
        <v>44999230</v>
      </c>
      <c r="CT92" s="53">
        <f t="shared" si="80"/>
        <v>52499054</v>
      </c>
      <c r="CU92" s="53">
        <f t="shared" si="81"/>
        <v>45000884</v>
      </c>
      <c r="CV92" s="53">
        <f t="shared" si="43"/>
        <v>405004837</v>
      </c>
      <c r="CW92" s="1"/>
      <c r="CX92" s="1"/>
      <c r="CY92" s="1"/>
      <c r="CZ92" s="1"/>
      <c r="DA92" s="1"/>
      <c r="DB92" s="1"/>
      <c r="DC92" s="1"/>
      <c r="DD92" s="1"/>
      <c r="DE92" s="1"/>
      <c r="DF92" s="1"/>
      <c r="DG92" s="1"/>
      <c r="DH92" s="1"/>
      <c r="DI92" s="1"/>
      <c r="DJ92" s="1"/>
      <c r="DK92" s="1"/>
      <c r="DL92" s="1"/>
    </row>
    <row r="93" spans="1:116" ht="15.75" hidden="1" x14ac:dyDescent="0.25">
      <c r="A93" s="17"/>
      <c r="B93" s="17"/>
      <c r="C93" s="17"/>
      <c r="D93" s="17"/>
      <c r="E93" s="17"/>
      <c r="F93" s="33" t="s">
        <v>18</v>
      </c>
      <c r="G93" s="55">
        <v>0</v>
      </c>
      <c r="H93" s="55">
        <v>0</v>
      </c>
      <c r="I93" s="55">
        <v>0</v>
      </c>
      <c r="J93" s="55">
        <v>0</v>
      </c>
      <c r="K93" s="55">
        <v>0</v>
      </c>
      <c r="L93" s="55">
        <v>0</v>
      </c>
      <c r="M93" s="55">
        <v>0</v>
      </c>
      <c r="N93" s="55">
        <v>0</v>
      </c>
      <c r="O93" s="55">
        <v>0</v>
      </c>
      <c r="P93" s="55">
        <v>0</v>
      </c>
      <c r="Q93" s="55">
        <v>0</v>
      </c>
      <c r="R93" s="55">
        <v>0</v>
      </c>
      <c r="S93" s="11">
        <f t="shared" si="45"/>
        <v>0</v>
      </c>
      <c r="T93" s="8">
        <f t="shared" si="82"/>
        <v>0</v>
      </c>
      <c r="U93" s="13" t="s">
        <v>23</v>
      </c>
      <c r="V93" s="50">
        <f t="shared" si="6"/>
        <v>0</v>
      </c>
      <c r="W93" s="36">
        <v>0</v>
      </c>
      <c r="X93" s="36"/>
      <c r="Y93" s="36"/>
      <c r="Z93" s="36"/>
      <c r="AA93" s="36"/>
      <c r="AB93" s="36"/>
      <c r="AC93" s="36"/>
      <c r="AD93" s="36"/>
      <c r="AE93" s="36"/>
      <c r="AF93" s="36"/>
      <c r="AG93" s="36"/>
      <c r="AH93" s="36"/>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1"/>
      <c r="BH93" s="12">
        <f t="shared" si="46"/>
        <v>0</v>
      </c>
      <c r="BI93" s="12">
        <f t="shared" si="47"/>
        <v>0</v>
      </c>
      <c r="BJ93" s="12">
        <f t="shared" si="48"/>
        <v>0</v>
      </c>
      <c r="BK93" s="12">
        <f t="shared" si="49"/>
        <v>0</v>
      </c>
      <c r="BL93" s="12">
        <f t="shared" si="50"/>
        <v>0</v>
      </c>
      <c r="BM93" s="12">
        <f t="shared" si="51"/>
        <v>0</v>
      </c>
      <c r="BN93" s="12">
        <f t="shared" si="52"/>
        <v>0</v>
      </c>
      <c r="BO93" s="12">
        <f t="shared" si="53"/>
        <v>0</v>
      </c>
      <c r="BP93" s="12">
        <f t="shared" si="54"/>
        <v>0</v>
      </c>
      <c r="BQ93" s="12">
        <f t="shared" si="55"/>
        <v>0</v>
      </c>
      <c r="BR93" s="12">
        <f t="shared" si="56"/>
        <v>0</v>
      </c>
      <c r="BS93" s="12">
        <f t="shared" si="57"/>
        <v>0</v>
      </c>
      <c r="BT93" s="1"/>
      <c r="BU93" s="11">
        <f t="shared" si="58"/>
        <v>0</v>
      </c>
      <c r="BV93" s="11">
        <f t="shared" si="59"/>
        <v>0</v>
      </c>
      <c r="BW93" s="11">
        <f t="shared" si="60"/>
        <v>0</v>
      </c>
      <c r="BX93" s="11">
        <f t="shared" si="61"/>
        <v>0</v>
      </c>
      <c r="BY93" s="11">
        <f t="shared" si="62"/>
        <v>0</v>
      </c>
      <c r="BZ93" s="11">
        <f t="shared" si="63"/>
        <v>0</v>
      </c>
      <c r="CA93" s="11">
        <f t="shared" si="64"/>
        <v>0</v>
      </c>
      <c r="CB93" s="11">
        <f t="shared" si="65"/>
        <v>0</v>
      </c>
      <c r="CC93" s="11">
        <f t="shared" si="66"/>
        <v>0</v>
      </c>
      <c r="CD93" s="11">
        <f t="shared" si="67"/>
        <v>0</v>
      </c>
      <c r="CE93" s="11">
        <f t="shared" si="68"/>
        <v>0</v>
      </c>
      <c r="CF93" s="11">
        <f t="shared" si="69"/>
        <v>0</v>
      </c>
      <c r="CG93" s="11"/>
      <c r="CH93" s="41">
        <v>1</v>
      </c>
      <c r="CI93" s="1"/>
      <c r="CJ93" s="53">
        <f t="shared" si="70"/>
        <v>0</v>
      </c>
      <c r="CK93" s="53">
        <f t="shared" si="71"/>
        <v>0</v>
      </c>
      <c r="CL93" s="53">
        <f t="shared" si="72"/>
        <v>0</v>
      </c>
      <c r="CM93" s="53">
        <f t="shared" si="73"/>
        <v>0</v>
      </c>
      <c r="CN93" s="53">
        <f t="shared" si="74"/>
        <v>0</v>
      </c>
      <c r="CO93" s="53">
        <f t="shared" si="75"/>
        <v>0</v>
      </c>
      <c r="CP93" s="53">
        <f t="shared" si="76"/>
        <v>0</v>
      </c>
      <c r="CQ93" s="53">
        <f t="shared" si="77"/>
        <v>0</v>
      </c>
      <c r="CR93" s="53">
        <f t="shared" si="78"/>
        <v>0</v>
      </c>
      <c r="CS93" s="53">
        <f t="shared" si="79"/>
        <v>0</v>
      </c>
      <c r="CT93" s="53">
        <f t="shared" si="80"/>
        <v>0</v>
      </c>
      <c r="CU93" s="53">
        <f t="shared" si="81"/>
        <v>0</v>
      </c>
      <c r="CV93" s="53">
        <f t="shared" si="43"/>
        <v>0</v>
      </c>
      <c r="CW93" s="1"/>
      <c r="CX93" s="1"/>
      <c r="CY93" s="1"/>
      <c r="CZ93" s="1"/>
      <c r="DA93" s="1"/>
      <c r="DB93" s="1"/>
      <c r="DC93" s="1"/>
      <c r="DD93" s="1"/>
      <c r="DE93" s="1"/>
      <c r="DF93" s="1"/>
      <c r="DG93" s="1"/>
      <c r="DH93" s="1"/>
      <c r="DI93" s="1"/>
      <c r="DJ93" s="1"/>
      <c r="DK93" s="1"/>
      <c r="DL93" s="1"/>
    </row>
    <row r="94" spans="1:116" ht="15.75" hidden="1" x14ac:dyDescent="0.25">
      <c r="A94" s="17"/>
      <c r="B94" s="17"/>
      <c r="C94" s="17"/>
      <c r="D94" s="17"/>
      <c r="E94" s="17"/>
      <c r="F94" s="33" t="s">
        <v>18</v>
      </c>
      <c r="G94" s="55">
        <v>0</v>
      </c>
      <c r="H94" s="55">
        <v>0</v>
      </c>
      <c r="I94" s="55">
        <v>0</v>
      </c>
      <c r="J94" s="55">
        <v>0</v>
      </c>
      <c r="K94" s="55">
        <v>0</v>
      </c>
      <c r="L94" s="55">
        <v>0</v>
      </c>
      <c r="M94" s="55">
        <v>0</v>
      </c>
      <c r="N94" s="55">
        <v>0</v>
      </c>
      <c r="O94" s="55">
        <v>0</v>
      </c>
      <c r="P94" s="55">
        <v>0</v>
      </c>
      <c r="Q94" s="55">
        <v>0</v>
      </c>
      <c r="R94" s="55">
        <v>0</v>
      </c>
      <c r="S94" s="11">
        <f t="shared" si="45"/>
        <v>0</v>
      </c>
      <c r="T94" s="8">
        <f t="shared" si="82"/>
        <v>0</v>
      </c>
      <c r="U94" s="13" t="s">
        <v>23</v>
      </c>
      <c r="V94" s="50">
        <f t="shared" si="6"/>
        <v>0</v>
      </c>
      <c r="W94" s="36">
        <v>0</v>
      </c>
      <c r="X94" s="36"/>
      <c r="Y94" s="36"/>
      <c r="Z94" s="36"/>
      <c r="AA94" s="36"/>
      <c r="AB94" s="36"/>
      <c r="AC94" s="36"/>
      <c r="AD94" s="36"/>
      <c r="AE94" s="36"/>
      <c r="AF94" s="36"/>
      <c r="AG94" s="36"/>
      <c r="AH94" s="36"/>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1"/>
      <c r="BH94" s="12">
        <f t="shared" si="46"/>
        <v>0</v>
      </c>
      <c r="BI94" s="12">
        <f t="shared" si="47"/>
        <v>0</v>
      </c>
      <c r="BJ94" s="12">
        <f t="shared" si="48"/>
        <v>0</v>
      </c>
      <c r="BK94" s="12">
        <f t="shared" si="49"/>
        <v>0</v>
      </c>
      <c r="BL94" s="12">
        <f t="shared" si="50"/>
        <v>0</v>
      </c>
      <c r="BM94" s="12">
        <f t="shared" si="51"/>
        <v>0</v>
      </c>
      <c r="BN94" s="12">
        <f t="shared" si="52"/>
        <v>0</v>
      </c>
      <c r="BO94" s="12">
        <f t="shared" si="53"/>
        <v>0</v>
      </c>
      <c r="BP94" s="12">
        <f t="shared" si="54"/>
        <v>0</v>
      </c>
      <c r="BQ94" s="12">
        <f t="shared" si="55"/>
        <v>0</v>
      </c>
      <c r="BR94" s="12">
        <f t="shared" si="56"/>
        <v>0</v>
      </c>
      <c r="BS94" s="12">
        <f t="shared" si="57"/>
        <v>0</v>
      </c>
      <c r="BT94" s="1"/>
      <c r="BU94" s="11">
        <f t="shared" si="58"/>
        <v>0</v>
      </c>
      <c r="BV94" s="11">
        <f t="shared" si="59"/>
        <v>0</v>
      </c>
      <c r="BW94" s="11">
        <f t="shared" si="60"/>
        <v>0</v>
      </c>
      <c r="BX94" s="11">
        <f t="shared" si="61"/>
        <v>0</v>
      </c>
      <c r="BY94" s="11">
        <f t="shared" si="62"/>
        <v>0</v>
      </c>
      <c r="BZ94" s="11">
        <f t="shared" si="63"/>
        <v>0</v>
      </c>
      <c r="CA94" s="11">
        <f t="shared" si="64"/>
        <v>0</v>
      </c>
      <c r="CB94" s="11">
        <f t="shared" si="65"/>
        <v>0</v>
      </c>
      <c r="CC94" s="11">
        <f t="shared" si="66"/>
        <v>0</v>
      </c>
      <c r="CD94" s="11">
        <f t="shared" si="67"/>
        <v>0</v>
      </c>
      <c r="CE94" s="11">
        <f t="shared" si="68"/>
        <v>0</v>
      </c>
      <c r="CF94" s="11">
        <f t="shared" si="69"/>
        <v>0</v>
      </c>
      <c r="CG94" s="11"/>
      <c r="CH94" s="41">
        <v>1</v>
      </c>
      <c r="CI94" s="1"/>
      <c r="CJ94" s="53">
        <f t="shared" si="70"/>
        <v>0</v>
      </c>
      <c r="CK94" s="53">
        <f t="shared" si="71"/>
        <v>0</v>
      </c>
      <c r="CL94" s="53">
        <f t="shared" si="72"/>
        <v>0</v>
      </c>
      <c r="CM94" s="53">
        <f t="shared" si="73"/>
        <v>0</v>
      </c>
      <c r="CN94" s="53">
        <f t="shared" si="74"/>
        <v>0</v>
      </c>
      <c r="CO94" s="53">
        <f t="shared" si="75"/>
        <v>0</v>
      </c>
      <c r="CP94" s="53">
        <f t="shared" si="76"/>
        <v>0</v>
      </c>
      <c r="CQ94" s="53">
        <f t="shared" si="77"/>
        <v>0</v>
      </c>
      <c r="CR94" s="53">
        <f t="shared" si="78"/>
        <v>0</v>
      </c>
      <c r="CS94" s="53">
        <f t="shared" si="79"/>
        <v>0</v>
      </c>
      <c r="CT94" s="53">
        <f t="shared" si="80"/>
        <v>0</v>
      </c>
      <c r="CU94" s="53">
        <f t="shared" si="81"/>
        <v>0</v>
      </c>
      <c r="CV94" s="53">
        <f t="shared" si="43"/>
        <v>0</v>
      </c>
      <c r="CW94" s="1"/>
      <c r="CX94" s="1"/>
      <c r="CY94" s="1"/>
      <c r="CZ94" s="1"/>
      <c r="DA94" s="1"/>
      <c r="DB94" s="1"/>
      <c r="DC94" s="1"/>
      <c r="DD94" s="1"/>
      <c r="DE94" s="1"/>
      <c r="DF94" s="1"/>
      <c r="DG94" s="1"/>
      <c r="DH94" s="1"/>
      <c r="DI94" s="1"/>
      <c r="DJ94" s="1"/>
      <c r="DK94" s="1"/>
      <c r="DL94" s="1"/>
    </row>
    <row r="95" spans="1:116" ht="15.75" hidden="1" x14ac:dyDescent="0.25">
      <c r="A95" s="17"/>
      <c r="B95" s="17"/>
      <c r="C95" s="17"/>
      <c r="D95" s="17"/>
      <c r="E95" s="17"/>
      <c r="F95" s="33" t="s">
        <v>18</v>
      </c>
      <c r="G95" s="55">
        <v>13.47</v>
      </c>
      <c r="H95" s="55">
        <v>10.77</v>
      </c>
      <c r="I95" s="55">
        <v>8.09</v>
      </c>
      <c r="J95" s="55">
        <v>5.33</v>
      </c>
      <c r="K95" s="55">
        <v>3.76</v>
      </c>
      <c r="L95" s="55">
        <v>3.94</v>
      </c>
      <c r="M95" s="55">
        <v>3.9</v>
      </c>
      <c r="N95" s="55">
        <v>6.31</v>
      </c>
      <c r="O95" s="55">
        <v>8.48</v>
      </c>
      <c r="P95" s="55">
        <v>9.44</v>
      </c>
      <c r="Q95" s="55">
        <v>11.11</v>
      </c>
      <c r="R95" s="55">
        <v>8.33</v>
      </c>
      <c r="S95" s="11">
        <f t="shared" si="45"/>
        <v>92.929999999999993</v>
      </c>
      <c r="T95" s="8">
        <f t="shared" si="82"/>
        <v>0.22812869902076838</v>
      </c>
      <c r="U95" s="13" t="s">
        <v>23</v>
      </c>
      <c r="V95" s="50">
        <f t="shared" si="6"/>
        <v>171508</v>
      </c>
      <c r="W95" s="36">
        <v>0.53878488253648948</v>
      </c>
      <c r="X95" s="36">
        <v>0.53831589581558781</v>
      </c>
      <c r="Y95" s="36">
        <v>0.53910879805789891</v>
      </c>
      <c r="Z95" s="36">
        <v>0.5329093832825853</v>
      </c>
      <c r="AA95" s="36">
        <v>0.53738036750141194</v>
      </c>
      <c r="AB95" s="36">
        <v>0.53480042895458846</v>
      </c>
      <c r="AC95" s="36">
        <v>0.5290266477387725</v>
      </c>
      <c r="AD95" s="36">
        <v>0.53147228878329</v>
      </c>
      <c r="AE95" s="36">
        <v>0.5343065120953383</v>
      </c>
      <c r="AF95" s="36">
        <v>0.55524868064991095</v>
      </c>
      <c r="AG95" s="36">
        <v>0.55524868064991106</v>
      </c>
      <c r="AH95" s="36">
        <v>0.55524868064991095</v>
      </c>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1"/>
      <c r="BH95" s="12">
        <f t="shared" si="46"/>
        <v>13.47</v>
      </c>
      <c r="BI95" s="12">
        <f t="shared" si="47"/>
        <v>10.77</v>
      </c>
      <c r="BJ95" s="12">
        <f t="shared" si="48"/>
        <v>8.09</v>
      </c>
      <c r="BK95" s="12">
        <f t="shared" si="49"/>
        <v>5.33</v>
      </c>
      <c r="BL95" s="12">
        <f t="shared" si="50"/>
        <v>3.76</v>
      </c>
      <c r="BM95" s="12">
        <f t="shared" si="51"/>
        <v>3.94</v>
      </c>
      <c r="BN95" s="12">
        <f t="shared" si="52"/>
        <v>3.9</v>
      </c>
      <c r="BO95" s="12">
        <f t="shared" si="53"/>
        <v>6.31</v>
      </c>
      <c r="BP95" s="12">
        <f t="shared" si="54"/>
        <v>8.48</v>
      </c>
      <c r="BQ95" s="12">
        <f t="shared" si="55"/>
        <v>9.44</v>
      </c>
      <c r="BR95" s="12">
        <f t="shared" si="56"/>
        <v>11.11</v>
      </c>
      <c r="BS95" s="12">
        <f t="shared" si="57"/>
        <v>8.33</v>
      </c>
      <c r="BT95" s="1"/>
      <c r="BU95" s="11">
        <f t="shared" si="58"/>
        <v>13.47</v>
      </c>
      <c r="BV95" s="11">
        <f t="shared" si="59"/>
        <v>10.77</v>
      </c>
      <c r="BW95" s="11">
        <f t="shared" si="60"/>
        <v>8.09</v>
      </c>
      <c r="BX95" s="11">
        <f t="shared" si="61"/>
        <v>5.33</v>
      </c>
      <c r="BY95" s="11">
        <f t="shared" si="62"/>
        <v>3.76</v>
      </c>
      <c r="BZ95" s="11">
        <f t="shared" si="63"/>
        <v>3.94</v>
      </c>
      <c r="CA95" s="11">
        <f t="shared" si="64"/>
        <v>3.9</v>
      </c>
      <c r="CB95" s="11">
        <f t="shared" si="65"/>
        <v>6.31</v>
      </c>
      <c r="CC95" s="11">
        <f t="shared" si="66"/>
        <v>8.48</v>
      </c>
      <c r="CD95" s="11">
        <f t="shared" si="67"/>
        <v>9.44</v>
      </c>
      <c r="CE95" s="11">
        <f t="shared" si="68"/>
        <v>11.11</v>
      </c>
      <c r="CF95" s="11">
        <f t="shared" si="69"/>
        <v>8.33</v>
      </c>
      <c r="CG95" s="11"/>
      <c r="CH95" s="41">
        <v>1</v>
      </c>
      <c r="CI95" s="1"/>
      <c r="CJ95" s="53">
        <f t="shared" si="70"/>
        <v>25001</v>
      </c>
      <c r="CK95" s="53">
        <f t="shared" si="71"/>
        <v>20007</v>
      </c>
      <c r="CL95" s="53">
        <f t="shared" si="72"/>
        <v>15006</v>
      </c>
      <c r="CM95" s="53">
        <f t="shared" si="73"/>
        <v>10002</v>
      </c>
      <c r="CN95" s="53">
        <f t="shared" si="74"/>
        <v>6997</v>
      </c>
      <c r="CO95" s="53">
        <f t="shared" si="75"/>
        <v>7367</v>
      </c>
      <c r="CP95" s="53">
        <f t="shared" si="76"/>
        <v>7372</v>
      </c>
      <c r="CQ95" s="53">
        <f t="shared" si="77"/>
        <v>11873</v>
      </c>
      <c r="CR95" s="53">
        <f t="shared" si="78"/>
        <v>15871</v>
      </c>
      <c r="CS95" s="53">
        <f t="shared" si="79"/>
        <v>17001</v>
      </c>
      <c r="CT95" s="53">
        <f t="shared" si="80"/>
        <v>20009</v>
      </c>
      <c r="CU95" s="53">
        <f t="shared" si="81"/>
        <v>15002</v>
      </c>
      <c r="CV95" s="53">
        <f t="shared" si="43"/>
        <v>171508</v>
      </c>
      <c r="CW95" s="1"/>
      <c r="CX95" s="1"/>
      <c r="CY95" s="1"/>
      <c r="CZ95" s="1"/>
      <c r="DA95" s="1"/>
      <c r="DB95" s="1"/>
      <c r="DC95" s="1"/>
      <c r="DD95" s="1"/>
      <c r="DE95" s="1"/>
      <c r="DF95" s="1"/>
      <c r="DG95" s="1"/>
      <c r="DH95" s="1"/>
      <c r="DI95" s="1"/>
      <c r="DJ95" s="1"/>
      <c r="DK95" s="1"/>
      <c r="DL95" s="1"/>
    </row>
    <row r="96" spans="1:116" ht="15.75" hidden="1" x14ac:dyDescent="0.25">
      <c r="A96" s="17"/>
      <c r="B96" s="17"/>
      <c r="C96" s="17"/>
      <c r="D96" s="17"/>
      <c r="E96" s="17"/>
      <c r="F96" s="33" t="s">
        <v>18</v>
      </c>
      <c r="G96" s="55">
        <v>3.09</v>
      </c>
      <c r="H96" s="55">
        <v>3.08</v>
      </c>
      <c r="I96" s="55">
        <v>3.09</v>
      </c>
      <c r="J96" s="55">
        <v>3.05</v>
      </c>
      <c r="K96" s="55">
        <v>0</v>
      </c>
      <c r="L96" s="55">
        <v>0</v>
      </c>
      <c r="M96" s="55">
        <v>0</v>
      </c>
      <c r="N96" s="55">
        <v>0</v>
      </c>
      <c r="O96" s="55">
        <v>0</v>
      </c>
      <c r="P96" s="55">
        <v>0</v>
      </c>
      <c r="Q96" s="55">
        <v>0</v>
      </c>
      <c r="R96" s="55">
        <v>0</v>
      </c>
      <c r="S96" s="11">
        <f t="shared" si="45"/>
        <v>12.309999999999999</v>
      </c>
      <c r="T96" s="8">
        <f t="shared" si="82"/>
        <v>-0.72217709179528833</v>
      </c>
      <c r="U96" s="13" t="s">
        <v>23</v>
      </c>
      <c r="V96" s="50">
        <f t="shared" si="6"/>
        <v>28005</v>
      </c>
      <c r="W96" s="36">
        <v>0.44079708247078725</v>
      </c>
      <c r="X96" s="36">
        <v>0.44041338948868697</v>
      </c>
      <c r="Y96" s="36">
        <v>0.44106208808143493</v>
      </c>
      <c r="Z96" s="36">
        <v>0.43599014928998314</v>
      </c>
      <c r="AA96" s="36">
        <v>0</v>
      </c>
      <c r="AB96" s="36">
        <v>0</v>
      </c>
      <c r="AC96" s="36">
        <v>0</v>
      </c>
      <c r="AD96" s="36">
        <v>0</v>
      </c>
      <c r="AE96" s="36">
        <v>0</v>
      </c>
      <c r="AF96" s="36">
        <v>0</v>
      </c>
      <c r="AG96" s="36">
        <v>0</v>
      </c>
      <c r="AH96" s="36">
        <v>0</v>
      </c>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1"/>
      <c r="BH96" s="12">
        <f t="shared" si="46"/>
        <v>3.09</v>
      </c>
      <c r="BI96" s="12">
        <f t="shared" si="47"/>
        <v>3.08</v>
      </c>
      <c r="BJ96" s="12">
        <f t="shared" si="48"/>
        <v>3.09</v>
      </c>
      <c r="BK96" s="12">
        <f t="shared" si="49"/>
        <v>3.05</v>
      </c>
      <c r="BL96" s="12">
        <f t="shared" si="50"/>
        <v>0</v>
      </c>
      <c r="BM96" s="12">
        <f t="shared" si="51"/>
        <v>0</v>
      </c>
      <c r="BN96" s="12">
        <f t="shared" si="52"/>
        <v>0</v>
      </c>
      <c r="BO96" s="12">
        <f t="shared" si="53"/>
        <v>0</v>
      </c>
      <c r="BP96" s="12">
        <f t="shared" si="54"/>
        <v>0</v>
      </c>
      <c r="BQ96" s="12">
        <f t="shared" si="55"/>
        <v>0</v>
      </c>
      <c r="BR96" s="12">
        <f t="shared" si="56"/>
        <v>0</v>
      </c>
      <c r="BS96" s="12">
        <f t="shared" si="57"/>
        <v>0</v>
      </c>
      <c r="BT96" s="1"/>
      <c r="BU96" s="11">
        <f t="shared" si="58"/>
        <v>3.09</v>
      </c>
      <c r="BV96" s="11">
        <f t="shared" si="59"/>
        <v>3.08</v>
      </c>
      <c r="BW96" s="11">
        <f t="shared" si="60"/>
        <v>3.09</v>
      </c>
      <c r="BX96" s="11">
        <f t="shared" si="61"/>
        <v>3.05</v>
      </c>
      <c r="BY96" s="11">
        <f t="shared" si="62"/>
        <v>0</v>
      </c>
      <c r="BZ96" s="11">
        <f t="shared" si="63"/>
        <v>0</v>
      </c>
      <c r="CA96" s="11">
        <f t="shared" si="64"/>
        <v>0</v>
      </c>
      <c r="CB96" s="11">
        <f t="shared" si="65"/>
        <v>0</v>
      </c>
      <c r="CC96" s="11">
        <f t="shared" si="66"/>
        <v>0</v>
      </c>
      <c r="CD96" s="11">
        <f t="shared" si="67"/>
        <v>0</v>
      </c>
      <c r="CE96" s="11">
        <f t="shared" si="68"/>
        <v>0</v>
      </c>
      <c r="CF96" s="11">
        <f t="shared" si="69"/>
        <v>0</v>
      </c>
      <c r="CG96" s="11"/>
      <c r="CH96" s="41">
        <v>1</v>
      </c>
      <c r="CI96" s="1"/>
      <c r="CJ96" s="53">
        <f t="shared" si="70"/>
        <v>7010</v>
      </c>
      <c r="CK96" s="53">
        <f t="shared" si="71"/>
        <v>6993</v>
      </c>
      <c r="CL96" s="53">
        <f t="shared" si="72"/>
        <v>7006</v>
      </c>
      <c r="CM96" s="53">
        <f t="shared" si="73"/>
        <v>6996</v>
      </c>
      <c r="CN96" s="53">
        <f t="shared" si="74"/>
        <v>0</v>
      </c>
      <c r="CO96" s="53">
        <f t="shared" si="75"/>
        <v>0</v>
      </c>
      <c r="CP96" s="53">
        <f t="shared" si="76"/>
        <v>0</v>
      </c>
      <c r="CQ96" s="53">
        <f t="shared" si="77"/>
        <v>0</v>
      </c>
      <c r="CR96" s="53">
        <f t="shared" si="78"/>
        <v>0</v>
      </c>
      <c r="CS96" s="53">
        <f t="shared" si="79"/>
        <v>0</v>
      </c>
      <c r="CT96" s="53">
        <f t="shared" si="80"/>
        <v>0</v>
      </c>
      <c r="CU96" s="53">
        <f t="shared" si="81"/>
        <v>0</v>
      </c>
      <c r="CV96" s="53">
        <f t="shared" si="43"/>
        <v>28005</v>
      </c>
      <c r="CW96" s="1"/>
      <c r="CX96" s="1"/>
      <c r="CY96" s="1"/>
      <c r="CZ96" s="1"/>
      <c r="DA96" s="1"/>
      <c r="DB96" s="1"/>
      <c r="DC96" s="1"/>
      <c r="DD96" s="1"/>
      <c r="DE96" s="1"/>
      <c r="DF96" s="1"/>
      <c r="DG96" s="1"/>
      <c r="DH96" s="1"/>
      <c r="DI96" s="1"/>
      <c r="DJ96" s="1"/>
      <c r="DK96" s="1"/>
      <c r="DL96" s="1"/>
    </row>
    <row r="97" spans="1:116" ht="15.75" hidden="1" x14ac:dyDescent="0.25">
      <c r="A97" s="17"/>
      <c r="B97" s="17"/>
      <c r="C97" s="17"/>
      <c r="D97" s="17"/>
      <c r="E97" s="17"/>
      <c r="F97" s="33" t="s">
        <v>18</v>
      </c>
      <c r="G97" s="55">
        <v>58.88</v>
      </c>
      <c r="H97" s="55">
        <v>58.83</v>
      </c>
      <c r="I97" s="55">
        <v>58.92</v>
      </c>
      <c r="J97" s="55">
        <v>58.24</v>
      </c>
      <c r="K97" s="55">
        <v>58.73</v>
      </c>
      <c r="L97" s="55">
        <v>58.45</v>
      </c>
      <c r="M97" s="55">
        <v>57.82</v>
      </c>
      <c r="N97" s="55">
        <v>58.08</v>
      </c>
      <c r="O97" s="55">
        <v>58.39</v>
      </c>
      <c r="P97" s="55">
        <v>60.68</v>
      </c>
      <c r="Q97" s="55">
        <v>60.68</v>
      </c>
      <c r="R97" s="55">
        <v>60.68</v>
      </c>
      <c r="S97" s="11">
        <f t="shared" si="45"/>
        <v>708.37999999999988</v>
      </c>
      <c r="T97" s="8">
        <f t="shared" si="82"/>
        <v>0.60052514187300621</v>
      </c>
      <c r="U97" s="13" t="s">
        <v>23</v>
      </c>
      <c r="V97" s="50">
        <f t="shared" si="6"/>
        <v>1200011</v>
      </c>
      <c r="W97" s="36">
        <v>0.58881490734344921</v>
      </c>
      <c r="X97" s="36">
        <v>0.58830237185560674</v>
      </c>
      <c r="Y97" s="36">
        <v>0.58916890073470374</v>
      </c>
      <c r="Z97" s="36">
        <v>0.58239382601596812</v>
      </c>
      <c r="AA97" s="36">
        <v>0.58727997305511448</v>
      </c>
      <c r="AB97" s="36">
        <v>0.58446046878608604</v>
      </c>
      <c r="AC97" s="36">
        <v>0.57815055074308697</v>
      </c>
      <c r="AD97" s="36">
        <v>0.58082328702745278</v>
      </c>
      <c r="AE97" s="36">
        <v>0.58392068821847676</v>
      </c>
      <c r="AF97" s="36">
        <v>0.60680748671025986</v>
      </c>
      <c r="AG97" s="36">
        <v>0.60680748671025986</v>
      </c>
      <c r="AH97" s="36">
        <v>0.60680748671025986</v>
      </c>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1"/>
      <c r="BH97" s="12">
        <f t="shared" si="46"/>
        <v>58.88</v>
      </c>
      <c r="BI97" s="12">
        <f t="shared" si="47"/>
        <v>58.83</v>
      </c>
      <c r="BJ97" s="12">
        <f t="shared" si="48"/>
        <v>58.92</v>
      </c>
      <c r="BK97" s="12">
        <f t="shared" si="49"/>
        <v>58.24</v>
      </c>
      <c r="BL97" s="12">
        <f t="shared" si="50"/>
        <v>58.73</v>
      </c>
      <c r="BM97" s="12">
        <f t="shared" si="51"/>
        <v>58.45</v>
      </c>
      <c r="BN97" s="12">
        <f t="shared" si="52"/>
        <v>57.82</v>
      </c>
      <c r="BO97" s="12">
        <f t="shared" si="53"/>
        <v>58.08</v>
      </c>
      <c r="BP97" s="12">
        <f t="shared" si="54"/>
        <v>58.39</v>
      </c>
      <c r="BQ97" s="12">
        <f t="shared" si="55"/>
        <v>60.68</v>
      </c>
      <c r="BR97" s="12">
        <f t="shared" si="56"/>
        <v>60.68</v>
      </c>
      <c r="BS97" s="12">
        <f t="shared" si="57"/>
        <v>60.68</v>
      </c>
      <c r="BT97" s="1"/>
      <c r="BU97" s="11">
        <f t="shared" si="58"/>
        <v>58.88</v>
      </c>
      <c r="BV97" s="11">
        <f t="shared" si="59"/>
        <v>58.83</v>
      </c>
      <c r="BW97" s="11">
        <f t="shared" si="60"/>
        <v>58.92</v>
      </c>
      <c r="BX97" s="11">
        <f t="shared" si="61"/>
        <v>58.24</v>
      </c>
      <c r="BY97" s="11">
        <f t="shared" si="62"/>
        <v>58.73</v>
      </c>
      <c r="BZ97" s="11">
        <f t="shared" si="63"/>
        <v>58.45</v>
      </c>
      <c r="CA97" s="11">
        <f t="shared" si="64"/>
        <v>57.82</v>
      </c>
      <c r="CB97" s="11">
        <f t="shared" si="65"/>
        <v>58.08</v>
      </c>
      <c r="CC97" s="11">
        <f t="shared" si="66"/>
        <v>58.39</v>
      </c>
      <c r="CD97" s="11">
        <f t="shared" si="67"/>
        <v>60.68</v>
      </c>
      <c r="CE97" s="11">
        <f t="shared" si="68"/>
        <v>60.68</v>
      </c>
      <c r="CF97" s="11">
        <f t="shared" si="69"/>
        <v>60.68</v>
      </c>
      <c r="CG97" s="11"/>
      <c r="CH97" s="41">
        <v>1</v>
      </c>
      <c r="CI97" s="1"/>
      <c r="CJ97" s="53">
        <f t="shared" si="70"/>
        <v>99997</v>
      </c>
      <c r="CK97" s="53">
        <f t="shared" si="71"/>
        <v>100000</v>
      </c>
      <c r="CL97" s="53">
        <f t="shared" si="72"/>
        <v>100005</v>
      </c>
      <c r="CM97" s="53">
        <f t="shared" si="73"/>
        <v>100001</v>
      </c>
      <c r="CN97" s="53">
        <f t="shared" si="74"/>
        <v>100003</v>
      </c>
      <c r="CO97" s="53">
        <f t="shared" si="75"/>
        <v>100007</v>
      </c>
      <c r="CP97" s="53">
        <f t="shared" si="76"/>
        <v>100009</v>
      </c>
      <c r="CQ97" s="53">
        <f t="shared" si="77"/>
        <v>99996</v>
      </c>
      <c r="CR97" s="53">
        <f t="shared" si="78"/>
        <v>99996</v>
      </c>
      <c r="CS97" s="53">
        <f t="shared" si="79"/>
        <v>99999</v>
      </c>
      <c r="CT97" s="53">
        <f t="shared" si="80"/>
        <v>99999</v>
      </c>
      <c r="CU97" s="53">
        <f t="shared" si="81"/>
        <v>99999</v>
      </c>
      <c r="CV97" s="53">
        <f t="shared" si="43"/>
        <v>1200011</v>
      </c>
      <c r="CW97" s="1"/>
      <c r="CX97" s="1"/>
      <c r="CY97" s="1"/>
      <c r="CZ97" s="1"/>
      <c r="DA97" s="1"/>
      <c r="DB97" s="1"/>
      <c r="DC97" s="1"/>
      <c r="DD97" s="1"/>
      <c r="DE97" s="1"/>
      <c r="DF97" s="1"/>
      <c r="DG97" s="1"/>
      <c r="DH97" s="1"/>
      <c r="DI97" s="1"/>
      <c r="DJ97" s="1"/>
      <c r="DK97" s="1"/>
      <c r="DL97" s="1"/>
    </row>
    <row r="98" spans="1:116" ht="15.75" hidden="1" x14ac:dyDescent="0.25">
      <c r="A98" s="17"/>
      <c r="B98" s="17"/>
      <c r="C98" s="17"/>
      <c r="D98" s="17"/>
      <c r="E98" s="17"/>
      <c r="F98" s="33" t="s">
        <v>18</v>
      </c>
      <c r="G98" s="55">
        <v>161.88</v>
      </c>
      <c r="H98" s="55">
        <v>208.51</v>
      </c>
      <c r="I98" s="55">
        <v>155.4</v>
      </c>
      <c r="J98" s="55">
        <v>161.75</v>
      </c>
      <c r="K98" s="55">
        <v>252.06</v>
      </c>
      <c r="L98" s="55">
        <v>266.10000000000002</v>
      </c>
      <c r="M98" s="55">
        <v>144.18</v>
      </c>
      <c r="N98" s="55">
        <v>245.17</v>
      </c>
      <c r="O98" s="55">
        <v>161.19999999999999</v>
      </c>
      <c r="P98" s="55">
        <v>87.35</v>
      </c>
      <c r="Q98" s="55">
        <v>181.89</v>
      </c>
      <c r="R98" s="55">
        <v>182.48</v>
      </c>
      <c r="S98" s="11">
        <f t="shared" si="45"/>
        <v>2207.9699999999998</v>
      </c>
      <c r="T98" s="8">
        <f t="shared" si="82"/>
        <v>-0.1768185256140255</v>
      </c>
      <c r="U98" s="13" t="s">
        <v>23</v>
      </c>
      <c r="V98" s="50">
        <f t="shared" si="6"/>
        <v>1193497</v>
      </c>
      <c r="W98" s="36">
        <v>1.8500010819999999</v>
      </c>
      <c r="X98" s="36">
        <v>1.8500010820000001</v>
      </c>
      <c r="Y98" s="36">
        <v>1.8500000000000003</v>
      </c>
      <c r="Z98" s="36">
        <v>1.8500010819999999</v>
      </c>
      <c r="AA98" s="36">
        <v>1.8500010819999999</v>
      </c>
      <c r="AB98" s="36">
        <v>1.85</v>
      </c>
      <c r="AC98" s="36">
        <v>1.8500010819999999</v>
      </c>
      <c r="AD98" s="36">
        <v>1.8500010819999999</v>
      </c>
      <c r="AE98" s="36">
        <v>1.85</v>
      </c>
      <c r="AF98" s="36">
        <v>1.8500010819999999</v>
      </c>
      <c r="AG98" s="36">
        <v>1.85</v>
      </c>
      <c r="AH98" s="36">
        <v>1.8500010819999999</v>
      </c>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1"/>
      <c r="BH98" s="12">
        <f t="shared" si="46"/>
        <v>161.88</v>
      </c>
      <c r="BI98" s="12">
        <f t="shared" si="47"/>
        <v>208.51</v>
      </c>
      <c r="BJ98" s="12">
        <f t="shared" si="48"/>
        <v>155.4</v>
      </c>
      <c r="BK98" s="12">
        <f t="shared" si="49"/>
        <v>161.75</v>
      </c>
      <c r="BL98" s="12">
        <f t="shared" si="50"/>
        <v>252.06</v>
      </c>
      <c r="BM98" s="12">
        <f t="shared" si="51"/>
        <v>266.10000000000002</v>
      </c>
      <c r="BN98" s="12">
        <f t="shared" si="52"/>
        <v>144.18</v>
      </c>
      <c r="BO98" s="12">
        <f t="shared" si="53"/>
        <v>245.17</v>
      </c>
      <c r="BP98" s="12">
        <f t="shared" si="54"/>
        <v>161.19999999999999</v>
      </c>
      <c r="BQ98" s="12">
        <f t="shared" si="55"/>
        <v>87.35</v>
      </c>
      <c r="BR98" s="12">
        <f t="shared" si="56"/>
        <v>181.89</v>
      </c>
      <c r="BS98" s="12">
        <f t="shared" si="57"/>
        <v>182.48</v>
      </c>
      <c r="BT98" s="1"/>
      <c r="BU98" s="11">
        <f t="shared" si="58"/>
        <v>161.88</v>
      </c>
      <c r="BV98" s="11">
        <f t="shared" si="59"/>
        <v>208.51</v>
      </c>
      <c r="BW98" s="11">
        <f t="shared" si="60"/>
        <v>155.4</v>
      </c>
      <c r="BX98" s="11">
        <f t="shared" si="61"/>
        <v>161.75</v>
      </c>
      <c r="BY98" s="11">
        <f t="shared" si="62"/>
        <v>252.06</v>
      </c>
      <c r="BZ98" s="11">
        <f t="shared" si="63"/>
        <v>266.10000000000002</v>
      </c>
      <c r="CA98" s="11">
        <f t="shared" si="64"/>
        <v>144.18</v>
      </c>
      <c r="CB98" s="11">
        <f t="shared" si="65"/>
        <v>245.17</v>
      </c>
      <c r="CC98" s="11">
        <f t="shared" si="66"/>
        <v>161.19999999999999</v>
      </c>
      <c r="CD98" s="11">
        <f t="shared" si="67"/>
        <v>87.35</v>
      </c>
      <c r="CE98" s="11">
        <f t="shared" si="68"/>
        <v>181.89</v>
      </c>
      <c r="CF98" s="11">
        <f t="shared" si="69"/>
        <v>182.48</v>
      </c>
      <c r="CG98" s="11"/>
      <c r="CH98" s="41">
        <v>1</v>
      </c>
      <c r="CI98" s="1"/>
      <c r="CJ98" s="53">
        <f t="shared" si="70"/>
        <v>87503</v>
      </c>
      <c r="CK98" s="53">
        <f t="shared" si="71"/>
        <v>112708</v>
      </c>
      <c r="CL98" s="53">
        <f t="shared" si="72"/>
        <v>84000</v>
      </c>
      <c r="CM98" s="53">
        <f t="shared" si="73"/>
        <v>87432</v>
      </c>
      <c r="CN98" s="53">
        <f t="shared" si="74"/>
        <v>136249</v>
      </c>
      <c r="CO98" s="53">
        <f t="shared" si="75"/>
        <v>143838</v>
      </c>
      <c r="CP98" s="53">
        <f t="shared" si="76"/>
        <v>77935</v>
      </c>
      <c r="CQ98" s="53">
        <f t="shared" si="77"/>
        <v>132524</v>
      </c>
      <c r="CR98" s="53">
        <f t="shared" si="78"/>
        <v>87135</v>
      </c>
      <c r="CS98" s="53">
        <f t="shared" si="79"/>
        <v>47216</v>
      </c>
      <c r="CT98" s="53">
        <f t="shared" si="80"/>
        <v>98319</v>
      </c>
      <c r="CU98" s="53">
        <f t="shared" si="81"/>
        <v>98638</v>
      </c>
      <c r="CV98" s="53">
        <f t="shared" si="43"/>
        <v>1193497</v>
      </c>
      <c r="CW98" s="1"/>
      <c r="CX98" s="1"/>
      <c r="CY98" s="1"/>
      <c r="CZ98" s="1"/>
      <c r="DA98" s="1"/>
      <c r="DB98" s="1"/>
      <c r="DC98" s="1"/>
      <c r="DD98" s="1"/>
      <c r="DE98" s="1"/>
      <c r="DF98" s="1"/>
      <c r="DG98" s="1"/>
      <c r="DH98" s="1"/>
      <c r="DI98" s="1"/>
      <c r="DJ98" s="1"/>
      <c r="DK98" s="1"/>
      <c r="DL98" s="1"/>
    </row>
    <row r="99" spans="1:116" ht="15.75" hidden="1" x14ac:dyDescent="0.25">
      <c r="A99" s="17"/>
      <c r="B99" s="17"/>
      <c r="C99" s="17"/>
      <c r="D99" s="17"/>
      <c r="E99" s="17"/>
      <c r="F99" s="33" t="s">
        <v>18</v>
      </c>
      <c r="G99" s="55">
        <v>0</v>
      </c>
      <c r="H99" s="55">
        <v>0</v>
      </c>
      <c r="I99" s="55">
        <v>0</v>
      </c>
      <c r="J99" s="55">
        <v>0</v>
      </c>
      <c r="K99" s="55">
        <v>0</v>
      </c>
      <c r="L99" s="55">
        <v>0</v>
      </c>
      <c r="M99" s="55">
        <v>0</v>
      </c>
      <c r="N99" s="55">
        <v>0</v>
      </c>
      <c r="O99" s="55">
        <v>0</v>
      </c>
      <c r="P99" s="55">
        <v>0</v>
      </c>
      <c r="Q99" s="55">
        <v>0</v>
      </c>
      <c r="R99" s="55">
        <v>0</v>
      </c>
      <c r="S99" s="11">
        <f t="shared" si="45"/>
        <v>0</v>
      </c>
      <c r="T99" s="8">
        <f t="shared" si="82"/>
        <v>0</v>
      </c>
      <c r="U99" s="13" t="s">
        <v>23</v>
      </c>
      <c r="V99" s="50">
        <f t="shared" si="6"/>
        <v>0</v>
      </c>
      <c r="W99" s="36">
        <v>0</v>
      </c>
      <c r="X99" s="36"/>
      <c r="Y99" s="36"/>
      <c r="Z99" s="36"/>
      <c r="AA99" s="36"/>
      <c r="AB99" s="36"/>
      <c r="AC99" s="36"/>
      <c r="AD99" s="36"/>
      <c r="AE99" s="36"/>
      <c r="AF99" s="36"/>
      <c r="AG99" s="36"/>
      <c r="AH99" s="36"/>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1"/>
      <c r="BH99" s="12">
        <f t="shared" si="46"/>
        <v>0</v>
      </c>
      <c r="BI99" s="12">
        <f t="shared" si="47"/>
        <v>0</v>
      </c>
      <c r="BJ99" s="12">
        <f t="shared" si="48"/>
        <v>0</v>
      </c>
      <c r="BK99" s="12">
        <f t="shared" si="49"/>
        <v>0</v>
      </c>
      <c r="BL99" s="12">
        <f t="shared" si="50"/>
        <v>0</v>
      </c>
      <c r="BM99" s="12">
        <f t="shared" si="51"/>
        <v>0</v>
      </c>
      <c r="BN99" s="12">
        <f t="shared" si="52"/>
        <v>0</v>
      </c>
      <c r="BO99" s="12">
        <f t="shared" si="53"/>
        <v>0</v>
      </c>
      <c r="BP99" s="12">
        <f t="shared" si="54"/>
        <v>0</v>
      </c>
      <c r="BQ99" s="12">
        <f t="shared" si="55"/>
        <v>0</v>
      </c>
      <c r="BR99" s="12">
        <f t="shared" si="56"/>
        <v>0</v>
      </c>
      <c r="BS99" s="12">
        <f t="shared" si="57"/>
        <v>0</v>
      </c>
      <c r="BT99" s="1"/>
      <c r="BU99" s="11">
        <f t="shared" si="58"/>
        <v>0</v>
      </c>
      <c r="BV99" s="11">
        <f t="shared" si="59"/>
        <v>0</v>
      </c>
      <c r="BW99" s="11">
        <f t="shared" si="60"/>
        <v>0</v>
      </c>
      <c r="BX99" s="11">
        <f t="shared" si="61"/>
        <v>0</v>
      </c>
      <c r="BY99" s="11">
        <f t="shared" si="62"/>
        <v>0</v>
      </c>
      <c r="BZ99" s="11">
        <f t="shared" si="63"/>
        <v>0</v>
      </c>
      <c r="CA99" s="11">
        <f t="shared" si="64"/>
        <v>0</v>
      </c>
      <c r="CB99" s="11">
        <f t="shared" si="65"/>
        <v>0</v>
      </c>
      <c r="CC99" s="11">
        <f t="shared" si="66"/>
        <v>0</v>
      </c>
      <c r="CD99" s="11">
        <f t="shared" si="67"/>
        <v>0</v>
      </c>
      <c r="CE99" s="11">
        <f t="shared" si="68"/>
        <v>0</v>
      </c>
      <c r="CF99" s="11">
        <f t="shared" si="69"/>
        <v>0</v>
      </c>
      <c r="CG99" s="11"/>
      <c r="CH99" s="41">
        <v>1</v>
      </c>
      <c r="CI99" s="1"/>
      <c r="CJ99" s="53">
        <f t="shared" si="70"/>
        <v>0</v>
      </c>
      <c r="CK99" s="53">
        <f t="shared" si="71"/>
        <v>0</v>
      </c>
      <c r="CL99" s="53">
        <f t="shared" si="72"/>
        <v>0</v>
      </c>
      <c r="CM99" s="53">
        <f t="shared" si="73"/>
        <v>0</v>
      </c>
      <c r="CN99" s="53">
        <f t="shared" si="74"/>
        <v>0</v>
      </c>
      <c r="CO99" s="53">
        <f t="shared" si="75"/>
        <v>0</v>
      </c>
      <c r="CP99" s="53">
        <f t="shared" si="76"/>
        <v>0</v>
      </c>
      <c r="CQ99" s="53">
        <f t="shared" si="77"/>
        <v>0</v>
      </c>
      <c r="CR99" s="53">
        <f t="shared" si="78"/>
        <v>0</v>
      </c>
      <c r="CS99" s="53">
        <f t="shared" si="79"/>
        <v>0</v>
      </c>
      <c r="CT99" s="53">
        <f t="shared" si="80"/>
        <v>0</v>
      </c>
      <c r="CU99" s="53">
        <f t="shared" si="81"/>
        <v>0</v>
      </c>
      <c r="CV99" s="53">
        <f t="shared" si="43"/>
        <v>0</v>
      </c>
      <c r="CW99" s="1"/>
      <c r="CX99" s="1"/>
      <c r="CY99" s="1"/>
      <c r="CZ99" s="1"/>
      <c r="DA99" s="1"/>
      <c r="DB99" s="1"/>
      <c r="DC99" s="1"/>
      <c r="DD99" s="1"/>
      <c r="DE99" s="1"/>
      <c r="DF99" s="1"/>
      <c r="DG99" s="1"/>
      <c r="DH99" s="1"/>
      <c r="DI99" s="1"/>
      <c r="DJ99" s="1"/>
      <c r="DK99" s="1"/>
      <c r="DL99" s="1"/>
    </row>
    <row r="100" spans="1:116" ht="15.75" hidden="1" x14ac:dyDescent="0.25">
      <c r="A100" s="17"/>
      <c r="B100" s="17"/>
      <c r="C100" s="17"/>
      <c r="D100" s="17"/>
      <c r="E100" s="17"/>
      <c r="F100" s="33" t="s">
        <v>18</v>
      </c>
      <c r="G100" s="55">
        <v>0</v>
      </c>
      <c r="H100" s="55">
        <v>0</v>
      </c>
      <c r="I100" s="55">
        <v>0</v>
      </c>
      <c r="J100" s="55">
        <v>0</v>
      </c>
      <c r="K100" s="55">
        <v>0</v>
      </c>
      <c r="L100" s="55">
        <v>0</v>
      </c>
      <c r="M100" s="55">
        <v>0</v>
      </c>
      <c r="N100" s="55">
        <v>0</v>
      </c>
      <c r="O100" s="55">
        <v>0</v>
      </c>
      <c r="P100" s="55">
        <v>0</v>
      </c>
      <c r="Q100" s="55">
        <v>0</v>
      </c>
      <c r="R100" s="55">
        <v>0</v>
      </c>
      <c r="S100" s="11">
        <f t="shared" si="45"/>
        <v>0</v>
      </c>
      <c r="T100" s="8">
        <f t="shared" si="82"/>
        <v>0</v>
      </c>
      <c r="U100" s="13" t="s">
        <v>23</v>
      </c>
      <c r="V100" s="50">
        <f t="shared" si="6"/>
        <v>0</v>
      </c>
      <c r="W100" s="36">
        <v>0.93221626104802469</v>
      </c>
      <c r="X100" s="36">
        <v>0.93140481094686045</v>
      </c>
      <c r="Y100" s="36">
        <v>0.93277670609028762</v>
      </c>
      <c r="Z100" s="36">
        <v>0.92205035602025298</v>
      </c>
      <c r="AA100" s="36">
        <v>0.92978614135271775</v>
      </c>
      <c r="AB100" s="36">
        <v>0.92532228064725208</v>
      </c>
      <c r="AC100" s="36">
        <v>0.91533237018098568</v>
      </c>
      <c r="AD100" s="36">
        <v>0.91956386669152768</v>
      </c>
      <c r="AE100" s="36">
        <v>0.92446769592759337</v>
      </c>
      <c r="AF100" s="36">
        <v>0.96070225020141187</v>
      </c>
      <c r="AG100" s="36">
        <v>0.96070225020141187</v>
      </c>
      <c r="AH100" s="36">
        <v>0.96070225020141187</v>
      </c>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1"/>
      <c r="BH100" s="12">
        <f t="shared" si="46"/>
        <v>0</v>
      </c>
      <c r="BI100" s="12">
        <f t="shared" si="47"/>
        <v>0</v>
      </c>
      <c r="BJ100" s="12">
        <f t="shared" si="48"/>
        <v>0</v>
      </c>
      <c r="BK100" s="12">
        <f t="shared" si="49"/>
        <v>0</v>
      </c>
      <c r="BL100" s="12">
        <f t="shared" si="50"/>
        <v>0</v>
      </c>
      <c r="BM100" s="12">
        <f t="shared" si="51"/>
        <v>0</v>
      </c>
      <c r="BN100" s="12">
        <f t="shared" si="52"/>
        <v>0</v>
      </c>
      <c r="BO100" s="12">
        <f t="shared" si="53"/>
        <v>0</v>
      </c>
      <c r="BP100" s="12">
        <f t="shared" si="54"/>
        <v>0</v>
      </c>
      <c r="BQ100" s="12">
        <f t="shared" si="55"/>
        <v>0</v>
      </c>
      <c r="BR100" s="12">
        <f t="shared" si="56"/>
        <v>0</v>
      </c>
      <c r="BS100" s="12">
        <f t="shared" si="57"/>
        <v>0</v>
      </c>
      <c r="BT100" s="1"/>
      <c r="BU100" s="11">
        <f t="shared" si="58"/>
        <v>0</v>
      </c>
      <c r="BV100" s="11">
        <f t="shared" si="59"/>
        <v>0</v>
      </c>
      <c r="BW100" s="11">
        <f t="shared" si="60"/>
        <v>0</v>
      </c>
      <c r="BX100" s="11">
        <f t="shared" si="61"/>
        <v>0</v>
      </c>
      <c r="BY100" s="11">
        <f t="shared" si="62"/>
        <v>0</v>
      </c>
      <c r="BZ100" s="11">
        <f t="shared" si="63"/>
        <v>0</v>
      </c>
      <c r="CA100" s="11">
        <f t="shared" si="64"/>
        <v>0</v>
      </c>
      <c r="CB100" s="11">
        <f t="shared" si="65"/>
        <v>0</v>
      </c>
      <c r="CC100" s="11">
        <f t="shared" si="66"/>
        <v>0</v>
      </c>
      <c r="CD100" s="11">
        <f t="shared" si="67"/>
        <v>0</v>
      </c>
      <c r="CE100" s="11">
        <f t="shared" si="68"/>
        <v>0</v>
      </c>
      <c r="CF100" s="11">
        <f t="shared" si="69"/>
        <v>0</v>
      </c>
      <c r="CG100" s="11"/>
      <c r="CH100" s="41">
        <v>1</v>
      </c>
      <c r="CI100" s="1"/>
      <c r="CJ100" s="53">
        <f t="shared" si="70"/>
        <v>0</v>
      </c>
      <c r="CK100" s="53">
        <f t="shared" si="71"/>
        <v>0</v>
      </c>
      <c r="CL100" s="53">
        <f t="shared" si="72"/>
        <v>0</v>
      </c>
      <c r="CM100" s="53">
        <f t="shared" si="73"/>
        <v>0</v>
      </c>
      <c r="CN100" s="53">
        <f t="shared" si="74"/>
        <v>0</v>
      </c>
      <c r="CO100" s="53">
        <f t="shared" si="75"/>
        <v>0</v>
      </c>
      <c r="CP100" s="53">
        <f t="shared" si="76"/>
        <v>0</v>
      </c>
      <c r="CQ100" s="53">
        <f t="shared" si="77"/>
        <v>0</v>
      </c>
      <c r="CR100" s="53">
        <f t="shared" si="78"/>
        <v>0</v>
      </c>
      <c r="CS100" s="53">
        <f t="shared" si="79"/>
        <v>0</v>
      </c>
      <c r="CT100" s="53">
        <f t="shared" si="80"/>
        <v>0</v>
      </c>
      <c r="CU100" s="53">
        <f t="shared" si="81"/>
        <v>0</v>
      </c>
      <c r="CV100" s="53">
        <f t="shared" si="43"/>
        <v>0</v>
      </c>
      <c r="CW100" s="1"/>
      <c r="CX100" s="1"/>
      <c r="CY100" s="1"/>
      <c r="CZ100" s="1"/>
      <c r="DA100" s="1"/>
      <c r="DB100" s="1"/>
      <c r="DC100" s="1"/>
      <c r="DD100" s="1"/>
      <c r="DE100" s="1"/>
      <c r="DF100" s="1"/>
      <c r="DG100" s="1"/>
      <c r="DH100" s="1"/>
      <c r="DI100" s="1"/>
      <c r="DJ100" s="1"/>
      <c r="DK100" s="1"/>
      <c r="DL100" s="1"/>
    </row>
    <row r="101" spans="1:116" ht="15.75" hidden="1" x14ac:dyDescent="0.25">
      <c r="A101" s="17"/>
      <c r="B101" s="17"/>
      <c r="C101" s="17"/>
      <c r="D101" s="17"/>
      <c r="E101" s="17"/>
      <c r="F101" s="33" t="s">
        <v>18</v>
      </c>
      <c r="G101" s="55">
        <v>0</v>
      </c>
      <c r="H101" s="55">
        <v>0</v>
      </c>
      <c r="I101" s="55">
        <v>0</v>
      </c>
      <c r="J101" s="55">
        <v>0</v>
      </c>
      <c r="K101" s="55">
        <v>0</v>
      </c>
      <c r="L101" s="55">
        <v>0</v>
      </c>
      <c r="M101" s="55">
        <v>0</v>
      </c>
      <c r="N101" s="55">
        <v>0</v>
      </c>
      <c r="O101" s="55">
        <v>0</v>
      </c>
      <c r="P101" s="55">
        <v>0</v>
      </c>
      <c r="Q101" s="55">
        <v>0</v>
      </c>
      <c r="R101" s="55">
        <v>0</v>
      </c>
      <c r="S101" s="11">
        <f t="shared" si="45"/>
        <v>0</v>
      </c>
      <c r="T101" s="8">
        <f t="shared" si="82"/>
        <v>0</v>
      </c>
      <c r="U101" s="13" t="s">
        <v>23</v>
      </c>
      <c r="V101" s="50">
        <f t="shared" si="6"/>
        <v>0</v>
      </c>
      <c r="W101" s="36">
        <v>0</v>
      </c>
      <c r="X101" s="36"/>
      <c r="Y101" s="36"/>
      <c r="Z101" s="36"/>
      <c r="AA101" s="36"/>
      <c r="AB101" s="36"/>
      <c r="AC101" s="36"/>
      <c r="AD101" s="36"/>
      <c r="AE101" s="36"/>
      <c r="AF101" s="36"/>
      <c r="AG101" s="36"/>
      <c r="AH101" s="36"/>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1"/>
      <c r="BH101" s="12">
        <f t="shared" si="46"/>
        <v>0</v>
      </c>
      <c r="BI101" s="12">
        <f t="shared" si="47"/>
        <v>0</v>
      </c>
      <c r="BJ101" s="12">
        <f t="shared" si="48"/>
        <v>0</v>
      </c>
      <c r="BK101" s="12">
        <f t="shared" si="49"/>
        <v>0</v>
      </c>
      <c r="BL101" s="12">
        <f t="shared" si="50"/>
        <v>0</v>
      </c>
      <c r="BM101" s="12">
        <f t="shared" si="51"/>
        <v>0</v>
      </c>
      <c r="BN101" s="12">
        <f t="shared" si="52"/>
        <v>0</v>
      </c>
      <c r="BO101" s="12">
        <f t="shared" si="53"/>
        <v>0</v>
      </c>
      <c r="BP101" s="12">
        <f t="shared" si="54"/>
        <v>0</v>
      </c>
      <c r="BQ101" s="12">
        <f t="shared" si="55"/>
        <v>0</v>
      </c>
      <c r="BR101" s="12">
        <f t="shared" si="56"/>
        <v>0</v>
      </c>
      <c r="BS101" s="12">
        <f t="shared" si="57"/>
        <v>0</v>
      </c>
      <c r="BT101" s="1"/>
      <c r="BU101" s="11">
        <f t="shared" si="58"/>
        <v>0</v>
      </c>
      <c r="BV101" s="11">
        <f t="shared" si="59"/>
        <v>0</v>
      </c>
      <c r="BW101" s="11">
        <f t="shared" si="60"/>
        <v>0</v>
      </c>
      <c r="BX101" s="11">
        <f t="shared" si="61"/>
        <v>0</v>
      </c>
      <c r="BY101" s="11">
        <f t="shared" si="62"/>
        <v>0</v>
      </c>
      <c r="BZ101" s="11">
        <f t="shared" si="63"/>
        <v>0</v>
      </c>
      <c r="CA101" s="11">
        <f t="shared" si="64"/>
        <v>0</v>
      </c>
      <c r="CB101" s="11">
        <f t="shared" si="65"/>
        <v>0</v>
      </c>
      <c r="CC101" s="11">
        <f t="shared" si="66"/>
        <v>0</v>
      </c>
      <c r="CD101" s="11">
        <f t="shared" si="67"/>
        <v>0</v>
      </c>
      <c r="CE101" s="11">
        <f t="shared" si="68"/>
        <v>0</v>
      </c>
      <c r="CF101" s="11">
        <f t="shared" si="69"/>
        <v>0</v>
      </c>
      <c r="CG101" s="11"/>
      <c r="CH101" s="41">
        <v>1</v>
      </c>
      <c r="CI101" s="1"/>
      <c r="CJ101" s="53">
        <f t="shared" si="70"/>
        <v>0</v>
      </c>
      <c r="CK101" s="53">
        <f t="shared" si="71"/>
        <v>0</v>
      </c>
      <c r="CL101" s="53">
        <f t="shared" si="72"/>
        <v>0</v>
      </c>
      <c r="CM101" s="53">
        <f t="shared" si="73"/>
        <v>0</v>
      </c>
      <c r="CN101" s="53">
        <f t="shared" si="74"/>
        <v>0</v>
      </c>
      <c r="CO101" s="53">
        <f t="shared" si="75"/>
        <v>0</v>
      </c>
      <c r="CP101" s="53">
        <f t="shared" si="76"/>
        <v>0</v>
      </c>
      <c r="CQ101" s="53">
        <f t="shared" si="77"/>
        <v>0</v>
      </c>
      <c r="CR101" s="53">
        <f t="shared" si="78"/>
        <v>0</v>
      </c>
      <c r="CS101" s="53">
        <f t="shared" si="79"/>
        <v>0</v>
      </c>
      <c r="CT101" s="53">
        <f t="shared" si="80"/>
        <v>0</v>
      </c>
      <c r="CU101" s="53">
        <f t="shared" si="81"/>
        <v>0</v>
      </c>
      <c r="CV101" s="53">
        <f t="shared" si="43"/>
        <v>0</v>
      </c>
      <c r="CW101" s="1"/>
      <c r="CX101" s="1"/>
      <c r="CY101" s="1"/>
      <c r="CZ101" s="1"/>
      <c r="DA101" s="1"/>
      <c r="DB101" s="1"/>
      <c r="DC101" s="1"/>
      <c r="DD101" s="1"/>
      <c r="DE101" s="1"/>
      <c r="DF101" s="1"/>
      <c r="DG101" s="1"/>
      <c r="DH101" s="1"/>
      <c r="DI101" s="1"/>
      <c r="DJ101" s="1"/>
      <c r="DK101" s="1"/>
      <c r="DL101" s="1"/>
    </row>
    <row r="102" spans="1:116" ht="15.75" hidden="1" x14ac:dyDescent="0.25">
      <c r="A102" s="17"/>
      <c r="B102" s="17"/>
      <c r="C102" s="17"/>
      <c r="D102" s="17"/>
      <c r="E102" s="17"/>
      <c r="F102" s="33" t="s">
        <v>18</v>
      </c>
      <c r="G102" s="55">
        <v>67.03</v>
      </c>
      <c r="H102" s="55">
        <v>66.98</v>
      </c>
      <c r="I102" s="55">
        <v>67.069999999999993</v>
      </c>
      <c r="J102" s="55">
        <v>55.25</v>
      </c>
      <c r="K102" s="55">
        <v>44.57</v>
      </c>
      <c r="L102" s="55">
        <v>44.36</v>
      </c>
      <c r="M102" s="55">
        <v>43.88</v>
      </c>
      <c r="N102" s="55">
        <v>44.08</v>
      </c>
      <c r="O102" s="55">
        <v>66.48</v>
      </c>
      <c r="P102" s="55">
        <v>69.08</v>
      </c>
      <c r="Q102" s="55">
        <v>69.08</v>
      </c>
      <c r="R102" s="55">
        <v>57.57</v>
      </c>
      <c r="S102" s="11">
        <f t="shared" si="45"/>
        <v>695.43000000000006</v>
      </c>
      <c r="T102" s="8">
        <f t="shared" si="82"/>
        <v>0.16253253382799143</v>
      </c>
      <c r="U102" s="13" t="s">
        <v>23</v>
      </c>
      <c r="V102" s="50">
        <f t="shared" si="6"/>
        <v>1859964</v>
      </c>
      <c r="W102" s="36">
        <v>0.37241284737961744</v>
      </c>
      <c r="X102" s="36">
        <v>0.37208867963517006</v>
      </c>
      <c r="Y102" s="36">
        <v>0.37263674063562463</v>
      </c>
      <c r="Z102" s="36">
        <v>0.36835165064257819</v>
      </c>
      <c r="AA102" s="36">
        <v>0.37144203423998695</v>
      </c>
      <c r="AB102" s="36">
        <v>0.36965875803564413</v>
      </c>
      <c r="AC102" s="36">
        <v>0.36566786970075593</v>
      </c>
      <c r="AD102" s="36">
        <v>0.36735831829086757</v>
      </c>
      <c r="AE102" s="36">
        <v>0.36931735836040419</v>
      </c>
      <c r="AF102" s="36">
        <v>0.38379276937230106</v>
      </c>
      <c r="AG102" s="36">
        <v>0.38379276937230106</v>
      </c>
      <c r="AH102" s="36">
        <v>0.38379276937230106</v>
      </c>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1"/>
      <c r="BH102" s="12">
        <f t="shared" si="46"/>
        <v>67.03</v>
      </c>
      <c r="BI102" s="12">
        <f t="shared" si="47"/>
        <v>66.98</v>
      </c>
      <c r="BJ102" s="12">
        <f t="shared" si="48"/>
        <v>67.069999999999993</v>
      </c>
      <c r="BK102" s="12">
        <f t="shared" si="49"/>
        <v>55.25</v>
      </c>
      <c r="BL102" s="12">
        <f t="shared" si="50"/>
        <v>44.57</v>
      </c>
      <c r="BM102" s="12">
        <f t="shared" si="51"/>
        <v>44.36</v>
      </c>
      <c r="BN102" s="12">
        <f t="shared" si="52"/>
        <v>43.88</v>
      </c>
      <c r="BO102" s="12">
        <f t="shared" si="53"/>
        <v>44.08</v>
      </c>
      <c r="BP102" s="12">
        <f t="shared" si="54"/>
        <v>66.48</v>
      </c>
      <c r="BQ102" s="12">
        <f t="shared" si="55"/>
        <v>69.08</v>
      </c>
      <c r="BR102" s="12">
        <f t="shared" si="56"/>
        <v>69.08</v>
      </c>
      <c r="BS102" s="12">
        <f t="shared" si="57"/>
        <v>57.57</v>
      </c>
      <c r="BT102" s="1"/>
      <c r="BU102" s="11">
        <f t="shared" si="58"/>
        <v>67.03</v>
      </c>
      <c r="BV102" s="11">
        <f t="shared" si="59"/>
        <v>66.98</v>
      </c>
      <c r="BW102" s="11">
        <f t="shared" si="60"/>
        <v>67.069999999999993</v>
      </c>
      <c r="BX102" s="11">
        <f t="shared" si="61"/>
        <v>55.25</v>
      </c>
      <c r="BY102" s="11">
        <f t="shared" si="62"/>
        <v>44.57</v>
      </c>
      <c r="BZ102" s="11">
        <f t="shared" si="63"/>
        <v>44.36</v>
      </c>
      <c r="CA102" s="11">
        <f t="shared" si="64"/>
        <v>43.88</v>
      </c>
      <c r="CB102" s="11">
        <f t="shared" si="65"/>
        <v>44.08</v>
      </c>
      <c r="CC102" s="11">
        <f t="shared" si="66"/>
        <v>66.48</v>
      </c>
      <c r="CD102" s="11">
        <f t="shared" si="67"/>
        <v>69.08</v>
      </c>
      <c r="CE102" s="11">
        <f t="shared" si="68"/>
        <v>69.08</v>
      </c>
      <c r="CF102" s="11">
        <f t="shared" si="69"/>
        <v>57.57</v>
      </c>
      <c r="CG102" s="11"/>
      <c r="CH102" s="41">
        <v>1</v>
      </c>
      <c r="CI102" s="1"/>
      <c r="CJ102" s="53">
        <f t="shared" si="70"/>
        <v>179988</v>
      </c>
      <c r="CK102" s="53">
        <f t="shared" si="71"/>
        <v>180011</v>
      </c>
      <c r="CL102" s="53">
        <f t="shared" si="72"/>
        <v>179988</v>
      </c>
      <c r="CM102" s="53">
        <f t="shared" si="73"/>
        <v>149993</v>
      </c>
      <c r="CN102" s="53">
        <f t="shared" si="74"/>
        <v>119992</v>
      </c>
      <c r="CO102" s="53">
        <f t="shared" si="75"/>
        <v>120003</v>
      </c>
      <c r="CP102" s="53">
        <f t="shared" si="76"/>
        <v>120000</v>
      </c>
      <c r="CQ102" s="53">
        <f t="shared" si="77"/>
        <v>119992</v>
      </c>
      <c r="CR102" s="53">
        <f t="shared" si="78"/>
        <v>180008</v>
      </c>
      <c r="CS102" s="53">
        <f t="shared" si="79"/>
        <v>179993</v>
      </c>
      <c r="CT102" s="53">
        <f t="shared" si="80"/>
        <v>179993</v>
      </c>
      <c r="CU102" s="53">
        <f t="shared" si="81"/>
        <v>150003</v>
      </c>
      <c r="CV102" s="53">
        <f t="shared" si="43"/>
        <v>1859964</v>
      </c>
      <c r="CW102" s="1"/>
      <c r="CX102" s="1"/>
      <c r="CY102" s="1"/>
      <c r="CZ102" s="1"/>
      <c r="DA102" s="1"/>
      <c r="DB102" s="1"/>
      <c r="DC102" s="1"/>
      <c r="DD102" s="1"/>
      <c r="DE102" s="1"/>
      <c r="DF102" s="1"/>
      <c r="DG102" s="1"/>
      <c r="DH102" s="1"/>
      <c r="DI102" s="1"/>
      <c r="DJ102" s="1"/>
      <c r="DK102" s="1"/>
      <c r="DL102" s="1"/>
    </row>
    <row r="103" spans="1:116" ht="15.75" hidden="1" x14ac:dyDescent="0.25">
      <c r="A103" s="17"/>
      <c r="B103" s="17"/>
      <c r="C103" s="17"/>
      <c r="D103" s="17"/>
      <c r="E103" s="17"/>
      <c r="F103" s="33" t="s">
        <v>18</v>
      </c>
      <c r="G103" s="55">
        <v>46.87</v>
      </c>
      <c r="H103" s="55">
        <v>46.83</v>
      </c>
      <c r="I103" s="55">
        <v>46.9</v>
      </c>
      <c r="J103" s="55">
        <v>40.56</v>
      </c>
      <c r="K103" s="55">
        <v>29.22</v>
      </c>
      <c r="L103" s="55">
        <v>29.08</v>
      </c>
      <c r="M103" s="55">
        <v>28.76</v>
      </c>
      <c r="N103" s="55">
        <v>34.67</v>
      </c>
      <c r="O103" s="55">
        <v>40.67</v>
      </c>
      <c r="P103" s="55">
        <v>48.3</v>
      </c>
      <c r="Q103" s="55">
        <v>48.3</v>
      </c>
      <c r="R103" s="55">
        <v>42.26</v>
      </c>
      <c r="S103" s="11">
        <f t="shared" si="45"/>
        <v>482.42</v>
      </c>
      <c r="T103" s="8">
        <f t="shared" si="82"/>
        <v>0.23077401434434722</v>
      </c>
      <c r="U103" s="13" t="s">
        <v>23</v>
      </c>
      <c r="V103" s="50">
        <f t="shared" si="6"/>
        <v>820006</v>
      </c>
      <c r="W103" s="36">
        <v>0.58585455084599602</v>
      </c>
      <c r="X103" s="36">
        <v>0.58534459220826829</v>
      </c>
      <c r="Y103" s="36">
        <v>0.58620676448163844</v>
      </c>
      <c r="Z103" s="36">
        <v>0.57946575248144838</v>
      </c>
      <c r="AA103" s="36">
        <v>0.58432733367323864</v>
      </c>
      <c r="AB103" s="36">
        <v>0.58152200489073114</v>
      </c>
      <c r="AC103" s="36">
        <v>0.57524381092034649</v>
      </c>
      <c r="AD103" s="36">
        <v>0.57790310961655555</v>
      </c>
      <c r="AE103" s="36">
        <v>0.5809849381520189</v>
      </c>
      <c r="AF103" s="36">
        <v>0.60375666978361209</v>
      </c>
      <c r="AG103" s="36">
        <v>0.60375666978361209</v>
      </c>
      <c r="AH103" s="36">
        <v>0.60375666978361198</v>
      </c>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BG103" s="1"/>
      <c r="BH103" s="12">
        <f t="shared" si="46"/>
        <v>46.87</v>
      </c>
      <c r="BI103" s="12">
        <f t="shared" si="47"/>
        <v>46.83</v>
      </c>
      <c r="BJ103" s="12">
        <f t="shared" si="48"/>
        <v>46.9</v>
      </c>
      <c r="BK103" s="12">
        <f t="shared" si="49"/>
        <v>40.56</v>
      </c>
      <c r="BL103" s="12">
        <f t="shared" si="50"/>
        <v>29.22</v>
      </c>
      <c r="BM103" s="12">
        <f t="shared" si="51"/>
        <v>29.08</v>
      </c>
      <c r="BN103" s="12">
        <f t="shared" si="52"/>
        <v>28.76</v>
      </c>
      <c r="BO103" s="12">
        <f t="shared" si="53"/>
        <v>34.67</v>
      </c>
      <c r="BP103" s="12">
        <f t="shared" si="54"/>
        <v>40.67</v>
      </c>
      <c r="BQ103" s="12">
        <f t="shared" si="55"/>
        <v>48.3</v>
      </c>
      <c r="BR103" s="12">
        <f t="shared" si="56"/>
        <v>48.3</v>
      </c>
      <c r="BS103" s="12">
        <f t="shared" si="57"/>
        <v>42.26</v>
      </c>
      <c r="BT103" s="1"/>
      <c r="BU103" s="11">
        <f t="shared" si="58"/>
        <v>46.87</v>
      </c>
      <c r="BV103" s="11">
        <f t="shared" si="59"/>
        <v>46.83</v>
      </c>
      <c r="BW103" s="11">
        <f t="shared" si="60"/>
        <v>46.9</v>
      </c>
      <c r="BX103" s="11">
        <f t="shared" si="61"/>
        <v>40.56</v>
      </c>
      <c r="BY103" s="11">
        <f t="shared" si="62"/>
        <v>29.22</v>
      </c>
      <c r="BZ103" s="11">
        <f t="shared" si="63"/>
        <v>29.08</v>
      </c>
      <c r="CA103" s="11">
        <f t="shared" si="64"/>
        <v>28.76</v>
      </c>
      <c r="CB103" s="11">
        <f t="shared" si="65"/>
        <v>34.67</v>
      </c>
      <c r="CC103" s="11">
        <f t="shared" si="66"/>
        <v>40.67</v>
      </c>
      <c r="CD103" s="11">
        <f t="shared" si="67"/>
        <v>48.3</v>
      </c>
      <c r="CE103" s="11">
        <f t="shared" si="68"/>
        <v>48.3</v>
      </c>
      <c r="CF103" s="11">
        <f t="shared" si="69"/>
        <v>42.26</v>
      </c>
      <c r="CG103" s="11"/>
      <c r="CH103" s="41">
        <v>1</v>
      </c>
      <c r="CI103" s="1"/>
      <c r="CJ103" s="53">
        <f t="shared" si="70"/>
        <v>80003</v>
      </c>
      <c r="CK103" s="53">
        <f t="shared" si="71"/>
        <v>80004</v>
      </c>
      <c r="CL103" s="53">
        <f t="shared" si="72"/>
        <v>80006</v>
      </c>
      <c r="CM103" s="53">
        <f t="shared" si="73"/>
        <v>69996</v>
      </c>
      <c r="CN103" s="53">
        <f t="shared" si="74"/>
        <v>50006</v>
      </c>
      <c r="CO103" s="53">
        <f t="shared" si="75"/>
        <v>50007</v>
      </c>
      <c r="CP103" s="53">
        <f t="shared" si="76"/>
        <v>49996</v>
      </c>
      <c r="CQ103" s="53">
        <f t="shared" si="77"/>
        <v>59993</v>
      </c>
      <c r="CR103" s="53">
        <f t="shared" si="78"/>
        <v>70002</v>
      </c>
      <c r="CS103" s="53">
        <f t="shared" si="79"/>
        <v>79999</v>
      </c>
      <c r="CT103" s="53">
        <f t="shared" si="80"/>
        <v>79999</v>
      </c>
      <c r="CU103" s="53">
        <f t="shared" si="81"/>
        <v>69995</v>
      </c>
      <c r="CV103" s="53">
        <f t="shared" si="43"/>
        <v>820006</v>
      </c>
      <c r="CW103" s="1"/>
      <c r="CX103" s="1"/>
      <c r="CY103" s="1"/>
      <c r="CZ103" s="1"/>
      <c r="DA103" s="1"/>
      <c r="DB103" s="1"/>
      <c r="DC103" s="1"/>
      <c r="DD103" s="1"/>
      <c r="DE103" s="1"/>
      <c r="DF103" s="1"/>
      <c r="DG103" s="1"/>
      <c r="DH103" s="1"/>
      <c r="DI103" s="1"/>
      <c r="DJ103" s="1"/>
      <c r="DK103" s="1"/>
      <c r="DL103" s="1"/>
    </row>
    <row r="104" spans="1:116" ht="15.75" hidden="1" x14ac:dyDescent="0.25">
      <c r="A104" s="17"/>
      <c r="B104" s="17"/>
      <c r="C104" s="17"/>
      <c r="D104" s="17"/>
      <c r="E104" s="17"/>
      <c r="F104" s="33" t="s">
        <v>18</v>
      </c>
      <c r="G104" s="55">
        <v>35021.18</v>
      </c>
      <c r="H104" s="55">
        <v>34990.800000000003</v>
      </c>
      <c r="I104" s="55">
        <v>21564.38</v>
      </c>
      <c r="J104" s="55">
        <v>15987.05</v>
      </c>
      <c r="K104" s="55">
        <v>16121.49</v>
      </c>
      <c r="L104" s="55">
        <v>16044.01</v>
      </c>
      <c r="M104" s="55">
        <v>15871.27</v>
      </c>
      <c r="N104" s="55">
        <v>15944.62</v>
      </c>
      <c r="O104" s="55">
        <v>26715.34</v>
      </c>
      <c r="P104" s="55">
        <v>27762.87</v>
      </c>
      <c r="Q104" s="55">
        <v>27762.68</v>
      </c>
      <c r="R104" s="55">
        <v>19.43</v>
      </c>
      <c r="S104" s="11">
        <f t="shared" si="45"/>
        <v>253805.12</v>
      </c>
      <c r="T104" s="8">
        <f t="shared" si="82"/>
        <v>-0.99848872237092767</v>
      </c>
      <c r="U104" s="13" t="s">
        <v>23</v>
      </c>
      <c r="V104" s="50">
        <f t="shared" si="6"/>
        <v>470038544</v>
      </c>
      <c r="W104" s="36">
        <v>0.5387848825364896</v>
      </c>
      <c r="X104" s="36">
        <v>0.53831589581558792</v>
      </c>
      <c r="Y104" s="36">
        <v>0.53910879805789891</v>
      </c>
      <c r="Z104" s="36">
        <v>0.53290938328258519</v>
      </c>
      <c r="AA104" s="36">
        <v>0.53738036750141194</v>
      </c>
      <c r="AB104" s="36">
        <v>0.53480042895458846</v>
      </c>
      <c r="AC104" s="36">
        <v>0.5290266477387725</v>
      </c>
      <c r="AD104" s="36">
        <v>0.53147228878329011</v>
      </c>
      <c r="AE104" s="36">
        <v>0.53430651209533819</v>
      </c>
      <c r="AF104" s="36">
        <v>0.55524868064991106</v>
      </c>
      <c r="AG104" s="36">
        <v>0.55524868064991095</v>
      </c>
      <c r="AH104" s="36">
        <v>0.55524868064991095</v>
      </c>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BG104" s="1"/>
      <c r="BH104" s="12">
        <f t="shared" si="46"/>
        <v>35021.18</v>
      </c>
      <c r="BI104" s="12">
        <f t="shared" si="47"/>
        <v>34990.800000000003</v>
      </c>
      <c r="BJ104" s="12">
        <f t="shared" si="48"/>
        <v>21564.38</v>
      </c>
      <c r="BK104" s="12">
        <f t="shared" si="49"/>
        <v>15987.05</v>
      </c>
      <c r="BL104" s="12">
        <f t="shared" si="50"/>
        <v>16121.49</v>
      </c>
      <c r="BM104" s="12">
        <f t="shared" si="51"/>
        <v>16044.01</v>
      </c>
      <c r="BN104" s="12">
        <f t="shared" si="52"/>
        <v>15871.27</v>
      </c>
      <c r="BO104" s="12">
        <f t="shared" si="53"/>
        <v>15944.62</v>
      </c>
      <c r="BP104" s="12">
        <f t="shared" si="54"/>
        <v>26715.34</v>
      </c>
      <c r="BQ104" s="12">
        <f t="shared" si="55"/>
        <v>27762.87</v>
      </c>
      <c r="BR104" s="12">
        <f t="shared" si="56"/>
        <v>27762.68</v>
      </c>
      <c r="BS104" s="12">
        <f t="shared" si="57"/>
        <v>19.43</v>
      </c>
      <c r="BT104" s="1"/>
      <c r="BU104" s="11">
        <f t="shared" si="58"/>
        <v>35021.18</v>
      </c>
      <c r="BV104" s="11">
        <f t="shared" si="59"/>
        <v>34990.800000000003</v>
      </c>
      <c r="BW104" s="11">
        <f t="shared" si="60"/>
        <v>21564.38</v>
      </c>
      <c r="BX104" s="11">
        <f t="shared" si="61"/>
        <v>15987.05</v>
      </c>
      <c r="BY104" s="11">
        <f t="shared" si="62"/>
        <v>16121.49</v>
      </c>
      <c r="BZ104" s="11">
        <f t="shared" si="63"/>
        <v>16044.01</v>
      </c>
      <c r="CA104" s="11">
        <f t="shared" si="64"/>
        <v>15871.27</v>
      </c>
      <c r="CB104" s="11">
        <f t="shared" si="65"/>
        <v>15944.62</v>
      </c>
      <c r="CC104" s="11">
        <f t="shared" si="66"/>
        <v>26715.34</v>
      </c>
      <c r="CD104" s="11">
        <f t="shared" si="67"/>
        <v>27762.87</v>
      </c>
      <c r="CE104" s="11">
        <f t="shared" si="68"/>
        <v>27762.68</v>
      </c>
      <c r="CF104" s="11">
        <f t="shared" si="69"/>
        <v>19.43</v>
      </c>
      <c r="CG104" s="11"/>
      <c r="CH104" s="41">
        <v>1</v>
      </c>
      <c r="CI104" s="1"/>
      <c r="CJ104" s="53">
        <f t="shared" si="70"/>
        <v>65000302</v>
      </c>
      <c r="CK104" s="53">
        <f t="shared" si="71"/>
        <v>65000496</v>
      </c>
      <c r="CL104" s="53">
        <f t="shared" si="72"/>
        <v>40000052</v>
      </c>
      <c r="CM104" s="53">
        <f t="shared" si="73"/>
        <v>29999566</v>
      </c>
      <c r="CN104" s="53">
        <f t="shared" si="74"/>
        <v>30000147</v>
      </c>
      <c r="CO104" s="53">
        <f t="shared" si="75"/>
        <v>29999995</v>
      </c>
      <c r="CP104" s="53">
        <f t="shared" si="76"/>
        <v>30000889</v>
      </c>
      <c r="CQ104" s="53">
        <f t="shared" si="77"/>
        <v>30000849</v>
      </c>
      <c r="CR104" s="53">
        <f t="shared" si="78"/>
        <v>50000027</v>
      </c>
      <c r="CS104" s="53">
        <f t="shared" si="79"/>
        <v>50000785</v>
      </c>
      <c r="CT104" s="53">
        <f t="shared" si="80"/>
        <v>50000443</v>
      </c>
      <c r="CU104" s="53">
        <f t="shared" si="81"/>
        <v>34993</v>
      </c>
      <c r="CV104" s="53">
        <f t="shared" si="43"/>
        <v>470038544</v>
      </c>
      <c r="CW104" s="1"/>
      <c r="CX104" s="1"/>
      <c r="CY104" s="1"/>
      <c r="CZ104" s="1"/>
      <c r="DA104" s="1"/>
      <c r="DB104" s="1"/>
      <c r="DC104" s="1"/>
      <c r="DD104" s="1"/>
      <c r="DE104" s="1"/>
      <c r="DF104" s="1"/>
      <c r="DG104" s="1"/>
      <c r="DH104" s="1"/>
      <c r="DI104" s="1"/>
      <c r="DJ104" s="1"/>
      <c r="DK104" s="1"/>
      <c r="DL104" s="1"/>
    </row>
    <row r="105" spans="1:116" ht="15.75" hidden="1" x14ac:dyDescent="0.25">
      <c r="A105" s="17"/>
      <c r="B105" s="17"/>
      <c r="C105" s="17"/>
      <c r="D105" s="17"/>
      <c r="E105" s="17"/>
      <c r="F105" s="33" t="s">
        <v>18</v>
      </c>
      <c r="G105" s="55">
        <v>104.62</v>
      </c>
      <c r="H105" s="55">
        <v>104.53</v>
      </c>
      <c r="I105" s="55">
        <v>78.510000000000005</v>
      </c>
      <c r="J105" s="55">
        <v>67.260000000000005</v>
      </c>
      <c r="K105" s="55">
        <v>67.83</v>
      </c>
      <c r="L105" s="55">
        <v>67.5</v>
      </c>
      <c r="M105" s="55">
        <v>63.69</v>
      </c>
      <c r="N105" s="55">
        <v>67.08</v>
      </c>
      <c r="O105" s="55">
        <v>88.19</v>
      </c>
      <c r="P105" s="55">
        <v>91.64</v>
      </c>
      <c r="Q105" s="55">
        <v>91.64</v>
      </c>
      <c r="R105" s="55">
        <v>80.86</v>
      </c>
      <c r="S105" s="11">
        <f t="shared" si="45"/>
        <v>973.35</v>
      </c>
      <c r="T105" s="8">
        <f t="shared" si="82"/>
        <v>0.59393845995787742</v>
      </c>
      <c r="U105" s="13" t="s">
        <v>23</v>
      </c>
      <c r="V105" s="50">
        <f t="shared" si="6"/>
        <v>1390502</v>
      </c>
      <c r="W105" s="36">
        <v>0.697459990799983</v>
      </c>
      <c r="X105" s="36">
        <v>0.69685288491292585</v>
      </c>
      <c r="Y105" s="36">
        <v>0.69787930122220321</v>
      </c>
      <c r="Z105" s="36">
        <v>0.68985412473284102</v>
      </c>
      <c r="AA105" s="36">
        <v>0.69564183836995974</v>
      </c>
      <c r="AB105" s="36">
        <v>0.69230209374561014</v>
      </c>
      <c r="AC105" s="36">
        <v>0.68482790223766365</v>
      </c>
      <c r="AD105" s="36">
        <v>0.68799379800737981</v>
      </c>
      <c r="AE105" s="36">
        <v>0.69166271565748194</v>
      </c>
      <c r="AF105" s="36">
        <v>0.71877246791823635</v>
      </c>
      <c r="AG105" s="36">
        <v>0.71877246791823635</v>
      </c>
      <c r="AH105" s="36">
        <v>0.71877246791823635</v>
      </c>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BG105" s="1"/>
      <c r="BH105" s="12">
        <f t="shared" si="46"/>
        <v>104.62</v>
      </c>
      <c r="BI105" s="12">
        <f t="shared" si="47"/>
        <v>104.53</v>
      </c>
      <c r="BJ105" s="12">
        <f t="shared" si="48"/>
        <v>78.510000000000005</v>
      </c>
      <c r="BK105" s="12">
        <f t="shared" si="49"/>
        <v>67.260000000000005</v>
      </c>
      <c r="BL105" s="12">
        <f t="shared" si="50"/>
        <v>67.83</v>
      </c>
      <c r="BM105" s="12">
        <f t="shared" si="51"/>
        <v>67.5</v>
      </c>
      <c r="BN105" s="12">
        <f t="shared" si="52"/>
        <v>63.69</v>
      </c>
      <c r="BO105" s="12">
        <f t="shared" si="53"/>
        <v>67.08</v>
      </c>
      <c r="BP105" s="12">
        <f t="shared" si="54"/>
        <v>88.19</v>
      </c>
      <c r="BQ105" s="12">
        <f t="shared" si="55"/>
        <v>91.64</v>
      </c>
      <c r="BR105" s="12">
        <f t="shared" si="56"/>
        <v>91.64</v>
      </c>
      <c r="BS105" s="12">
        <f t="shared" si="57"/>
        <v>80.86</v>
      </c>
      <c r="BT105" s="1"/>
      <c r="BU105" s="11">
        <f t="shared" si="58"/>
        <v>104.62</v>
      </c>
      <c r="BV105" s="11">
        <f t="shared" si="59"/>
        <v>104.53</v>
      </c>
      <c r="BW105" s="11">
        <f t="shared" si="60"/>
        <v>78.510000000000005</v>
      </c>
      <c r="BX105" s="11">
        <f t="shared" si="61"/>
        <v>67.260000000000005</v>
      </c>
      <c r="BY105" s="11">
        <f t="shared" si="62"/>
        <v>67.83</v>
      </c>
      <c r="BZ105" s="11">
        <f t="shared" si="63"/>
        <v>67.5</v>
      </c>
      <c r="CA105" s="11">
        <f t="shared" si="64"/>
        <v>63.69</v>
      </c>
      <c r="CB105" s="11">
        <f t="shared" si="65"/>
        <v>67.08</v>
      </c>
      <c r="CC105" s="11">
        <f t="shared" si="66"/>
        <v>88.19</v>
      </c>
      <c r="CD105" s="11">
        <f t="shared" si="67"/>
        <v>91.64</v>
      </c>
      <c r="CE105" s="11">
        <f t="shared" si="68"/>
        <v>91.64</v>
      </c>
      <c r="CF105" s="11">
        <f t="shared" si="69"/>
        <v>80.86</v>
      </c>
      <c r="CG105" s="11"/>
      <c r="CH105" s="41">
        <v>1</v>
      </c>
      <c r="CI105" s="1"/>
      <c r="CJ105" s="53">
        <f t="shared" si="70"/>
        <v>150001</v>
      </c>
      <c r="CK105" s="53">
        <f t="shared" si="71"/>
        <v>150003</v>
      </c>
      <c r="CL105" s="53">
        <f t="shared" si="72"/>
        <v>112498</v>
      </c>
      <c r="CM105" s="53">
        <f t="shared" si="73"/>
        <v>97499</v>
      </c>
      <c r="CN105" s="53">
        <f t="shared" si="74"/>
        <v>97507</v>
      </c>
      <c r="CO105" s="53">
        <f t="shared" si="75"/>
        <v>97501</v>
      </c>
      <c r="CP105" s="53">
        <f t="shared" si="76"/>
        <v>93001</v>
      </c>
      <c r="CQ105" s="53">
        <f t="shared" si="77"/>
        <v>97501</v>
      </c>
      <c r="CR105" s="53">
        <f t="shared" si="78"/>
        <v>127504</v>
      </c>
      <c r="CS105" s="53">
        <f t="shared" si="79"/>
        <v>127495</v>
      </c>
      <c r="CT105" s="53">
        <f t="shared" si="80"/>
        <v>127495</v>
      </c>
      <c r="CU105" s="53">
        <f t="shared" si="81"/>
        <v>112497</v>
      </c>
      <c r="CV105" s="53">
        <f t="shared" si="43"/>
        <v>1390502</v>
      </c>
      <c r="CW105" s="1"/>
      <c r="CX105" s="1"/>
      <c r="CY105" s="1"/>
      <c r="CZ105" s="1"/>
      <c r="DA105" s="1"/>
      <c r="DB105" s="1"/>
      <c r="DC105" s="1"/>
      <c r="DD105" s="1"/>
      <c r="DE105" s="1"/>
      <c r="DF105" s="1"/>
      <c r="DG105" s="1"/>
      <c r="DH105" s="1"/>
      <c r="DI105" s="1"/>
      <c r="DJ105" s="1"/>
      <c r="DK105" s="1"/>
      <c r="DL105" s="1"/>
    </row>
    <row r="106" spans="1:116" ht="15.75" hidden="1" x14ac:dyDescent="0.25">
      <c r="A106" s="17"/>
      <c r="B106" s="17"/>
      <c r="C106" s="17"/>
      <c r="D106" s="17"/>
      <c r="E106" s="17"/>
      <c r="F106" s="33" t="s">
        <v>18</v>
      </c>
      <c r="G106" s="55">
        <v>581.41</v>
      </c>
      <c r="H106" s="55">
        <v>580.91</v>
      </c>
      <c r="I106" s="55">
        <v>552.67999999999995</v>
      </c>
      <c r="J106" s="55">
        <v>460.06</v>
      </c>
      <c r="K106" s="55">
        <v>405.93</v>
      </c>
      <c r="L106" s="55">
        <v>346.27</v>
      </c>
      <c r="M106" s="55">
        <v>342.53</v>
      </c>
      <c r="N106" s="55">
        <v>401.47</v>
      </c>
      <c r="O106" s="55">
        <v>518.91999999999996</v>
      </c>
      <c r="P106" s="55">
        <v>659.1</v>
      </c>
      <c r="Q106" s="55">
        <v>659.1</v>
      </c>
      <c r="R106" s="55">
        <v>479.34</v>
      </c>
      <c r="S106" s="11">
        <f t="shared" si="45"/>
        <v>5987.7200000000012</v>
      </c>
      <c r="T106" s="8">
        <f t="shared" si="82"/>
        <v>0.11196749346996857</v>
      </c>
      <c r="U106" s="13" t="s">
        <v>23</v>
      </c>
      <c r="V106" s="50">
        <f t="shared" si="6"/>
        <v>10250011</v>
      </c>
      <c r="W106" s="36">
        <v>0.58141401609981602</v>
      </c>
      <c r="X106" s="36">
        <v>0.58090792273726077</v>
      </c>
      <c r="Y106" s="36">
        <v>0.58176356010204033</v>
      </c>
      <c r="Z106" s="36">
        <v>0.57507364217966894</v>
      </c>
      <c r="AA106" s="36">
        <v>0.57989837460042482</v>
      </c>
      <c r="AB106" s="36">
        <v>0.57711430904769867</v>
      </c>
      <c r="AC106" s="36">
        <v>0.57088370118623566</v>
      </c>
      <c r="AD106" s="36">
        <v>0.57352284350020977</v>
      </c>
      <c r="AE106" s="36">
        <v>0.57658131305233218</v>
      </c>
      <c r="AF106" s="36">
        <v>0.59918044439364015</v>
      </c>
      <c r="AG106" s="36">
        <v>0.59918044439364015</v>
      </c>
      <c r="AH106" s="36">
        <v>0.59918044439364015</v>
      </c>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BG106" s="1"/>
      <c r="BH106" s="12">
        <f t="shared" si="46"/>
        <v>581.41</v>
      </c>
      <c r="BI106" s="12">
        <f t="shared" si="47"/>
        <v>580.91</v>
      </c>
      <c r="BJ106" s="12">
        <f t="shared" si="48"/>
        <v>552.67999999999995</v>
      </c>
      <c r="BK106" s="12">
        <f t="shared" si="49"/>
        <v>460.06</v>
      </c>
      <c r="BL106" s="12">
        <f t="shared" si="50"/>
        <v>405.93</v>
      </c>
      <c r="BM106" s="12">
        <f t="shared" si="51"/>
        <v>346.27</v>
      </c>
      <c r="BN106" s="12">
        <f t="shared" si="52"/>
        <v>342.53</v>
      </c>
      <c r="BO106" s="12">
        <f t="shared" si="53"/>
        <v>401.47</v>
      </c>
      <c r="BP106" s="12">
        <f t="shared" si="54"/>
        <v>518.91999999999996</v>
      </c>
      <c r="BQ106" s="12">
        <f t="shared" si="55"/>
        <v>659.1</v>
      </c>
      <c r="BR106" s="12">
        <f t="shared" si="56"/>
        <v>659.1</v>
      </c>
      <c r="BS106" s="12">
        <f t="shared" si="57"/>
        <v>479.34</v>
      </c>
      <c r="BT106" s="1"/>
      <c r="BU106" s="11">
        <f t="shared" si="58"/>
        <v>581.41</v>
      </c>
      <c r="BV106" s="11">
        <f t="shared" si="59"/>
        <v>580.91</v>
      </c>
      <c r="BW106" s="11">
        <f t="shared" si="60"/>
        <v>552.67999999999995</v>
      </c>
      <c r="BX106" s="11">
        <f t="shared" si="61"/>
        <v>460.06</v>
      </c>
      <c r="BY106" s="11">
        <f t="shared" si="62"/>
        <v>405.93</v>
      </c>
      <c r="BZ106" s="11">
        <f t="shared" si="63"/>
        <v>346.27</v>
      </c>
      <c r="CA106" s="11">
        <f t="shared" si="64"/>
        <v>342.53</v>
      </c>
      <c r="CB106" s="11">
        <f t="shared" si="65"/>
        <v>401.47</v>
      </c>
      <c r="CC106" s="11">
        <f t="shared" si="66"/>
        <v>518.91999999999996</v>
      </c>
      <c r="CD106" s="11">
        <f t="shared" si="67"/>
        <v>659.1</v>
      </c>
      <c r="CE106" s="11">
        <f t="shared" si="68"/>
        <v>659.1</v>
      </c>
      <c r="CF106" s="11">
        <f t="shared" si="69"/>
        <v>479.34</v>
      </c>
      <c r="CG106" s="11"/>
      <c r="CH106" s="41">
        <v>1</v>
      </c>
      <c r="CI106" s="1"/>
      <c r="CJ106" s="53">
        <f t="shared" si="70"/>
        <v>999993</v>
      </c>
      <c r="CK106" s="53">
        <f t="shared" si="71"/>
        <v>1000004</v>
      </c>
      <c r="CL106" s="53">
        <f t="shared" si="72"/>
        <v>950008</v>
      </c>
      <c r="CM106" s="53">
        <f t="shared" si="73"/>
        <v>800002</v>
      </c>
      <c r="CN106" s="53">
        <f t="shared" si="74"/>
        <v>700002</v>
      </c>
      <c r="CO106" s="53">
        <f t="shared" si="75"/>
        <v>600002</v>
      </c>
      <c r="CP106" s="53">
        <f t="shared" si="76"/>
        <v>600000</v>
      </c>
      <c r="CQ106" s="53">
        <f t="shared" si="77"/>
        <v>700007</v>
      </c>
      <c r="CR106" s="53">
        <f t="shared" si="78"/>
        <v>899994</v>
      </c>
      <c r="CS106" s="53">
        <f t="shared" si="79"/>
        <v>1100003</v>
      </c>
      <c r="CT106" s="53">
        <f t="shared" si="80"/>
        <v>1100003</v>
      </c>
      <c r="CU106" s="53">
        <f t="shared" si="81"/>
        <v>799993</v>
      </c>
      <c r="CV106" s="53">
        <f t="shared" si="43"/>
        <v>10250011</v>
      </c>
      <c r="CW106" s="1"/>
      <c r="CX106" s="1"/>
      <c r="CY106" s="1"/>
      <c r="CZ106" s="1"/>
      <c r="DA106" s="1"/>
      <c r="DB106" s="1"/>
      <c r="DC106" s="1"/>
      <c r="DD106" s="1"/>
      <c r="DE106" s="1"/>
      <c r="DF106" s="1"/>
      <c r="DG106" s="1"/>
      <c r="DH106" s="1"/>
      <c r="DI106" s="1"/>
      <c r="DJ106" s="1"/>
      <c r="DK106" s="1"/>
      <c r="DL106" s="1"/>
    </row>
    <row r="107" spans="1:116" ht="15.75" hidden="1" x14ac:dyDescent="0.25">
      <c r="A107" s="17"/>
      <c r="B107" s="17"/>
      <c r="C107" s="17"/>
      <c r="D107" s="17"/>
      <c r="E107" s="17"/>
      <c r="F107" s="33" t="s">
        <v>18</v>
      </c>
      <c r="G107" s="55">
        <v>19654.39</v>
      </c>
      <c r="H107" s="55">
        <v>19637.22</v>
      </c>
      <c r="I107" s="55">
        <v>19665.310000000001</v>
      </c>
      <c r="J107" s="55">
        <v>19439.560000000001</v>
      </c>
      <c r="K107" s="55">
        <v>19602.5</v>
      </c>
      <c r="L107" s="55">
        <v>19509.009999999998</v>
      </c>
      <c r="M107" s="55">
        <v>19297.490000000002</v>
      </c>
      <c r="N107" s="55">
        <v>19387.82</v>
      </c>
      <c r="O107" s="55">
        <v>19.489999999999998</v>
      </c>
      <c r="P107" s="55">
        <v>20255.37</v>
      </c>
      <c r="Q107" s="55">
        <v>20254.89</v>
      </c>
      <c r="R107" s="55">
        <v>20255.36</v>
      </c>
      <c r="S107" s="11">
        <f t="shared" si="45"/>
        <v>216978.40999999997</v>
      </c>
      <c r="T107" s="8">
        <f t="shared" si="82"/>
        <v>-0.99906718829767449</v>
      </c>
      <c r="U107" s="13" t="s">
        <v>23</v>
      </c>
      <c r="V107" s="50">
        <f t="shared" ref="V107:V170" si="83">CV107</f>
        <v>143013617</v>
      </c>
      <c r="W107" s="36">
        <v>1.5118540632493687</v>
      </c>
      <c r="X107" s="36">
        <v>1.5105380658957184</v>
      </c>
      <c r="Y107" s="36">
        <v>1.5127629844404893</v>
      </c>
      <c r="Z107" s="36">
        <v>1.4953671540792104</v>
      </c>
      <c r="AA107" s="36">
        <v>1.507912932324017</v>
      </c>
      <c r="AB107" s="36">
        <v>1.5006735113577381</v>
      </c>
      <c r="AC107" s="36">
        <v>1.4844720274735776</v>
      </c>
      <c r="AD107" s="36">
        <v>1.4913346037451995</v>
      </c>
      <c r="AE107" s="36">
        <v>1.4992875589400512</v>
      </c>
      <c r="AF107" s="36">
        <v>1.5580522044390637</v>
      </c>
      <c r="AG107" s="36">
        <v>1.5580522044390637</v>
      </c>
      <c r="AH107" s="36">
        <v>1.5580522044390632</v>
      </c>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BG107" s="1"/>
      <c r="BH107" s="12">
        <f t="shared" si="46"/>
        <v>19654.39</v>
      </c>
      <c r="BI107" s="12">
        <f t="shared" si="47"/>
        <v>19637.22</v>
      </c>
      <c r="BJ107" s="12">
        <f t="shared" si="48"/>
        <v>19665.310000000001</v>
      </c>
      <c r="BK107" s="12">
        <f t="shared" si="49"/>
        <v>19439.560000000001</v>
      </c>
      <c r="BL107" s="12">
        <f t="shared" si="50"/>
        <v>19602.5</v>
      </c>
      <c r="BM107" s="12">
        <f t="shared" si="51"/>
        <v>19509.009999999998</v>
      </c>
      <c r="BN107" s="12">
        <f t="shared" si="52"/>
        <v>19297.490000000002</v>
      </c>
      <c r="BO107" s="12">
        <f t="shared" si="53"/>
        <v>19387.82</v>
      </c>
      <c r="BP107" s="12">
        <f t="shared" si="54"/>
        <v>19.489999999999998</v>
      </c>
      <c r="BQ107" s="12">
        <f t="shared" si="55"/>
        <v>20255.37</v>
      </c>
      <c r="BR107" s="12">
        <f t="shared" si="56"/>
        <v>20254.89</v>
      </c>
      <c r="BS107" s="12">
        <f t="shared" si="57"/>
        <v>20255.36</v>
      </c>
      <c r="BT107" s="1"/>
      <c r="BU107" s="11">
        <f t="shared" si="58"/>
        <v>19654.39</v>
      </c>
      <c r="BV107" s="11">
        <f t="shared" si="59"/>
        <v>19637.22</v>
      </c>
      <c r="BW107" s="11">
        <f t="shared" si="60"/>
        <v>19665.310000000001</v>
      </c>
      <c r="BX107" s="11">
        <f t="shared" si="61"/>
        <v>19439.560000000001</v>
      </c>
      <c r="BY107" s="11">
        <f t="shared" si="62"/>
        <v>19602.5</v>
      </c>
      <c r="BZ107" s="11">
        <f t="shared" si="63"/>
        <v>19509.009999999998</v>
      </c>
      <c r="CA107" s="11">
        <f t="shared" si="64"/>
        <v>19297.490000000002</v>
      </c>
      <c r="CB107" s="11">
        <f t="shared" si="65"/>
        <v>19387.82</v>
      </c>
      <c r="CC107" s="11">
        <f t="shared" si="66"/>
        <v>19.489999999999998</v>
      </c>
      <c r="CD107" s="11">
        <f t="shared" si="67"/>
        <v>20255.37</v>
      </c>
      <c r="CE107" s="11">
        <f t="shared" si="68"/>
        <v>20254.89</v>
      </c>
      <c r="CF107" s="11">
        <f t="shared" si="69"/>
        <v>20255.36</v>
      </c>
      <c r="CG107" s="11"/>
      <c r="CH107" s="41">
        <v>1</v>
      </c>
      <c r="CI107" s="1"/>
      <c r="CJ107" s="53">
        <f t="shared" si="70"/>
        <v>13000190</v>
      </c>
      <c r="CK107" s="53">
        <f t="shared" si="71"/>
        <v>13000149</v>
      </c>
      <c r="CL107" s="53">
        <f t="shared" si="72"/>
        <v>12999598</v>
      </c>
      <c r="CM107" s="53">
        <f t="shared" si="73"/>
        <v>12999858</v>
      </c>
      <c r="CN107" s="53">
        <f t="shared" si="74"/>
        <v>12999756</v>
      </c>
      <c r="CO107" s="53">
        <f t="shared" si="75"/>
        <v>13000169</v>
      </c>
      <c r="CP107" s="53">
        <f t="shared" si="76"/>
        <v>12999565</v>
      </c>
      <c r="CQ107" s="53">
        <f t="shared" si="77"/>
        <v>13000315</v>
      </c>
      <c r="CR107" s="53">
        <f t="shared" si="78"/>
        <v>13000</v>
      </c>
      <c r="CS107" s="53">
        <f t="shared" si="79"/>
        <v>13000444</v>
      </c>
      <c r="CT107" s="53">
        <f t="shared" si="80"/>
        <v>13000136</v>
      </c>
      <c r="CU107" s="53">
        <f t="shared" si="81"/>
        <v>13000437</v>
      </c>
      <c r="CV107" s="53">
        <f t="shared" ref="CV107:CV170" si="84">ROUNDUP(SUM(CJ107:CU107),0)</f>
        <v>143013617</v>
      </c>
      <c r="CW107" s="1"/>
      <c r="CX107" s="1"/>
      <c r="CY107" s="1"/>
      <c r="CZ107" s="1"/>
      <c r="DA107" s="1"/>
      <c r="DB107" s="1"/>
      <c r="DC107" s="1"/>
      <c r="DD107" s="1"/>
      <c r="DE107" s="1"/>
      <c r="DF107" s="1"/>
      <c r="DG107" s="1"/>
      <c r="DH107" s="1"/>
      <c r="DI107" s="1"/>
      <c r="DJ107" s="1"/>
      <c r="DK107" s="1"/>
      <c r="DL107" s="1"/>
    </row>
    <row r="108" spans="1:116" ht="15.75" hidden="1" x14ac:dyDescent="0.25">
      <c r="A108" s="17"/>
      <c r="B108" s="17"/>
      <c r="C108" s="17"/>
      <c r="D108" s="17"/>
      <c r="E108" s="17"/>
      <c r="F108" s="33" t="s">
        <v>18</v>
      </c>
      <c r="G108" s="55">
        <v>28.92</v>
      </c>
      <c r="H108" s="55">
        <v>24.08</v>
      </c>
      <c r="I108" s="55">
        <v>24.11</v>
      </c>
      <c r="J108" s="55">
        <v>20.97</v>
      </c>
      <c r="K108" s="55">
        <v>16.34</v>
      </c>
      <c r="L108" s="55">
        <v>3.83</v>
      </c>
      <c r="M108" s="55">
        <v>3.79</v>
      </c>
      <c r="N108" s="55">
        <v>2.85</v>
      </c>
      <c r="O108" s="55">
        <v>11.47</v>
      </c>
      <c r="P108" s="55">
        <v>19.87</v>
      </c>
      <c r="Q108" s="55">
        <v>24.83</v>
      </c>
      <c r="R108" s="55">
        <v>24.83</v>
      </c>
      <c r="S108" s="11">
        <f t="shared" si="45"/>
        <v>205.89</v>
      </c>
      <c r="T108" s="8">
        <f t="shared" si="82"/>
        <v>-2.6324736509786721E-2</v>
      </c>
      <c r="U108" s="13" t="s">
        <v>23</v>
      </c>
      <c r="V108" s="50">
        <f t="shared" si="83"/>
        <v>211995</v>
      </c>
      <c r="W108" s="36">
        <v>0.96389207557077461</v>
      </c>
      <c r="X108" s="36">
        <v>0.9630530531733813</v>
      </c>
      <c r="Y108" s="36">
        <v>0.9644715639980872</v>
      </c>
      <c r="Z108" s="36">
        <v>0.95338074283961394</v>
      </c>
      <c r="AA108" s="36">
        <v>0.96137938273878976</v>
      </c>
      <c r="AB108" s="36">
        <v>0.95676384432754946</v>
      </c>
      <c r="AC108" s="36">
        <v>0.94643448628430937</v>
      </c>
      <c r="AD108" s="36">
        <v>0.95080976498812786</v>
      </c>
      <c r="AE108" s="36">
        <v>0.95588022163869313</v>
      </c>
      <c r="AF108" s="36">
        <v>0.993345991316544</v>
      </c>
      <c r="AG108" s="36">
        <v>0.993345991316544</v>
      </c>
      <c r="AH108" s="36">
        <v>0.993345991316544</v>
      </c>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BG108" s="1"/>
      <c r="BH108" s="12">
        <f t="shared" si="46"/>
        <v>28.92</v>
      </c>
      <c r="BI108" s="12">
        <f t="shared" si="47"/>
        <v>24.08</v>
      </c>
      <c r="BJ108" s="12">
        <f t="shared" si="48"/>
        <v>24.11</v>
      </c>
      <c r="BK108" s="12">
        <f t="shared" si="49"/>
        <v>20.97</v>
      </c>
      <c r="BL108" s="12">
        <f t="shared" si="50"/>
        <v>16.34</v>
      </c>
      <c r="BM108" s="12">
        <f t="shared" si="51"/>
        <v>3.83</v>
      </c>
      <c r="BN108" s="12">
        <f t="shared" si="52"/>
        <v>3.79</v>
      </c>
      <c r="BO108" s="12">
        <f t="shared" si="53"/>
        <v>2.85</v>
      </c>
      <c r="BP108" s="12">
        <f t="shared" si="54"/>
        <v>11.47</v>
      </c>
      <c r="BQ108" s="12">
        <f t="shared" si="55"/>
        <v>19.87</v>
      </c>
      <c r="BR108" s="12">
        <f t="shared" si="56"/>
        <v>24.83</v>
      </c>
      <c r="BS108" s="12">
        <f t="shared" si="57"/>
        <v>24.83</v>
      </c>
      <c r="BT108" s="1"/>
      <c r="BU108" s="11">
        <f t="shared" si="58"/>
        <v>28.92</v>
      </c>
      <c r="BV108" s="11">
        <f t="shared" si="59"/>
        <v>24.08</v>
      </c>
      <c r="BW108" s="11">
        <f t="shared" si="60"/>
        <v>24.11</v>
      </c>
      <c r="BX108" s="11">
        <f t="shared" si="61"/>
        <v>20.97</v>
      </c>
      <c r="BY108" s="11">
        <f t="shared" si="62"/>
        <v>16.34</v>
      </c>
      <c r="BZ108" s="11">
        <f t="shared" si="63"/>
        <v>3.83</v>
      </c>
      <c r="CA108" s="11">
        <f t="shared" si="64"/>
        <v>3.79</v>
      </c>
      <c r="CB108" s="11">
        <f t="shared" si="65"/>
        <v>2.85</v>
      </c>
      <c r="CC108" s="11">
        <f t="shared" si="66"/>
        <v>11.47</v>
      </c>
      <c r="CD108" s="11">
        <f t="shared" si="67"/>
        <v>19.87</v>
      </c>
      <c r="CE108" s="11">
        <f t="shared" si="68"/>
        <v>24.83</v>
      </c>
      <c r="CF108" s="11">
        <f t="shared" si="69"/>
        <v>24.83</v>
      </c>
      <c r="CG108" s="11"/>
      <c r="CH108" s="41">
        <v>1</v>
      </c>
      <c r="CI108" s="1"/>
      <c r="CJ108" s="53">
        <f t="shared" si="70"/>
        <v>30003</v>
      </c>
      <c r="CK108" s="53">
        <f t="shared" si="71"/>
        <v>25004</v>
      </c>
      <c r="CL108" s="53">
        <f t="shared" si="72"/>
        <v>24998</v>
      </c>
      <c r="CM108" s="53">
        <f t="shared" si="73"/>
        <v>21995</v>
      </c>
      <c r="CN108" s="53">
        <f t="shared" si="74"/>
        <v>16996</v>
      </c>
      <c r="CO108" s="53">
        <f t="shared" si="75"/>
        <v>4003</v>
      </c>
      <c r="CP108" s="53">
        <f t="shared" si="76"/>
        <v>4005</v>
      </c>
      <c r="CQ108" s="53">
        <f t="shared" si="77"/>
        <v>2997</v>
      </c>
      <c r="CR108" s="53">
        <f t="shared" si="78"/>
        <v>11999</v>
      </c>
      <c r="CS108" s="53">
        <f t="shared" si="79"/>
        <v>20003</v>
      </c>
      <c r="CT108" s="53">
        <f t="shared" si="80"/>
        <v>24996</v>
      </c>
      <c r="CU108" s="53">
        <f t="shared" si="81"/>
        <v>24996</v>
      </c>
      <c r="CV108" s="53">
        <f t="shared" si="84"/>
        <v>211995</v>
      </c>
      <c r="CW108" s="1"/>
      <c r="CX108" s="1"/>
      <c r="CY108" s="1"/>
      <c r="CZ108" s="1"/>
      <c r="DA108" s="1"/>
      <c r="DB108" s="1"/>
      <c r="DC108" s="1"/>
      <c r="DD108" s="1"/>
      <c r="DE108" s="1"/>
      <c r="DF108" s="1"/>
      <c r="DG108" s="1"/>
      <c r="DH108" s="1"/>
      <c r="DI108" s="1"/>
      <c r="DJ108" s="1"/>
      <c r="DK108" s="1"/>
      <c r="DL108" s="1"/>
    </row>
    <row r="109" spans="1:116" ht="15.75" hidden="1" x14ac:dyDescent="0.25">
      <c r="A109" s="17"/>
      <c r="B109" s="17"/>
      <c r="C109" s="17"/>
      <c r="D109" s="17"/>
      <c r="E109" s="17"/>
      <c r="F109" s="33" t="s">
        <v>18</v>
      </c>
      <c r="G109" s="55">
        <v>12.74</v>
      </c>
      <c r="H109" s="55">
        <v>12.73</v>
      </c>
      <c r="I109" s="55">
        <v>12.75</v>
      </c>
      <c r="J109" s="55">
        <v>10.5</v>
      </c>
      <c r="K109" s="55">
        <v>7.63</v>
      </c>
      <c r="L109" s="55">
        <v>3.37</v>
      </c>
      <c r="M109" s="55">
        <v>3.34</v>
      </c>
      <c r="N109" s="55">
        <v>3.35</v>
      </c>
      <c r="O109" s="55">
        <v>6.32</v>
      </c>
      <c r="P109" s="55">
        <v>10.94</v>
      </c>
      <c r="Q109" s="55">
        <v>10.94</v>
      </c>
      <c r="R109" s="55">
        <v>8.76</v>
      </c>
      <c r="S109" s="11">
        <f t="shared" si="45"/>
        <v>103.36999999999999</v>
      </c>
      <c r="T109" s="8">
        <f t="shared" si="82"/>
        <v>3.5793750604624475E-2</v>
      </c>
      <c r="U109" s="13" t="s">
        <v>23</v>
      </c>
      <c r="V109" s="50">
        <f t="shared" si="83"/>
        <v>241956</v>
      </c>
      <c r="W109" s="36">
        <v>0.42481115738453973</v>
      </c>
      <c r="X109" s="36">
        <v>0.42444137939305965</v>
      </c>
      <c r="Y109" s="36">
        <v>0.42506655231488177</v>
      </c>
      <c r="Z109" s="36">
        <v>0.42017855220357686</v>
      </c>
      <c r="AA109" s="36">
        <v>0.42370375129919025</v>
      </c>
      <c r="AB109" s="36">
        <v>0.4216695689834255</v>
      </c>
      <c r="AC109" s="36">
        <v>0.41711716456326292</v>
      </c>
      <c r="AD109" s="36">
        <v>0.41904545846374797</v>
      </c>
      <c r="AE109" s="36">
        <v>0.42128013453670909</v>
      </c>
      <c r="AF109" s="36">
        <v>0.43779222897396824</v>
      </c>
      <c r="AG109" s="36">
        <v>0.43779222897396824</v>
      </c>
      <c r="AH109" s="36">
        <v>0.43779222897396819</v>
      </c>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BG109" s="1"/>
      <c r="BH109" s="12">
        <f t="shared" si="46"/>
        <v>12.74</v>
      </c>
      <c r="BI109" s="12">
        <f t="shared" si="47"/>
        <v>12.73</v>
      </c>
      <c r="BJ109" s="12">
        <f t="shared" si="48"/>
        <v>12.75</v>
      </c>
      <c r="BK109" s="12">
        <f t="shared" si="49"/>
        <v>10.5</v>
      </c>
      <c r="BL109" s="12">
        <f t="shared" si="50"/>
        <v>7.63</v>
      </c>
      <c r="BM109" s="12">
        <f t="shared" si="51"/>
        <v>3.37</v>
      </c>
      <c r="BN109" s="12">
        <f t="shared" si="52"/>
        <v>3.34</v>
      </c>
      <c r="BO109" s="12">
        <f t="shared" si="53"/>
        <v>3.35</v>
      </c>
      <c r="BP109" s="12">
        <f t="shared" si="54"/>
        <v>6.32</v>
      </c>
      <c r="BQ109" s="12">
        <f t="shared" si="55"/>
        <v>10.94</v>
      </c>
      <c r="BR109" s="12">
        <f t="shared" si="56"/>
        <v>10.94</v>
      </c>
      <c r="BS109" s="12">
        <f t="shared" si="57"/>
        <v>8.76</v>
      </c>
      <c r="BT109" s="1"/>
      <c r="BU109" s="11">
        <f t="shared" si="58"/>
        <v>12.74</v>
      </c>
      <c r="BV109" s="11">
        <f t="shared" si="59"/>
        <v>12.73</v>
      </c>
      <c r="BW109" s="11">
        <f t="shared" si="60"/>
        <v>12.75</v>
      </c>
      <c r="BX109" s="11">
        <f t="shared" si="61"/>
        <v>10.5</v>
      </c>
      <c r="BY109" s="11">
        <f t="shared" si="62"/>
        <v>7.63</v>
      </c>
      <c r="BZ109" s="11">
        <f t="shared" si="63"/>
        <v>3.37</v>
      </c>
      <c r="CA109" s="11">
        <f t="shared" si="64"/>
        <v>3.34</v>
      </c>
      <c r="CB109" s="11">
        <f t="shared" si="65"/>
        <v>3.35</v>
      </c>
      <c r="CC109" s="11">
        <f t="shared" si="66"/>
        <v>6.32</v>
      </c>
      <c r="CD109" s="11">
        <f t="shared" si="67"/>
        <v>10.94</v>
      </c>
      <c r="CE109" s="11">
        <f t="shared" si="68"/>
        <v>10.94</v>
      </c>
      <c r="CF109" s="11">
        <f t="shared" si="69"/>
        <v>8.76</v>
      </c>
      <c r="CG109" s="11"/>
      <c r="CH109" s="41">
        <v>1</v>
      </c>
      <c r="CI109" s="1"/>
      <c r="CJ109" s="53">
        <f t="shared" si="70"/>
        <v>29990</v>
      </c>
      <c r="CK109" s="53">
        <f t="shared" si="71"/>
        <v>29992</v>
      </c>
      <c r="CL109" s="53">
        <f t="shared" si="72"/>
        <v>29995</v>
      </c>
      <c r="CM109" s="53">
        <f t="shared" si="73"/>
        <v>24989</v>
      </c>
      <c r="CN109" s="53">
        <f t="shared" si="74"/>
        <v>18008</v>
      </c>
      <c r="CO109" s="53">
        <f t="shared" si="75"/>
        <v>7992</v>
      </c>
      <c r="CP109" s="53">
        <f t="shared" si="76"/>
        <v>8007</v>
      </c>
      <c r="CQ109" s="53">
        <f t="shared" si="77"/>
        <v>7994</v>
      </c>
      <c r="CR109" s="53">
        <f t="shared" si="78"/>
        <v>15002</v>
      </c>
      <c r="CS109" s="53">
        <f t="shared" si="79"/>
        <v>24989</v>
      </c>
      <c r="CT109" s="53">
        <f t="shared" si="80"/>
        <v>24989</v>
      </c>
      <c r="CU109" s="53">
        <f t="shared" si="81"/>
        <v>20009</v>
      </c>
      <c r="CV109" s="53">
        <f t="shared" si="84"/>
        <v>241956</v>
      </c>
      <c r="CW109" s="1"/>
      <c r="CX109" s="1"/>
      <c r="CY109" s="1"/>
      <c r="CZ109" s="1"/>
      <c r="DA109" s="1"/>
      <c r="DB109" s="1"/>
      <c r="DC109" s="1"/>
      <c r="DD109" s="1"/>
      <c r="DE109" s="1"/>
      <c r="DF109" s="1"/>
      <c r="DG109" s="1"/>
      <c r="DH109" s="1"/>
      <c r="DI109" s="1"/>
      <c r="DJ109" s="1"/>
      <c r="DK109" s="1"/>
      <c r="DL109" s="1"/>
    </row>
    <row r="110" spans="1:116" ht="15.75" hidden="1" x14ac:dyDescent="0.25">
      <c r="A110" s="17"/>
      <c r="B110" s="17"/>
      <c r="C110" s="17"/>
      <c r="D110" s="17"/>
      <c r="E110" s="17"/>
      <c r="F110" s="33" t="s">
        <v>18</v>
      </c>
      <c r="G110" s="55">
        <v>13126.64</v>
      </c>
      <c r="H110" s="55">
        <v>8743.61</v>
      </c>
      <c r="I110" s="55">
        <v>8756.49</v>
      </c>
      <c r="J110" s="55">
        <v>6059.18</v>
      </c>
      <c r="K110" s="55">
        <v>6110.02</v>
      </c>
      <c r="L110" s="55">
        <v>6080.68</v>
      </c>
      <c r="M110" s="55">
        <v>6015.04</v>
      </c>
      <c r="N110" s="55">
        <v>6042.84</v>
      </c>
      <c r="O110" s="55">
        <v>10414.11</v>
      </c>
      <c r="P110" s="55">
        <v>10822.29</v>
      </c>
      <c r="Q110" s="55">
        <v>10822.29</v>
      </c>
      <c r="R110" s="55">
        <v>6313.18</v>
      </c>
      <c r="S110" s="11">
        <f t="shared" si="45"/>
        <v>99306.37</v>
      </c>
      <c r="T110" s="8">
        <f t="shared" si="82"/>
        <v>-0.99894608976241905</v>
      </c>
      <c r="U110" s="13" t="s">
        <v>23</v>
      </c>
      <c r="V110" s="50">
        <f t="shared" si="83"/>
        <v>113005724</v>
      </c>
      <c r="W110" s="36">
        <v>0.87508138064717733</v>
      </c>
      <c r="X110" s="36">
        <v>0.87431966375322934</v>
      </c>
      <c r="Y110" s="36">
        <v>0.87560747640612591</v>
      </c>
      <c r="Z110" s="36">
        <v>0.86553853680402304</v>
      </c>
      <c r="AA110" s="36">
        <v>0.87280020128251312</v>
      </c>
      <c r="AB110" s="36">
        <v>0.86860992746690302</v>
      </c>
      <c r="AC110" s="36">
        <v>0.85923229160209413</v>
      </c>
      <c r="AD110" s="36">
        <v>0.86320444266121177</v>
      </c>
      <c r="AE110" s="36">
        <v>0.86780771964495607</v>
      </c>
      <c r="AF110" s="36">
        <v>0.901821483517108</v>
      </c>
      <c r="AG110" s="36">
        <v>0.901821483517108</v>
      </c>
      <c r="AH110" s="36">
        <v>0.90182148351710811</v>
      </c>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BG110" s="1"/>
      <c r="BH110" s="12">
        <f t="shared" si="46"/>
        <v>13126.64</v>
      </c>
      <c r="BI110" s="12">
        <f t="shared" si="47"/>
        <v>8743.61</v>
      </c>
      <c r="BJ110" s="12">
        <f t="shared" si="48"/>
        <v>8756.49</v>
      </c>
      <c r="BK110" s="12">
        <f t="shared" si="49"/>
        <v>6059.18</v>
      </c>
      <c r="BL110" s="12">
        <f t="shared" si="50"/>
        <v>6110.02</v>
      </c>
      <c r="BM110" s="12">
        <f t="shared" si="51"/>
        <v>6080.68</v>
      </c>
      <c r="BN110" s="12">
        <f t="shared" si="52"/>
        <v>6015.04</v>
      </c>
      <c r="BO110" s="12">
        <f t="shared" si="53"/>
        <v>6042.84</v>
      </c>
      <c r="BP110" s="12">
        <f t="shared" si="54"/>
        <v>10414.11</v>
      </c>
      <c r="BQ110" s="12">
        <f t="shared" si="55"/>
        <v>10822.29</v>
      </c>
      <c r="BR110" s="12">
        <f t="shared" si="56"/>
        <v>10822.29</v>
      </c>
      <c r="BS110" s="12">
        <f t="shared" si="57"/>
        <v>6313.18</v>
      </c>
      <c r="BT110" s="1"/>
      <c r="BU110" s="11">
        <f t="shared" si="58"/>
        <v>13126.64</v>
      </c>
      <c r="BV110" s="11">
        <f t="shared" si="59"/>
        <v>8743.61</v>
      </c>
      <c r="BW110" s="11">
        <f t="shared" si="60"/>
        <v>8756.49</v>
      </c>
      <c r="BX110" s="11">
        <f t="shared" si="61"/>
        <v>6059.18</v>
      </c>
      <c r="BY110" s="11">
        <f t="shared" si="62"/>
        <v>6110.02</v>
      </c>
      <c r="BZ110" s="11">
        <f t="shared" si="63"/>
        <v>6080.68</v>
      </c>
      <c r="CA110" s="11">
        <f t="shared" si="64"/>
        <v>6015.04</v>
      </c>
      <c r="CB110" s="11">
        <f t="shared" si="65"/>
        <v>6042.84</v>
      </c>
      <c r="CC110" s="11">
        <f t="shared" si="66"/>
        <v>10414.11</v>
      </c>
      <c r="CD110" s="11">
        <f t="shared" si="67"/>
        <v>10822.29</v>
      </c>
      <c r="CE110" s="11">
        <f t="shared" si="68"/>
        <v>10822.29</v>
      </c>
      <c r="CF110" s="11">
        <f t="shared" si="69"/>
        <v>6313.18</v>
      </c>
      <c r="CG110" s="11"/>
      <c r="CH110" s="41">
        <v>1</v>
      </c>
      <c r="CI110" s="1"/>
      <c r="CJ110" s="53">
        <f t="shared" si="70"/>
        <v>15000479</v>
      </c>
      <c r="CK110" s="53">
        <f t="shared" si="71"/>
        <v>10000473</v>
      </c>
      <c r="CL110" s="53">
        <f t="shared" si="72"/>
        <v>10000474</v>
      </c>
      <c r="CM110" s="53">
        <f t="shared" si="73"/>
        <v>7000474</v>
      </c>
      <c r="CN110" s="53">
        <f t="shared" si="74"/>
        <v>7000480</v>
      </c>
      <c r="CO110" s="53">
        <f t="shared" si="75"/>
        <v>7000473</v>
      </c>
      <c r="CP110" s="53">
        <f t="shared" si="76"/>
        <v>7000482</v>
      </c>
      <c r="CQ110" s="53">
        <f t="shared" si="77"/>
        <v>7000474</v>
      </c>
      <c r="CR110" s="53">
        <f t="shared" si="78"/>
        <v>12000481</v>
      </c>
      <c r="CS110" s="53">
        <f t="shared" si="79"/>
        <v>12000479</v>
      </c>
      <c r="CT110" s="53">
        <f t="shared" si="80"/>
        <v>12000479</v>
      </c>
      <c r="CU110" s="53">
        <f t="shared" si="81"/>
        <v>7000476</v>
      </c>
      <c r="CV110" s="53">
        <f t="shared" si="84"/>
        <v>113005724</v>
      </c>
      <c r="CW110" s="1"/>
      <c r="CX110" s="1"/>
      <c r="CY110" s="1"/>
      <c r="CZ110" s="1"/>
      <c r="DA110" s="1"/>
      <c r="DB110" s="1"/>
      <c r="DC110" s="1"/>
      <c r="DD110" s="1"/>
      <c r="DE110" s="1"/>
      <c r="DF110" s="1"/>
      <c r="DG110" s="1"/>
      <c r="DH110" s="1"/>
      <c r="DI110" s="1"/>
      <c r="DJ110" s="1"/>
      <c r="DK110" s="1"/>
      <c r="DL110" s="1"/>
    </row>
    <row r="111" spans="1:116" ht="15.75" hidden="1" x14ac:dyDescent="0.25">
      <c r="A111" s="17"/>
      <c r="B111" s="17"/>
      <c r="C111" s="17"/>
      <c r="D111" s="17"/>
      <c r="E111" s="17"/>
      <c r="F111" s="33" t="s">
        <v>18</v>
      </c>
      <c r="G111" s="55">
        <v>154.35</v>
      </c>
      <c r="H111" s="55">
        <v>154.22</v>
      </c>
      <c r="I111" s="55">
        <v>154.44999999999999</v>
      </c>
      <c r="J111" s="55">
        <v>81.42</v>
      </c>
      <c r="K111" s="55">
        <v>61.58</v>
      </c>
      <c r="L111" s="55">
        <v>61.28</v>
      </c>
      <c r="M111" s="55">
        <v>60.62</v>
      </c>
      <c r="N111" s="55">
        <v>81.2</v>
      </c>
      <c r="O111" s="55">
        <v>132.66</v>
      </c>
      <c r="P111" s="55">
        <v>148.47</v>
      </c>
      <c r="Q111" s="55">
        <v>148.47</v>
      </c>
      <c r="R111" s="55">
        <v>106.05</v>
      </c>
      <c r="S111" s="11">
        <f t="shared" si="45"/>
        <v>1344.77</v>
      </c>
      <c r="T111" s="8">
        <f t="shared" si="82"/>
        <v>-0.15378094395324104</v>
      </c>
      <c r="U111" s="13" t="s">
        <v>23</v>
      </c>
      <c r="V111" s="50">
        <f t="shared" si="83"/>
        <v>1299998</v>
      </c>
      <c r="W111" s="36">
        <v>1.0290199185147457</v>
      </c>
      <c r="X111" s="36">
        <v>1.0281242054148259</v>
      </c>
      <c r="Y111" s="36">
        <v>1.0296385615655257</v>
      </c>
      <c r="Z111" s="36">
        <v>1.0177983605990475</v>
      </c>
      <c r="AA111" s="36">
        <v>1.0263374491400594</v>
      </c>
      <c r="AB111" s="36">
        <v>1.0214100500253569</v>
      </c>
      <c r="AC111" s="36">
        <v>1.0103827623846005</v>
      </c>
      <c r="AD111" s="36">
        <v>1.0150536680278661</v>
      </c>
      <c r="AE111" s="36">
        <v>1.0204667231007669</v>
      </c>
      <c r="AF111" s="36">
        <v>1.0604639637027968</v>
      </c>
      <c r="AG111" s="36">
        <v>1.0604639637027968</v>
      </c>
      <c r="AH111" s="36">
        <v>1.0604639637027968</v>
      </c>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BG111" s="1"/>
      <c r="BH111" s="12">
        <f t="shared" si="46"/>
        <v>154.35</v>
      </c>
      <c r="BI111" s="12">
        <f t="shared" si="47"/>
        <v>154.22</v>
      </c>
      <c r="BJ111" s="12">
        <f t="shared" si="48"/>
        <v>154.44999999999999</v>
      </c>
      <c r="BK111" s="12">
        <f t="shared" si="49"/>
        <v>81.42</v>
      </c>
      <c r="BL111" s="12">
        <f t="shared" si="50"/>
        <v>61.58</v>
      </c>
      <c r="BM111" s="12">
        <f t="shared" si="51"/>
        <v>61.28</v>
      </c>
      <c r="BN111" s="12">
        <f t="shared" si="52"/>
        <v>60.62</v>
      </c>
      <c r="BO111" s="12">
        <f t="shared" si="53"/>
        <v>81.2</v>
      </c>
      <c r="BP111" s="12">
        <f t="shared" si="54"/>
        <v>132.66</v>
      </c>
      <c r="BQ111" s="12">
        <f t="shared" si="55"/>
        <v>148.47</v>
      </c>
      <c r="BR111" s="12">
        <f t="shared" si="56"/>
        <v>148.47</v>
      </c>
      <c r="BS111" s="12">
        <f t="shared" si="57"/>
        <v>106.05</v>
      </c>
      <c r="BT111" s="1"/>
      <c r="BU111" s="11">
        <f t="shared" si="58"/>
        <v>154.35</v>
      </c>
      <c r="BV111" s="11">
        <f t="shared" si="59"/>
        <v>154.22</v>
      </c>
      <c r="BW111" s="11">
        <f t="shared" si="60"/>
        <v>154.44999999999999</v>
      </c>
      <c r="BX111" s="11">
        <f t="shared" si="61"/>
        <v>81.42</v>
      </c>
      <c r="BY111" s="11">
        <f t="shared" si="62"/>
        <v>61.58</v>
      </c>
      <c r="BZ111" s="11">
        <f t="shared" si="63"/>
        <v>61.28</v>
      </c>
      <c r="CA111" s="11">
        <f t="shared" si="64"/>
        <v>60.62</v>
      </c>
      <c r="CB111" s="11">
        <f t="shared" si="65"/>
        <v>81.2</v>
      </c>
      <c r="CC111" s="11">
        <f t="shared" si="66"/>
        <v>132.66</v>
      </c>
      <c r="CD111" s="11">
        <f t="shared" si="67"/>
        <v>148.47</v>
      </c>
      <c r="CE111" s="11">
        <f t="shared" si="68"/>
        <v>148.47</v>
      </c>
      <c r="CF111" s="11">
        <f t="shared" si="69"/>
        <v>106.05</v>
      </c>
      <c r="CG111" s="11"/>
      <c r="CH111" s="41">
        <v>1</v>
      </c>
      <c r="CI111" s="1"/>
      <c r="CJ111" s="53">
        <f t="shared" si="70"/>
        <v>149997</v>
      </c>
      <c r="CK111" s="53">
        <f t="shared" si="71"/>
        <v>150001</v>
      </c>
      <c r="CL111" s="53">
        <f t="shared" si="72"/>
        <v>150004</v>
      </c>
      <c r="CM111" s="53">
        <f t="shared" si="73"/>
        <v>79996</v>
      </c>
      <c r="CN111" s="53">
        <f t="shared" si="74"/>
        <v>60000</v>
      </c>
      <c r="CO111" s="53">
        <f t="shared" si="75"/>
        <v>59995</v>
      </c>
      <c r="CP111" s="53">
        <f t="shared" si="76"/>
        <v>59997</v>
      </c>
      <c r="CQ111" s="53">
        <f t="shared" si="77"/>
        <v>79996</v>
      </c>
      <c r="CR111" s="53">
        <f t="shared" si="78"/>
        <v>129999</v>
      </c>
      <c r="CS111" s="53">
        <f t="shared" si="79"/>
        <v>140005</v>
      </c>
      <c r="CT111" s="53">
        <f t="shared" si="80"/>
        <v>140005</v>
      </c>
      <c r="CU111" s="53">
        <f t="shared" si="81"/>
        <v>100003</v>
      </c>
      <c r="CV111" s="53">
        <f t="shared" si="84"/>
        <v>1299998</v>
      </c>
      <c r="CW111" s="1"/>
      <c r="CX111" s="1"/>
      <c r="CY111" s="1"/>
      <c r="CZ111" s="1"/>
      <c r="DA111" s="1"/>
      <c r="DB111" s="1"/>
      <c r="DC111" s="1"/>
      <c r="DD111" s="1"/>
      <c r="DE111" s="1"/>
      <c r="DF111" s="1"/>
      <c r="DG111" s="1"/>
      <c r="DH111" s="1"/>
      <c r="DI111" s="1"/>
      <c r="DJ111" s="1"/>
      <c r="DK111" s="1"/>
      <c r="DL111" s="1"/>
    </row>
    <row r="112" spans="1:116" ht="15.75" hidden="1" x14ac:dyDescent="0.25">
      <c r="A112" s="17"/>
      <c r="B112" s="17"/>
      <c r="C112" s="17"/>
      <c r="D112" s="17"/>
      <c r="E112" s="17"/>
      <c r="F112" s="33" t="s">
        <v>18</v>
      </c>
      <c r="G112" s="55">
        <v>197.03</v>
      </c>
      <c r="H112" s="55">
        <v>196.86</v>
      </c>
      <c r="I112" s="55">
        <v>150.76</v>
      </c>
      <c r="J112" s="55">
        <v>114.63</v>
      </c>
      <c r="K112" s="55">
        <v>80.92</v>
      </c>
      <c r="L112" s="55">
        <v>57.52</v>
      </c>
      <c r="M112" s="55">
        <v>56.9</v>
      </c>
      <c r="N112" s="55">
        <v>91.46</v>
      </c>
      <c r="O112" s="55">
        <v>126.43</v>
      </c>
      <c r="P112" s="55">
        <v>179.16</v>
      </c>
      <c r="Q112" s="55">
        <v>179.16</v>
      </c>
      <c r="R112" s="55">
        <v>155.27000000000001</v>
      </c>
      <c r="S112" s="11">
        <f t="shared" si="45"/>
        <v>1586.1000000000001</v>
      </c>
      <c r="T112" s="8">
        <f t="shared" si="82"/>
        <v>-1.4431624739928187E-2</v>
      </c>
      <c r="U112" s="13" t="s">
        <v>23</v>
      </c>
      <c r="V112" s="50">
        <f t="shared" si="83"/>
        <v>1360011</v>
      </c>
      <c r="W112" s="36">
        <v>1.1589795687529427</v>
      </c>
      <c r="X112" s="36">
        <v>1.1579707319329817</v>
      </c>
      <c r="Y112" s="36">
        <v>1.1596763430750958</v>
      </c>
      <c r="Z112" s="36">
        <v>1.1463407887644621</v>
      </c>
      <c r="AA112" s="36">
        <v>1.1559583180044111</v>
      </c>
      <c r="AB112" s="36">
        <v>1.1504086150314361</v>
      </c>
      <c r="AC112" s="36">
        <v>1.1379886406029089</v>
      </c>
      <c r="AD112" s="36">
        <v>1.143249456366253</v>
      </c>
      <c r="AE112" s="36">
        <v>1.149346151018269</v>
      </c>
      <c r="AF112" s="36">
        <v>1.1943948267826381</v>
      </c>
      <c r="AG112" s="36">
        <v>1.1943948267826381</v>
      </c>
      <c r="AH112" s="36">
        <v>1.1943948267826381</v>
      </c>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BG112" s="1"/>
      <c r="BH112" s="12">
        <f t="shared" si="46"/>
        <v>197.03</v>
      </c>
      <c r="BI112" s="12">
        <f t="shared" si="47"/>
        <v>196.86</v>
      </c>
      <c r="BJ112" s="12">
        <f t="shared" si="48"/>
        <v>150.76</v>
      </c>
      <c r="BK112" s="12">
        <f t="shared" si="49"/>
        <v>114.63</v>
      </c>
      <c r="BL112" s="12">
        <f t="shared" si="50"/>
        <v>80.92</v>
      </c>
      <c r="BM112" s="12">
        <f t="shared" si="51"/>
        <v>57.52</v>
      </c>
      <c r="BN112" s="12">
        <f t="shared" si="52"/>
        <v>56.9</v>
      </c>
      <c r="BO112" s="12">
        <f t="shared" si="53"/>
        <v>91.46</v>
      </c>
      <c r="BP112" s="12">
        <f t="shared" si="54"/>
        <v>126.43</v>
      </c>
      <c r="BQ112" s="12">
        <f t="shared" si="55"/>
        <v>179.16</v>
      </c>
      <c r="BR112" s="12">
        <f t="shared" si="56"/>
        <v>179.16</v>
      </c>
      <c r="BS112" s="12">
        <f t="shared" si="57"/>
        <v>155.27000000000001</v>
      </c>
      <c r="BT112" s="1"/>
      <c r="BU112" s="11">
        <f t="shared" si="58"/>
        <v>197.03</v>
      </c>
      <c r="BV112" s="11">
        <f t="shared" si="59"/>
        <v>196.86</v>
      </c>
      <c r="BW112" s="11">
        <f t="shared" si="60"/>
        <v>150.76</v>
      </c>
      <c r="BX112" s="11">
        <f t="shared" si="61"/>
        <v>114.63</v>
      </c>
      <c r="BY112" s="11">
        <f t="shared" si="62"/>
        <v>80.92</v>
      </c>
      <c r="BZ112" s="11">
        <f t="shared" si="63"/>
        <v>57.52</v>
      </c>
      <c r="CA112" s="11">
        <f t="shared" si="64"/>
        <v>56.9</v>
      </c>
      <c r="CB112" s="11">
        <f t="shared" si="65"/>
        <v>91.46</v>
      </c>
      <c r="CC112" s="11">
        <f t="shared" si="66"/>
        <v>126.43</v>
      </c>
      <c r="CD112" s="11">
        <f t="shared" si="67"/>
        <v>179.16</v>
      </c>
      <c r="CE112" s="11">
        <f t="shared" si="68"/>
        <v>179.16</v>
      </c>
      <c r="CF112" s="11">
        <f t="shared" si="69"/>
        <v>155.27000000000001</v>
      </c>
      <c r="CG112" s="11"/>
      <c r="CH112" s="41">
        <v>1</v>
      </c>
      <c r="CI112" s="1"/>
      <c r="CJ112" s="53">
        <f t="shared" si="70"/>
        <v>170003</v>
      </c>
      <c r="CK112" s="53">
        <f t="shared" si="71"/>
        <v>170004</v>
      </c>
      <c r="CL112" s="53">
        <f t="shared" si="72"/>
        <v>130002</v>
      </c>
      <c r="CM112" s="53">
        <f t="shared" si="73"/>
        <v>99996</v>
      </c>
      <c r="CN112" s="53">
        <f t="shared" si="74"/>
        <v>70003</v>
      </c>
      <c r="CO112" s="53">
        <f t="shared" si="75"/>
        <v>50000</v>
      </c>
      <c r="CP112" s="53">
        <f t="shared" si="76"/>
        <v>50000</v>
      </c>
      <c r="CQ112" s="53">
        <f t="shared" si="77"/>
        <v>80000</v>
      </c>
      <c r="CR112" s="53">
        <f t="shared" si="78"/>
        <v>110002</v>
      </c>
      <c r="CS112" s="53">
        <f t="shared" si="79"/>
        <v>150001</v>
      </c>
      <c r="CT112" s="53">
        <f t="shared" si="80"/>
        <v>150001</v>
      </c>
      <c r="CU112" s="53">
        <f t="shared" si="81"/>
        <v>129999</v>
      </c>
      <c r="CV112" s="53">
        <f t="shared" si="84"/>
        <v>1360011</v>
      </c>
      <c r="CW112" s="1"/>
      <c r="CX112" s="1"/>
      <c r="CY112" s="1"/>
      <c r="CZ112" s="1"/>
      <c r="DA112" s="1"/>
      <c r="DB112" s="1"/>
      <c r="DC112" s="1"/>
      <c r="DD112" s="1"/>
      <c r="DE112" s="1"/>
      <c r="DF112" s="1"/>
      <c r="DG112" s="1"/>
      <c r="DH112" s="1"/>
      <c r="DI112" s="1"/>
      <c r="DJ112" s="1"/>
      <c r="DK112" s="1"/>
      <c r="DL112" s="1"/>
    </row>
    <row r="113" spans="1:116" ht="15.75" hidden="1" x14ac:dyDescent="0.25">
      <c r="A113" s="17"/>
      <c r="B113" s="17"/>
      <c r="C113" s="17"/>
      <c r="D113" s="17"/>
      <c r="E113" s="17"/>
      <c r="F113" s="33" t="s">
        <v>18</v>
      </c>
      <c r="G113" s="55">
        <v>39.14</v>
      </c>
      <c r="H113" s="55">
        <v>0</v>
      </c>
      <c r="I113" s="55">
        <v>0</v>
      </c>
      <c r="J113" s="55">
        <v>0</v>
      </c>
      <c r="K113" s="55">
        <v>39.14</v>
      </c>
      <c r="L113" s="55">
        <v>0</v>
      </c>
      <c r="M113" s="55">
        <v>0</v>
      </c>
      <c r="N113" s="55">
        <v>39.14</v>
      </c>
      <c r="O113" s="55">
        <v>0</v>
      </c>
      <c r="P113" s="55">
        <v>0</v>
      </c>
      <c r="Q113" s="55">
        <v>0</v>
      </c>
      <c r="R113" s="55">
        <v>39.14</v>
      </c>
      <c r="S113" s="11">
        <f t="shared" si="45"/>
        <v>156.56</v>
      </c>
      <c r="T113" s="8">
        <f t="shared" si="82"/>
        <v>0.24999999999999992</v>
      </c>
      <c r="U113" s="13" t="s">
        <v>23</v>
      </c>
      <c r="V113" s="50">
        <f t="shared" si="83"/>
        <v>17280</v>
      </c>
      <c r="W113" s="36">
        <v>9.0599999999999987</v>
      </c>
      <c r="X113" s="36">
        <v>0</v>
      </c>
      <c r="Y113" s="36">
        <v>0</v>
      </c>
      <c r="Z113" s="36">
        <v>0</v>
      </c>
      <c r="AA113" s="36">
        <v>9.0599999999999987</v>
      </c>
      <c r="AB113" s="36">
        <v>0</v>
      </c>
      <c r="AC113" s="36">
        <v>0</v>
      </c>
      <c r="AD113" s="36">
        <v>9.0599999999999987</v>
      </c>
      <c r="AE113" s="36">
        <v>0</v>
      </c>
      <c r="AF113" s="36">
        <v>0</v>
      </c>
      <c r="AG113" s="36">
        <v>0</v>
      </c>
      <c r="AH113" s="36">
        <v>9.0599999999999987</v>
      </c>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BG113" s="1"/>
      <c r="BH113" s="12">
        <f t="shared" si="46"/>
        <v>39.14</v>
      </c>
      <c r="BI113" s="12">
        <f t="shared" si="47"/>
        <v>0</v>
      </c>
      <c r="BJ113" s="12">
        <f t="shared" si="48"/>
        <v>0</v>
      </c>
      <c r="BK113" s="12">
        <f t="shared" si="49"/>
        <v>0</v>
      </c>
      <c r="BL113" s="12">
        <f t="shared" si="50"/>
        <v>39.14</v>
      </c>
      <c r="BM113" s="12">
        <f t="shared" si="51"/>
        <v>0</v>
      </c>
      <c r="BN113" s="12">
        <f t="shared" si="52"/>
        <v>0</v>
      </c>
      <c r="BO113" s="12">
        <f t="shared" si="53"/>
        <v>39.14</v>
      </c>
      <c r="BP113" s="12">
        <f t="shared" si="54"/>
        <v>0</v>
      </c>
      <c r="BQ113" s="12">
        <f t="shared" si="55"/>
        <v>0</v>
      </c>
      <c r="BR113" s="12">
        <f t="shared" si="56"/>
        <v>0</v>
      </c>
      <c r="BS113" s="12">
        <f t="shared" si="57"/>
        <v>39.14</v>
      </c>
      <c r="BT113" s="1"/>
      <c r="BU113" s="11">
        <f t="shared" si="58"/>
        <v>39.14</v>
      </c>
      <c r="BV113" s="11">
        <f t="shared" si="59"/>
        <v>0</v>
      </c>
      <c r="BW113" s="11">
        <f t="shared" si="60"/>
        <v>0</v>
      </c>
      <c r="BX113" s="11">
        <f t="shared" si="61"/>
        <v>0</v>
      </c>
      <c r="BY113" s="11">
        <f t="shared" si="62"/>
        <v>39.14</v>
      </c>
      <c r="BZ113" s="11">
        <f t="shared" si="63"/>
        <v>0</v>
      </c>
      <c r="CA113" s="11">
        <f t="shared" si="64"/>
        <v>0</v>
      </c>
      <c r="CB113" s="11">
        <f t="shared" si="65"/>
        <v>39.14</v>
      </c>
      <c r="CC113" s="11">
        <f t="shared" si="66"/>
        <v>0</v>
      </c>
      <c r="CD113" s="11">
        <f t="shared" si="67"/>
        <v>0</v>
      </c>
      <c r="CE113" s="11">
        <f t="shared" si="68"/>
        <v>0</v>
      </c>
      <c r="CF113" s="11">
        <f t="shared" si="69"/>
        <v>39.14</v>
      </c>
      <c r="CG113" s="11"/>
      <c r="CH113" s="41">
        <v>1</v>
      </c>
      <c r="CI113" s="1"/>
      <c r="CJ113" s="53">
        <f t="shared" si="70"/>
        <v>4320</v>
      </c>
      <c r="CK113" s="53">
        <f t="shared" si="71"/>
        <v>0</v>
      </c>
      <c r="CL113" s="53">
        <f t="shared" si="72"/>
        <v>0</v>
      </c>
      <c r="CM113" s="53">
        <f t="shared" si="73"/>
        <v>0</v>
      </c>
      <c r="CN113" s="53">
        <f t="shared" si="74"/>
        <v>4320</v>
      </c>
      <c r="CO113" s="53">
        <f t="shared" si="75"/>
        <v>0</v>
      </c>
      <c r="CP113" s="53">
        <f t="shared" si="76"/>
        <v>0</v>
      </c>
      <c r="CQ113" s="53">
        <f t="shared" si="77"/>
        <v>4320</v>
      </c>
      <c r="CR113" s="53">
        <f t="shared" si="78"/>
        <v>0</v>
      </c>
      <c r="CS113" s="53">
        <f t="shared" si="79"/>
        <v>0</v>
      </c>
      <c r="CT113" s="53">
        <f t="shared" si="80"/>
        <v>0</v>
      </c>
      <c r="CU113" s="53">
        <f t="shared" si="81"/>
        <v>4320</v>
      </c>
      <c r="CV113" s="53">
        <f t="shared" si="84"/>
        <v>17280</v>
      </c>
      <c r="CW113" s="1"/>
      <c r="CX113" s="1"/>
      <c r="CY113" s="1"/>
      <c r="CZ113" s="1"/>
      <c r="DA113" s="1"/>
      <c r="DB113" s="1"/>
      <c r="DC113" s="1"/>
      <c r="DD113" s="1"/>
      <c r="DE113" s="1"/>
      <c r="DF113" s="1"/>
      <c r="DG113" s="1"/>
      <c r="DH113" s="1"/>
      <c r="DI113" s="1"/>
      <c r="DJ113" s="1"/>
      <c r="DK113" s="1"/>
      <c r="DL113" s="1"/>
    </row>
    <row r="114" spans="1:116" ht="15.75" hidden="1" x14ac:dyDescent="0.25">
      <c r="A114" s="17"/>
      <c r="B114" s="17"/>
      <c r="C114" s="17"/>
      <c r="D114" s="17"/>
      <c r="E114" s="17"/>
      <c r="F114" s="33" t="s">
        <v>18</v>
      </c>
      <c r="G114" s="55">
        <v>0</v>
      </c>
      <c r="H114" s="55">
        <v>8.7899999999999991</v>
      </c>
      <c r="I114" s="55">
        <v>0</v>
      </c>
      <c r="J114" s="55">
        <v>8.7899999999999991</v>
      </c>
      <c r="K114" s="55">
        <v>0</v>
      </c>
      <c r="L114" s="55">
        <v>8.7899999999999991</v>
      </c>
      <c r="M114" s="55">
        <v>0</v>
      </c>
      <c r="N114" s="55">
        <v>0</v>
      </c>
      <c r="O114" s="55">
        <v>0</v>
      </c>
      <c r="P114" s="55">
        <v>0</v>
      </c>
      <c r="Q114" s="55">
        <v>0</v>
      </c>
      <c r="R114" s="55">
        <v>8.7899999999999991</v>
      </c>
      <c r="S114" s="11">
        <f t="shared" si="45"/>
        <v>35.159999999999997</v>
      </c>
      <c r="T114" s="8">
        <f t="shared" si="82"/>
        <v>1.0756541524459613</v>
      </c>
      <c r="U114" s="13" t="s">
        <v>23</v>
      </c>
      <c r="V114" s="50">
        <f t="shared" si="83"/>
        <v>20804</v>
      </c>
      <c r="W114" s="36">
        <v>0</v>
      </c>
      <c r="X114" s="36">
        <v>1.69</v>
      </c>
      <c r="Y114" s="36">
        <v>0</v>
      </c>
      <c r="Z114" s="36">
        <v>1.69</v>
      </c>
      <c r="AA114" s="36">
        <v>0</v>
      </c>
      <c r="AB114" s="36">
        <v>1.69</v>
      </c>
      <c r="AC114" s="36">
        <v>0</v>
      </c>
      <c r="AD114" s="36">
        <v>0</v>
      </c>
      <c r="AE114" s="36">
        <v>0</v>
      </c>
      <c r="AF114" s="36">
        <v>0</v>
      </c>
      <c r="AG114" s="36">
        <v>0</v>
      </c>
      <c r="AH114" s="36">
        <v>1.69</v>
      </c>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BG114" s="1"/>
      <c r="BH114" s="12">
        <f t="shared" si="46"/>
        <v>0</v>
      </c>
      <c r="BI114" s="12">
        <f t="shared" si="47"/>
        <v>8.7899999999999991</v>
      </c>
      <c r="BJ114" s="12">
        <f t="shared" si="48"/>
        <v>0</v>
      </c>
      <c r="BK114" s="12">
        <f t="shared" si="49"/>
        <v>8.7899999999999991</v>
      </c>
      <c r="BL114" s="12">
        <f t="shared" si="50"/>
        <v>0</v>
      </c>
      <c r="BM114" s="12">
        <f t="shared" si="51"/>
        <v>8.7899999999999991</v>
      </c>
      <c r="BN114" s="12">
        <f t="shared" si="52"/>
        <v>0</v>
      </c>
      <c r="BO114" s="12">
        <f t="shared" si="53"/>
        <v>0</v>
      </c>
      <c r="BP114" s="12">
        <f t="shared" si="54"/>
        <v>0</v>
      </c>
      <c r="BQ114" s="12">
        <f t="shared" si="55"/>
        <v>0</v>
      </c>
      <c r="BR114" s="12">
        <f t="shared" si="56"/>
        <v>0</v>
      </c>
      <c r="BS114" s="12">
        <f t="shared" si="57"/>
        <v>8.7899999999999991</v>
      </c>
      <c r="BT114" s="1"/>
      <c r="BU114" s="11">
        <f t="shared" si="58"/>
        <v>0</v>
      </c>
      <c r="BV114" s="11">
        <f t="shared" si="59"/>
        <v>8.7899999999999991</v>
      </c>
      <c r="BW114" s="11">
        <f t="shared" si="60"/>
        <v>0</v>
      </c>
      <c r="BX114" s="11">
        <f t="shared" si="61"/>
        <v>8.7899999999999991</v>
      </c>
      <c r="BY114" s="11">
        <f t="shared" si="62"/>
        <v>0</v>
      </c>
      <c r="BZ114" s="11">
        <f t="shared" si="63"/>
        <v>8.7899999999999991</v>
      </c>
      <c r="CA114" s="11">
        <f t="shared" si="64"/>
        <v>0</v>
      </c>
      <c r="CB114" s="11">
        <f t="shared" si="65"/>
        <v>0</v>
      </c>
      <c r="CC114" s="11">
        <f t="shared" si="66"/>
        <v>0</v>
      </c>
      <c r="CD114" s="11">
        <f t="shared" si="67"/>
        <v>0</v>
      </c>
      <c r="CE114" s="11">
        <f t="shared" si="68"/>
        <v>0</v>
      </c>
      <c r="CF114" s="11">
        <f t="shared" si="69"/>
        <v>8.7899999999999991</v>
      </c>
      <c r="CG114" s="11"/>
      <c r="CH114" s="41">
        <v>1</v>
      </c>
      <c r="CI114" s="1"/>
      <c r="CJ114" s="53">
        <f t="shared" si="70"/>
        <v>0</v>
      </c>
      <c r="CK114" s="53">
        <f t="shared" si="71"/>
        <v>5201</v>
      </c>
      <c r="CL114" s="53">
        <f t="shared" si="72"/>
        <v>0</v>
      </c>
      <c r="CM114" s="53">
        <f t="shared" si="73"/>
        <v>5201</v>
      </c>
      <c r="CN114" s="53">
        <f t="shared" si="74"/>
        <v>0</v>
      </c>
      <c r="CO114" s="53">
        <f t="shared" si="75"/>
        <v>5201</v>
      </c>
      <c r="CP114" s="53">
        <f t="shared" si="76"/>
        <v>0</v>
      </c>
      <c r="CQ114" s="53">
        <f t="shared" si="77"/>
        <v>0</v>
      </c>
      <c r="CR114" s="53">
        <f t="shared" si="78"/>
        <v>0</v>
      </c>
      <c r="CS114" s="53">
        <f t="shared" si="79"/>
        <v>0</v>
      </c>
      <c r="CT114" s="53">
        <f t="shared" si="80"/>
        <v>0</v>
      </c>
      <c r="CU114" s="53">
        <f t="shared" si="81"/>
        <v>5201</v>
      </c>
      <c r="CV114" s="53">
        <f t="shared" si="84"/>
        <v>20804</v>
      </c>
      <c r="CW114" s="1"/>
      <c r="CX114" s="1"/>
      <c r="CY114" s="1"/>
      <c r="CZ114" s="1"/>
      <c r="DA114" s="1"/>
      <c r="DB114" s="1"/>
      <c r="DC114" s="1"/>
      <c r="DD114" s="1"/>
      <c r="DE114" s="1"/>
      <c r="DF114" s="1"/>
      <c r="DG114" s="1"/>
      <c r="DH114" s="1"/>
      <c r="DI114" s="1"/>
      <c r="DJ114" s="1"/>
      <c r="DK114" s="1"/>
      <c r="DL114" s="1"/>
    </row>
    <row r="115" spans="1:116" ht="15.75" hidden="1" x14ac:dyDescent="0.25">
      <c r="A115" s="17"/>
      <c r="B115" s="17"/>
      <c r="C115" s="17"/>
      <c r="D115" s="17"/>
      <c r="E115" s="17"/>
      <c r="F115" s="33" t="s">
        <v>18</v>
      </c>
      <c r="G115" s="55">
        <v>0</v>
      </c>
      <c r="H115" s="55">
        <v>9.57</v>
      </c>
      <c r="I115" s="55">
        <v>0</v>
      </c>
      <c r="J115" s="55">
        <v>9.57</v>
      </c>
      <c r="K115" s="55">
        <v>0</v>
      </c>
      <c r="L115" s="55">
        <v>9.57</v>
      </c>
      <c r="M115" s="55">
        <v>0</v>
      </c>
      <c r="N115" s="55">
        <v>0</v>
      </c>
      <c r="O115" s="55">
        <v>0</v>
      </c>
      <c r="P115" s="55">
        <v>0</v>
      </c>
      <c r="Q115" s="55">
        <v>0</v>
      </c>
      <c r="R115" s="55">
        <v>9.57</v>
      </c>
      <c r="S115" s="11">
        <f t="shared" si="45"/>
        <v>38.28</v>
      </c>
      <c r="T115" s="8">
        <f t="shared" si="82"/>
        <v>1.8879310344827589</v>
      </c>
      <c r="U115" s="13" t="s">
        <v>23</v>
      </c>
      <c r="V115" s="50">
        <f t="shared" si="83"/>
        <v>20804</v>
      </c>
      <c r="W115" s="36">
        <v>0</v>
      </c>
      <c r="X115" s="36">
        <v>1.8400042089999999</v>
      </c>
      <c r="Y115" s="36">
        <v>0</v>
      </c>
      <c r="Z115" s="36">
        <v>1.8400042089999999</v>
      </c>
      <c r="AA115" s="36">
        <v>0</v>
      </c>
      <c r="AB115" s="36">
        <v>1.8400042089999999</v>
      </c>
      <c r="AC115" s="36">
        <v>0</v>
      </c>
      <c r="AD115" s="36">
        <v>0</v>
      </c>
      <c r="AE115" s="36">
        <v>0</v>
      </c>
      <c r="AF115" s="36">
        <v>0</v>
      </c>
      <c r="AG115" s="36">
        <v>0</v>
      </c>
      <c r="AH115" s="36">
        <v>1.8400042089999999</v>
      </c>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BG115" s="1"/>
      <c r="BH115" s="12">
        <f t="shared" si="46"/>
        <v>0</v>
      </c>
      <c r="BI115" s="12">
        <f t="shared" si="47"/>
        <v>9.57</v>
      </c>
      <c r="BJ115" s="12">
        <f t="shared" si="48"/>
        <v>0</v>
      </c>
      <c r="BK115" s="12">
        <f t="shared" si="49"/>
        <v>9.57</v>
      </c>
      <c r="BL115" s="12">
        <f t="shared" si="50"/>
        <v>0</v>
      </c>
      <c r="BM115" s="12">
        <f t="shared" si="51"/>
        <v>9.57</v>
      </c>
      <c r="BN115" s="12">
        <f t="shared" si="52"/>
        <v>0</v>
      </c>
      <c r="BO115" s="12">
        <f t="shared" si="53"/>
        <v>0</v>
      </c>
      <c r="BP115" s="12">
        <f t="shared" si="54"/>
        <v>0</v>
      </c>
      <c r="BQ115" s="12">
        <f t="shared" si="55"/>
        <v>0</v>
      </c>
      <c r="BR115" s="12">
        <f t="shared" si="56"/>
        <v>0</v>
      </c>
      <c r="BS115" s="12">
        <f t="shared" si="57"/>
        <v>9.57</v>
      </c>
      <c r="BT115" s="1"/>
      <c r="BU115" s="11">
        <f t="shared" si="58"/>
        <v>0</v>
      </c>
      <c r="BV115" s="11">
        <f t="shared" si="59"/>
        <v>9.57</v>
      </c>
      <c r="BW115" s="11">
        <f t="shared" si="60"/>
        <v>0</v>
      </c>
      <c r="BX115" s="11">
        <f t="shared" si="61"/>
        <v>9.57</v>
      </c>
      <c r="BY115" s="11">
        <f t="shared" si="62"/>
        <v>0</v>
      </c>
      <c r="BZ115" s="11">
        <f t="shared" si="63"/>
        <v>9.57</v>
      </c>
      <c r="CA115" s="11">
        <f t="shared" si="64"/>
        <v>0</v>
      </c>
      <c r="CB115" s="11">
        <f t="shared" si="65"/>
        <v>0</v>
      </c>
      <c r="CC115" s="11">
        <f t="shared" si="66"/>
        <v>0</v>
      </c>
      <c r="CD115" s="11">
        <f t="shared" si="67"/>
        <v>0</v>
      </c>
      <c r="CE115" s="11">
        <f t="shared" si="68"/>
        <v>0</v>
      </c>
      <c r="CF115" s="11">
        <f t="shared" si="69"/>
        <v>9.57</v>
      </c>
      <c r="CG115" s="11"/>
      <c r="CH115" s="41">
        <v>1</v>
      </c>
      <c r="CI115" s="1"/>
      <c r="CJ115" s="53">
        <f t="shared" si="70"/>
        <v>0</v>
      </c>
      <c r="CK115" s="53">
        <f t="shared" si="71"/>
        <v>5201</v>
      </c>
      <c r="CL115" s="53">
        <f t="shared" si="72"/>
        <v>0</v>
      </c>
      <c r="CM115" s="53">
        <f t="shared" si="73"/>
        <v>5201</v>
      </c>
      <c r="CN115" s="53">
        <f t="shared" si="74"/>
        <v>0</v>
      </c>
      <c r="CO115" s="53">
        <f t="shared" si="75"/>
        <v>5201</v>
      </c>
      <c r="CP115" s="53">
        <f t="shared" si="76"/>
        <v>0</v>
      </c>
      <c r="CQ115" s="53">
        <f t="shared" si="77"/>
        <v>0</v>
      </c>
      <c r="CR115" s="53">
        <f t="shared" si="78"/>
        <v>0</v>
      </c>
      <c r="CS115" s="53">
        <f t="shared" si="79"/>
        <v>0</v>
      </c>
      <c r="CT115" s="53">
        <f t="shared" si="80"/>
        <v>0</v>
      </c>
      <c r="CU115" s="53">
        <f t="shared" si="81"/>
        <v>5201</v>
      </c>
      <c r="CV115" s="53">
        <f t="shared" si="84"/>
        <v>20804</v>
      </c>
      <c r="CW115" s="1"/>
      <c r="CX115" s="1"/>
      <c r="CY115" s="1"/>
      <c r="CZ115" s="1"/>
      <c r="DA115" s="1"/>
      <c r="DB115" s="1"/>
      <c r="DC115" s="1"/>
      <c r="DD115" s="1"/>
      <c r="DE115" s="1"/>
      <c r="DF115" s="1"/>
      <c r="DG115" s="1"/>
      <c r="DH115" s="1"/>
      <c r="DI115" s="1"/>
      <c r="DJ115" s="1"/>
      <c r="DK115" s="1"/>
      <c r="DL115" s="1"/>
    </row>
    <row r="116" spans="1:116" ht="15.75" hidden="1" x14ac:dyDescent="0.25">
      <c r="A116" s="17"/>
      <c r="B116" s="17"/>
      <c r="C116" s="17"/>
      <c r="D116" s="17"/>
      <c r="E116" s="17"/>
      <c r="F116" s="33" t="s">
        <v>18</v>
      </c>
      <c r="G116" s="55">
        <v>0</v>
      </c>
      <c r="H116" s="55">
        <v>0</v>
      </c>
      <c r="I116" s="55">
        <v>0</v>
      </c>
      <c r="J116" s="55">
        <v>0</v>
      </c>
      <c r="K116" s="55">
        <v>0</v>
      </c>
      <c r="L116" s="55">
        <v>0</v>
      </c>
      <c r="M116" s="55">
        <v>0</v>
      </c>
      <c r="N116" s="55">
        <v>0</v>
      </c>
      <c r="O116" s="55">
        <v>0</v>
      </c>
      <c r="P116" s="55">
        <v>0</v>
      </c>
      <c r="Q116" s="55">
        <v>0</v>
      </c>
      <c r="R116" s="55">
        <v>0</v>
      </c>
      <c r="S116" s="11">
        <f t="shared" si="45"/>
        <v>0</v>
      </c>
      <c r="T116" s="8">
        <f t="shared" si="82"/>
        <v>0</v>
      </c>
      <c r="U116" s="13" t="s">
        <v>23</v>
      </c>
      <c r="V116" s="50">
        <f t="shared" si="83"/>
        <v>0</v>
      </c>
      <c r="W116" s="36">
        <v>0</v>
      </c>
      <c r="X116" s="36"/>
      <c r="Y116" s="36"/>
      <c r="Z116" s="36"/>
      <c r="AA116" s="36"/>
      <c r="AB116" s="36"/>
      <c r="AC116" s="36"/>
      <c r="AD116" s="36"/>
      <c r="AE116" s="36"/>
      <c r="AF116" s="36"/>
      <c r="AG116" s="36"/>
      <c r="AH116" s="36"/>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BG116" s="1"/>
      <c r="BH116" s="12">
        <f t="shared" si="46"/>
        <v>0</v>
      </c>
      <c r="BI116" s="12">
        <f t="shared" si="47"/>
        <v>0</v>
      </c>
      <c r="BJ116" s="12">
        <f t="shared" si="48"/>
        <v>0</v>
      </c>
      <c r="BK116" s="12">
        <f t="shared" si="49"/>
        <v>0</v>
      </c>
      <c r="BL116" s="12">
        <f t="shared" si="50"/>
        <v>0</v>
      </c>
      <c r="BM116" s="12">
        <f t="shared" si="51"/>
        <v>0</v>
      </c>
      <c r="BN116" s="12">
        <f t="shared" si="52"/>
        <v>0</v>
      </c>
      <c r="BO116" s="12">
        <f t="shared" si="53"/>
        <v>0</v>
      </c>
      <c r="BP116" s="12">
        <f t="shared" si="54"/>
        <v>0</v>
      </c>
      <c r="BQ116" s="12">
        <f t="shared" si="55"/>
        <v>0</v>
      </c>
      <c r="BR116" s="12">
        <f t="shared" si="56"/>
        <v>0</v>
      </c>
      <c r="BS116" s="12">
        <f t="shared" si="57"/>
        <v>0</v>
      </c>
      <c r="BT116" s="1"/>
      <c r="BU116" s="11">
        <f t="shared" si="58"/>
        <v>0</v>
      </c>
      <c r="BV116" s="11">
        <f t="shared" si="59"/>
        <v>0</v>
      </c>
      <c r="BW116" s="11">
        <f t="shared" si="60"/>
        <v>0</v>
      </c>
      <c r="BX116" s="11">
        <f t="shared" si="61"/>
        <v>0</v>
      </c>
      <c r="BY116" s="11">
        <f t="shared" si="62"/>
        <v>0</v>
      </c>
      <c r="BZ116" s="11">
        <f t="shared" si="63"/>
        <v>0</v>
      </c>
      <c r="CA116" s="11">
        <f t="shared" si="64"/>
        <v>0</v>
      </c>
      <c r="CB116" s="11">
        <f t="shared" si="65"/>
        <v>0</v>
      </c>
      <c r="CC116" s="11">
        <f t="shared" si="66"/>
        <v>0</v>
      </c>
      <c r="CD116" s="11">
        <f t="shared" si="67"/>
        <v>0</v>
      </c>
      <c r="CE116" s="11">
        <f t="shared" si="68"/>
        <v>0</v>
      </c>
      <c r="CF116" s="11">
        <f t="shared" si="69"/>
        <v>0</v>
      </c>
      <c r="CG116" s="11"/>
      <c r="CH116" s="41">
        <v>1</v>
      </c>
      <c r="CI116" s="1"/>
      <c r="CJ116" s="53">
        <f t="shared" si="70"/>
        <v>0</v>
      </c>
      <c r="CK116" s="53">
        <f t="shared" si="71"/>
        <v>0</v>
      </c>
      <c r="CL116" s="53">
        <f t="shared" si="72"/>
        <v>0</v>
      </c>
      <c r="CM116" s="53">
        <f t="shared" si="73"/>
        <v>0</v>
      </c>
      <c r="CN116" s="53">
        <f t="shared" si="74"/>
        <v>0</v>
      </c>
      <c r="CO116" s="53">
        <f t="shared" si="75"/>
        <v>0</v>
      </c>
      <c r="CP116" s="53">
        <f t="shared" si="76"/>
        <v>0</v>
      </c>
      <c r="CQ116" s="53">
        <f t="shared" si="77"/>
        <v>0</v>
      </c>
      <c r="CR116" s="53">
        <f t="shared" si="78"/>
        <v>0</v>
      </c>
      <c r="CS116" s="53">
        <f t="shared" si="79"/>
        <v>0</v>
      </c>
      <c r="CT116" s="53">
        <f t="shared" si="80"/>
        <v>0</v>
      </c>
      <c r="CU116" s="53">
        <f t="shared" si="81"/>
        <v>0</v>
      </c>
      <c r="CV116" s="53">
        <f t="shared" si="84"/>
        <v>0</v>
      </c>
      <c r="CW116" s="1"/>
      <c r="CX116" s="1"/>
      <c r="CY116" s="1"/>
      <c r="CZ116" s="1"/>
      <c r="DA116" s="1"/>
      <c r="DB116" s="1"/>
      <c r="DC116" s="1"/>
      <c r="DD116" s="1"/>
      <c r="DE116" s="1"/>
      <c r="DF116" s="1"/>
      <c r="DG116" s="1"/>
      <c r="DH116" s="1"/>
      <c r="DI116" s="1"/>
      <c r="DJ116" s="1"/>
      <c r="DK116" s="1"/>
      <c r="DL116" s="1"/>
    </row>
    <row r="117" spans="1:116" ht="15.75" hidden="1" x14ac:dyDescent="0.25">
      <c r="A117" s="17"/>
      <c r="B117" s="17"/>
      <c r="C117" s="17"/>
      <c r="D117" s="17"/>
      <c r="E117" s="17"/>
      <c r="F117" s="32" t="s">
        <v>2954</v>
      </c>
      <c r="G117" s="57">
        <v>302436427154.69</v>
      </c>
      <c r="H117" s="57">
        <v>324746031236.89001</v>
      </c>
      <c r="I117" s="57">
        <v>205443360487.01999</v>
      </c>
      <c r="J117" s="57">
        <v>186611852676.25</v>
      </c>
      <c r="K117" s="57">
        <v>207238894242.54999</v>
      </c>
      <c r="L117" s="57">
        <v>327534918218.83002</v>
      </c>
      <c r="M117" s="57">
        <v>231002723074.79001</v>
      </c>
      <c r="N117" s="57">
        <v>337343910193.06</v>
      </c>
      <c r="O117" s="57">
        <v>380313432382.98999</v>
      </c>
      <c r="P117" s="57">
        <v>444367734683.27002</v>
      </c>
      <c r="Q117" s="57">
        <v>321607918134.97998</v>
      </c>
      <c r="R117" s="57">
        <v>539903366008.41998</v>
      </c>
      <c r="S117" s="11">
        <f t="shared" si="45"/>
        <v>3808550568493.7402</v>
      </c>
      <c r="T117" s="8">
        <f t="shared" ref="T117:T141" si="85">IFERROR(((S17-S117)/S117),0)</f>
        <v>-0.9999999999023671</v>
      </c>
      <c r="U117" s="13" t="s">
        <v>2953</v>
      </c>
      <c r="V117" s="50">
        <f t="shared" si="83"/>
        <v>3314194128475850</v>
      </c>
      <c r="W117" s="36">
        <v>3.766</v>
      </c>
      <c r="X117" s="36">
        <v>3.766</v>
      </c>
      <c r="Y117" s="36">
        <v>3.766</v>
      </c>
      <c r="Z117" s="36">
        <v>3.766</v>
      </c>
      <c r="AA117" s="36">
        <v>3.766</v>
      </c>
      <c r="AB117" s="36">
        <v>3.766</v>
      </c>
      <c r="AC117" s="36">
        <v>3.766</v>
      </c>
      <c r="AD117" s="36">
        <v>3.766</v>
      </c>
      <c r="AE117" s="36">
        <v>3.766</v>
      </c>
      <c r="AF117" s="36">
        <v>3.766</v>
      </c>
      <c r="AG117" s="36">
        <v>3.766</v>
      </c>
      <c r="AH117" s="36">
        <v>3.766</v>
      </c>
      <c r="AI117" s="39">
        <v>1.33634708931066E-2</v>
      </c>
      <c r="AJ117" s="39">
        <v>1.33634708931066E-2</v>
      </c>
      <c r="AK117" s="39">
        <v>1.33634708931066E-2</v>
      </c>
      <c r="AL117" s="39">
        <v>1.33634708931066E-2</v>
      </c>
      <c r="AM117" s="39">
        <v>1.33634708931066E-2</v>
      </c>
      <c r="AN117" s="39">
        <v>1.33634708931066E-2</v>
      </c>
      <c r="AO117" s="39">
        <v>1.33634708931066E-2</v>
      </c>
      <c r="AP117" s="39">
        <v>1.33634708931066E-2</v>
      </c>
      <c r="AQ117" s="39">
        <v>1.33634708931066E-2</v>
      </c>
      <c r="AR117" s="39">
        <v>1.33634708931066E-2</v>
      </c>
      <c r="AS117" s="39">
        <v>1.33634708931066E-2</v>
      </c>
      <c r="AT117" s="39">
        <v>1.33634708931066E-2</v>
      </c>
      <c r="AU117" s="39">
        <v>1.2392217523121999E-3</v>
      </c>
      <c r="AV117" s="39">
        <v>1.2392217523121999E-3</v>
      </c>
      <c r="AW117" s="39">
        <v>1.2392217523121999E-3</v>
      </c>
      <c r="AX117" s="39">
        <v>1.2392217523121999E-3</v>
      </c>
      <c r="AY117" s="39">
        <v>1.2392217523121999E-3</v>
      </c>
      <c r="AZ117" s="39">
        <v>1.2392217523121999E-3</v>
      </c>
      <c r="BA117" s="39">
        <v>1.2392217523121999E-3</v>
      </c>
      <c r="BB117" s="39">
        <v>1.2392217523121999E-3</v>
      </c>
      <c r="BC117" s="39">
        <v>1.2392217523121999E-3</v>
      </c>
      <c r="BD117" s="39">
        <v>1.2392217523121999E-3</v>
      </c>
      <c r="BE117" s="39">
        <v>1.2392217523121999E-3</v>
      </c>
      <c r="BF117" s="39">
        <v>1.2392217523121999E-3</v>
      </c>
      <c r="BG117" s="1"/>
      <c r="BH117" s="12">
        <f t="shared" si="46"/>
        <v>976869659709.64868</v>
      </c>
      <c r="BI117" s="12">
        <f t="shared" si="47"/>
        <v>1048929680895.1548</v>
      </c>
      <c r="BJ117" s="12">
        <f t="shared" si="48"/>
        <v>663582054373.07458</v>
      </c>
      <c r="BK117" s="12">
        <f t="shared" si="49"/>
        <v>602756284144.28748</v>
      </c>
      <c r="BL117" s="12">
        <f t="shared" si="50"/>
        <v>669381628403.4364</v>
      </c>
      <c r="BM117" s="12">
        <f t="shared" si="51"/>
        <v>1057937785846.8209</v>
      </c>
      <c r="BN117" s="12">
        <f t="shared" si="52"/>
        <v>746138795531.57178</v>
      </c>
      <c r="BO117" s="12">
        <f t="shared" si="53"/>
        <v>1089620829923.5837</v>
      </c>
      <c r="BP117" s="12">
        <f t="shared" si="54"/>
        <v>1228412386597.0576</v>
      </c>
      <c r="BQ117" s="12">
        <f t="shared" si="55"/>
        <v>1435307783026.9622</v>
      </c>
      <c r="BR117" s="12">
        <f t="shared" si="56"/>
        <v>1038793575575.9854</v>
      </c>
      <c r="BS117" s="12">
        <f t="shared" si="57"/>
        <v>1743887872207.1965</v>
      </c>
      <c r="BT117" s="1"/>
      <c r="BU117" s="11">
        <f t="shared" si="58"/>
        <v>991134587105.02356</v>
      </c>
      <c r="BV117" s="11">
        <f t="shared" si="59"/>
        <v>1064246878631.924</v>
      </c>
      <c r="BW117" s="11">
        <f t="shared" si="60"/>
        <v>673272139158.10022</v>
      </c>
      <c r="BX117" s="11">
        <f t="shared" si="61"/>
        <v>611558148901.74121</v>
      </c>
      <c r="BY117" s="11">
        <f t="shared" si="62"/>
        <v>679156402585.50171</v>
      </c>
      <c r="BZ117" s="11">
        <f t="shared" si="63"/>
        <v>1073386526171.517</v>
      </c>
      <c r="CA117" s="11">
        <f t="shared" si="64"/>
        <v>757034431033.54236</v>
      </c>
      <c r="CB117" s="11">
        <f t="shared" si="65"/>
        <v>1105532228003.0039</v>
      </c>
      <c r="CC117" s="11">
        <f t="shared" si="66"/>
        <v>1246350515120.3599</v>
      </c>
      <c r="CD117" s="11">
        <f t="shared" si="67"/>
        <v>1456267141434.0823</v>
      </c>
      <c r="CE117" s="11">
        <f t="shared" si="68"/>
        <v>1053962758882.1571</v>
      </c>
      <c r="CF117" s="11">
        <f t="shared" si="69"/>
        <v>1769353330813.1116</v>
      </c>
      <c r="CG117" s="11"/>
      <c r="CH117" s="41">
        <v>3.23</v>
      </c>
      <c r="CI117" s="1"/>
      <c r="CJ117" s="53">
        <f t="shared" si="70"/>
        <v>263179656692784</v>
      </c>
      <c r="CK117" s="53">
        <f t="shared" si="71"/>
        <v>282593435643102</v>
      </c>
      <c r="CL117" s="53">
        <f t="shared" si="72"/>
        <v>178776457556585</v>
      </c>
      <c r="CM117" s="53">
        <f t="shared" si="73"/>
        <v>162389311976033</v>
      </c>
      <c r="CN117" s="53">
        <f t="shared" si="74"/>
        <v>180338927930298</v>
      </c>
      <c r="CO117" s="53">
        <f t="shared" si="75"/>
        <v>285020320279213</v>
      </c>
      <c r="CP117" s="53">
        <f t="shared" si="76"/>
        <v>201018170747090</v>
      </c>
      <c r="CQ117" s="53">
        <f t="shared" si="77"/>
        <v>293556088157994</v>
      </c>
      <c r="CR117" s="53">
        <f t="shared" si="78"/>
        <v>330948092172161</v>
      </c>
      <c r="CS117" s="53">
        <f t="shared" si="79"/>
        <v>386688035431249</v>
      </c>
      <c r="CT117" s="53">
        <f t="shared" si="80"/>
        <v>279862655040403</v>
      </c>
      <c r="CU117" s="53">
        <f t="shared" si="81"/>
        <v>469822976848941</v>
      </c>
      <c r="CV117" s="53">
        <f t="shared" si="84"/>
        <v>3314194128475850</v>
      </c>
      <c r="CW117" s="1"/>
      <c r="CX117" s="1"/>
      <c r="CY117" s="1"/>
      <c r="CZ117" s="1"/>
      <c r="DA117" s="1"/>
      <c r="DB117" s="1"/>
      <c r="DC117" s="1"/>
      <c r="DD117" s="1"/>
      <c r="DE117" s="1"/>
      <c r="DF117" s="1"/>
      <c r="DG117" s="1"/>
      <c r="DH117" s="1"/>
      <c r="DI117" s="1"/>
      <c r="DJ117" s="1"/>
      <c r="DK117" s="1"/>
      <c r="DL117" s="1"/>
    </row>
    <row r="118" spans="1:116" ht="15.75" hidden="1" x14ac:dyDescent="0.25">
      <c r="A118" s="17"/>
      <c r="B118" s="17"/>
      <c r="C118" s="17"/>
      <c r="D118" s="17"/>
      <c r="E118" s="17"/>
      <c r="F118" s="32" t="s">
        <v>2954</v>
      </c>
      <c r="G118" s="57">
        <v>0</v>
      </c>
      <c r="H118" s="57">
        <v>0</v>
      </c>
      <c r="I118" s="57">
        <v>0</v>
      </c>
      <c r="J118" s="57">
        <v>0</v>
      </c>
      <c r="K118" s="57">
        <v>0</v>
      </c>
      <c r="L118" s="57">
        <v>0</v>
      </c>
      <c r="M118" s="57">
        <v>0</v>
      </c>
      <c r="N118" s="57">
        <v>0</v>
      </c>
      <c r="O118" s="57">
        <v>0</v>
      </c>
      <c r="P118" s="57">
        <v>0</v>
      </c>
      <c r="Q118" s="57">
        <v>0</v>
      </c>
      <c r="R118" s="57">
        <v>0</v>
      </c>
      <c r="S118" s="11">
        <f t="shared" si="45"/>
        <v>0</v>
      </c>
      <c r="T118" s="8">
        <f t="shared" si="85"/>
        <v>0</v>
      </c>
      <c r="U118" s="13" t="s">
        <v>2953</v>
      </c>
      <c r="V118" s="50">
        <f t="shared" si="83"/>
        <v>0</v>
      </c>
      <c r="W118" s="36">
        <v>0.94</v>
      </c>
      <c r="X118" s="36">
        <v>0.94</v>
      </c>
      <c r="Y118" s="36">
        <v>0.94</v>
      </c>
      <c r="Z118" s="36">
        <v>0.94</v>
      </c>
      <c r="AA118" s="36">
        <v>0.94</v>
      </c>
      <c r="AB118" s="36">
        <v>0.94</v>
      </c>
      <c r="AC118" s="36">
        <v>0.94</v>
      </c>
      <c r="AD118" s="36">
        <v>0.94</v>
      </c>
      <c r="AE118" s="36">
        <v>0.94</v>
      </c>
      <c r="AF118" s="36">
        <v>0.94</v>
      </c>
      <c r="AG118" s="36">
        <v>0.94</v>
      </c>
      <c r="AH118" s="36">
        <v>0.94</v>
      </c>
      <c r="AI118" s="39">
        <v>1.33634708931066E-2</v>
      </c>
      <c r="AJ118" s="39">
        <v>1.33634708931066E-2</v>
      </c>
      <c r="AK118" s="39">
        <v>1.33634708931066E-2</v>
      </c>
      <c r="AL118" s="39">
        <v>1.33634708931066E-2</v>
      </c>
      <c r="AM118" s="39">
        <v>1.33634708931066E-2</v>
      </c>
      <c r="AN118" s="39">
        <v>1.33634708931066E-2</v>
      </c>
      <c r="AO118" s="39">
        <v>1.33634708931066E-2</v>
      </c>
      <c r="AP118" s="39">
        <v>1.33634708931066E-2</v>
      </c>
      <c r="AQ118" s="39">
        <v>1.33634708931066E-2</v>
      </c>
      <c r="AR118" s="39">
        <v>1.33634708931066E-2</v>
      </c>
      <c r="AS118" s="39">
        <v>1.33634708931066E-2</v>
      </c>
      <c r="AT118" s="39">
        <v>1.33634708931066E-2</v>
      </c>
      <c r="AU118" s="39">
        <v>1.2392217523121999E-3</v>
      </c>
      <c r="AV118" s="39">
        <v>1.2392217523121999E-3</v>
      </c>
      <c r="AW118" s="39">
        <v>1.2392217523121999E-3</v>
      </c>
      <c r="AX118" s="39">
        <v>1.2392217523121999E-3</v>
      </c>
      <c r="AY118" s="39">
        <v>1.2392217523121999E-3</v>
      </c>
      <c r="AZ118" s="39">
        <v>1.2392217523121999E-3</v>
      </c>
      <c r="BA118" s="39">
        <v>1.2392217523121999E-3</v>
      </c>
      <c r="BB118" s="39">
        <v>1.2392217523121999E-3</v>
      </c>
      <c r="BC118" s="39">
        <v>1.2392217523121999E-3</v>
      </c>
      <c r="BD118" s="39">
        <v>1.2392217523121999E-3</v>
      </c>
      <c r="BE118" s="39">
        <v>1.2392217523121999E-3</v>
      </c>
      <c r="BF118" s="39">
        <v>1.2392217523121999E-3</v>
      </c>
      <c r="BG118" s="1"/>
      <c r="BH118" s="12">
        <f t="shared" si="46"/>
        <v>0</v>
      </c>
      <c r="BI118" s="12">
        <f t="shared" si="47"/>
        <v>0</v>
      </c>
      <c r="BJ118" s="12">
        <f t="shared" si="48"/>
        <v>0</v>
      </c>
      <c r="BK118" s="12">
        <f t="shared" si="49"/>
        <v>0</v>
      </c>
      <c r="BL118" s="12">
        <f t="shared" si="50"/>
        <v>0</v>
      </c>
      <c r="BM118" s="12">
        <f t="shared" si="51"/>
        <v>0</v>
      </c>
      <c r="BN118" s="12">
        <f t="shared" si="52"/>
        <v>0</v>
      </c>
      <c r="BO118" s="12">
        <f t="shared" si="53"/>
        <v>0</v>
      </c>
      <c r="BP118" s="12">
        <f t="shared" si="54"/>
        <v>0</v>
      </c>
      <c r="BQ118" s="12">
        <f t="shared" si="55"/>
        <v>0</v>
      </c>
      <c r="BR118" s="12">
        <f t="shared" si="56"/>
        <v>0</v>
      </c>
      <c r="BS118" s="12">
        <f t="shared" si="57"/>
        <v>0</v>
      </c>
      <c r="BT118" s="1"/>
      <c r="BU118" s="11">
        <f t="shared" si="58"/>
        <v>0</v>
      </c>
      <c r="BV118" s="11">
        <f t="shared" si="59"/>
        <v>0</v>
      </c>
      <c r="BW118" s="11">
        <f t="shared" si="60"/>
        <v>0</v>
      </c>
      <c r="BX118" s="11">
        <f t="shared" si="61"/>
        <v>0</v>
      </c>
      <c r="BY118" s="11">
        <f t="shared" si="62"/>
        <v>0</v>
      </c>
      <c r="BZ118" s="11">
        <f t="shared" si="63"/>
        <v>0</v>
      </c>
      <c r="CA118" s="11">
        <f t="shared" si="64"/>
        <v>0</v>
      </c>
      <c r="CB118" s="11">
        <f t="shared" si="65"/>
        <v>0</v>
      </c>
      <c r="CC118" s="11">
        <f t="shared" si="66"/>
        <v>0</v>
      </c>
      <c r="CD118" s="11">
        <f t="shared" si="67"/>
        <v>0</v>
      </c>
      <c r="CE118" s="11">
        <f t="shared" si="68"/>
        <v>0</v>
      </c>
      <c r="CF118" s="11">
        <f t="shared" si="69"/>
        <v>0</v>
      </c>
      <c r="CG118" s="11"/>
      <c r="CH118" s="41">
        <v>3.23</v>
      </c>
      <c r="CI118" s="1"/>
      <c r="CJ118" s="53">
        <f t="shared" si="70"/>
        <v>0</v>
      </c>
      <c r="CK118" s="53">
        <f t="shared" si="71"/>
        <v>0</v>
      </c>
      <c r="CL118" s="53">
        <f t="shared" si="72"/>
        <v>0</v>
      </c>
      <c r="CM118" s="53">
        <f t="shared" si="73"/>
        <v>0</v>
      </c>
      <c r="CN118" s="53">
        <f t="shared" si="74"/>
        <v>0</v>
      </c>
      <c r="CO118" s="53">
        <f t="shared" si="75"/>
        <v>0</v>
      </c>
      <c r="CP118" s="53">
        <f t="shared" si="76"/>
        <v>0</v>
      </c>
      <c r="CQ118" s="53">
        <f t="shared" si="77"/>
        <v>0</v>
      </c>
      <c r="CR118" s="53">
        <f t="shared" si="78"/>
        <v>0</v>
      </c>
      <c r="CS118" s="53">
        <f t="shared" si="79"/>
        <v>0</v>
      </c>
      <c r="CT118" s="53">
        <f t="shared" si="80"/>
        <v>0</v>
      </c>
      <c r="CU118" s="53">
        <f t="shared" si="81"/>
        <v>0</v>
      </c>
      <c r="CV118" s="53">
        <f t="shared" si="84"/>
        <v>0</v>
      </c>
      <c r="CW118" s="1"/>
      <c r="CX118" s="1"/>
      <c r="CY118" s="1"/>
      <c r="CZ118" s="1"/>
      <c r="DA118" s="1"/>
      <c r="DB118" s="1"/>
      <c r="DC118" s="1"/>
      <c r="DD118" s="1"/>
      <c r="DE118" s="1"/>
      <c r="DF118" s="1"/>
      <c r="DG118" s="1"/>
      <c r="DH118" s="1"/>
      <c r="DI118" s="1"/>
      <c r="DJ118" s="1"/>
      <c r="DK118" s="1"/>
      <c r="DL118" s="1"/>
    </row>
    <row r="119" spans="1:116" ht="15.75" hidden="1" x14ac:dyDescent="0.25">
      <c r="A119" s="17"/>
      <c r="B119" s="17"/>
      <c r="C119" s="17"/>
      <c r="D119" s="17"/>
      <c r="E119" s="17"/>
      <c r="F119" s="32" t="s">
        <v>2954</v>
      </c>
      <c r="G119" s="57">
        <v>0</v>
      </c>
      <c r="H119" s="57">
        <v>0</v>
      </c>
      <c r="I119" s="57">
        <v>0</v>
      </c>
      <c r="J119" s="57">
        <v>0</v>
      </c>
      <c r="K119" s="57">
        <v>0</v>
      </c>
      <c r="L119" s="57">
        <v>0</v>
      </c>
      <c r="M119" s="57">
        <v>0</v>
      </c>
      <c r="N119" s="57">
        <v>0</v>
      </c>
      <c r="O119" s="57">
        <v>0</v>
      </c>
      <c r="P119" s="57">
        <v>0</v>
      </c>
      <c r="Q119" s="57">
        <v>0</v>
      </c>
      <c r="R119" s="57">
        <v>0</v>
      </c>
      <c r="S119" s="11">
        <f t="shared" si="45"/>
        <v>0</v>
      </c>
      <c r="T119" s="8">
        <f t="shared" si="85"/>
        <v>0</v>
      </c>
      <c r="U119" s="13" t="s">
        <v>2953</v>
      </c>
      <c r="V119" s="50">
        <f t="shared" si="83"/>
        <v>0</v>
      </c>
      <c r="W119" s="36">
        <v>1.75</v>
      </c>
      <c r="X119" s="36">
        <v>1.75</v>
      </c>
      <c r="Y119" s="36">
        <v>1.75</v>
      </c>
      <c r="Z119" s="36">
        <v>1.75</v>
      </c>
      <c r="AA119" s="36">
        <v>1.75</v>
      </c>
      <c r="AB119" s="36">
        <v>1.75</v>
      </c>
      <c r="AC119" s="36">
        <v>1.75</v>
      </c>
      <c r="AD119" s="36">
        <v>1.75</v>
      </c>
      <c r="AE119" s="36">
        <v>1.75</v>
      </c>
      <c r="AF119" s="36">
        <v>1.75</v>
      </c>
      <c r="AG119" s="36">
        <v>1.75</v>
      </c>
      <c r="AH119" s="36">
        <v>1.75</v>
      </c>
      <c r="AI119" s="39">
        <v>1.33634708931066E-2</v>
      </c>
      <c r="AJ119" s="39">
        <v>1.33634708931066E-2</v>
      </c>
      <c r="AK119" s="39">
        <v>1.33634708931066E-2</v>
      </c>
      <c r="AL119" s="39">
        <v>1.33634708931066E-2</v>
      </c>
      <c r="AM119" s="39">
        <v>1.33634708931066E-2</v>
      </c>
      <c r="AN119" s="39">
        <v>1.33634708931066E-2</v>
      </c>
      <c r="AO119" s="39">
        <v>1.33634708931066E-2</v>
      </c>
      <c r="AP119" s="39">
        <v>1.33634708931066E-2</v>
      </c>
      <c r="AQ119" s="39">
        <v>1.33634708931066E-2</v>
      </c>
      <c r="AR119" s="39">
        <v>1.33634708931066E-2</v>
      </c>
      <c r="AS119" s="39">
        <v>1.33634708931066E-2</v>
      </c>
      <c r="AT119" s="39">
        <v>1.33634708931066E-2</v>
      </c>
      <c r="AU119" s="39">
        <v>1.2392217523121999E-3</v>
      </c>
      <c r="AV119" s="39">
        <v>1.2392217523121999E-3</v>
      </c>
      <c r="AW119" s="39">
        <v>1.2392217523121999E-3</v>
      </c>
      <c r="AX119" s="39">
        <v>1.2392217523121999E-3</v>
      </c>
      <c r="AY119" s="39">
        <v>1.2392217523121999E-3</v>
      </c>
      <c r="AZ119" s="39">
        <v>1.2392217523121999E-3</v>
      </c>
      <c r="BA119" s="39">
        <v>1.2392217523121999E-3</v>
      </c>
      <c r="BB119" s="39">
        <v>1.2392217523121999E-3</v>
      </c>
      <c r="BC119" s="39">
        <v>1.2392217523121999E-3</v>
      </c>
      <c r="BD119" s="39">
        <v>1.2392217523121999E-3</v>
      </c>
      <c r="BE119" s="39">
        <v>1.2392217523121999E-3</v>
      </c>
      <c r="BF119" s="39">
        <v>1.2392217523121999E-3</v>
      </c>
      <c r="BG119" s="1"/>
      <c r="BH119" s="12">
        <f t="shared" si="46"/>
        <v>0</v>
      </c>
      <c r="BI119" s="12">
        <f t="shared" si="47"/>
        <v>0</v>
      </c>
      <c r="BJ119" s="12">
        <f t="shared" si="48"/>
        <v>0</v>
      </c>
      <c r="BK119" s="12">
        <f t="shared" si="49"/>
        <v>0</v>
      </c>
      <c r="BL119" s="12">
        <f t="shared" si="50"/>
        <v>0</v>
      </c>
      <c r="BM119" s="12">
        <f t="shared" si="51"/>
        <v>0</v>
      </c>
      <c r="BN119" s="12">
        <f t="shared" si="52"/>
        <v>0</v>
      </c>
      <c r="BO119" s="12">
        <f t="shared" si="53"/>
        <v>0</v>
      </c>
      <c r="BP119" s="12">
        <f t="shared" si="54"/>
        <v>0</v>
      </c>
      <c r="BQ119" s="12">
        <f t="shared" si="55"/>
        <v>0</v>
      </c>
      <c r="BR119" s="12">
        <f t="shared" si="56"/>
        <v>0</v>
      </c>
      <c r="BS119" s="12">
        <f t="shared" si="57"/>
        <v>0</v>
      </c>
      <c r="BT119" s="1"/>
      <c r="BU119" s="11">
        <f t="shared" si="58"/>
        <v>0</v>
      </c>
      <c r="BV119" s="11">
        <f t="shared" si="59"/>
        <v>0</v>
      </c>
      <c r="BW119" s="11">
        <f t="shared" si="60"/>
        <v>0</v>
      </c>
      <c r="BX119" s="11">
        <f t="shared" si="61"/>
        <v>0</v>
      </c>
      <c r="BY119" s="11">
        <f t="shared" si="62"/>
        <v>0</v>
      </c>
      <c r="BZ119" s="11">
        <f t="shared" si="63"/>
        <v>0</v>
      </c>
      <c r="CA119" s="11">
        <f t="shared" si="64"/>
        <v>0</v>
      </c>
      <c r="CB119" s="11">
        <f t="shared" si="65"/>
        <v>0</v>
      </c>
      <c r="CC119" s="11">
        <f t="shared" si="66"/>
        <v>0</v>
      </c>
      <c r="CD119" s="11">
        <f t="shared" si="67"/>
        <v>0</v>
      </c>
      <c r="CE119" s="11">
        <f t="shared" si="68"/>
        <v>0</v>
      </c>
      <c r="CF119" s="11">
        <f t="shared" si="69"/>
        <v>0</v>
      </c>
      <c r="CG119" s="11"/>
      <c r="CH119" s="41">
        <v>3.23</v>
      </c>
      <c r="CI119" s="1"/>
      <c r="CJ119" s="53">
        <f t="shared" si="70"/>
        <v>0</v>
      </c>
      <c r="CK119" s="53">
        <f t="shared" si="71"/>
        <v>0</v>
      </c>
      <c r="CL119" s="53">
        <f t="shared" si="72"/>
        <v>0</v>
      </c>
      <c r="CM119" s="53">
        <f t="shared" si="73"/>
        <v>0</v>
      </c>
      <c r="CN119" s="53">
        <f t="shared" si="74"/>
        <v>0</v>
      </c>
      <c r="CO119" s="53">
        <f t="shared" si="75"/>
        <v>0</v>
      </c>
      <c r="CP119" s="53">
        <f t="shared" si="76"/>
        <v>0</v>
      </c>
      <c r="CQ119" s="53">
        <f t="shared" si="77"/>
        <v>0</v>
      </c>
      <c r="CR119" s="53">
        <f t="shared" si="78"/>
        <v>0</v>
      </c>
      <c r="CS119" s="53">
        <f t="shared" si="79"/>
        <v>0</v>
      </c>
      <c r="CT119" s="53">
        <f t="shared" si="80"/>
        <v>0</v>
      </c>
      <c r="CU119" s="53">
        <f t="shared" si="81"/>
        <v>0</v>
      </c>
      <c r="CV119" s="53">
        <f t="shared" si="84"/>
        <v>0</v>
      </c>
      <c r="CW119" s="1"/>
      <c r="CX119" s="1"/>
      <c r="CY119" s="1"/>
      <c r="CZ119" s="1"/>
      <c r="DA119" s="1"/>
      <c r="DB119" s="1"/>
      <c r="DC119" s="1"/>
      <c r="DD119" s="1"/>
      <c r="DE119" s="1"/>
      <c r="DF119" s="1"/>
      <c r="DG119" s="1"/>
      <c r="DH119" s="1"/>
      <c r="DI119" s="1"/>
      <c r="DJ119" s="1"/>
      <c r="DK119" s="1"/>
      <c r="DL119" s="1"/>
    </row>
    <row r="120" spans="1:116" ht="15.75" hidden="1" x14ac:dyDescent="0.25">
      <c r="A120" s="17"/>
      <c r="B120" s="17"/>
      <c r="C120" s="17"/>
      <c r="D120" s="17"/>
      <c r="E120" s="17"/>
      <c r="F120" s="32" t="s">
        <v>2954</v>
      </c>
      <c r="G120" s="57">
        <v>13.88</v>
      </c>
      <c r="H120" s="57">
        <v>11.1</v>
      </c>
      <c r="I120" s="57">
        <v>10.83</v>
      </c>
      <c r="J120" s="57">
        <v>7.22</v>
      </c>
      <c r="K120" s="57">
        <v>5.05</v>
      </c>
      <c r="L120" s="57">
        <v>5.32</v>
      </c>
      <c r="M120" s="57">
        <v>5.32</v>
      </c>
      <c r="N120" s="57">
        <v>8.57</v>
      </c>
      <c r="O120" s="57">
        <v>11.46</v>
      </c>
      <c r="P120" s="57">
        <v>12.28</v>
      </c>
      <c r="Q120" s="57">
        <v>14.44</v>
      </c>
      <c r="R120" s="57">
        <v>10.83</v>
      </c>
      <c r="S120" s="11">
        <f t="shared" si="45"/>
        <v>116.3</v>
      </c>
      <c r="T120" s="8">
        <f t="shared" si="85"/>
        <v>-1.8658641444539999E-2</v>
      </c>
      <c r="U120" s="13" t="s">
        <v>2953</v>
      </c>
      <c r="V120" s="50">
        <f t="shared" si="83"/>
        <v>171415</v>
      </c>
      <c r="W120" s="36">
        <v>1.82</v>
      </c>
      <c r="X120" s="36">
        <v>1.82</v>
      </c>
      <c r="Y120" s="36">
        <v>2.367</v>
      </c>
      <c r="Z120" s="36">
        <v>2.367</v>
      </c>
      <c r="AA120" s="36">
        <v>2.367</v>
      </c>
      <c r="AB120" s="36">
        <v>2.367</v>
      </c>
      <c r="AC120" s="36">
        <v>2.367</v>
      </c>
      <c r="AD120" s="36">
        <v>2.367</v>
      </c>
      <c r="AE120" s="36">
        <v>2.367</v>
      </c>
      <c r="AF120" s="36">
        <v>2.367</v>
      </c>
      <c r="AG120" s="36">
        <v>2.367</v>
      </c>
      <c r="AH120" s="36">
        <v>2.367</v>
      </c>
      <c r="AI120" s="39">
        <v>1.33634708931066E-2</v>
      </c>
      <c r="AJ120" s="39">
        <v>1.33634708931066E-2</v>
      </c>
      <c r="AK120" s="39">
        <v>1.33634708931066E-2</v>
      </c>
      <c r="AL120" s="39">
        <v>1.33634708931066E-2</v>
      </c>
      <c r="AM120" s="39">
        <v>1.33634708931066E-2</v>
      </c>
      <c r="AN120" s="39">
        <v>1.33634708931066E-2</v>
      </c>
      <c r="AO120" s="39">
        <v>1.33634708931066E-2</v>
      </c>
      <c r="AP120" s="39">
        <v>1.33634708931066E-2</v>
      </c>
      <c r="AQ120" s="39">
        <v>1.33634708931066E-2</v>
      </c>
      <c r="AR120" s="39">
        <v>1.33634708931066E-2</v>
      </c>
      <c r="AS120" s="39">
        <v>1.33634708931066E-2</v>
      </c>
      <c r="AT120" s="39">
        <v>1.33634708931066E-2</v>
      </c>
      <c r="AU120" s="39">
        <v>1.2392217523121999E-3</v>
      </c>
      <c r="AV120" s="39">
        <v>1.2392217523121999E-3</v>
      </c>
      <c r="AW120" s="39">
        <v>1.2392217523121999E-3</v>
      </c>
      <c r="AX120" s="39">
        <v>1.2392217523121999E-3</v>
      </c>
      <c r="AY120" s="39">
        <v>1.2392217523121999E-3</v>
      </c>
      <c r="AZ120" s="39">
        <v>1.2392217523121999E-3</v>
      </c>
      <c r="BA120" s="39">
        <v>1.2392217523121999E-3</v>
      </c>
      <c r="BB120" s="39">
        <v>1.2392217523121999E-3</v>
      </c>
      <c r="BC120" s="39">
        <v>1.2392217523121999E-3</v>
      </c>
      <c r="BD120" s="39">
        <v>1.2392217523121999E-3</v>
      </c>
      <c r="BE120" s="39">
        <v>1.2392217523121999E-3</v>
      </c>
      <c r="BF120" s="39">
        <v>1.2392217523121999E-3</v>
      </c>
      <c r="BG120" s="1"/>
      <c r="BH120" s="12">
        <f t="shared" si="46"/>
        <v>44.8324</v>
      </c>
      <c r="BI120" s="12">
        <f t="shared" si="47"/>
        <v>35.853000000000002</v>
      </c>
      <c r="BJ120" s="12">
        <f t="shared" si="48"/>
        <v>34.980899999999998</v>
      </c>
      <c r="BK120" s="12">
        <f t="shared" si="49"/>
        <v>23.320599999999999</v>
      </c>
      <c r="BL120" s="12">
        <f t="shared" si="50"/>
        <v>16.311499999999999</v>
      </c>
      <c r="BM120" s="12">
        <f t="shared" si="51"/>
        <v>17.183600000000002</v>
      </c>
      <c r="BN120" s="12">
        <f t="shared" si="52"/>
        <v>17.183600000000002</v>
      </c>
      <c r="BO120" s="12">
        <f t="shared" si="53"/>
        <v>27.681100000000001</v>
      </c>
      <c r="BP120" s="12">
        <f t="shared" si="54"/>
        <v>37.015800000000006</v>
      </c>
      <c r="BQ120" s="12">
        <f t="shared" si="55"/>
        <v>39.664400000000001</v>
      </c>
      <c r="BR120" s="12">
        <f t="shared" si="56"/>
        <v>46.641199999999998</v>
      </c>
      <c r="BS120" s="12">
        <f t="shared" si="57"/>
        <v>34.980899999999998</v>
      </c>
      <c r="BT120" s="1"/>
      <c r="BU120" s="11">
        <f t="shared" si="58"/>
        <v>45.487073757756477</v>
      </c>
      <c r="BV120" s="11">
        <f t="shared" si="59"/>
        <v>36.376550339416205</v>
      </c>
      <c r="BW120" s="11">
        <f t="shared" si="60"/>
        <v>35.49171533116013</v>
      </c>
      <c r="BX120" s="11">
        <f t="shared" si="61"/>
        <v>23.661143554106754</v>
      </c>
      <c r="BY120" s="11">
        <f t="shared" si="62"/>
        <v>16.549691821085748</v>
      </c>
      <c r="BZ120" s="11">
        <f t="shared" si="63"/>
        <v>17.43452682934182</v>
      </c>
      <c r="CA120" s="11">
        <f t="shared" si="64"/>
        <v>17.43452682934182</v>
      </c>
      <c r="CB120" s="11">
        <f t="shared" si="65"/>
        <v>28.085318595387104</v>
      </c>
      <c r="CC120" s="11">
        <f t="shared" si="66"/>
        <v>37.556330350424297</v>
      </c>
      <c r="CD120" s="11">
        <f t="shared" si="67"/>
        <v>40.243607042164953</v>
      </c>
      <c r="CE120" s="11">
        <f t="shared" si="68"/>
        <v>47.322287108213509</v>
      </c>
      <c r="CF120" s="11">
        <f t="shared" si="69"/>
        <v>35.49171533116013</v>
      </c>
      <c r="CG120" s="11"/>
      <c r="CH120" s="41">
        <v>3.23</v>
      </c>
      <c r="CI120" s="1"/>
      <c r="CJ120" s="53">
        <f t="shared" si="70"/>
        <v>24993</v>
      </c>
      <c r="CK120" s="53">
        <f t="shared" si="71"/>
        <v>19987</v>
      </c>
      <c r="CL120" s="53">
        <f t="shared" si="72"/>
        <v>14994</v>
      </c>
      <c r="CM120" s="53">
        <f t="shared" si="73"/>
        <v>9996</v>
      </c>
      <c r="CN120" s="53">
        <f t="shared" si="74"/>
        <v>6992</v>
      </c>
      <c r="CO120" s="53">
        <f t="shared" si="75"/>
        <v>7366</v>
      </c>
      <c r="CP120" s="53">
        <f t="shared" si="76"/>
        <v>7366</v>
      </c>
      <c r="CQ120" s="53">
        <f t="shared" si="77"/>
        <v>11865</v>
      </c>
      <c r="CR120" s="53">
        <f t="shared" si="78"/>
        <v>15867</v>
      </c>
      <c r="CS120" s="53">
        <f t="shared" si="79"/>
        <v>17002</v>
      </c>
      <c r="CT120" s="53">
        <f t="shared" si="80"/>
        <v>19993</v>
      </c>
      <c r="CU120" s="53">
        <f t="shared" si="81"/>
        <v>14994</v>
      </c>
      <c r="CV120" s="53">
        <f t="shared" si="84"/>
        <v>171415</v>
      </c>
      <c r="CW120" s="1"/>
      <c r="CX120" s="1"/>
      <c r="CY120" s="1"/>
      <c r="CZ120" s="1"/>
      <c r="DA120" s="1"/>
      <c r="DB120" s="1"/>
      <c r="DC120" s="1"/>
      <c r="DD120" s="1"/>
      <c r="DE120" s="1"/>
      <c r="DF120" s="1"/>
      <c r="DG120" s="1"/>
      <c r="DH120" s="1"/>
      <c r="DI120" s="1"/>
      <c r="DJ120" s="1"/>
      <c r="DK120" s="1"/>
      <c r="DL120" s="1"/>
    </row>
    <row r="121" spans="1:116" ht="15.75" hidden="1" x14ac:dyDescent="0.25">
      <c r="A121" s="17"/>
      <c r="B121" s="17"/>
      <c r="C121" s="17"/>
      <c r="D121" s="17"/>
      <c r="E121" s="17"/>
      <c r="F121" s="32" t="s">
        <v>2954</v>
      </c>
      <c r="G121" s="57">
        <v>3.18</v>
      </c>
      <c r="H121" s="57">
        <v>0</v>
      </c>
      <c r="I121" s="57">
        <v>0</v>
      </c>
      <c r="J121" s="57">
        <v>0</v>
      </c>
      <c r="K121" s="57">
        <v>0</v>
      </c>
      <c r="L121" s="57">
        <v>0</v>
      </c>
      <c r="M121" s="57">
        <v>0</v>
      </c>
      <c r="N121" s="57">
        <v>0</v>
      </c>
      <c r="O121" s="57">
        <v>0</v>
      </c>
      <c r="P121" s="57">
        <v>0</v>
      </c>
      <c r="Q121" s="57">
        <v>0</v>
      </c>
      <c r="R121" s="57">
        <v>0</v>
      </c>
      <c r="S121" s="11">
        <f t="shared" si="45"/>
        <v>3.18</v>
      </c>
      <c r="T121" s="8">
        <f t="shared" si="85"/>
        <v>7.5471698113207475E-2</v>
      </c>
      <c r="U121" s="13" t="s">
        <v>2953</v>
      </c>
      <c r="V121" s="50">
        <f t="shared" si="83"/>
        <v>6999</v>
      </c>
      <c r="W121" s="36">
        <v>1.4890000000000001</v>
      </c>
      <c r="X121" s="36">
        <v>1.4890000000000001</v>
      </c>
      <c r="Y121" s="36">
        <v>1.9370000000000001</v>
      </c>
      <c r="Z121" s="36">
        <v>1.9370000000000001</v>
      </c>
      <c r="AA121" s="36">
        <v>1.9370000000000001</v>
      </c>
      <c r="AB121" s="36">
        <v>1.9370000000000001</v>
      </c>
      <c r="AC121" s="36">
        <v>1.9370000000000001</v>
      </c>
      <c r="AD121" s="36">
        <v>1.9370000000000001</v>
      </c>
      <c r="AE121" s="36">
        <v>1.9370000000000001</v>
      </c>
      <c r="AF121" s="36">
        <v>1.9370000000000001</v>
      </c>
      <c r="AG121" s="36">
        <v>1.9370000000000001</v>
      </c>
      <c r="AH121" s="36">
        <v>1.9370000000000001</v>
      </c>
      <c r="AI121" s="39">
        <v>1.33634708931066E-2</v>
      </c>
      <c r="AJ121" s="39">
        <v>1.33634708931066E-2</v>
      </c>
      <c r="AK121" s="39">
        <v>1.33634708931066E-2</v>
      </c>
      <c r="AL121" s="39">
        <v>1.33634708931066E-2</v>
      </c>
      <c r="AM121" s="39">
        <v>1.33634708931066E-2</v>
      </c>
      <c r="AN121" s="39">
        <v>1.33634708931066E-2</v>
      </c>
      <c r="AO121" s="39">
        <v>1.33634708931066E-2</v>
      </c>
      <c r="AP121" s="39">
        <v>1.33634708931066E-2</v>
      </c>
      <c r="AQ121" s="39">
        <v>1.33634708931066E-2</v>
      </c>
      <c r="AR121" s="39">
        <v>1.33634708931066E-2</v>
      </c>
      <c r="AS121" s="39">
        <v>1.33634708931066E-2</v>
      </c>
      <c r="AT121" s="39">
        <v>1.33634708931066E-2</v>
      </c>
      <c r="AU121" s="39">
        <v>1.2392217523121999E-3</v>
      </c>
      <c r="AV121" s="39">
        <v>1.2392217523121999E-3</v>
      </c>
      <c r="AW121" s="39">
        <v>1.2392217523121999E-3</v>
      </c>
      <c r="AX121" s="39">
        <v>1.2392217523121999E-3</v>
      </c>
      <c r="AY121" s="39">
        <v>1.2392217523121999E-3</v>
      </c>
      <c r="AZ121" s="39">
        <v>1.2392217523121999E-3</v>
      </c>
      <c r="BA121" s="39">
        <v>1.2392217523121999E-3</v>
      </c>
      <c r="BB121" s="39">
        <v>1.2392217523121999E-3</v>
      </c>
      <c r="BC121" s="39">
        <v>1.2392217523121999E-3</v>
      </c>
      <c r="BD121" s="39">
        <v>1.2392217523121999E-3</v>
      </c>
      <c r="BE121" s="39">
        <v>1.2392217523121999E-3</v>
      </c>
      <c r="BF121" s="39">
        <v>1.2392217523121999E-3</v>
      </c>
      <c r="BG121" s="1"/>
      <c r="BH121" s="12">
        <f t="shared" si="46"/>
        <v>10.2714</v>
      </c>
      <c r="BI121" s="12">
        <f t="shared" si="47"/>
        <v>0</v>
      </c>
      <c r="BJ121" s="12">
        <f t="shared" si="48"/>
        <v>0</v>
      </c>
      <c r="BK121" s="12">
        <f t="shared" si="49"/>
        <v>0</v>
      </c>
      <c r="BL121" s="12">
        <f t="shared" si="50"/>
        <v>0</v>
      </c>
      <c r="BM121" s="12">
        <f t="shared" si="51"/>
        <v>0</v>
      </c>
      <c r="BN121" s="12">
        <f t="shared" si="52"/>
        <v>0</v>
      </c>
      <c r="BO121" s="12">
        <f t="shared" si="53"/>
        <v>0</v>
      </c>
      <c r="BP121" s="12">
        <f t="shared" si="54"/>
        <v>0</v>
      </c>
      <c r="BQ121" s="12">
        <f t="shared" si="55"/>
        <v>0</v>
      </c>
      <c r="BR121" s="12">
        <f t="shared" si="56"/>
        <v>0</v>
      </c>
      <c r="BS121" s="12">
        <f t="shared" si="57"/>
        <v>0</v>
      </c>
      <c r="BT121" s="1"/>
      <c r="BU121" s="11">
        <f t="shared" si="58"/>
        <v>10.421390097238154</v>
      </c>
      <c r="BV121" s="11">
        <f t="shared" si="59"/>
        <v>0</v>
      </c>
      <c r="BW121" s="11">
        <f t="shared" si="60"/>
        <v>0</v>
      </c>
      <c r="BX121" s="11">
        <f t="shared" si="61"/>
        <v>0</v>
      </c>
      <c r="BY121" s="11">
        <f t="shared" si="62"/>
        <v>0</v>
      </c>
      <c r="BZ121" s="11">
        <f t="shared" si="63"/>
        <v>0</v>
      </c>
      <c r="CA121" s="11">
        <f t="shared" si="64"/>
        <v>0</v>
      </c>
      <c r="CB121" s="11">
        <f t="shared" si="65"/>
        <v>0</v>
      </c>
      <c r="CC121" s="11">
        <f t="shared" si="66"/>
        <v>0</v>
      </c>
      <c r="CD121" s="11">
        <f t="shared" si="67"/>
        <v>0</v>
      </c>
      <c r="CE121" s="11">
        <f t="shared" si="68"/>
        <v>0</v>
      </c>
      <c r="CF121" s="11">
        <f t="shared" si="69"/>
        <v>0</v>
      </c>
      <c r="CG121" s="11"/>
      <c r="CH121" s="41">
        <v>3.23</v>
      </c>
      <c r="CI121" s="1"/>
      <c r="CJ121" s="53">
        <f t="shared" si="70"/>
        <v>6999</v>
      </c>
      <c r="CK121" s="53">
        <f t="shared" si="71"/>
        <v>0</v>
      </c>
      <c r="CL121" s="53">
        <f t="shared" si="72"/>
        <v>0</v>
      </c>
      <c r="CM121" s="53">
        <f t="shared" si="73"/>
        <v>0</v>
      </c>
      <c r="CN121" s="53">
        <f t="shared" si="74"/>
        <v>0</v>
      </c>
      <c r="CO121" s="53">
        <f t="shared" si="75"/>
        <v>0</v>
      </c>
      <c r="CP121" s="53">
        <f t="shared" si="76"/>
        <v>0</v>
      </c>
      <c r="CQ121" s="53">
        <f t="shared" si="77"/>
        <v>0</v>
      </c>
      <c r="CR121" s="53">
        <f t="shared" si="78"/>
        <v>0</v>
      </c>
      <c r="CS121" s="53">
        <f t="shared" si="79"/>
        <v>0</v>
      </c>
      <c r="CT121" s="53">
        <f t="shared" si="80"/>
        <v>0</v>
      </c>
      <c r="CU121" s="53">
        <f t="shared" si="81"/>
        <v>0</v>
      </c>
      <c r="CV121" s="53">
        <f t="shared" si="84"/>
        <v>6999</v>
      </c>
      <c r="CW121" s="1"/>
      <c r="CX121" s="1"/>
      <c r="CY121" s="1"/>
      <c r="CZ121" s="1"/>
      <c r="DA121" s="1"/>
      <c r="DB121" s="1"/>
      <c r="DC121" s="1"/>
      <c r="DD121" s="1"/>
      <c r="DE121" s="1"/>
      <c r="DF121" s="1"/>
      <c r="DG121" s="1"/>
      <c r="DH121" s="1"/>
      <c r="DI121" s="1"/>
      <c r="DJ121" s="1"/>
      <c r="DK121" s="1"/>
      <c r="DL121" s="1"/>
    </row>
    <row r="122" spans="1:116" ht="15.75" hidden="1" x14ac:dyDescent="0.25">
      <c r="A122" s="17"/>
      <c r="B122" s="17"/>
      <c r="C122" s="17"/>
      <c r="D122" s="17"/>
      <c r="E122" s="17"/>
      <c r="F122" s="32" t="s">
        <v>2954</v>
      </c>
      <c r="G122" s="57">
        <v>1031302.74</v>
      </c>
      <c r="H122" s="57">
        <v>949742.26</v>
      </c>
      <c r="I122" s="57">
        <v>1294365.52</v>
      </c>
      <c r="J122" s="57">
        <v>1063197.77</v>
      </c>
      <c r="K122" s="57">
        <v>1125864.81</v>
      </c>
      <c r="L122" s="57">
        <v>1255661.1299999999</v>
      </c>
      <c r="M122" s="57">
        <v>1104965.58</v>
      </c>
      <c r="N122" s="57">
        <v>1178945.92</v>
      </c>
      <c r="O122" s="57">
        <v>1663614.52</v>
      </c>
      <c r="P122" s="57">
        <v>1420762.59</v>
      </c>
      <c r="Q122" s="57">
        <v>1233957.3500000001</v>
      </c>
      <c r="R122" s="57">
        <v>443217837771.71002</v>
      </c>
      <c r="S122" s="11">
        <f t="shared" si="45"/>
        <v>443231160151.90002</v>
      </c>
      <c r="T122" s="8">
        <f t="shared" si="85"/>
        <v>-0.99999999744201196</v>
      </c>
      <c r="U122" s="13" t="s">
        <v>2953</v>
      </c>
      <c r="V122" s="50">
        <f t="shared" si="83"/>
        <v>546274758988690</v>
      </c>
      <c r="W122" s="36">
        <v>1.9890000000000001</v>
      </c>
      <c r="X122" s="36">
        <v>1.9890000000000001</v>
      </c>
      <c r="Y122" s="36">
        <v>2.6589999999999998</v>
      </c>
      <c r="Z122" s="36">
        <v>2.6589999999999998</v>
      </c>
      <c r="AA122" s="36">
        <v>2.6589999999999998</v>
      </c>
      <c r="AB122" s="36">
        <v>2.6589999999999998</v>
      </c>
      <c r="AC122" s="36">
        <v>2.6589999999999998</v>
      </c>
      <c r="AD122" s="36">
        <v>2.6589999999999998</v>
      </c>
      <c r="AE122" s="36">
        <v>2.6589999999999998</v>
      </c>
      <c r="AF122" s="36">
        <v>2.6589999999999998</v>
      </c>
      <c r="AG122" s="36">
        <v>2.6589999999999998</v>
      </c>
      <c r="AH122" s="36">
        <v>2.6589999999999998</v>
      </c>
      <c r="AI122" s="39">
        <v>1.33634708931066E-2</v>
      </c>
      <c r="AJ122" s="39">
        <v>1.33634708931066E-2</v>
      </c>
      <c r="AK122" s="39">
        <v>1.33634708931066E-2</v>
      </c>
      <c r="AL122" s="39">
        <v>1.33634708931066E-2</v>
      </c>
      <c r="AM122" s="39">
        <v>1.33634708931066E-2</v>
      </c>
      <c r="AN122" s="39">
        <v>1.33634708931066E-2</v>
      </c>
      <c r="AO122" s="39">
        <v>1.33634708931066E-2</v>
      </c>
      <c r="AP122" s="39">
        <v>1.33634708931066E-2</v>
      </c>
      <c r="AQ122" s="39">
        <v>1.33634708931066E-2</v>
      </c>
      <c r="AR122" s="39">
        <v>1.33634708931066E-2</v>
      </c>
      <c r="AS122" s="39">
        <v>1.33634708931066E-2</v>
      </c>
      <c r="AT122" s="39">
        <v>1.33634708931066E-2</v>
      </c>
      <c r="AU122" s="39">
        <v>1.2392217523121999E-3</v>
      </c>
      <c r="AV122" s="39">
        <v>1.2392217523121999E-3</v>
      </c>
      <c r="AW122" s="39">
        <v>1.2392217523121999E-3</v>
      </c>
      <c r="AX122" s="39">
        <v>1.2392217523121999E-3</v>
      </c>
      <c r="AY122" s="39">
        <v>1.2392217523121999E-3</v>
      </c>
      <c r="AZ122" s="39">
        <v>1.2392217523121999E-3</v>
      </c>
      <c r="BA122" s="39">
        <v>1.2392217523121999E-3</v>
      </c>
      <c r="BB122" s="39">
        <v>1.2392217523121999E-3</v>
      </c>
      <c r="BC122" s="39">
        <v>1.2392217523121999E-3</v>
      </c>
      <c r="BD122" s="39">
        <v>1.2392217523121999E-3</v>
      </c>
      <c r="BE122" s="39">
        <v>1.2392217523121999E-3</v>
      </c>
      <c r="BF122" s="39">
        <v>1.2392217523121999E-3</v>
      </c>
      <c r="BG122" s="1"/>
      <c r="BH122" s="12">
        <f t="shared" si="46"/>
        <v>3331107.8501999998</v>
      </c>
      <c r="BI122" s="12">
        <f t="shared" si="47"/>
        <v>3067667.4997999999</v>
      </c>
      <c r="BJ122" s="12">
        <f t="shared" si="48"/>
        <v>4180800.6296000001</v>
      </c>
      <c r="BK122" s="12">
        <f t="shared" si="49"/>
        <v>3434128.7971000001</v>
      </c>
      <c r="BL122" s="12">
        <f t="shared" si="50"/>
        <v>3636543.3363000001</v>
      </c>
      <c r="BM122" s="12">
        <f t="shared" si="51"/>
        <v>4055785.4498999994</v>
      </c>
      <c r="BN122" s="12">
        <f t="shared" si="52"/>
        <v>3569038.8234000001</v>
      </c>
      <c r="BO122" s="12">
        <f t="shared" si="53"/>
        <v>3807995.3215999999</v>
      </c>
      <c r="BP122" s="12">
        <f t="shared" si="54"/>
        <v>5373474.8996000001</v>
      </c>
      <c r="BQ122" s="12">
        <f t="shared" si="55"/>
        <v>4589063.1657000007</v>
      </c>
      <c r="BR122" s="12">
        <f t="shared" si="56"/>
        <v>3985682.2405000003</v>
      </c>
      <c r="BS122" s="12">
        <f t="shared" si="57"/>
        <v>1431593616002.6233</v>
      </c>
      <c r="BT122" s="1"/>
      <c r="BU122" s="11">
        <f t="shared" si="58"/>
        <v>3379750.9943052121</v>
      </c>
      <c r="BV122" s="11">
        <f t="shared" si="59"/>
        <v>3112463.7054379196</v>
      </c>
      <c r="BW122" s="11">
        <f t="shared" si="60"/>
        <v>4241851.5762058226</v>
      </c>
      <c r="BX122" s="11">
        <f t="shared" si="61"/>
        <v>3484276.3244288331</v>
      </c>
      <c r="BY122" s="11">
        <f t="shared" si="62"/>
        <v>3689646.6609317348</v>
      </c>
      <c r="BZ122" s="11">
        <f t="shared" si="63"/>
        <v>4115010.8382606506</v>
      </c>
      <c r="CA122" s="11">
        <f t="shared" si="64"/>
        <v>3621156.4003776773</v>
      </c>
      <c r="CB122" s="11">
        <f t="shared" si="65"/>
        <v>3863602.3068765174</v>
      </c>
      <c r="CC122" s="11">
        <f t="shared" si="66"/>
        <v>5451942.1019967319</v>
      </c>
      <c r="CD122" s="11">
        <f t="shared" si="67"/>
        <v>4656075.8446391309</v>
      </c>
      <c r="CE122" s="11">
        <f t="shared" si="68"/>
        <v>4043883.9332403261</v>
      </c>
      <c r="CF122" s="11">
        <f t="shared" si="69"/>
        <v>1452498737570.2534</v>
      </c>
      <c r="CG122" s="11"/>
      <c r="CH122" s="41">
        <v>3.23</v>
      </c>
      <c r="CI122" s="1"/>
      <c r="CJ122" s="53">
        <f t="shared" si="70"/>
        <v>1699221214</v>
      </c>
      <c r="CK122" s="53">
        <f t="shared" si="71"/>
        <v>1564838464</v>
      </c>
      <c r="CL122" s="53">
        <f t="shared" si="72"/>
        <v>1595280773</v>
      </c>
      <c r="CM122" s="53">
        <f t="shared" si="73"/>
        <v>1310370938</v>
      </c>
      <c r="CN122" s="53">
        <f t="shared" si="74"/>
        <v>1387606868</v>
      </c>
      <c r="CO122" s="53">
        <f t="shared" si="75"/>
        <v>1547578352</v>
      </c>
      <c r="CP122" s="53">
        <f t="shared" si="76"/>
        <v>1361848966</v>
      </c>
      <c r="CQ122" s="53">
        <f t="shared" si="77"/>
        <v>1453028322</v>
      </c>
      <c r="CR122" s="53">
        <f t="shared" si="78"/>
        <v>2050373111</v>
      </c>
      <c r="CS122" s="53">
        <f t="shared" si="79"/>
        <v>1751062747</v>
      </c>
      <c r="CT122" s="53">
        <f t="shared" si="80"/>
        <v>1520828858</v>
      </c>
      <c r="CU122" s="53">
        <f t="shared" si="81"/>
        <v>546257516950077</v>
      </c>
      <c r="CV122" s="53">
        <f t="shared" si="84"/>
        <v>546274758988690</v>
      </c>
      <c r="CW122" s="1"/>
      <c r="CX122" s="1"/>
      <c r="CY122" s="1"/>
      <c r="CZ122" s="1"/>
      <c r="DA122" s="1"/>
      <c r="DB122" s="1"/>
      <c r="DC122" s="1"/>
      <c r="DD122" s="1"/>
      <c r="DE122" s="1"/>
      <c r="DF122" s="1"/>
      <c r="DG122" s="1"/>
      <c r="DH122" s="1"/>
      <c r="DI122" s="1"/>
      <c r="DJ122" s="1"/>
      <c r="DK122" s="1"/>
      <c r="DL122" s="1"/>
    </row>
    <row r="123" spans="1:116" ht="15.75" hidden="1" x14ac:dyDescent="0.25">
      <c r="A123" s="17"/>
      <c r="B123" s="17"/>
      <c r="C123" s="17"/>
      <c r="D123" s="17"/>
      <c r="E123" s="17"/>
      <c r="F123" s="32" t="s">
        <v>2954</v>
      </c>
      <c r="G123" s="57">
        <v>0</v>
      </c>
      <c r="H123" s="57">
        <v>0</v>
      </c>
      <c r="I123" s="57">
        <v>0</v>
      </c>
      <c r="J123" s="57">
        <v>0</v>
      </c>
      <c r="K123" s="57">
        <v>0</v>
      </c>
      <c r="L123" s="57">
        <v>0</v>
      </c>
      <c r="M123" s="57">
        <v>0</v>
      </c>
      <c r="N123" s="57">
        <v>0</v>
      </c>
      <c r="O123" s="57">
        <v>0</v>
      </c>
      <c r="P123" s="57">
        <v>0</v>
      </c>
      <c r="Q123" s="57">
        <v>0</v>
      </c>
      <c r="R123" s="57">
        <v>0</v>
      </c>
      <c r="S123" s="11">
        <f t="shared" si="45"/>
        <v>0</v>
      </c>
      <c r="T123" s="8">
        <f t="shared" si="85"/>
        <v>0</v>
      </c>
      <c r="U123" s="13" t="s">
        <v>2953</v>
      </c>
      <c r="V123" s="50">
        <f t="shared" si="83"/>
        <v>0</v>
      </c>
      <c r="W123" s="36">
        <v>1.8500010816189674</v>
      </c>
      <c r="X123" s="36">
        <v>1.8500010816189674</v>
      </c>
      <c r="Y123" s="36">
        <v>1.8500010816189674</v>
      </c>
      <c r="Z123" s="36">
        <v>1.8500010816189674</v>
      </c>
      <c r="AA123" s="36">
        <v>1.8500010816189674</v>
      </c>
      <c r="AB123" s="36">
        <v>1.8500010816189674</v>
      </c>
      <c r="AC123" s="36">
        <v>1.8500010816189674</v>
      </c>
      <c r="AD123" s="36">
        <v>1.8500010816189674</v>
      </c>
      <c r="AE123" s="36">
        <v>1.8500010816189674</v>
      </c>
      <c r="AF123" s="36">
        <v>1.8500010816189674</v>
      </c>
      <c r="AG123" s="36">
        <v>1.8500010816189674</v>
      </c>
      <c r="AH123" s="36">
        <v>1.8500010816189674</v>
      </c>
      <c r="AI123" s="39">
        <v>0</v>
      </c>
      <c r="AJ123" s="39">
        <v>0</v>
      </c>
      <c r="AK123" s="39">
        <v>0</v>
      </c>
      <c r="AL123" s="39">
        <v>0</v>
      </c>
      <c r="AM123" s="39">
        <v>0</v>
      </c>
      <c r="AN123" s="39">
        <v>0</v>
      </c>
      <c r="AO123" s="39">
        <v>0</v>
      </c>
      <c r="AP123" s="39">
        <v>0</v>
      </c>
      <c r="AQ123" s="39">
        <v>0</v>
      </c>
      <c r="AR123" s="39">
        <v>0</v>
      </c>
      <c r="AS123" s="39">
        <v>0</v>
      </c>
      <c r="AT123" s="39">
        <v>0</v>
      </c>
      <c r="AU123" s="39">
        <v>0</v>
      </c>
      <c r="AV123" s="39">
        <v>0</v>
      </c>
      <c r="AW123" s="39">
        <v>0</v>
      </c>
      <c r="AX123" s="39">
        <v>0</v>
      </c>
      <c r="AY123" s="39">
        <v>0</v>
      </c>
      <c r="AZ123" s="39">
        <v>0</v>
      </c>
      <c r="BA123" s="39">
        <v>0</v>
      </c>
      <c r="BB123" s="39">
        <v>0</v>
      </c>
      <c r="BC123" s="39">
        <v>0</v>
      </c>
      <c r="BD123" s="39">
        <v>0</v>
      </c>
      <c r="BE123" s="39">
        <v>0</v>
      </c>
      <c r="BF123" s="39">
        <v>0</v>
      </c>
      <c r="BG123" s="1"/>
      <c r="BH123" s="12">
        <f t="shared" si="46"/>
        <v>0</v>
      </c>
      <c r="BI123" s="12">
        <f t="shared" si="47"/>
        <v>0</v>
      </c>
      <c r="BJ123" s="12">
        <f t="shared" si="48"/>
        <v>0</v>
      </c>
      <c r="BK123" s="12">
        <f t="shared" si="49"/>
        <v>0</v>
      </c>
      <c r="BL123" s="12">
        <f t="shared" si="50"/>
        <v>0</v>
      </c>
      <c r="BM123" s="12">
        <f t="shared" si="51"/>
        <v>0</v>
      </c>
      <c r="BN123" s="12">
        <f t="shared" si="52"/>
        <v>0</v>
      </c>
      <c r="BO123" s="12">
        <f t="shared" si="53"/>
        <v>0</v>
      </c>
      <c r="BP123" s="12">
        <f t="shared" si="54"/>
        <v>0</v>
      </c>
      <c r="BQ123" s="12">
        <f t="shared" si="55"/>
        <v>0</v>
      </c>
      <c r="BR123" s="12">
        <f t="shared" si="56"/>
        <v>0</v>
      </c>
      <c r="BS123" s="12">
        <f t="shared" si="57"/>
        <v>0</v>
      </c>
      <c r="BT123" s="1"/>
      <c r="BU123" s="11">
        <f t="shared" si="58"/>
        <v>0</v>
      </c>
      <c r="BV123" s="11">
        <f t="shared" si="59"/>
        <v>0</v>
      </c>
      <c r="BW123" s="11">
        <f t="shared" si="60"/>
        <v>0</v>
      </c>
      <c r="BX123" s="11">
        <f t="shared" si="61"/>
        <v>0</v>
      </c>
      <c r="BY123" s="11">
        <f t="shared" si="62"/>
        <v>0</v>
      </c>
      <c r="BZ123" s="11">
        <f t="shared" si="63"/>
        <v>0</v>
      </c>
      <c r="CA123" s="11">
        <f t="shared" si="64"/>
        <v>0</v>
      </c>
      <c r="CB123" s="11">
        <f t="shared" si="65"/>
        <v>0</v>
      </c>
      <c r="CC123" s="11">
        <f t="shared" si="66"/>
        <v>0</v>
      </c>
      <c r="CD123" s="11">
        <f t="shared" si="67"/>
        <v>0</v>
      </c>
      <c r="CE123" s="11">
        <f t="shared" si="68"/>
        <v>0</v>
      </c>
      <c r="CF123" s="11">
        <f t="shared" si="69"/>
        <v>0</v>
      </c>
      <c r="CG123" s="11"/>
      <c r="CH123" s="41">
        <v>1</v>
      </c>
      <c r="CI123" s="1"/>
      <c r="CJ123" s="53">
        <f t="shared" si="70"/>
        <v>0</v>
      </c>
      <c r="CK123" s="53">
        <f t="shared" si="71"/>
        <v>0</v>
      </c>
      <c r="CL123" s="53">
        <f t="shared" si="72"/>
        <v>0</v>
      </c>
      <c r="CM123" s="53">
        <f t="shared" si="73"/>
        <v>0</v>
      </c>
      <c r="CN123" s="53">
        <f t="shared" si="74"/>
        <v>0</v>
      </c>
      <c r="CO123" s="53">
        <f t="shared" si="75"/>
        <v>0</v>
      </c>
      <c r="CP123" s="53">
        <f t="shared" si="76"/>
        <v>0</v>
      </c>
      <c r="CQ123" s="53">
        <f t="shared" si="77"/>
        <v>0</v>
      </c>
      <c r="CR123" s="53">
        <f t="shared" si="78"/>
        <v>0</v>
      </c>
      <c r="CS123" s="53">
        <f t="shared" si="79"/>
        <v>0</v>
      </c>
      <c r="CT123" s="53">
        <f t="shared" si="80"/>
        <v>0</v>
      </c>
      <c r="CU123" s="53">
        <f t="shared" si="81"/>
        <v>0</v>
      </c>
      <c r="CV123" s="53">
        <f t="shared" si="84"/>
        <v>0</v>
      </c>
      <c r="CW123" s="1"/>
      <c r="CX123" s="1"/>
      <c r="CY123" s="1"/>
      <c r="CZ123" s="1"/>
      <c r="DA123" s="1"/>
      <c r="DB123" s="1"/>
      <c r="DC123" s="1"/>
      <c r="DD123" s="1"/>
      <c r="DE123" s="1"/>
      <c r="DF123" s="1"/>
      <c r="DG123" s="1"/>
      <c r="DH123" s="1"/>
      <c r="DI123" s="1"/>
      <c r="DJ123" s="1"/>
      <c r="DK123" s="1"/>
      <c r="DL123" s="1"/>
    </row>
    <row r="124" spans="1:116" ht="15.75" hidden="1" x14ac:dyDescent="0.25">
      <c r="A124" s="17"/>
      <c r="B124" s="17"/>
      <c r="C124" s="17"/>
      <c r="D124" s="17"/>
      <c r="E124" s="17"/>
      <c r="F124" s="32" t="s">
        <v>2954</v>
      </c>
      <c r="G124" s="57">
        <v>0</v>
      </c>
      <c r="H124" s="57">
        <v>0</v>
      </c>
      <c r="I124" s="57">
        <v>0</v>
      </c>
      <c r="J124" s="57">
        <v>0</v>
      </c>
      <c r="K124" s="57">
        <v>0</v>
      </c>
      <c r="L124" s="57">
        <v>0</v>
      </c>
      <c r="M124" s="57">
        <v>0</v>
      </c>
      <c r="N124" s="57">
        <v>0</v>
      </c>
      <c r="O124" s="57">
        <v>0</v>
      </c>
      <c r="P124" s="57">
        <v>0</v>
      </c>
      <c r="Q124" s="57">
        <v>0</v>
      </c>
      <c r="R124" s="57">
        <v>0</v>
      </c>
      <c r="S124" s="11">
        <f t="shared" si="45"/>
        <v>0</v>
      </c>
      <c r="T124" s="8">
        <f t="shared" si="85"/>
        <v>0</v>
      </c>
      <c r="U124" s="13" t="s">
        <v>2953</v>
      </c>
      <c r="V124" s="50">
        <f t="shared" si="83"/>
        <v>0</v>
      </c>
      <c r="W124" s="36">
        <v>3.17</v>
      </c>
      <c r="X124" s="36">
        <v>3.17</v>
      </c>
      <c r="Y124" s="36">
        <v>3.17</v>
      </c>
      <c r="Z124" s="36">
        <v>3.17</v>
      </c>
      <c r="AA124" s="36">
        <v>3.17</v>
      </c>
      <c r="AB124" s="36">
        <v>3.17</v>
      </c>
      <c r="AC124" s="36">
        <v>3.17</v>
      </c>
      <c r="AD124" s="36">
        <v>3.17</v>
      </c>
      <c r="AE124" s="36">
        <v>3.17</v>
      </c>
      <c r="AF124" s="36">
        <v>3.17</v>
      </c>
      <c r="AG124" s="36">
        <v>3.17</v>
      </c>
      <c r="AH124" s="36">
        <v>3.17</v>
      </c>
      <c r="AI124" s="39">
        <v>0</v>
      </c>
      <c r="AJ124" s="39">
        <v>0</v>
      </c>
      <c r="AK124" s="39">
        <v>0</v>
      </c>
      <c r="AL124" s="39">
        <v>0</v>
      </c>
      <c r="AM124" s="39">
        <v>0</v>
      </c>
      <c r="AN124" s="39">
        <v>0</v>
      </c>
      <c r="AO124" s="39">
        <v>0</v>
      </c>
      <c r="AP124" s="39">
        <v>0</v>
      </c>
      <c r="AQ124" s="39">
        <v>0</v>
      </c>
      <c r="AR124" s="39">
        <v>0</v>
      </c>
      <c r="AS124" s="39">
        <v>0</v>
      </c>
      <c r="AT124" s="39">
        <v>0</v>
      </c>
      <c r="AU124" s="39">
        <v>0</v>
      </c>
      <c r="AV124" s="39">
        <v>0</v>
      </c>
      <c r="AW124" s="39">
        <v>0</v>
      </c>
      <c r="AX124" s="39">
        <v>0</v>
      </c>
      <c r="AY124" s="39">
        <v>0</v>
      </c>
      <c r="AZ124" s="39">
        <v>0</v>
      </c>
      <c r="BA124" s="39">
        <v>0</v>
      </c>
      <c r="BB124" s="39">
        <v>0</v>
      </c>
      <c r="BC124" s="39">
        <v>0</v>
      </c>
      <c r="BD124" s="39">
        <v>0</v>
      </c>
      <c r="BE124" s="39">
        <v>0</v>
      </c>
      <c r="BF124" s="39">
        <v>0</v>
      </c>
      <c r="BG124" s="1"/>
      <c r="BH124" s="12">
        <f t="shared" si="46"/>
        <v>0</v>
      </c>
      <c r="BI124" s="12">
        <f t="shared" si="47"/>
        <v>0</v>
      </c>
      <c r="BJ124" s="12">
        <f t="shared" si="48"/>
        <v>0</v>
      </c>
      <c r="BK124" s="12">
        <f t="shared" si="49"/>
        <v>0</v>
      </c>
      <c r="BL124" s="12">
        <f t="shared" si="50"/>
        <v>0</v>
      </c>
      <c r="BM124" s="12">
        <f t="shared" si="51"/>
        <v>0</v>
      </c>
      <c r="BN124" s="12">
        <f t="shared" si="52"/>
        <v>0</v>
      </c>
      <c r="BO124" s="12">
        <f t="shared" si="53"/>
        <v>0</v>
      </c>
      <c r="BP124" s="12">
        <f t="shared" si="54"/>
        <v>0</v>
      </c>
      <c r="BQ124" s="12">
        <f t="shared" si="55"/>
        <v>0</v>
      </c>
      <c r="BR124" s="12">
        <f t="shared" si="56"/>
        <v>0</v>
      </c>
      <c r="BS124" s="12">
        <f t="shared" si="57"/>
        <v>0</v>
      </c>
      <c r="BT124" s="1"/>
      <c r="BU124" s="11">
        <f t="shared" si="58"/>
        <v>0</v>
      </c>
      <c r="BV124" s="11">
        <f t="shared" si="59"/>
        <v>0</v>
      </c>
      <c r="BW124" s="11">
        <f t="shared" si="60"/>
        <v>0</v>
      </c>
      <c r="BX124" s="11">
        <f t="shared" si="61"/>
        <v>0</v>
      </c>
      <c r="BY124" s="11">
        <f t="shared" si="62"/>
        <v>0</v>
      </c>
      <c r="BZ124" s="11">
        <f t="shared" si="63"/>
        <v>0</v>
      </c>
      <c r="CA124" s="11">
        <f t="shared" si="64"/>
        <v>0</v>
      </c>
      <c r="CB124" s="11">
        <f t="shared" si="65"/>
        <v>0</v>
      </c>
      <c r="CC124" s="11">
        <f t="shared" si="66"/>
        <v>0</v>
      </c>
      <c r="CD124" s="11">
        <f t="shared" si="67"/>
        <v>0</v>
      </c>
      <c r="CE124" s="11">
        <f t="shared" si="68"/>
        <v>0</v>
      </c>
      <c r="CF124" s="11">
        <f t="shared" si="69"/>
        <v>0</v>
      </c>
      <c r="CG124" s="11"/>
      <c r="CH124" s="41">
        <v>1</v>
      </c>
      <c r="CI124" s="1"/>
      <c r="CJ124" s="53">
        <f t="shared" si="70"/>
        <v>0</v>
      </c>
      <c r="CK124" s="53">
        <f t="shared" si="71"/>
        <v>0</v>
      </c>
      <c r="CL124" s="53">
        <f t="shared" si="72"/>
        <v>0</v>
      </c>
      <c r="CM124" s="53">
        <f t="shared" si="73"/>
        <v>0</v>
      </c>
      <c r="CN124" s="53">
        <f t="shared" si="74"/>
        <v>0</v>
      </c>
      <c r="CO124" s="53">
        <f t="shared" si="75"/>
        <v>0</v>
      </c>
      <c r="CP124" s="53">
        <f t="shared" si="76"/>
        <v>0</v>
      </c>
      <c r="CQ124" s="53">
        <f t="shared" si="77"/>
        <v>0</v>
      </c>
      <c r="CR124" s="53">
        <f t="shared" si="78"/>
        <v>0</v>
      </c>
      <c r="CS124" s="53">
        <f t="shared" si="79"/>
        <v>0</v>
      </c>
      <c r="CT124" s="53">
        <f t="shared" si="80"/>
        <v>0</v>
      </c>
      <c r="CU124" s="53">
        <f t="shared" si="81"/>
        <v>0</v>
      </c>
      <c r="CV124" s="53">
        <f t="shared" si="84"/>
        <v>0</v>
      </c>
      <c r="CW124" s="1"/>
      <c r="CX124" s="1"/>
      <c r="CY124" s="1"/>
      <c r="CZ124" s="1"/>
      <c r="DA124" s="1"/>
      <c r="DB124" s="1"/>
      <c r="DC124" s="1"/>
      <c r="DD124" s="1"/>
      <c r="DE124" s="1"/>
      <c r="DF124" s="1"/>
      <c r="DG124" s="1"/>
      <c r="DH124" s="1"/>
      <c r="DI124" s="1"/>
      <c r="DJ124" s="1"/>
      <c r="DK124" s="1"/>
      <c r="DL124" s="1"/>
    </row>
    <row r="125" spans="1:116" ht="15.75" hidden="1" x14ac:dyDescent="0.25">
      <c r="A125" s="17"/>
      <c r="B125" s="17"/>
      <c r="C125" s="17"/>
      <c r="D125" s="17"/>
      <c r="E125" s="17"/>
      <c r="F125" s="32" t="s">
        <v>2954</v>
      </c>
      <c r="G125" s="57">
        <v>0</v>
      </c>
      <c r="H125" s="57">
        <v>0</v>
      </c>
      <c r="I125" s="57">
        <v>0</v>
      </c>
      <c r="J125" s="57">
        <v>0</v>
      </c>
      <c r="K125" s="57">
        <v>0</v>
      </c>
      <c r="L125" s="57">
        <v>0</v>
      </c>
      <c r="M125" s="57">
        <v>0</v>
      </c>
      <c r="N125" s="57">
        <v>0</v>
      </c>
      <c r="O125" s="57">
        <v>0</v>
      </c>
      <c r="P125" s="57">
        <v>0</v>
      </c>
      <c r="Q125" s="57">
        <v>0</v>
      </c>
      <c r="R125" s="57">
        <v>0</v>
      </c>
      <c r="S125" s="11">
        <f t="shared" si="45"/>
        <v>0</v>
      </c>
      <c r="T125" s="8">
        <f t="shared" si="85"/>
        <v>0</v>
      </c>
      <c r="U125" s="13" t="s">
        <v>2953</v>
      </c>
      <c r="V125" s="50">
        <f t="shared" si="83"/>
        <v>0</v>
      </c>
      <c r="W125" s="36">
        <v>3.149</v>
      </c>
      <c r="X125" s="36">
        <v>3.149</v>
      </c>
      <c r="Y125" s="36">
        <v>3.149</v>
      </c>
      <c r="Z125" s="36">
        <v>3.149</v>
      </c>
      <c r="AA125" s="36">
        <v>3.149</v>
      </c>
      <c r="AB125" s="36">
        <v>3.149</v>
      </c>
      <c r="AC125" s="36">
        <v>3.149</v>
      </c>
      <c r="AD125" s="36">
        <v>3.149</v>
      </c>
      <c r="AE125" s="36">
        <v>3.149</v>
      </c>
      <c r="AF125" s="36">
        <v>3.149</v>
      </c>
      <c r="AG125" s="36">
        <v>3.149</v>
      </c>
      <c r="AH125" s="36">
        <v>3.149</v>
      </c>
      <c r="AI125" s="39">
        <v>1.33634708931066E-2</v>
      </c>
      <c r="AJ125" s="39">
        <v>1.33634708931066E-2</v>
      </c>
      <c r="AK125" s="39">
        <v>1.33634708931066E-2</v>
      </c>
      <c r="AL125" s="39">
        <v>1.33634708931066E-2</v>
      </c>
      <c r="AM125" s="39">
        <v>1.33634708931066E-2</v>
      </c>
      <c r="AN125" s="39">
        <v>1.33634708931066E-2</v>
      </c>
      <c r="AO125" s="39">
        <v>1.33634708931066E-2</v>
      </c>
      <c r="AP125" s="39">
        <v>1.33634708931066E-2</v>
      </c>
      <c r="AQ125" s="39">
        <v>1.33634708931066E-2</v>
      </c>
      <c r="AR125" s="39">
        <v>1.33634708931066E-2</v>
      </c>
      <c r="AS125" s="39">
        <v>1.33634708931066E-2</v>
      </c>
      <c r="AT125" s="39">
        <v>1.33634708931066E-2</v>
      </c>
      <c r="AU125" s="39">
        <v>1.2392217523121999E-3</v>
      </c>
      <c r="AV125" s="39">
        <v>1.2392217523121999E-3</v>
      </c>
      <c r="AW125" s="39">
        <v>1.2392217523121999E-3</v>
      </c>
      <c r="AX125" s="39">
        <v>1.2392217523121999E-3</v>
      </c>
      <c r="AY125" s="39">
        <v>1.2392217523121999E-3</v>
      </c>
      <c r="AZ125" s="39">
        <v>1.2392217523121999E-3</v>
      </c>
      <c r="BA125" s="39">
        <v>1.2392217523121999E-3</v>
      </c>
      <c r="BB125" s="39">
        <v>1.2392217523121999E-3</v>
      </c>
      <c r="BC125" s="39">
        <v>1.2392217523121999E-3</v>
      </c>
      <c r="BD125" s="39">
        <v>1.2392217523121999E-3</v>
      </c>
      <c r="BE125" s="39">
        <v>1.2392217523121999E-3</v>
      </c>
      <c r="BF125" s="39">
        <v>1.2392217523121999E-3</v>
      </c>
      <c r="BG125" s="1"/>
      <c r="BH125" s="12">
        <f t="shared" si="46"/>
        <v>0</v>
      </c>
      <c r="BI125" s="12">
        <f t="shared" si="47"/>
        <v>0</v>
      </c>
      <c r="BJ125" s="12">
        <f t="shared" si="48"/>
        <v>0</v>
      </c>
      <c r="BK125" s="12">
        <f t="shared" si="49"/>
        <v>0</v>
      </c>
      <c r="BL125" s="12">
        <f t="shared" si="50"/>
        <v>0</v>
      </c>
      <c r="BM125" s="12">
        <f t="shared" si="51"/>
        <v>0</v>
      </c>
      <c r="BN125" s="12">
        <f t="shared" si="52"/>
        <v>0</v>
      </c>
      <c r="BO125" s="12">
        <f t="shared" si="53"/>
        <v>0</v>
      </c>
      <c r="BP125" s="12">
        <f t="shared" si="54"/>
        <v>0</v>
      </c>
      <c r="BQ125" s="12">
        <f t="shared" si="55"/>
        <v>0</v>
      </c>
      <c r="BR125" s="12">
        <f t="shared" si="56"/>
        <v>0</v>
      </c>
      <c r="BS125" s="12">
        <f t="shared" si="57"/>
        <v>0</v>
      </c>
      <c r="BT125" s="1"/>
      <c r="BU125" s="11">
        <f t="shared" si="58"/>
        <v>0</v>
      </c>
      <c r="BV125" s="11">
        <f t="shared" si="59"/>
        <v>0</v>
      </c>
      <c r="BW125" s="11">
        <f t="shared" si="60"/>
        <v>0</v>
      </c>
      <c r="BX125" s="11">
        <f t="shared" si="61"/>
        <v>0</v>
      </c>
      <c r="BY125" s="11">
        <f t="shared" si="62"/>
        <v>0</v>
      </c>
      <c r="BZ125" s="11">
        <f t="shared" si="63"/>
        <v>0</v>
      </c>
      <c r="CA125" s="11">
        <f t="shared" si="64"/>
        <v>0</v>
      </c>
      <c r="CB125" s="11">
        <f t="shared" si="65"/>
        <v>0</v>
      </c>
      <c r="CC125" s="11">
        <f t="shared" si="66"/>
        <v>0</v>
      </c>
      <c r="CD125" s="11">
        <f t="shared" si="67"/>
        <v>0</v>
      </c>
      <c r="CE125" s="11">
        <f t="shared" si="68"/>
        <v>0</v>
      </c>
      <c r="CF125" s="11">
        <f t="shared" si="69"/>
        <v>0</v>
      </c>
      <c r="CG125" s="11"/>
      <c r="CH125" s="41">
        <v>3.23</v>
      </c>
      <c r="CI125" s="1"/>
      <c r="CJ125" s="53">
        <f t="shared" si="70"/>
        <v>0</v>
      </c>
      <c r="CK125" s="53">
        <f t="shared" si="71"/>
        <v>0</v>
      </c>
      <c r="CL125" s="53">
        <f t="shared" si="72"/>
        <v>0</v>
      </c>
      <c r="CM125" s="53">
        <f t="shared" si="73"/>
        <v>0</v>
      </c>
      <c r="CN125" s="53">
        <f t="shared" si="74"/>
        <v>0</v>
      </c>
      <c r="CO125" s="53">
        <f t="shared" si="75"/>
        <v>0</v>
      </c>
      <c r="CP125" s="53">
        <f t="shared" si="76"/>
        <v>0</v>
      </c>
      <c r="CQ125" s="53">
        <f t="shared" si="77"/>
        <v>0</v>
      </c>
      <c r="CR125" s="53">
        <f t="shared" si="78"/>
        <v>0</v>
      </c>
      <c r="CS125" s="53">
        <f t="shared" si="79"/>
        <v>0</v>
      </c>
      <c r="CT125" s="53">
        <f t="shared" si="80"/>
        <v>0</v>
      </c>
      <c r="CU125" s="53">
        <f t="shared" si="81"/>
        <v>0</v>
      </c>
      <c r="CV125" s="53">
        <f t="shared" si="84"/>
        <v>0</v>
      </c>
      <c r="CW125" s="1"/>
      <c r="CX125" s="1"/>
      <c r="CY125" s="1"/>
      <c r="CZ125" s="1"/>
      <c r="DA125" s="1"/>
      <c r="DB125" s="1"/>
      <c r="DC125" s="1"/>
      <c r="DD125" s="1"/>
      <c r="DE125" s="1"/>
      <c r="DF125" s="1"/>
      <c r="DG125" s="1"/>
      <c r="DH125" s="1"/>
      <c r="DI125" s="1"/>
      <c r="DJ125" s="1"/>
      <c r="DK125" s="1"/>
      <c r="DL125" s="1"/>
    </row>
    <row r="126" spans="1:116" ht="15.75" hidden="1" x14ac:dyDescent="0.25">
      <c r="A126" s="17"/>
      <c r="B126" s="17"/>
      <c r="C126" s="17"/>
      <c r="D126" s="17"/>
      <c r="E126" s="17"/>
      <c r="F126" s="32" t="s">
        <v>2954</v>
      </c>
      <c r="G126" s="57">
        <v>0</v>
      </c>
      <c r="H126" s="57">
        <v>0</v>
      </c>
      <c r="I126" s="57">
        <v>0</v>
      </c>
      <c r="J126" s="57">
        <v>0</v>
      </c>
      <c r="K126" s="57">
        <v>0</v>
      </c>
      <c r="L126" s="57">
        <v>0</v>
      </c>
      <c r="M126" s="57">
        <v>0</v>
      </c>
      <c r="N126" s="57">
        <v>0</v>
      </c>
      <c r="O126" s="57">
        <v>0</v>
      </c>
      <c r="P126" s="57">
        <v>0</v>
      </c>
      <c r="Q126" s="57">
        <v>0</v>
      </c>
      <c r="R126" s="57">
        <v>0</v>
      </c>
      <c r="S126" s="11">
        <f t="shared" si="45"/>
        <v>0</v>
      </c>
      <c r="T126" s="8">
        <f t="shared" si="85"/>
        <v>0</v>
      </c>
      <c r="U126" s="13" t="s">
        <v>2953</v>
      </c>
      <c r="V126" s="50">
        <f t="shared" si="83"/>
        <v>0</v>
      </c>
      <c r="W126" s="36">
        <v>1.107</v>
      </c>
      <c r="X126" s="36">
        <v>1.107</v>
      </c>
      <c r="Y126" s="36">
        <v>1.4379999999999999</v>
      </c>
      <c r="Z126" s="36">
        <v>1.4379999999999999</v>
      </c>
      <c r="AA126" s="36">
        <v>1.4379999999999999</v>
      </c>
      <c r="AB126" s="36">
        <v>1.4379999999999999</v>
      </c>
      <c r="AC126" s="36">
        <v>1.4379999999999999</v>
      </c>
      <c r="AD126" s="36">
        <v>1.4379999999999999</v>
      </c>
      <c r="AE126" s="36">
        <v>1.4379999999999999</v>
      </c>
      <c r="AF126" s="36">
        <v>1.4379999999999999</v>
      </c>
      <c r="AG126" s="36">
        <v>1.4379999999999999</v>
      </c>
      <c r="AH126" s="36">
        <v>1.4379999999999999</v>
      </c>
      <c r="AI126" s="39">
        <v>1.33634708931066E-2</v>
      </c>
      <c r="AJ126" s="39">
        <v>1.33634708931066E-2</v>
      </c>
      <c r="AK126" s="39">
        <v>1.33634708931066E-2</v>
      </c>
      <c r="AL126" s="39">
        <v>1.33634708931066E-2</v>
      </c>
      <c r="AM126" s="39">
        <v>1.33634708931066E-2</v>
      </c>
      <c r="AN126" s="39">
        <v>1.33634708931066E-2</v>
      </c>
      <c r="AO126" s="39">
        <v>1.33634708931066E-2</v>
      </c>
      <c r="AP126" s="39">
        <v>1.33634708931066E-2</v>
      </c>
      <c r="AQ126" s="39">
        <v>1.33634708931066E-2</v>
      </c>
      <c r="AR126" s="39">
        <v>1.33634708931066E-2</v>
      </c>
      <c r="AS126" s="39">
        <v>1.33634708931066E-2</v>
      </c>
      <c r="AT126" s="39">
        <v>1.33634708931066E-2</v>
      </c>
      <c r="AU126" s="39">
        <v>1.2392217523121999E-3</v>
      </c>
      <c r="AV126" s="39">
        <v>1.2392217523121999E-3</v>
      </c>
      <c r="AW126" s="39">
        <v>1.2392217523121999E-3</v>
      </c>
      <c r="AX126" s="39">
        <v>1.2392217523121999E-3</v>
      </c>
      <c r="AY126" s="39">
        <v>1.2392217523121999E-3</v>
      </c>
      <c r="AZ126" s="39">
        <v>1.2392217523121999E-3</v>
      </c>
      <c r="BA126" s="39">
        <v>1.2392217523121999E-3</v>
      </c>
      <c r="BB126" s="39">
        <v>1.2392217523121999E-3</v>
      </c>
      <c r="BC126" s="39">
        <v>1.2392217523121999E-3</v>
      </c>
      <c r="BD126" s="39">
        <v>1.2392217523121999E-3</v>
      </c>
      <c r="BE126" s="39">
        <v>1.2392217523121999E-3</v>
      </c>
      <c r="BF126" s="39">
        <v>1.2392217523121999E-3</v>
      </c>
      <c r="BG126" s="1"/>
      <c r="BH126" s="12">
        <f t="shared" si="46"/>
        <v>0</v>
      </c>
      <c r="BI126" s="12">
        <f t="shared" si="47"/>
        <v>0</v>
      </c>
      <c r="BJ126" s="12">
        <f t="shared" si="48"/>
        <v>0</v>
      </c>
      <c r="BK126" s="12">
        <f t="shared" si="49"/>
        <v>0</v>
      </c>
      <c r="BL126" s="12">
        <f t="shared" si="50"/>
        <v>0</v>
      </c>
      <c r="BM126" s="12">
        <f t="shared" si="51"/>
        <v>0</v>
      </c>
      <c r="BN126" s="12">
        <f t="shared" si="52"/>
        <v>0</v>
      </c>
      <c r="BO126" s="12">
        <f t="shared" si="53"/>
        <v>0</v>
      </c>
      <c r="BP126" s="12">
        <f t="shared" si="54"/>
        <v>0</v>
      </c>
      <c r="BQ126" s="12">
        <f t="shared" si="55"/>
        <v>0</v>
      </c>
      <c r="BR126" s="12">
        <f t="shared" si="56"/>
        <v>0</v>
      </c>
      <c r="BS126" s="12">
        <f t="shared" si="57"/>
        <v>0</v>
      </c>
      <c r="BT126" s="1"/>
      <c r="BU126" s="11">
        <f t="shared" si="58"/>
        <v>0</v>
      </c>
      <c r="BV126" s="11">
        <f t="shared" si="59"/>
        <v>0</v>
      </c>
      <c r="BW126" s="11">
        <f t="shared" si="60"/>
        <v>0</v>
      </c>
      <c r="BX126" s="11">
        <f t="shared" si="61"/>
        <v>0</v>
      </c>
      <c r="BY126" s="11">
        <f t="shared" si="62"/>
        <v>0</v>
      </c>
      <c r="BZ126" s="11">
        <f t="shared" si="63"/>
        <v>0</v>
      </c>
      <c r="CA126" s="11">
        <f t="shared" si="64"/>
        <v>0</v>
      </c>
      <c r="CB126" s="11">
        <f t="shared" si="65"/>
        <v>0</v>
      </c>
      <c r="CC126" s="11">
        <f t="shared" si="66"/>
        <v>0</v>
      </c>
      <c r="CD126" s="11">
        <f t="shared" si="67"/>
        <v>0</v>
      </c>
      <c r="CE126" s="11">
        <f t="shared" si="68"/>
        <v>0</v>
      </c>
      <c r="CF126" s="11">
        <f t="shared" si="69"/>
        <v>0</v>
      </c>
      <c r="CG126" s="11"/>
      <c r="CH126" s="41">
        <v>3.23</v>
      </c>
      <c r="CI126" s="1"/>
      <c r="CJ126" s="53">
        <f t="shared" si="70"/>
        <v>0</v>
      </c>
      <c r="CK126" s="53">
        <f t="shared" si="71"/>
        <v>0</v>
      </c>
      <c r="CL126" s="53">
        <f t="shared" si="72"/>
        <v>0</v>
      </c>
      <c r="CM126" s="53">
        <f t="shared" si="73"/>
        <v>0</v>
      </c>
      <c r="CN126" s="53">
        <f t="shared" si="74"/>
        <v>0</v>
      </c>
      <c r="CO126" s="53">
        <f t="shared" si="75"/>
        <v>0</v>
      </c>
      <c r="CP126" s="53">
        <f t="shared" si="76"/>
        <v>0</v>
      </c>
      <c r="CQ126" s="53">
        <f t="shared" si="77"/>
        <v>0</v>
      </c>
      <c r="CR126" s="53">
        <f t="shared" si="78"/>
        <v>0</v>
      </c>
      <c r="CS126" s="53">
        <f t="shared" si="79"/>
        <v>0</v>
      </c>
      <c r="CT126" s="53">
        <f t="shared" si="80"/>
        <v>0</v>
      </c>
      <c r="CU126" s="53">
        <f t="shared" si="81"/>
        <v>0</v>
      </c>
      <c r="CV126" s="53">
        <f t="shared" si="84"/>
        <v>0</v>
      </c>
      <c r="CW126" s="1"/>
      <c r="CX126" s="1"/>
      <c r="CY126" s="1"/>
      <c r="CZ126" s="1"/>
      <c r="DA126" s="1"/>
      <c r="DB126" s="1"/>
      <c r="DC126" s="1"/>
      <c r="DD126" s="1"/>
      <c r="DE126" s="1"/>
      <c r="DF126" s="1"/>
      <c r="DG126" s="1"/>
      <c r="DH126" s="1"/>
      <c r="DI126" s="1"/>
      <c r="DJ126" s="1"/>
      <c r="DK126" s="1"/>
      <c r="DL126" s="1"/>
    </row>
    <row r="127" spans="1:116" ht="15.75" hidden="1" x14ac:dyDescent="0.25">
      <c r="A127" s="17"/>
      <c r="B127" s="17"/>
      <c r="C127" s="17"/>
      <c r="D127" s="17"/>
      <c r="E127" s="17"/>
      <c r="F127" s="32" t="s">
        <v>2954</v>
      </c>
      <c r="G127" s="57">
        <v>103.62</v>
      </c>
      <c r="H127" s="57">
        <v>82.9</v>
      </c>
      <c r="I127" s="57">
        <v>96.91</v>
      </c>
      <c r="J127" s="57">
        <v>80.760000000000005</v>
      </c>
      <c r="K127" s="57">
        <v>64.61</v>
      </c>
      <c r="L127" s="57">
        <v>64.61</v>
      </c>
      <c r="M127" s="57">
        <v>64.61</v>
      </c>
      <c r="N127" s="57">
        <v>64.61</v>
      </c>
      <c r="O127" s="57">
        <v>96.91</v>
      </c>
      <c r="P127" s="57">
        <v>96.91</v>
      </c>
      <c r="Q127" s="57">
        <v>96.91</v>
      </c>
      <c r="R127" s="57">
        <v>80.760000000000005</v>
      </c>
      <c r="S127" s="11">
        <f t="shared" si="45"/>
        <v>994.11999999999989</v>
      </c>
      <c r="T127" s="8">
        <f t="shared" si="85"/>
        <v>-0.18675813785056106</v>
      </c>
      <c r="U127" s="13" t="s">
        <v>2953</v>
      </c>
      <c r="V127" s="50">
        <f t="shared" si="83"/>
        <v>2105626</v>
      </c>
      <c r="W127" s="36">
        <v>1.258</v>
      </c>
      <c r="X127" s="36">
        <v>1.258</v>
      </c>
      <c r="Y127" s="36">
        <v>1.6339999999999999</v>
      </c>
      <c r="Z127" s="36">
        <v>1.6339999999999999</v>
      </c>
      <c r="AA127" s="36">
        <v>1.6339999999999999</v>
      </c>
      <c r="AB127" s="36">
        <v>1.6339999999999999</v>
      </c>
      <c r="AC127" s="36">
        <v>1.6339999999999999</v>
      </c>
      <c r="AD127" s="36">
        <v>1.6339999999999999</v>
      </c>
      <c r="AE127" s="36">
        <v>1.6339999999999999</v>
      </c>
      <c r="AF127" s="36">
        <v>1.6339999999999999</v>
      </c>
      <c r="AG127" s="36">
        <v>1.6339999999999999</v>
      </c>
      <c r="AH127" s="36">
        <v>1.6339999999999999</v>
      </c>
      <c r="AI127" s="39">
        <v>1.33634708931066E-2</v>
      </c>
      <c r="AJ127" s="39">
        <v>1.33634708931066E-2</v>
      </c>
      <c r="AK127" s="39">
        <v>1.33634708931066E-2</v>
      </c>
      <c r="AL127" s="39">
        <v>1.33634708931066E-2</v>
      </c>
      <c r="AM127" s="39">
        <v>1.33634708931066E-2</v>
      </c>
      <c r="AN127" s="39">
        <v>1.33634708931066E-2</v>
      </c>
      <c r="AO127" s="39">
        <v>1.33634708931066E-2</v>
      </c>
      <c r="AP127" s="39">
        <v>1.33634708931066E-2</v>
      </c>
      <c r="AQ127" s="39">
        <v>1.33634708931066E-2</v>
      </c>
      <c r="AR127" s="39">
        <v>1.33634708931066E-2</v>
      </c>
      <c r="AS127" s="39">
        <v>1.33634708931066E-2</v>
      </c>
      <c r="AT127" s="39">
        <v>1.33634708931066E-2</v>
      </c>
      <c r="AU127" s="39">
        <v>1.2392217523121999E-3</v>
      </c>
      <c r="AV127" s="39">
        <v>1.2392217523121999E-3</v>
      </c>
      <c r="AW127" s="39">
        <v>1.2392217523121999E-3</v>
      </c>
      <c r="AX127" s="39">
        <v>1.2392217523121999E-3</v>
      </c>
      <c r="AY127" s="39">
        <v>1.2392217523121999E-3</v>
      </c>
      <c r="AZ127" s="39">
        <v>1.2392217523121999E-3</v>
      </c>
      <c r="BA127" s="39">
        <v>1.2392217523121999E-3</v>
      </c>
      <c r="BB127" s="39">
        <v>1.2392217523121999E-3</v>
      </c>
      <c r="BC127" s="39">
        <v>1.2392217523121999E-3</v>
      </c>
      <c r="BD127" s="39">
        <v>1.2392217523121999E-3</v>
      </c>
      <c r="BE127" s="39">
        <v>1.2392217523121999E-3</v>
      </c>
      <c r="BF127" s="39">
        <v>1.2392217523121999E-3</v>
      </c>
      <c r="BG127" s="1"/>
      <c r="BH127" s="12">
        <f t="shared" si="46"/>
        <v>334.69260000000003</v>
      </c>
      <c r="BI127" s="12">
        <f t="shared" si="47"/>
        <v>267.767</v>
      </c>
      <c r="BJ127" s="12">
        <f t="shared" si="48"/>
        <v>313.01929999999999</v>
      </c>
      <c r="BK127" s="12">
        <f t="shared" si="49"/>
        <v>260.85480000000001</v>
      </c>
      <c r="BL127" s="12">
        <f t="shared" si="50"/>
        <v>208.69030000000001</v>
      </c>
      <c r="BM127" s="12">
        <f t="shared" si="51"/>
        <v>208.69030000000001</v>
      </c>
      <c r="BN127" s="12">
        <f t="shared" si="52"/>
        <v>208.69030000000001</v>
      </c>
      <c r="BO127" s="12">
        <f t="shared" si="53"/>
        <v>208.69030000000001</v>
      </c>
      <c r="BP127" s="12">
        <f t="shared" si="54"/>
        <v>313.01929999999999</v>
      </c>
      <c r="BQ127" s="12">
        <f t="shared" si="55"/>
        <v>313.01929999999999</v>
      </c>
      <c r="BR127" s="12">
        <f t="shared" si="56"/>
        <v>313.01929999999999</v>
      </c>
      <c r="BS127" s="12">
        <f t="shared" si="57"/>
        <v>260.85480000000001</v>
      </c>
      <c r="BT127" s="1"/>
      <c r="BU127" s="11">
        <f t="shared" si="58"/>
        <v>339.58001316849612</v>
      </c>
      <c r="BV127" s="11">
        <f t="shared" si="59"/>
        <v>271.67711920158587</v>
      </c>
      <c r="BW127" s="11">
        <f t="shared" si="60"/>
        <v>317.59022462998411</v>
      </c>
      <c r="BX127" s="11">
        <f t="shared" si="61"/>
        <v>264.66398246948222</v>
      </c>
      <c r="BY127" s="11">
        <f t="shared" si="62"/>
        <v>211.73774030898025</v>
      </c>
      <c r="BZ127" s="11">
        <f t="shared" si="63"/>
        <v>211.73774030898025</v>
      </c>
      <c r="CA127" s="11">
        <f t="shared" si="64"/>
        <v>211.73774030898025</v>
      </c>
      <c r="CB127" s="11">
        <f t="shared" si="65"/>
        <v>211.73774030898025</v>
      </c>
      <c r="CC127" s="11">
        <f t="shared" si="66"/>
        <v>317.59022462998411</v>
      </c>
      <c r="CD127" s="11">
        <f t="shared" si="67"/>
        <v>317.59022462998411</v>
      </c>
      <c r="CE127" s="11">
        <f t="shared" si="68"/>
        <v>317.59022462998411</v>
      </c>
      <c r="CF127" s="11">
        <f t="shared" si="69"/>
        <v>264.66398246948222</v>
      </c>
      <c r="CG127" s="11"/>
      <c r="CH127" s="41">
        <v>3.23</v>
      </c>
      <c r="CI127" s="1"/>
      <c r="CJ127" s="53">
        <f t="shared" si="70"/>
        <v>269936</v>
      </c>
      <c r="CK127" s="53">
        <f t="shared" si="71"/>
        <v>215960</v>
      </c>
      <c r="CL127" s="53">
        <f t="shared" si="72"/>
        <v>194364</v>
      </c>
      <c r="CM127" s="53">
        <f t="shared" si="73"/>
        <v>161973</v>
      </c>
      <c r="CN127" s="53">
        <f t="shared" si="74"/>
        <v>129582</v>
      </c>
      <c r="CO127" s="53">
        <f t="shared" si="75"/>
        <v>129582</v>
      </c>
      <c r="CP127" s="53">
        <f t="shared" si="76"/>
        <v>129582</v>
      </c>
      <c r="CQ127" s="53">
        <f t="shared" si="77"/>
        <v>129582</v>
      </c>
      <c r="CR127" s="53">
        <f t="shared" si="78"/>
        <v>194364</v>
      </c>
      <c r="CS127" s="53">
        <f t="shared" si="79"/>
        <v>194364</v>
      </c>
      <c r="CT127" s="53">
        <f t="shared" si="80"/>
        <v>194364</v>
      </c>
      <c r="CU127" s="53">
        <f t="shared" si="81"/>
        <v>161973</v>
      </c>
      <c r="CV127" s="53">
        <f t="shared" si="84"/>
        <v>2105626</v>
      </c>
      <c r="CW127" s="1"/>
      <c r="CX127" s="1"/>
      <c r="CY127" s="1"/>
      <c r="CZ127" s="1"/>
      <c r="DA127" s="1"/>
      <c r="DB127" s="1"/>
      <c r="DC127" s="1"/>
      <c r="DD127" s="1"/>
      <c r="DE127" s="1"/>
      <c r="DF127" s="1"/>
      <c r="DG127" s="1"/>
      <c r="DH127" s="1"/>
      <c r="DI127" s="1"/>
      <c r="DJ127" s="1"/>
      <c r="DK127" s="1"/>
      <c r="DL127" s="1"/>
    </row>
    <row r="128" spans="1:116" ht="15.75" hidden="1" x14ac:dyDescent="0.25">
      <c r="A128" s="17"/>
      <c r="B128" s="17"/>
      <c r="C128" s="17"/>
      <c r="D128" s="17"/>
      <c r="E128" s="17"/>
      <c r="F128" s="32" t="s">
        <v>2954</v>
      </c>
      <c r="G128" s="57">
        <v>342860786047.02002</v>
      </c>
      <c r="H128" s="57">
        <v>342860786047.02002</v>
      </c>
      <c r="I128" s="57">
        <v>458418211157.35999</v>
      </c>
      <c r="J128" s="57">
        <v>458418211157.35999</v>
      </c>
      <c r="K128" s="57">
        <v>458418211157.35999</v>
      </c>
      <c r="L128" s="57">
        <v>458418211157.35999</v>
      </c>
      <c r="M128" s="57">
        <v>458418211157.35999</v>
      </c>
      <c r="N128" s="57">
        <v>458418211157.35999</v>
      </c>
      <c r="O128" s="57">
        <v>458418211157.35999</v>
      </c>
      <c r="P128" s="57">
        <v>458418211157.35999</v>
      </c>
      <c r="Q128" s="57">
        <v>458418211157.35999</v>
      </c>
      <c r="R128" s="57">
        <v>458418211157.35999</v>
      </c>
      <c r="S128" s="11">
        <f t="shared" si="45"/>
        <v>5269903683667.6396</v>
      </c>
      <c r="T128" s="8">
        <f t="shared" si="85"/>
        <v>-0.9999999998873319</v>
      </c>
      <c r="U128" s="13" t="s">
        <v>2953</v>
      </c>
      <c r="V128" s="50">
        <f t="shared" si="83"/>
        <v>6813210408233060</v>
      </c>
      <c r="W128" s="36">
        <v>1.9790000000000001</v>
      </c>
      <c r="X128" s="36">
        <v>1.9790000000000001</v>
      </c>
      <c r="Y128" s="36">
        <v>2.6459999999999999</v>
      </c>
      <c r="Z128" s="36">
        <v>2.6459999999999999</v>
      </c>
      <c r="AA128" s="36">
        <v>2.6459999999999999</v>
      </c>
      <c r="AB128" s="36">
        <v>2.6459999999999999</v>
      </c>
      <c r="AC128" s="36">
        <v>2.6459999999999999</v>
      </c>
      <c r="AD128" s="36">
        <v>2.6459999999999999</v>
      </c>
      <c r="AE128" s="36">
        <v>2.6459999999999999</v>
      </c>
      <c r="AF128" s="36">
        <v>2.6459999999999999</v>
      </c>
      <c r="AG128" s="36">
        <v>2.6459999999999999</v>
      </c>
      <c r="AH128" s="36">
        <v>2.6459999999999999</v>
      </c>
      <c r="AI128" s="39">
        <v>1.33634708931066E-2</v>
      </c>
      <c r="AJ128" s="39">
        <v>1.33634708931066E-2</v>
      </c>
      <c r="AK128" s="39">
        <v>1.33634708931066E-2</v>
      </c>
      <c r="AL128" s="39">
        <v>1.33634708931066E-2</v>
      </c>
      <c r="AM128" s="39">
        <v>1.33634708931066E-2</v>
      </c>
      <c r="AN128" s="39">
        <v>1.33634708931066E-2</v>
      </c>
      <c r="AO128" s="39">
        <v>1.33634708931066E-2</v>
      </c>
      <c r="AP128" s="39">
        <v>1.33634708931066E-2</v>
      </c>
      <c r="AQ128" s="39">
        <v>1.33634708931066E-2</v>
      </c>
      <c r="AR128" s="39">
        <v>1.33634708931066E-2</v>
      </c>
      <c r="AS128" s="39">
        <v>1.33634708931066E-2</v>
      </c>
      <c r="AT128" s="39">
        <v>1.33634708931066E-2</v>
      </c>
      <c r="AU128" s="39">
        <v>1.2392217523121999E-3</v>
      </c>
      <c r="AV128" s="39">
        <v>1.2392217523121999E-3</v>
      </c>
      <c r="AW128" s="39">
        <v>1.2392217523121999E-3</v>
      </c>
      <c r="AX128" s="39">
        <v>1.2392217523121999E-3</v>
      </c>
      <c r="AY128" s="39">
        <v>1.2392217523121999E-3</v>
      </c>
      <c r="AZ128" s="39">
        <v>1.2392217523121999E-3</v>
      </c>
      <c r="BA128" s="39">
        <v>1.2392217523121999E-3</v>
      </c>
      <c r="BB128" s="39">
        <v>1.2392217523121999E-3</v>
      </c>
      <c r="BC128" s="39">
        <v>1.2392217523121999E-3</v>
      </c>
      <c r="BD128" s="39">
        <v>1.2392217523121999E-3</v>
      </c>
      <c r="BE128" s="39">
        <v>1.2392217523121999E-3</v>
      </c>
      <c r="BF128" s="39">
        <v>1.2392217523121999E-3</v>
      </c>
      <c r="BG128" s="1"/>
      <c r="BH128" s="12">
        <f t="shared" si="46"/>
        <v>1107440338931.8748</v>
      </c>
      <c r="BI128" s="12">
        <f t="shared" si="47"/>
        <v>1107440338931.8748</v>
      </c>
      <c r="BJ128" s="12">
        <f t="shared" si="48"/>
        <v>1480690822038.2727</v>
      </c>
      <c r="BK128" s="12">
        <f t="shared" si="49"/>
        <v>1480690822038.2727</v>
      </c>
      <c r="BL128" s="12">
        <f t="shared" si="50"/>
        <v>1480690822038.2727</v>
      </c>
      <c r="BM128" s="12">
        <f t="shared" si="51"/>
        <v>1480690822038.2727</v>
      </c>
      <c r="BN128" s="12">
        <f t="shared" si="52"/>
        <v>1480690822038.2727</v>
      </c>
      <c r="BO128" s="12">
        <f t="shared" si="53"/>
        <v>1480690822038.2727</v>
      </c>
      <c r="BP128" s="12">
        <f t="shared" si="54"/>
        <v>1480690822038.2727</v>
      </c>
      <c r="BQ128" s="12">
        <f t="shared" si="55"/>
        <v>1480690822038.2727</v>
      </c>
      <c r="BR128" s="12">
        <f t="shared" si="56"/>
        <v>1480690822038.2727</v>
      </c>
      <c r="BS128" s="12">
        <f t="shared" si="57"/>
        <v>1480690822038.2727</v>
      </c>
      <c r="BT128" s="1"/>
      <c r="BU128" s="11">
        <f t="shared" si="58"/>
        <v>1123611949824.4353</v>
      </c>
      <c r="BV128" s="11">
        <f t="shared" si="59"/>
        <v>1123611949824.4353</v>
      </c>
      <c r="BW128" s="11">
        <f t="shared" si="60"/>
        <v>1502312895015.3901</v>
      </c>
      <c r="BX128" s="11">
        <f t="shared" si="61"/>
        <v>1502312895015.3901</v>
      </c>
      <c r="BY128" s="11">
        <f t="shared" si="62"/>
        <v>1502312895015.3901</v>
      </c>
      <c r="BZ128" s="11">
        <f t="shared" si="63"/>
        <v>1502312895015.3901</v>
      </c>
      <c r="CA128" s="11">
        <f t="shared" si="64"/>
        <v>1502312895015.3901</v>
      </c>
      <c r="CB128" s="11">
        <f t="shared" si="65"/>
        <v>1502312895015.3901</v>
      </c>
      <c r="CC128" s="11">
        <f t="shared" si="66"/>
        <v>1502312895015.3901</v>
      </c>
      <c r="CD128" s="11">
        <f t="shared" si="67"/>
        <v>1502312895015.3901</v>
      </c>
      <c r="CE128" s="11">
        <f t="shared" si="68"/>
        <v>1502312895015.3901</v>
      </c>
      <c r="CF128" s="11">
        <f t="shared" si="69"/>
        <v>1502312895015.3901</v>
      </c>
      <c r="CG128" s="11"/>
      <c r="CH128" s="41">
        <v>3.23</v>
      </c>
      <c r="CI128" s="1"/>
      <c r="CJ128" s="53">
        <f t="shared" si="70"/>
        <v>567767534019421</v>
      </c>
      <c r="CK128" s="53">
        <f t="shared" si="71"/>
        <v>567767534019421</v>
      </c>
      <c r="CL128" s="53">
        <f t="shared" si="72"/>
        <v>567767534019422</v>
      </c>
      <c r="CM128" s="53">
        <f t="shared" si="73"/>
        <v>567767534019422</v>
      </c>
      <c r="CN128" s="53">
        <f t="shared" si="74"/>
        <v>567767534019422</v>
      </c>
      <c r="CO128" s="53">
        <f t="shared" si="75"/>
        <v>567767534019422</v>
      </c>
      <c r="CP128" s="53">
        <f t="shared" si="76"/>
        <v>567767534019422</v>
      </c>
      <c r="CQ128" s="53">
        <f t="shared" si="77"/>
        <v>567767534019422</v>
      </c>
      <c r="CR128" s="53">
        <f t="shared" si="78"/>
        <v>567767534019422</v>
      </c>
      <c r="CS128" s="53">
        <f t="shared" si="79"/>
        <v>567767534019422</v>
      </c>
      <c r="CT128" s="53">
        <f t="shared" si="80"/>
        <v>567767534019422</v>
      </c>
      <c r="CU128" s="53">
        <f t="shared" si="81"/>
        <v>567767534019422</v>
      </c>
      <c r="CV128" s="53">
        <f t="shared" si="84"/>
        <v>6813210408233060</v>
      </c>
      <c r="CW128" s="1"/>
      <c r="CX128" s="1"/>
      <c r="CY128" s="1"/>
      <c r="CZ128" s="1"/>
      <c r="DA128" s="1"/>
      <c r="DB128" s="1"/>
      <c r="DC128" s="1"/>
      <c r="DD128" s="1"/>
      <c r="DE128" s="1"/>
      <c r="DF128" s="1"/>
      <c r="DG128" s="1"/>
      <c r="DH128" s="1"/>
      <c r="DI128" s="1"/>
      <c r="DJ128" s="1"/>
      <c r="DK128" s="1"/>
      <c r="DL128" s="1"/>
    </row>
    <row r="129" spans="1:116" ht="15.75" hidden="1" x14ac:dyDescent="0.25">
      <c r="A129" s="17"/>
      <c r="B129" s="17"/>
      <c r="C129" s="17"/>
      <c r="D129" s="17"/>
      <c r="E129" s="17"/>
      <c r="F129" s="32" t="s">
        <v>2954</v>
      </c>
      <c r="G129" s="57">
        <v>332134569793.70001</v>
      </c>
      <c r="H129" s="57">
        <v>272444584407.70001</v>
      </c>
      <c r="I129" s="57">
        <v>141667572236.07999</v>
      </c>
      <c r="J129" s="57">
        <v>350556651954.28003</v>
      </c>
      <c r="K129" s="57">
        <v>247619621574.34</v>
      </c>
      <c r="L129" s="57">
        <v>288262137132.47998</v>
      </c>
      <c r="M129" s="57">
        <v>440925611231.17999</v>
      </c>
      <c r="N129" s="57">
        <v>33334329840.27</v>
      </c>
      <c r="O129" s="57">
        <v>347096180380.17999</v>
      </c>
      <c r="P129" s="57">
        <v>306146161763.5</v>
      </c>
      <c r="Q129" s="57">
        <v>320091303672.28998</v>
      </c>
      <c r="R129" s="57">
        <v>312394503868.91998</v>
      </c>
      <c r="S129" s="11">
        <f t="shared" si="45"/>
        <v>3392673227854.9199</v>
      </c>
      <c r="T129" s="8">
        <f t="shared" si="85"/>
        <v>-0.99999999988694166</v>
      </c>
      <c r="U129" s="13" t="s">
        <v>2953</v>
      </c>
      <c r="V129" s="50">
        <f t="shared" si="83"/>
        <v>4948811300379150</v>
      </c>
      <c r="W129" s="36">
        <v>1.82</v>
      </c>
      <c r="X129" s="36">
        <v>1.82</v>
      </c>
      <c r="Y129" s="36">
        <v>2.367</v>
      </c>
      <c r="Z129" s="36">
        <v>2.367</v>
      </c>
      <c r="AA129" s="36">
        <v>2.367</v>
      </c>
      <c r="AB129" s="36">
        <v>2.367</v>
      </c>
      <c r="AC129" s="36">
        <v>2.367</v>
      </c>
      <c r="AD129" s="36">
        <v>2.367</v>
      </c>
      <c r="AE129" s="36">
        <v>2.367</v>
      </c>
      <c r="AF129" s="36">
        <v>2.367</v>
      </c>
      <c r="AG129" s="36">
        <v>2.367</v>
      </c>
      <c r="AH129" s="36">
        <v>2.367</v>
      </c>
      <c r="AI129" s="39">
        <v>1.33634708931066E-2</v>
      </c>
      <c r="AJ129" s="39">
        <v>1.33634708931066E-2</v>
      </c>
      <c r="AK129" s="39">
        <v>1.33634708931066E-2</v>
      </c>
      <c r="AL129" s="39">
        <v>1.33634708931066E-2</v>
      </c>
      <c r="AM129" s="39">
        <v>1.33634708931066E-2</v>
      </c>
      <c r="AN129" s="39">
        <v>1.33634708931066E-2</v>
      </c>
      <c r="AO129" s="39">
        <v>1.33634708931066E-2</v>
      </c>
      <c r="AP129" s="39">
        <v>1.33634708931066E-2</v>
      </c>
      <c r="AQ129" s="39">
        <v>1.33634708931066E-2</v>
      </c>
      <c r="AR129" s="39">
        <v>1.33634708931066E-2</v>
      </c>
      <c r="AS129" s="39">
        <v>1.33634708931066E-2</v>
      </c>
      <c r="AT129" s="39">
        <v>1.33634708931066E-2</v>
      </c>
      <c r="AU129" s="39">
        <v>1.2392217523121999E-3</v>
      </c>
      <c r="AV129" s="39">
        <v>1.2392217523121999E-3</v>
      </c>
      <c r="AW129" s="39">
        <v>1.2392217523121999E-3</v>
      </c>
      <c r="AX129" s="39">
        <v>1.2392217523121999E-3</v>
      </c>
      <c r="AY129" s="39">
        <v>1.2392217523121999E-3</v>
      </c>
      <c r="AZ129" s="39">
        <v>1.2392217523121999E-3</v>
      </c>
      <c r="BA129" s="39">
        <v>1.2392217523121999E-3</v>
      </c>
      <c r="BB129" s="39">
        <v>1.2392217523121999E-3</v>
      </c>
      <c r="BC129" s="39">
        <v>1.2392217523121999E-3</v>
      </c>
      <c r="BD129" s="39">
        <v>1.2392217523121999E-3</v>
      </c>
      <c r="BE129" s="39">
        <v>1.2392217523121999E-3</v>
      </c>
      <c r="BF129" s="39">
        <v>1.2392217523121999E-3</v>
      </c>
      <c r="BG129" s="1"/>
      <c r="BH129" s="12">
        <f t="shared" si="46"/>
        <v>1072794660433.651</v>
      </c>
      <c r="BI129" s="12">
        <f t="shared" si="47"/>
        <v>879996007636.87109</v>
      </c>
      <c r="BJ129" s="12">
        <f t="shared" si="48"/>
        <v>457586258322.53833</v>
      </c>
      <c r="BK129" s="12">
        <f t="shared" si="49"/>
        <v>1132297985812.3245</v>
      </c>
      <c r="BL129" s="12">
        <f t="shared" si="50"/>
        <v>799811377685.11816</v>
      </c>
      <c r="BM129" s="12">
        <f t="shared" si="51"/>
        <v>931086702937.91028</v>
      </c>
      <c r="BN129" s="12">
        <f t="shared" si="52"/>
        <v>1424189724276.7114</v>
      </c>
      <c r="BO129" s="12">
        <f t="shared" si="53"/>
        <v>107669885384.0721</v>
      </c>
      <c r="BP129" s="12">
        <f t="shared" si="54"/>
        <v>1121120662627.9814</v>
      </c>
      <c r="BQ129" s="12">
        <f t="shared" si="55"/>
        <v>988852102496.10498</v>
      </c>
      <c r="BR129" s="12">
        <f t="shared" si="56"/>
        <v>1033894910861.4966</v>
      </c>
      <c r="BS129" s="12">
        <f t="shared" si="57"/>
        <v>1009034247496.6116</v>
      </c>
      <c r="BT129" s="1"/>
      <c r="BU129" s="11">
        <f t="shared" si="58"/>
        <v>1088460351131.61</v>
      </c>
      <c r="BV129" s="11">
        <f t="shared" si="59"/>
        <v>892846318865.58789</v>
      </c>
      <c r="BW129" s="11">
        <f t="shared" si="60"/>
        <v>464268249811.58954</v>
      </c>
      <c r="BX129" s="11">
        <f t="shared" si="61"/>
        <v>1148832585282.1687</v>
      </c>
      <c r="BY129" s="11">
        <f t="shared" si="62"/>
        <v>811490777407.76294</v>
      </c>
      <c r="BZ129" s="11">
        <f t="shared" si="63"/>
        <v>944683075887.14893</v>
      </c>
      <c r="CA129" s="11">
        <f t="shared" si="64"/>
        <v>1444986729089.0879</v>
      </c>
      <c r="CB129" s="11">
        <f t="shared" si="65"/>
        <v>109242155627.50317</v>
      </c>
      <c r="CC129" s="11">
        <f t="shared" si="66"/>
        <v>1137492043082.7661</v>
      </c>
      <c r="CD129" s="11">
        <f t="shared" si="67"/>
        <v>1003292005820.6317</v>
      </c>
      <c r="CE129" s="11">
        <f t="shared" si="68"/>
        <v>1048992560472.4697</v>
      </c>
      <c r="CF129" s="11">
        <f t="shared" si="69"/>
        <v>1023768864481.506</v>
      </c>
      <c r="CG129" s="11"/>
      <c r="CH129" s="41">
        <v>3.23</v>
      </c>
      <c r="CI129" s="1"/>
      <c r="CJ129" s="53">
        <f t="shared" si="70"/>
        <v>598055137984401</v>
      </c>
      <c r="CK129" s="53">
        <f t="shared" si="71"/>
        <v>490574900475598</v>
      </c>
      <c r="CL129" s="53">
        <f t="shared" si="72"/>
        <v>196142057377097</v>
      </c>
      <c r="CM129" s="53">
        <f t="shared" si="73"/>
        <v>485353859434799</v>
      </c>
      <c r="CN129" s="53">
        <f t="shared" si="74"/>
        <v>342835140434205</v>
      </c>
      <c r="CO129" s="53">
        <f t="shared" si="75"/>
        <v>399105650987389</v>
      </c>
      <c r="CP129" s="53">
        <f t="shared" si="76"/>
        <v>610471790912162</v>
      </c>
      <c r="CQ129" s="53">
        <f t="shared" si="77"/>
        <v>46152157003592</v>
      </c>
      <c r="CR129" s="53">
        <f t="shared" si="78"/>
        <v>480562755844008</v>
      </c>
      <c r="CS129" s="53">
        <f t="shared" si="79"/>
        <v>423866500135459</v>
      </c>
      <c r="CT129" s="53">
        <f t="shared" si="80"/>
        <v>443173874301846</v>
      </c>
      <c r="CU129" s="53">
        <f t="shared" si="81"/>
        <v>432517475488596</v>
      </c>
      <c r="CV129" s="53">
        <f t="shared" si="84"/>
        <v>4948811300379150</v>
      </c>
      <c r="CW129" s="1"/>
      <c r="CX129" s="1"/>
      <c r="CY129" s="1"/>
      <c r="CZ129" s="1"/>
      <c r="DA129" s="1"/>
      <c r="DB129" s="1"/>
      <c r="DC129" s="1"/>
      <c r="DD129" s="1"/>
      <c r="DE129" s="1"/>
      <c r="DF129" s="1"/>
      <c r="DG129" s="1"/>
      <c r="DH129" s="1"/>
      <c r="DI129" s="1"/>
      <c r="DJ129" s="1"/>
      <c r="DK129" s="1"/>
      <c r="DL129" s="1"/>
    </row>
    <row r="130" spans="1:116" ht="15.75" hidden="1" x14ac:dyDescent="0.25">
      <c r="A130" s="17"/>
      <c r="B130" s="17"/>
      <c r="C130" s="17"/>
      <c r="D130" s="17"/>
      <c r="E130" s="17"/>
      <c r="F130" s="32" t="s">
        <v>2954</v>
      </c>
      <c r="G130" s="57">
        <v>201.25</v>
      </c>
      <c r="H130" s="57">
        <v>201.25</v>
      </c>
      <c r="I130" s="57">
        <v>186.95</v>
      </c>
      <c r="J130" s="57">
        <v>91.14</v>
      </c>
      <c r="K130" s="57">
        <v>91.14</v>
      </c>
      <c r="L130" s="57">
        <v>91.14</v>
      </c>
      <c r="M130" s="57">
        <v>86.93</v>
      </c>
      <c r="N130" s="57">
        <v>91.14</v>
      </c>
      <c r="O130" s="57">
        <v>186.95</v>
      </c>
      <c r="P130" s="57">
        <v>233.69</v>
      </c>
      <c r="Q130" s="57">
        <v>186.95</v>
      </c>
      <c r="R130" s="57">
        <v>168.26</v>
      </c>
      <c r="S130" s="11">
        <f t="shared" si="45"/>
        <v>1816.7900000000002</v>
      </c>
      <c r="T130" s="8">
        <f t="shared" si="85"/>
        <v>-0.14604329614319769</v>
      </c>
      <c r="U130" s="13" t="s">
        <v>2953</v>
      </c>
      <c r="V130" s="50">
        <f t="shared" si="83"/>
        <v>2072556</v>
      </c>
      <c r="W130" s="36">
        <v>2.3559999999999999</v>
      </c>
      <c r="X130" s="36">
        <v>2.3559999999999999</v>
      </c>
      <c r="Y130" s="36">
        <v>3.0640000000000001</v>
      </c>
      <c r="Z130" s="36">
        <v>3.0640000000000001</v>
      </c>
      <c r="AA130" s="36">
        <v>3.0640000000000001</v>
      </c>
      <c r="AB130" s="36">
        <v>3.0640000000000001</v>
      </c>
      <c r="AC130" s="36">
        <v>3.0640000000000001</v>
      </c>
      <c r="AD130" s="36">
        <v>3.0640000000000001</v>
      </c>
      <c r="AE130" s="36">
        <v>3.0640000000000001</v>
      </c>
      <c r="AF130" s="36">
        <v>3.0640000000000001</v>
      </c>
      <c r="AG130" s="36">
        <v>3.0640000000000001</v>
      </c>
      <c r="AH130" s="36">
        <v>3.0640000000000001</v>
      </c>
      <c r="AI130" s="39">
        <v>1.33634708931066E-2</v>
      </c>
      <c r="AJ130" s="39">
        <v>1.33634708931066E-2</v>
      </c>
      <c r="AK130" s="39">
        <v>1.33634708931066E-2</v>
      </c>
      <c r="AL130" s="39">
        <v>1.33634708931066E-2</v>
      </c>
      <c r="AM130" s="39">
        <v>1.33634708931066E-2</v>
      </c>
      <c r="AN130" s="39">
        <v>1.33634708931066E-2</v>
      </c>
      <c r="AO130" s="39">
        <v>1.33634708931066E-2</v>
      </c>
      <c r="AP130" s="39">
        <v>1.33634708931066E-2</v>
      </c>
      <c r="AQ130" s="39">
        <v>1.33634708931066E-2</v>
      </c>
      <c r="AR130" s="39">
        <v>1.33634708931066E-2</v>
      </c>
      <c r="AS130" s="39">
        <v>1.33634708931066E-2</v>
      </c>
      <c r="AT130" s="39">
        <v>1.33634708931066E-2</v>
      </c>
      <c r="AU130" s="39">
        <v>1.2392217523121999E-3</v>
      </c>
      <c r="AV130" s="39">
        <v>1.2392217523121999E-3</v>
      </c>
      <c r="AW130" s="39">
        <v>1.2392217523121999E-3</v>
      </c>
      <c r="AX130" s="39">
        <v>1.2392217523121999E-3</v>
      </c>
      <c r="AY130" s="39">
        <v>1.2392217523121999E-3</v>
      </c>
      <c r="AZ130" s="39">
        <v>1.2392217523121999E-3</v>
      </c>
      <c r="BA130" s="39">
        <v>1.2392217523121999E-3</v>
      </c>
      <c r="BB130" s="39">
        <v>1.2392217523121999E-3</v>
      </c>
      <c r="BC130" s="39">
        <v>1.2392217523121999E-3</v>
      </c>
      <c r="BD130" s="39">
        <v>1.2392217523121999E-3</v>
      </c>
      <c r="BE130" s="39">
        <v>1.2392217523121999E-3</v>
      </c>
      <c r="BF130" s="39">
        <v>1.2392217523121999E-3</v>
      </c>
      <c r="BG130" s="1"/>
      <c r="BH130" s="12">
        <f t="shared" si="46"/>
        <v>650.03750000000002</v>
      </c>
      <c r="BI130" s="12">
        <f t="shared" si="47"/>
        <v>650.03750000000002</v>
      </c>
      <c r="BJ130" s="12">
        <f t="shared" si="48"/>
        <v>603.84849999999994</v>
      </c>
      <c r="BK130" s="12">
        <f t="shared" si="49"/>
        <v>294.38220000000001</v>
      </c>
      <c r="BL130" s="12">
        <f t="shared" si="50"/>
        <v>294.38220000000001</v>
      </c>
      <c r="BM130" s="12">
        <f t="shared" si="51"/>
        <v>294.38220000000001</v>
      </c>
      <c r="BN130" s="12">
        <f t="shared" si="52"/>
        <v>280.78390000000002</v>
      </c>
      <c r="BO130" s="12">
        <f t="shared" si="53"/>
        <v>294.38220000000001</v>
      </c>
      <c r="BP130" s="12">
        <f t="shared" si="54"/>
        <v>603.84849999999994</v>
      </c>
      <c r="BQ130" s="12">
        <f t="shared" si="55"/>
        <v>754.81870000000004</v>
      </c>
      <c r="BR130" s="12">
        <f t="shared" si="56"/>
        <v>603.84849999999994</v>
      </c>
      <c r="BS130" s="12">
        <f t="shared" si="57"/>
        <v>543.47979999999995</v>
      </c>
      <c r="BT130" s="1"/>
      <c r="BU130" s="11">
        <f t="shared" si="58"/>
        <v>659.52979782049647</v>
      </c>
      <c r="BV130" s="11">
        <f t="shared" si="59"/>
        <v>659.52979782049647</v>
      </c>
      <c r="BW130" s="11">
        <f t="shared" si="60"/>
        <v>612.6663140498971</v>
      </c>
      <c r="BX130" s="11">
        <f t="shared" si="61"/>
        <v>298.68097278688219</v>
      </c>
      <c r="BY130" s="11">
        <f t="shared" si="62"/>
        <v>298.68097278688219</v>
      </c>
      <c r="BZ130" s="11">
        <f t="shared" si="63"/>
        <v>298.68097278688219</v>
      </c>
      <c r="CA130" s="11">
        <f t="shared" si="64"/>
        <v>284.884100991482</v>
      </c>
      <c r="CB130" s="11">
        <f t="shared" si="65"/>
        <v>298.68097278688219</v>
      </c>
      <c r="CC130" s="11">
        <f t="shared" si="66"/>
        <v>612.6663140498971</v>
      </c>
      <c r="CD130" s="11">
        <f t="shared" si="67"/>
        <v>765.84108547911467</v>
      </c>
      <c r="CE130" s="11">
        <f t="shared" si="68"/>
        <v>612.6663140498971</v>
      </c>
      <c r="CF130" s="11">
        <f t="shared" si="69"/>
        <v>551.41606847839364</v>
      </c>
      <c r="CG130" s="11"/>
      <c r="CH130" s="41">
        <v>3.23</v>
      </c>
      <c r="CI130" s="1"/>
      <c r="CJ130" s="53">
        <f t="shared" si="70"/>
        <v>279936</v>
      </c>
      <c r="CK130" s="53">
        <f t="shared" si="71"/>
        <v>279936</v>
      </c>
      <c r="CL130" s="53">
        <f t="shared" si="72"/>
        <v>199956</v>
      </c>
      <c r="CM130" s="53">
        <f t="shared" si="73"/>
        <v>97481</v>
      </c>
      <c r="CN130" s="53">
        <f t="shared" si="74"/>
        <v>97481</v>
      </c>
      <c r="CO130" s="53">
        <f t="shared" si="75"/>
        <v>97481</v>
      </c>
      <c r="CP130" s="53">
        <f t="shared" si="76"/>
        <v>92978</v>
      </c>
      <c r="CQ130" s="53">
        <f t="shared" si="77"/>
        <v>97481</v>
      </c>
      <c r="CR130" s="53">
        <f t="shared" si="78"/>
        <v>199956</v>
      </c>
      <c r="CS130" s="53">
        <f t="shared" si="79"/>
        <v>249948</v>
      </c>
      <c r="CT130" s="53">
        <f t="shared" si="80"/>
        <v>199956</v>
      </c>
      <c r="CU130" s="53">
        <f t="shared" si="81"/>
        <v>179966</v>
      </c>
      <c r="CV130" s="53">
        <f t="shared" si="84"/>
        <v>2072556</v>
      </c>
      <c r="CW130" s="1"/>
      <c r="CX130" s="1"/>
      <c r="CY130" s="1"/>
      <c r="CZ130" s="1"/>
      <c r="DA130" s="1"/>
      <c r="DB130" s="1"/>
      <c r="DC130" s="1"/>
      <c r="DD130" s="1"/>
      <c r="DE130" s="1"/>
      <c r="DF130" s="1"/>
      <c r="DG130" s="1"/>
      <c r="DH130" s="1"/>
      <c r="DI130" s="1"/>
      <c r="DJ130" s="1"/>
      <c r="DK130" s="1"/>
      <c r="DL130" s="1"/>
    </row>
    <row r="131" spans="1:116" ht="15.75" hidden="1" x14ac:dyDescent="0.25">
      <c r="A131" s="17"/>
      <c r="B131" s="17"/>
      <c r="C131" s="17"/>
      <c r="D131" s="17"/>
      <c r="E131" s="17"/>
      <c r="F131" s="32" t="s">
        <v>2954</v>
      </c>
      <c r="G131" s="57">
        <v>92232670554.470001</v>
      </c>
      <c r="H131" s="57">
        <v>78573312228.179993</v>
      </c>
      <c r="I131" s="57">
        <v>633722858801.33997</v>
      </c>
      <c r="J131" s="57">
        <v>182623037238.09</v>
      </c>
      <c r="K131" s="57">
        <v>247841922527.39001</v>
      </c>
      <c r="L131" s="57">
        <v>529408741608.15997</v>
      </c>
      <c r="M131" s="57">
        <v>662128177029.92004</v>
      </c>
      <c r="N131" s="57">
        <v>651037782984.14001</v>
      </c>
      <c r="O131" s="57">
        <v>675264258890.52002</v>
      </c>
      <c r="P131" s="57">
        <v>698544652677.26001</v>
      </c>
      <c r="Q131" s="57">
        <v>726232832056.84998</v>
      </c>
      <c r="R131" s="57">
        <v>409981448702.94</v>
      </c>
      <c r="S131" s="11">
        <f t="shared" si="45"/>
        <v>5587591695299.2598</v>
      </c>
      <c r="T131" s="8">
        <f t="shared" si="85"/>
        <v>-0.99999999880840429</v>
      </c>
      <c r="U131" s="13" t="s">
        <v>2953</v>
      </c>
      <c r="V131" s="50">
        <f t="shared" si="83"/>
        <v>7039846299330450</v>
      </c>
      <c r="W131" s="36">
        <v>1.964</v>
      </c>
      <c r="X131" s="36">
        <v>1.964</v>
      </c>
      <c r="Y131" s="36">
        <v>2.6280000000000001</v>
      </c>
      <c r="Z131" s="36">
        <v>2.6280000000000001</v>
      </c>
      <c r="AA131" s="36">
        <v>2.6280000000000001</v>
      </c>
      <c r="AB131" s="36">
        <v>2.6280000000000001</v>
      </c>
      <c r="AC131" s="36">
        <v>2.6280000000000001</v>
      </c>
      <c r="AD131" s="36">
        <v>2.6280000000000001</v>
      </c>
      <c r="AE131" s="36">
        <v>2.6280000000000001</v>
      </c>
      <c r="AF131" s="36">
        <v>2.6280000000000001</v>
      </c>
      <c r="AG131" s="36">
        <v>2.6280000000000001</v>
      </c>
      <c r="AH131" s="36">
        <v>2.6280000000000001</v>
      </c>
      <c r="AI131" s="39">
        <v>1.33634708931066E-2</v>
      </c>
      <c r="AJ131" s="39">
        <v>1.33634708931066E-2</v>
      </c>
      <c r="AK131" s="39">
        <v>1.33634708931066E-2</v>
      </c>
      <c r="AL131" s="39">
        <v>1.33634708931066E-2</v>
      </c>
      <c r="AM131" s="39">
        <v>1.33634708931066E-2</v>
      </c>
      <c r="AN131" s="39">
        <v>1.33634708931066E-2</v>
      </c>
      <c r="AO131" s="39">
        <v>1.33634708931066E-2</v>
      </c>
      <c r="AP131" s="39">
        <v>1.33634708931066E-2</v>
      </c>
      <c r="AQ131" s="39">
        <v>1.33634708931066E-2</v>
      </c>
      <c r="AR131" s="39">
        <v>1.33634708931066E-2</v>
      </c>
      <c r="AS131" s="39">
        <v>1.33634708931066E-2</v>
      </c>
      <c r="AT131" s="39">
        <v>1.33634708931066E-2</v>
      </c>
      <c r="AU131" s="39">
        <v>1.2392217523121999E-3</v>
      </c>
      <c r="AV131" s="39">
        <v>1.2392217523121999E-3</v>
      </c>
      <c r="AW131" s="39">
        <v>1.2392217523121999E-3</v>
      </c>
      <c r="AX131" s="39">
        <v>1.2392217523121999E-3</v>
      </c>
      <c r="AY131" s="39">
        <v>1.2392217523121999E-3</v>
      </c>
      <c r="AZ131" s="39">
        <v>1.2392217523121999E-3</v>
      </c>
      <c r="BA131" s="39">
        <v>1.2392217523121999E-3</v>
      </c>
      <c r="BB131" s="39">
        <v>1.2392217523121999E-3</v>
      </c>
      <c r="BC131" s="39">
        <v>1.2392217523121999E-3</v>
      </c>
      <c r="BD131" s="39">
        <v>1.2392217523121999E-3</v>
      </c>
      <c r="BE131" s="39">
        <v>1.2392217523121999E-3</v>
      </c>
      <c r="BF131" s="39">
        <v>1.2392217523121999E-3</v>
      </c>
      <c r="BG131" s="1"/>
      <c r="BH131" s="12">
        <f t="shared" si="46"/>
        <v>297911525890.93811</v>
      </c>
      <c r="BI131" s="12">
        <f t="shared" si="47"/>
        <v>253791798497.02136</v>
      </c>
      <c r="BJ131" s="12">
        <f t="shared" si="48"/>
        <v>2046924833928.3281</v>
      </c>
      <c r="BK131" s="12">
        <f t="shared" si="49"/>
        <v>589872410279.03064</v>
      </c>
      <c r="BL131" s="12">
        <f t="shared" si="50"/>
        <v>800529409763.46973</v>
      </c>
      <c r="BM131" s="12">
        <f t="shared" si="51"/>
        <v>1709990235394.3567</v>
      </c>
      <c r="BN131" s="12">
        <f t="shared" si="52"/>
        <v>2138674011806.6418</v>
      </c>
      <c r="BO131" s="12">
        <f t="shared" si="53"/>
        <v>2102852039038.7722</v>
      </c>
      <c r="BP131" s="12">
        <f t="shared" si="54"/>
        <v>2181103556216.3796</v>
      </c>
      <c r="BQ131" s="12">
        <f t="shared" si="55"/>
        <v>2256299228147.5498</v>
      </c>
      <c r="BR131" s="12">
        <f t="shared" si="56"/>
        <v>2345732047543.6255</v>
      </c>
      <c r="BS131" s="12">
        <f t="shared" si="57"/>
        <v>1324240079310.4961</v>
      </c>
      <c r="BT131" s="1"/>
      <c r="BU131" s="11">
        <f t="shared" si="58"/>
        <v>302261836339.05121</v>
      </c>
      <c r="BV131" s="11">
        <f t="shared" si="59"/>
        <v>257497842126.40143</v>
      </c>
      <c r="BW131" s="11">
        <f t="shared" si="60"/>
        <v>2076815448146.4585</v>
      </c>
      <c r="BX131" s="11">
        <f t="shared" si="61"/>
        <v>598486135786.34766</v>
      </c>
      <c r="BY131" s="11">
        <f t="shared" si="62"/>
        <v>812219294687.86426</v>
      </c>
      <c r="BZ131" s="11">
        <f t="shared" si="63"/>
        <v>1734960697228.4878</v>
      </c>
      <c r="CA131" s="11">
        <f t="shared" si="64"/>
        <v>2169904411069.7991</v>
      </c>
      <c r="CB131" s="11">
        <f t="shared" si="65"/>
        <v>2133559341043.6477</v>
      </c>
      <c r="CC131" s="11">
        <f t="shared" si="66"/>
        <v>2212953541075.6372</v>
      </c>
      <c r="CD131" s="11">
        <f t="shared" si="67"/>
        <v>2289247272292.2842</v>
      </c>
      <c r="CE131" s="11">
        <f t="shared" si="68"/>
        <v>2379986051662.4141</v>
      </c>
      <c r="CF131" s="11">
        <f t="shared" si="69"/>
        <v>1343577550177.4124</v>
      </c>
      <c r="CG131" s="11"/>
      <c r="CH131" s="41">
        <v>3.23</v>
      </c>
      <c r="CI131" s="1"/>
      <c r="CJ131" s="53">
        <f t="shared" si="70"/>
        <v>153901138665505</v>
      </c>
      <c r="CK131" s="53">
        <f t="shared" si="71"/>
        <v>131108880919756</v>
      </c>
      <c r="CL131" s="53">
        <f t="shared" si="72"/>
        <v>790264630192716</v>
      </c>
      <c r="CM131" s="53">
        <f t="shared" si="73"/>
        <v>227734450451426</v>
      </c>
      <c r="CN131" s="53">
        <f t="shared" si="74"/>
        <v>309063658557026</v>
      </c>
      <c r="CO131" s="53">
        <f t="shared" si="75"/>
        <v>660182913709470</v>
      </c>
      <c r="CP131" s="53">
        <f t="shared" si="76"/>
        <v>825686609996118</v>
      </c>
      <c r="CQ131" s="53">
        <f t="shared" si="77"/>
        <v>811856674674143</v>
      </c>
      <c r="CR131" s="53">
        <f t="shared" si="78"/>
        <v>842067557486924</v>
      </c>
      <c r="CS131" s="53">
        <f t="shared" si="79"/>
        <v>871098657645466</v>
      </c>
      <c r="CT131" s="53">
        <f t="shared" si="80"/>
        <v>905626351469716</v>
      </c>
      <c r="CU131" s="53">
        <f t="shared" si="81"/>
        <v>511254775562181</v>
      </c>
      <c r="CV131" s="53">
        <f t="shared" si="84"/>
        <v>7039846299330450</v>
      </c>
      <c r="CW131" s="1"/>
      <c r="CX131" s="1"/>
      <c r="CY131" s="1"/>
      <c r="CZ131" s="1"/>
      <c r="DA131" s="1"/>
      <c r="DB131" s="1"/>
      <c r="DC131" s="1"/>
      <c r="DD131" s="1"/>
      <c r="DE131" s="1"/>
      <c r="DF131" s="1"/>
      <c r="DG131" s="1"/>
      <c r="DH131" s="1"/>
      <c r="DI131" s="1"/>
      <c r="DJ131" s="1"/>
      <c r="DK131" s="1"/>
      <c r="DL131" s="1"/>
    </row>
    <row r="132" spans="1:116" ht="15.75" hidden="1" x14ac:dyDescent="0.25">
      <c r="A132" s="17"/>
      <c r="B132" s="17"/>
      <c r="C132" s="17"/>
      <c r="D132" s="17"/>
      <c r="E132" s="17"/>
      <c r="F132" s="32" t="s">
        <v>2954</v>
      </c>
      <c r="G132" s="57">
        <v>40.51</v>
      </c>
      <c r="H132" s="57">
        <v>20.25</v>
      </c>
      <c r="I132" s="57">
        <v>20.25</v>
      </c>
      <c r="J132" s="57">
        <v>20.25</v>
      </c>
      <c r="K132" s="57">
        <v>20.25</v>
      </c>
      <c r="L132" s="57">
        <v>20.25</v>
      </c>
      <c r="M132" s="57">
        <v>20.25</v>
      </c>
      <c r="N132" s="57">
        <v>20.25</v>
      </c>
      <c r="O132" s="57">
        <v>20.25</v>
      </c>
      <c r="P132" s="57">
        <v>20.25</v>
      </c>
      <c r="Q132" s="57">
        <v>20.25</v>
      </c>
      <c r="R132" s="57">
        <v>20.25</v>
      </c>
      <c r="S132" s="11">
        <f t="shared" si="45"/>
        <v>263.26</v>
      </c>
      <c r="T132" s="8">
        <f t="shared" si="85"/>
        <v>-0.23117830281850638</v>
      </c>
      <c r="U132" s="13" t="s">
        <v>2953</v>
      </c>
      <c r="V132" s="50">
        <f t="shared" si="83"/>
        <v>168929</v>
      </c>
      <c r="W132" s="36">
        <v>5.1070000000000002</v>
      </c>
      <c r="X132" s="36">
        <v>5.1070000000000002</v>
      </c>
      <c r="Y132" s="36">
        <v>5.1070000000000002</v>
      </c>
      <c r="Z132" s="36">
        <v>5.1070000000000002</v>
      </c>
      <c r="AA132" s="36">
        <v>5.1070000000000002</v>
      </c>
      <c r="AB132" s="36">
        <v>5.1070000000000002</v>
      </c>
      <c r="AC132" s="36">
        <v>5.1070000000000002</v>
      </c>
      <c r="AD132" s="36">
        <v>5.1070000000000002</v>
      </c>
      <c r="AE132" s="36">
        <v>5.1070000000000002</v>
      </c>
      <c r="AF132" s="36">
        <v>5.1070000000000002</v>
      </c>
      <c r="AG132" s="36">
        <v>5.1070000000000002</v>
      </c>
      <c r="AH132" s="36">
        <v>5.1070000000000002</v>
      </c>
      <c r="AI132" s="39">
        <v>1.33634708931066E-2</v>
      </c>
      <c r="AJ132" s="39">
        <v>1.33634708931066E-2</v>
      </c>
      <c r="AK132" s="39">
        <v>1.33634708931066E-2</v>
      </c>
      <c r="AL132" s="39">
        <v>1.33634708931066E-2</v>
      </c>
      <c r="AM132" s="39">
        <v>1.33634708931066E-2</v>
      </c>
      <c r="AN132" s="39">
        <v>1.33634708931066E-2</v>
      </c>
      <c r="AO132" s="39">
        <v>1.33634708931066E-2</v>
      </c>
      <c r="AP132" s="39">
        <v>1.33634708931066E-2</v>
      </c>
      <c r="AQ132" s="39">
        <v>1.33634708931066E-2</v>
      </c>
      <c r="AR132" s="39">
        <v>1.33634708931066E-2</v>
      </c>
      <c r="AS132" s="39">
        <v>1.33634708931066E-2</v>
      </c>
      <c r="AT132" s="39">
        <v>1.33634708931066E-2</v>
      </c>
      <c r="AU132" s="39">
        <v>1.2392217523121999E-3</v>
      </c>
      <c r="AV132" s="39">
        <v>1.2392217523121999E-3</v>
      </c>
      <c r="AW132" s="39">
        <v>1.2392217523121999E-3</v>
      </c>
      <c r="AX132" s="39">
        <v>1.2392217523121999E-3</v>
      </c>
      <c r="AY132" s="39">
        <v>1.2392217523121999E-3</v>
      </c>
      <c r="AZ132" s="39">
        <v>1.2392217523121999E-3</v>
      </c>
      <c r="BA132" s="39">
        <v>1.2392217523121999E-3</v>
      </c>
      <c r="BB132" s="39">
        <v>1.2392217523121999E-3</v>
      </c>
      <c r="BC132" s="39">
        <v>1.2392217523121999E-3</v>
      </c>
      <c r="BD132" s="39">
        <v>1.2392217523121999E-3</v>
      </c>
      <c r="BE132" s="39">
        <v>1.2392217523121999E-3</v>
      </c>
      <c r="BF132" s="39">
        <v>1.2392217523121999E-3</v>
      </c>
      <c r="BG132" s="1"/>
      <c r="BH132" s="12">
        <f t="shared" si="46"/>
        <v>130.84729999999999</v>
      </c>
      <c r="BI132" s="12">
        <f t="shared" si="47"/>
        <v>65.407499999999999</v>
      </c>
      <c r="BJ132" s="12">
        <f t="shared" si="48"/>
        <v>65.407499999999999</v>
      </c>
      <c r="BK132" s="12">
        <f t="shared" si="49"/>
        <v>65.407499999999999</v>
      </c>
      <c r="BL132" s="12">
        <f t="shared" si="50"/>
        <v>65.407499999999999</v>
      </c>
      <c r="BM132" s="12">
        <f t="shared" si="51"/>
        <v>65.407499999999999</v>
      </c>
      <c r="BN132" s="12">
        <f t="shared" si="52"/>
        <v>65.407499999999999</v>
      </c>
      <c r="BO132" s="12">
        <f t="shared" si="53"/>
        <v>65.407499999999999</v>
      </c>
      <c r="BP132" s="12">
        <f t="shared" si="54"/>
        <v>65.407499999999999</v>
      </c>
      <c r="BQ132" s="12">
        <f t="shared" si="55"/>
        <v>65.407499999999999</v>
      </c>
      <c r="BR132" s="12">
        <f t="shared" si="56"/>
        <v>65.407499999999999</v>
      </c>
      <c r="BS132" s="12">
        <f t="shared" si="57"/>
        <v>65.407499999999999</v>
      </c>
      <c r="BT132" s="1"/>
      <c r="BU132" s="11">
        <f t="shared" si="58"/>
        <v>132.75802290538289</v>
      </c>
      <c r="BV132" s="11">
        <f t="shared" si="59"/>
        <v>66.362625619205232</v>
      </c>
      <c r="BW132" s="11">
        <f t="shared" si="60"/>
        <v>66.362625619205232</v>
      </c>
      <c r="BX132" s="11">
        <f t="shared" si="61"/>
        <v>66.362625619205232</v>
      </c>
      <c r="BY132" s="11">
        <f t="shared" si="62"/>
        <v>66.362625619205232</v>
      </c>
      <c r="BZ132" s="11">
        <f t="shared" si="63"/>
        <v>66.362625619205232</v>
      </c>
      <c r="CA132" s="11">
        <f t="shared" si="64"/>
        <v>66.362625619205232</v>
      </c>
      <c r="CB132" s="11">
        <f t="shared" si="65"/>
        <v>66.362625619205232</v>
      </c>
      <c r="CC132" s="11">
        <f t="shared" si="66"/>
        <v>66.362625619205232</v>
      </c>
      <c r="CD132" s="11">
        <f t="shared" si="67"/>
        <v>66.362625619205232</v>
      </c>
      <c r="CE132" s="11">
        <f t="shared" si="68"/>
        <v>66.362625619205232</v>
      </c>
      <c r="CF132" s="11">
        <f t="shared" si="69"/>
        <v>66.362625619205232</v>
      </c>
      <c r="CG132" s="11"/>
      <c r="CH132" s="41">
        <v>3.23</v>
      </c>
      <c r="CI132" s="1"/>
      <c r="CJ132" s="53">
        <f t="shared" si="70"/>
        <v>25995</v>
      </c>
      <c r="CK132" s="53">
        <f t="shared" si="71"/>
        <v>12994</v>
      </c>
      <c r="CL132" s="53">
        <f t="shared" si="72"/>
        <v>12994</v>
      </c>
      <c r="CM132" s="53">
        <f t="shared" si="73"/>
        <v>12994</v>
      </c>
      <c r="CN132" s="53">
        <f t="shared" si="74"/>
        <v>12994</v>
      </c>
      <c r="CO132" s="53">
        <f t="shared" si="75"/>
        <v>12994</v>
      </c>
      <c r="CP132" s="53">
        <f t="shared" si="76"/>
        <v>12994</v>
      </c>
      <c r="CQ132" s="53">
        <f t="shared" si="77"/>
        <v>12994</v>
      </c>
      <c r="CR132" s="53">
        <f t="shared" si="78"/>
        <v>12994</v>
      </c>
      <c r="CS132" s="53">
        <f t="shared" si="79"/>
        <v>12994</v>
      </c>
      <c r="CT132" s="53">
        <f t="shared" si="80"/>
        <v>12994</v>
      </c>
      <c r="CU132" s="53">
        <f t="shared" si="81"/>
        <v>12994</v>
      </c>
      <c r="CV132" s="53">
        <f t="shared" si="84"/>
        <v>168929</v>
      </c>
      <c r="CW132" s="1"/>
      <c r="CX132" s="1"/>
      <c r="CY132" s="1"/>
      <c r="CZ132" s="1"/>
      <c r="DA132" s="1"/>
      <c r="DB132" s="1"/>
      <c r="DC132" s="1"/>
      <c r="DD132" s="1"/>
      <c r="DE132" s="1"/>
      <c r="DF132" s="1"/>
      <c r="DG132" s="1"/>
      <c r="DH132" s="1"/>
      <c r="DI132" s="1"/>
      <c r="DJ132" s="1"/>
      <c r="DK132" s="1"/>
      <c r="DL132" s="1"/>
    </row>
    <row r="133" spans="1:116" ht="15.75" hidden="1" x14ac:dyDescent="0.25">
      <c r="A133" s="17"/>
      <c r="B133" s="17"/>
      <c r="C133" s="17"/>
      <c r="D133" s="17"/>
      <c r="E133" s="17"/>
      <c r="F133" s="32" t="s">
        <v>2954</v>
      </c>
      <c r="G133" s="57">
        <v>29.8</v>
      </c>
      <c r="H133" s="57">
        <v>24.83</v>
      </c>
      <c r="I133" s="57">
        <v>24.83</v>
      </c>
      <c r="J133" s="57">
        <v>21.85</v>
      </c>
      <c r="K133" s="57">
        <v>16.89</v>
      </c>
      <c r="L133" s="57">
        <v>3.97</v>
      </c>
      <c r="M133" s="57">
        <v>3.97</v>
      </c>
      <c r="N133" s="57">
        <v>2.98</v>
      </c>
      <c r="O133" s="57">
        <v>11.92</v>
      </c>
      <c r="P133" s="57">
        <v>19.87</v>
      </c>
      <c r="Q133" s="57">
        <v>24.83</v>
      </c>
      <c r="R133" s="57">
        <v>24.83</v>
      </c>
      <c r="S133" s="11">
        <f t="shared" si="45"/>
        <v>210.57</v>
      </c>
      <c r="T133" s="8">
        <f t="shared" si="85"/>
        <v>-4.7965047252695042E-2</v>
      </c>
      <c r="U133" s="13" t="s">
        <v>2953</v>
      </c>
      <c r="V133" s="50">
        <f t="shared" si="83"/>
        <v>211937</v>
      </c>
      <c r="W133" s="36">
        <v>3.2559999999999998</v>
      </c>
      <c r="X133" s="36">
        <v>3.2559999999999998</v>
      </c>
      <c r="Y133" s="36">
        <v>3.2559999999999998</v>
      </c>
      <c r="Z133" s="36">
        <v>3.2559999999999998</v>
      </c>
      <c r="AA133" s="36">
        <v>3.2559999999999998</v>
      </c>
      <c r="AB133" s="36">
        <v>3.2559999999999998</v>
      </c>
      <c r="AC133" s="36">
        <v>3.2559999999999998</v>
      </c>
      <c r="AD133" s="36">
        <v>3.2559999999999998</v>
      </c>
      <c r="AE133" s="36">
        <v>3.2559999999999998</v>
      </c>
      <c r="AF133" s="36">
        <v>3.2559999999999998</v>
      </c>
      <c r="AG133" s="36">
        <v>3.2559999999999998</v>
      </c>
      <c r="AH133" s="36">
        <v>3.2559999999999998</v>
      </c>
      <c r="AI133" s="39">
        <v>1.33634708931066E-2</v>
      </c>
      <c r="AJ133" s="39">
        <v>1.33634708931066E-2</v>
      </c>
      <c r="AK133" s="39">
        <v>1.33634708931066E-2</v>
      </c>
      <c r="AL133" s="39">
        <v>1.33634708931066E-2</v>
      </c>
      <c r="AM133" s="39">
        <v>1.33634708931066E-2</v>
      </c>
      <c r="AN133" s="39">
        <v>1.33634708931066E-2</v>
      </c>
      <c r="AO133" s="39">
        <v>1.33634708931066E-2</v>
      </c>
      <c r="AP133" s="39">
        <v>1.33634708931066E-2</v>
      </c>
      <c r="AQ133" s="39">
        <v>1.33634708931066E-2</v>
      </c>
      <c r="AR133" s="39">
        <v>1.33634708931066E-2</v>
      </c>
      <c r="AS133" s="39">
        <v>1.33634708931066E-2</v>
      </c>
      <c r="AT133" s="39">
        <v>1.33634708931066E-2</v>
      </c>
      <c r="AU133" s="39">
        <v>1.2392217523121999E-3</v>
      </c>
      <c r="AV133" s="39">
        <v>1.2392217523121999E-3</v>
      </c>
      <c r="AW133" s="39">
        <v>1.2392217523121999E-3</v>
      </c>
      <c r="AX133" s="39">
        <v>1.2392217523121999E-3</v>
      </c>
      <c r="AY133" s="39">
        <v>1.2392217523121999E-3</v>
      </c>
      <c r="AZ133" s="39">
        <v>1.2392217523121999E-3</v>
      </c>
      <c r="BA133" s="39">
        <v>1.2392217523121999E-3</v>
      </c>
      <c r="BB133" s="39">
        <v>1.2392217523121999E-3</v>
      </c>
      <c r="BC133" s="39">
        <v>1.2392217523121999E-3</v>
      </c>
      <c r="BD133" s="39">
        <v>1.2392217523121999E-3</v>
      </c>
      <c r="BE133" s="39">
        <v>1.2392217523121999E-3</v>
      </c>
      <c r="BF133" s="39">
        <v>1.2392217523121999E-3</v>
      </c>
      <c r="BG133" s="1"/>
      <c r="BH133" s="12">
        <f t="shared" si="46"/>
        <v>96.254000000000005</v>
      </c>
      <c r="BI133" s="12">
        <f t="shared" si="47"/>
        <v>80.20089999999999</v>
      </c>
      <c r="BJ133" s="12">
        <f t="shared" si="48"/>
        <v>80.20089999999999</v>
      </c>
      <c r="BK133" s="12">
        <f t="shared" si="49"/>
        <v>70.575500000000005</v>
      </c>
      <c r="BL133" s="12">
        <f t="shared" si="50"/>
        <v>54.554700000000004</v>
      </c>
      <c r="BM133" s="12">
        <f t="shared" si="51"/>
        <v>12.8231</v>
      </c>
      <c r="BN133" s="12">
        <f t="shared" si="52"/>
        <v>12.8231</v>
      </c>
      <c r="BO133" s="12">
        <f t="shared" si="53"/>
        <v>9.6253999999999991</v>
      </c>
      <c r="BP133" s="12">
        <f t="shared" si="54"/>
        <v>38.501599999999996</v>
      </c>
      <c r="BQ133" s="12">
        <f t="shared" si="55"/>
        <v>64.180099999999996</v>
      </c>
      <c r="BR133" s="12">
        <f t="shared" si="56"/>
        <v>80.20089999999999</v>
      </c>
      <c r="BS133" s="12">
        <f t="shared" si="57"/>
        <v>80.20089999999999</v>
      </c>
      <c r="BT133" s="1"/>
      <c r="BU133" s="11">
        <f t="shared" si="58"/>
        <v>97.659567577892147</v>
      </c>
      <c r="BV133" s="11">
        <f t="shared" si="59"/>
        <v>81.372049092585954</v>
      </c>
      <c r="BW133" s="11">
        <f t="shared" si="60"/>
        <v>81.372049092585954</v>
      </c>
      <c r="BX133" s="11">
        <f t="shared" si="61"/>
        <v>71.606092334796756</v>
      </c>
      <c r="BY133" s="11">
        <f t="shared" si="62"/>
        <v>55.351345516463034</v>
      </c>
      <c r="BZ133" s="11">
        <f t="shared" si="63"/>
        <v>13.01035178806147</v>
      </c>
      <c r="CA133" s="11">
        <f t="shared" si="64"/>
        <v>13.01035178806147</v>
      </c>
      <c r="CB133" s="11">
        <f t="shared" si="65"/>
        <v>9.7659567577892137</v>
      </c>
      <c r="CC133" s="11">
        <f t="shared" si="66"/>
        <v>39.063827031156855</v>
      </c>
      <c r="CD133" s="11">
        <f t="shared" si="67"/>
        <v>65.117302274252239</v>
      </c>
      <c r="CE133" s="11">
        <f t="shared" si="68"/>
        <v>81.372049092585954</v>
      </c>
      <c r="CF133" s="11">
        <f t="shared" si="69"/>
        <v>81.372049092585954</v>
      </c>
      <c r="CG133" s="11"/>
      <c r="CH133" s="41">
        <v>3.23</v>
      </c>
      <c r="CI133" s="1"/>
      <c r="CJ133" s="53">
        <f t="shared" si="70"/>
        <v>29994</v>
      </c>
      <c r="CK133" s="53">
        <f t="shared" si="71"/>
        <v>24991</v>
      </c>
      <c r="CL133" s="53">
        <f t="shared" si="72"/>
        <v>24991</v>
      </c>
      <c r="CM133" s="53">
        <f t="shared" si="73"/>
        <v>21992</v>
      </c>
      <c r="CN133" s="53">
        <f t="shared" si="74"/>
        <v>17000</v>
      </c>
      <c r="CO133" s="53">
        <f t="shared" si="75"/>
        <v>3996</v>
      </c>
      <c r="CP133" s="53">
        <f t="shared" si="76"/>
        <v>3996</v>
      </c>
      <c r="CQ133" s="53">
        <f t="shared" si="77"/>
        <v>2999</v>
      </c>
      <c r="CR133" s="53">
        <f t="shared" si="78"/>
        <v>11997</v>
      </c>
      <c r="CS133" s="53">
        <f t="shared" si="79"/>
        <v>19999</v>
      </c>
      <c r="CT133" s="53">
        <f t="shared" si="80"/>
        <v>24991</v>
      </c>
      <c r="CU133" s="53">
        <f t="shared" si="81"/>
        <v>24991</v>
      </c>
      <c r="CV133" s="53">
        <f t="shared" si="84"/>
        <v>211937</v>
      </c>
      <c r="CW133" s="1"/>
      <c r="CX133" s="1"/>
      <c r="CY133" s="1"/>
      <c r="CZ133" s="1"/>
      <c r="DA133" s="1"/>
      <c r="DB133" s="1"/>
      <c r="DC133" s="1"/>
      <c r="DD133" s="1"/>
      <c r="DE133" s="1"/>
      <c r="DF133" s="1"/>
      <c r="DG133" s="1"/>
      <c r="DH133" s="1"/>
      <c r="DI133" s="1"/>
      <c r="DJ133" s="1"/>
      <c r="DK133" s="1"/>
      <c r="DL133" s="1"/>
    </row>
    <row r="134" spans="1:116" ht="15.75" hidden="1" x14ac:dyDescent="0.25">
      <c r="A134" s="17"/>
      <c r="B134" s="17"/>
      <c r="C134" s="17"/>
      <c r="D134" s="17"/>
      <c r="E134" s="17"/>
      <c r="F134" s="32" t="s">
        <v>2954</v>
      </c>
      <c r="G134" s="57">
        <v>73437363492.350006</v>
      </c>
      <c r="H134" s="57">
        <v>130328132995.34</v>
      </c>
      <c r="I134" s="57">
        <v>420076618101.90997</v>
      </c>
      <c r="J134" s="57">
        <v>322115373550.41998</v>
      </c>
      <c r="K134" s="57">
        <v>46958633466.559998</v>
      </c>
      <c r="L134" s="57">
        <v>314685538868.28003</v>
      </c>
      <c r="M134" s="57">
        <v>283637835757.15002</v>
      </c>
      <c r="N134" s="57">
        <v>6533058831.6899996</v>
      </c>
      <c r="O134" s="57">
        <v>108378600172.25999</v>
      </c>
      <c r="P134" s="57">
        <v>123792129940.12</v>
      </c>
      <c r="Q134" s="57">
        <v>126816482537.85001</v>
      </c>
      <c r="R134" s="57">
        <v>83406172430.740005</v>
      </c>
      <c r="S134" s="11">
        <f t="shared" si="45"/>
        <v>2040165940144.6702</v>
      </c>
      <c r="T134" s="8">
        <f t="shared" si="85"/>
        <v>-0.99999999994751898</v>
      </c>
      <c r="U134" s="13" t="s">
        <v>2953</v>
      </c>
      <c r="V134" s="50">
        <f t="shared" si="83"/>
        <v>4659208275885050</v>
      </c>
      <c r="W134" s="36">
        <v>1.4350000000000001</v>
      </c>
      <c r="X134" s="36">
        <v>1.4350000000000001</v>
      </c>
      <c r="Y134" s="36">
        <v>1.4350000000000001</v>
      </c>
      <c r="Z134" s="36">
        <v>1.4350000000000001</v>
      </c>
      <c r="AA134" s="36">
        <v>1.4350000000000001</v>
      </c>
      <c r="AB134" s="36">
        <v>1.4350000000000001</v>
      </c>
      <c r="AC134" s="36">
        <v>1.4350000000000001</v>
      </c>
      <c r="AD134" s="36">
        <v>1.4350000000000001</v>
      </c>
      <c r="AE134" s="36">
        <v>1.4350000000000001</v>
      </c>
      <c r="AF134" s="36">
        <v>1.4350000000000001</v>
      </c>
      <c r="AG134" s="36">
        <v>1.4350000000000001</v>
      </c>
      <c r="AH134" s="36">
        <v>1.4350000000000001</v>
      </c>
      <c r="AI134" s="39">
        <v>1.33634708931066E-2</v>
      </c>
      <c r="AJ134" s="39">
        <v>1.33634708931066E-2</v>
      </c>
      <c r="AK134" s="39">
        <v>1.33634708931066E-2</v>
      </c>
      <c r="AL134" s="39">
        <v>1.33634708931066E-2</v>
      </c>
      <c r="AM134" s="39">
        <v>1.33634708931066E-2</v>
      </c>
      <c r="AN134" s="39">
        <v>1.33634708931066E-2</v>
      </c>
      <c r="AO134" s="39">
        <v>1.33634708931066E-2</v>
      </c>
      <c r="AP134" s="39">
        <v>1.33634708931066E-2</v>
      </c>
      <c r="AQ134" s="39">
        <v>1.33634708931066E-2</v>
      </c>
      <c r="AR134" s="39">
        <v>1.33634708931066E-2</v>
      </c>
      <c r="AS134" s="39">
        <v>1.33634708931066E-2</v>
      </c>
      <c r="AT134" s="39">
        <v>1.33634708931066E-2</v>
      </c>
      <c r="AU134" s="39">
        <v>1.2392217523121999E-3</v>
      </c>
      <c r="AV134" s="39">
        <v>1.2392217523121999E-3</v>
      </c>
      <c r="AW134" s="39">
        <v>1.2392217523121999E-3</v>
      </c>
      <c r="AX134" s="39">
        <v>1.2392217523121999E-3</v>
      </c>
      <c r="AY134" s="39">
        <v>1.2392217523121999E-3</v>
      </c>
      <c r="AZ134" s="39">
        <v>1.2392217523121999E-3</v>
      </c>
      <c r="BA134" s="39">
        <v>1.2392217523121999E-3</v>
      </c>
      <c r="BB134" s="39">
        <v>1.2392217523121999E-3</v>
      </c>
      <c r="BC134" s="39">
        <v>1.2392217523121999E-3</v>
      </c>
      <c r="BD134" s="39">
        <v>1.2392217523121999E-3</v>
      </c>
      <c r="BE134" s="39">
        <v>1.2392217523121999E-3</v>
      </c>
      <c r="BF134" s="39">
        <v>1.2392217523121999E-3</v>
      </c>
      <c r="BG134" s="1"/>
      <c r="BH134" s="12">
        <f t="shared" si="46"/>
        <v>237202684080.29053</v>
      </c>
      <c r="BI134" s="12">
        <f t="shared" si="47"/>
        <v>420959869574.94818</v>
      </c>
      <c r="BJ134" s="12">
        <f t="shared" si="48"/>
        <v>1356847476469.1692</v>
      </c>
      <c r="BK134" s="12">
        <f t="shared" si="49"/>
        <v>1040432656567.8566</v>
      </c>
      <c r="BL134" s="12">
        <f t="shared" si="50"/>
        <v>151676386096.9888</v>
      </c>
      <c r="BM134" s="12">
        <f t="shared" si="51"/>
        <v>1016434290544.5444</v>
      </c>
      <c r="BN134" s="12">
        <f t="shared" si="52"/>
        <v>916150209495.5946</v>
      </c>
      <c r="BO134" s="12">
        <f t="shared" si="53"/>
        <v>21101780026.3587</v>
      </c>
      <c r="BP134" s="12">
        <f t="shared" si="54"/>
        <v>350062878556.39978</v>
      </c>
      <c r="BQ134" s="12">
        <f t="shared" si="55"/>
        <v>399848579706.58759</v>
      </c>
      <c r="BR134" s="12">
        <f t="shared" si="56"/>
        <v>409617238597.25549</v>
      </c>
      <c r="BS134" s="12">
        <f t="shared" si="57"/>
        <v>269401936951.29022</v>
      </c>
      <c r="BT134" s="1"/>
      <c r="BU134" s="11">
        <f t="shared" si="58"/>
        <v>240666481970.58337</v>
      </c>
      <c r="BV134" s="11">
        <f t="shared" si="59"/>
        <v>427107017166.40674</v>
      </c>
      <c r="BW134" s="11">
        <f t="shared" si="60"/>
        <v>1376661103134.7605</v>
      </c>
      <c r="BX134" s="11">
        <f t="shared" si="61"/>
        <v>1055625774869.9735</v>
      </c>
      <c r="BY134" s="11">
        <f t="shared" si="62"/>
        <v>153891269744.73099</v>
      </c>
      <c r="BZ134" s="11">
        <f t="shared" si="63"/>
        <v>1031276968083.6307</v>
      </c>
      <c r="CA134" s="11">
        <f t="shared" si="64"/>
        <v>929528469421.89478</v>
      </c>
      <c r="CB134" s="11">
        <f t="shared" si="65"/>
        <v>21409922834.354855</v>
      </c>
      <c r="CC134" s="11">
        <f t="shared" si="66"/>
        <v>355174739178.52948</v>
      </c>
      <c r="CD134" s="11">
        <f t="shared" si="67"/>
        <v>405687445620.75012</v>
      </c>
      <c r="CE134" s="11">
        <f t="shared" si="68"/>
        <v>415598753234.75641</v>
      </c>
      <c r="CF134" s="11">
        <f t="shared" si="69"/>
        <v>273335930634.67041</v>
      </c>
      <c r="CG134" s="11"/>
      <c r="CH134" s="41">
        <v>3.23</v>
      </c>
      <c r="CI134" s="1"/>
      <c r="CJ134" s="53">
        <f t="shared" si="70"/>
        <v>167711834125842</v>
      </c>
      <c r="CK134" s="53">
        <f t="shared" si="71"/>
        <v>297635552032339</v>
      </c>
      <c r="CL134" s="53">
        <f t="shared" si="72"/>
        <v>959345716470216</v>
      </c>
      <c r="CM134" s="53">
        <f t="shared" si="73"/>
        <v>735627717679424</v>
      </c>
      <c r="CN134" s="53">
        <f t="shared" si="74"/>
        <v>107241302958001</v>
      </c>
      <c r="CO134" s="53">
        <f t="shared" si="75"/>
        <v>718659908072216</v>
      </c>
      <c r="CP134" s="53">
        <f t="shared" si="76"/>
        <v>647755030956024</v>
      </c>
      <c r="CQ134" s="53">
        <f t="shared" si="77"/>
        <v>14919806853209</v>
      </c>
      <c r="CR134" s="53">
        <f t="shared" si="78"/>
        <v>247508529044271</v>
      </c>
      <c r="CS134" s="53">
        <f t="shared" si="79"/>
        <v>282709021338502</v>
      </c>
      <c r="CT134" s="53">
        <f t="shared" si="80"/>
        <v>289615855912722</v>
      </c>
      <c r="CU134" s="53">
        <f t="shared" si="81"/>
        <v>190478000442279</v>
      </c>
      <c r="CV134" s="53">
        <f t="shared" si="84"/>
        <v>4659208275885050</v>
      </c>
      <c r="CW134" s="1"/>
      <c r="CX134" s="1"/>
      <c r="CY134" s="1"/>
      <c r="CZ134" s="1"/>
      <c r="DA134" s="1"/>
      <c r="DB134" s="1"/>
      <c r="DC134" s="1"/>
      <c r="DD134" s="1"/>
      <c r="DE134" s="1"/>
      <c r="DF134" s="1"/>
      <c r="DG134" s="1"/>
      <c r="DH134" s="1"/>
      <c r="DI134" s="1"/>
      <c r="DJ134" s="1"/>
      <c r="DK134" s="1"/>
      <c r="DL134" s="1"/>
    </row>
    <row r="135" spans="1:116" ht="15.75" hidden="1" x14ac:dyDescent="0.25">
      <c r="A135" s="17"/>
      <c r="B135" s="17"/>
      <c r="C135" s="17"/>
      <c r="D135" s="17"/>
      <c r="E135" s="17"/>
      <c r="F135" s="32" t="s">
        <v>2954</v>
      </c>
      <c r="G135" s="57">
        <v>684326369159.04004</v>
      </c>
      <c r="H135" s="57">
        <v>386254281473.94</v>
      </c>
      <c r="I135" s="57">
        <v>250236088217.51999</v>
      </c>
      <c r="J135" s="57">
        <v>252361528367.89999</v>
      </c>
      <c r="K135" s="57">
        <v>693767889536.17004</v>
      </c>
      <c r="L135" s="57">
        <v>387854190176.85999</v>
      </c>
      <c r="M135" s="57">
        <v>288329347585.67999</v>
      </c>
      <c r="N135" s="57">
        <v>167750041552.75</v>
      </c>
      <c r="O135" s="57">
        <v>258566674954.20999</v>
      </c>
      <c r="P135" s="57">
        <v>236560925103.87</v>
      </c>
      <c r="Q135" s="57">
        <v>629620575204.42004</v>
      </c>
      <c r="R135" s="57">
        <v>296682119716.78998</v>
      </c>
      <c r="S135" s="11">
        <f t="shared" si="45"/>
        <v>4532310031049.1494</v>
      </c>
      <c r="T135" s="8">
        <f t="shared" si="85"/>
        <v>-0.99999999997690803</v>
      </c>
      <c r="U135" s="13" t="s">
        <v>2953</v>
      </c>
      <c r="V135" s="50">
        <f t="shared" si="83"/>
        <v>5024741371902020</v>
      </c>
      <c r="W135" s="36">
        <v>2.956</v>
      </c>
      <c r="X135" s="36">
        <v>2.956</v>
      </c>
      <c r="Y135" s="36">
        <v>2.956</v>
      </c>
      <c r="Z135" s="36">
        <v>2.956</v>
      </c>
      <c r="AA135" s="36">
        <v>2.956</v>
      </c>
      <c r="AB135" s="36">
        <v>2.956</v>
      </c>
      <c r="AC135" s="36">
        <v>2.956</v>
      </c>
      <c r="AD135" s="36">
        <v>2.956</v>
      </c>
      <c r="AE135" s="36">
        <v>2.956</v>
      </c>
      <c r="AF135" s="36">
        <v>2.956</v>
      </c>
      <c r="AG135" s="36">
        <v>2.956</v>
      </c>
      <c r="AH135" s="36">
        <v>2.956</v>
      </c>
      <c r="AI135" s="39">
        <v>1.33634708931066E-2</v>
      </c>
      <c r="AJ135" s="39">
        <v>1.33634708931066E-2</v>
      </c>
      <c r="AK135" s="39">
        <v>1.33634708931066E-2</v>
      </c>
      <c r="AL135" s="39">
        <v>1.33634708931066E-2</v>
      </c>
      <c r="AM135" s="39">
        <v>1.33634708931066E-2</v>
      </c>
      <c r="AN135" s="39">
        <v>1.33634708931066E-2</v>
      </c>
      <c r="AO135" s="39">
        <v>1.33634708931066E-2</v>
      </c>
      <c r="AP135" s="39">
        <v>1.33634708931066E-2</v>
      </c>
      <c r="AQ135" s="39">
        <v>1.33634708931066E-2</v>
      </c>
      <c r="AR135" s="39">
        <v>1.33634708931066E-2</v>
      </c>
      <c r="AS135" s="39">
        <v>1.33634708931066E-2</v>
      </c>
      <c r="AT135" s="39">
        <v>1.33634708931066E-2</v>
      </c>
      <c r="AU135" s="39">
        <v>1.2392217523121999E-3</v>
      </c>
      <c r="AV135" s="39">
        <v>1.2392217523121999E-3</v>
      </c>
      <c r="AW135" s="39">
        <v>1.2392217523121999E-3</v>
      </c>
      <c r="AX135" s="39">
        <v>1.2392217523121999E-3</v>
      </c>
      <c r="AY135" s="39">
        <v>1.2392217523121999E-3</v>
      </c>
      <c r="AZ135" s="39">
        <v>1.2392217523121999E-3</v>
      </c>
      <c r="BA135" s="39">
        <v>1.2392217523121999E-3</v>
      </c>
      <c r="BB135" s="39">
        <v>1.2392217523121999E-3</v>
      </c>
      <c r="BC135" s="39">
        <v>1.2392217523121999E-3</v>
      </c>
      <c r="BD135" s="39">
        <v>1.2392217523121999E-3</v>
      </c>
      <c r="BE135" s="39">
        <v>1.2392217523121999E-3</v>
      </c>
      <c r="BF135" s="39">
        <v>1.2392217523121999E-3</v>
      </c>
      <c r="BG135" s="1"/>
      <c r="BH135" s="12">
        <f t="shared" si="46"/>
        <v>2210374172383.6992</v>
      </c>
      <c r="BI135" s="12">
        <f t="shared" si="47"/>
        <v>1247601329160.8262</v>
      </c>
      <c r="BJ135" s="12">
        <f t="shared" si="48"/>
        <v>808262564942.5896</v>
      </c>
      <c r="BK135" s="12">
        <f t="shared" si="49"/>
        <v>815127736628.31702</v>
      </c>
      <c r="BL135" s="12">
        <f t="shared" si="50"/>
        <v>2240870283201.8291</v>
      </c>
      <c r="BM135" s="12">
        <f t="shared" si="51"/>
        <v>1252769034271.2578</v>
      </c>
      <c r="BN135" s="12">
        <f t="shared" si="52"/>
        <v>931303792701.74634</v>
      </c>
      <c r="BO135" s="12">
        <f t="shared" si="53"/>
        <v>541832634215.38251</v>
      </c>
      <c r="BP135" s="12">
        <f t="shared" si="54"/>
        <v>835170360102.09827</v>
      </c>
      <c r="BQ135" s="12">
        <f t="shared" si="55"/>
        <v>764091788085.50012</v>
      </c>
      <c r="BR135" s="12">
        <f t="shared" si="56"/>
        <v>2033674457910.2766</v>
      </c>
      <c r="BS135" s="12">
        <f t="shared" si="57"/>
        <v>958283246685.23157</v>
      </c>
      <c r="BT135" s="1"/>
      <c r="BU135" s="11">
        <f t="shared" si="58"/>
        <v>2242651587054.3901</v>
      </c>
      <c r="BV135" s="11">
        <f t="shared" si="59"/>
        <v>1265819667914.5776</v>
      </c>
      <c r="BW135" s="11">
        <f t="shared" si="60"/>
        <v>820065374755.24414</v>
      </c>
      <c r="BX135" s="11">
        <f t="shared" si="61"/>
        <v>827030796433.05627</v>
      </c>
      <c r="BY135" s="11">
        <f t="shared" si="62"/>
        <v>2273593023205.6782</v>
      </c>
      <c r="BZ135" s="11">
        <f t="shared" si="63"/>
        <v>1271062835434.4192</v>
      </c>
      <c r="CA135" s="11">
        <f t="shared" si="64"/>
        <v>944903335746.08276</v>
      </c>
      <c r="CB135" s="11">
        <f t="shared" si="65"/>
        <v>549744849638.08734</v>
      </c>
      <c r="CC135" s="11">
        <f t="shared" si="66"/>
        <v>847366096177.23291</v>
      </c>
      <c r="CD135" s="11">
        <f t="shared" si="67"/>
        <v>775249585619.80115</v>
      </c>
      <c r="CE135" s="11">
        <f t="shared" si="68"/>
        <v>2063371580959.979</v>
      </c>
      <c r="CF135" s="11">
        <f t="shared" si="69"/>
        <v>972276762403.83008</v>
      </c>
      <c r="CG135" s="11"/>
      <c r="CH135" s="41">
        <v>3.23</v>
      </c>
      <c r="CI135" s="1"/>
      <c r="CJ135" s="53">
        <f t="shared" si="70"/>
        <v>758677803469009</v>
      </c>
      <c r="CK135" s="53">
        <f t="shared" si="71"/>
        <v>428220455992753</v>
      </c>
      <c r="CL135" s="53">
        <f t="shared" si="72"/>
        <v>277424010404345</v>
      </c>
      <c r="CM135" s="53">
        <f t="shared" si="73"/>
        <v>279780377683713</v>
      </c>
      <c r="CN135" s="53">
        <f t="shared" si="74"/>
        <v>769145136402462</v>
      </c>
      <c r="CO135" s="53">
        <f t="shared" si="75"/>
        <v>429994193313403</v>
      </c>
      <c r="CP135" s="53">
        <f t="shared" si="76"/>
        <v>319656067573100</v>
      </c>
      <c r="CQ135" s="53">
        <f t="shared" si="77"/>
        <v>185975930188798</v>
      </c>
      <c r="CR135" s="53">
        <f t="shared" si="78"/>
        <v>286659707773083</v>
      </c>
      <c r="CS135" s="53">
        <f t="shared" si="79"/>
        <v>262263053321990</v>
      </c>
      <c r="CT135" s="53">
        <f t="shared" si="80"/>
        <v>698028275020291</v>
      </c>
      <c r="CU135" s="53">
        <f t="shared" si="81"/>
        <v>328916360759076</v>
      </c>
      <c r="CV135" s="53">
        <f t="shared" si="84"/>
        <v>5024741371902020</v>
      </c>
      <c r="CW135" s="1"/>
      <c r="CX135" s="1"/>
      <c r="CY135" s="1"/>
      <c r="CZ135" s="1"/>
      <c r="DA135" s="1"/>
      <c r="DB135" s="1"/>
      <c r="DC135" s="1"/>
      <c r="DD135" s="1"/>
      <c r="DE135" s="1"/>
      <c r="DF135" s="1"/>
      <c r="DG135" s="1"/>
      <c r="DH135" s="1"/>
      <c r="DI135" s="1"/>
      <c r="DJ135" s="1"/>
      <c r="DK135" s="1"/>
      <c r="DL135" s="1"/>
    </row>
    <row r="136" spans="1:116" ht="15.75" hidden="1" x14ac:dyDescent="0.25">
      <c r="A136" s="17"/>
      <c r="B136" s="17"/>
      <c r="C136" s="17"/>
      <c r="D136" s="17"/>
      <c r="E136" s="17"/>
      <c r="F136" s="32" t="s">
        <v>2954</v>
      </c>
      <c r="G136" s="57">
        <v>104.71</v>
      </c>
      <c r="H136" s="57">
        <v>159.1</v>
      </c>
      <c r="I136" s="57">
        <v>140.87</v>
      </c>
      <c r="J136" s="57">
        <v>53.73</v>
      </c>
      <c r="K136" s="57">
        <v>49.12</v>
      </c>
      <c r="L136" s="57">
        <v>40.159999999999997</v>
      </c>
      <c r="M136" s="57">
        <v>40.93</v>
      </c>
      <c r="N136" s="57">
        <v>57.13</v>
      </c>
      <c r="O136" s="57">
        <v>109.89</v>
      </c>
      <c r="P136" s="57">
        <v>161.24</v>
      </c>
      <c r="Q136" s="57">
        <v>125.91</v>
      </c>
      <c r="R136" s="57">
        <v>78.62</v>
      </c>
      <c r="S136" s="11">
        <f t="shared" si="45"/>
        <v>1121.4099999999999</v>
      </c>
      <c r="T136" s="8">
        <f t="shared" si="85"/>
        <v>1.4767123531982214E-2</v>
      </c>
      <c r="U136" s="13" t="s">
        <v>2953</v>
      </c>
      <c r="V136" s="50">
        <f t="shared" si="83"/>
        <v>1057264</v>
      </c>
      <c r="W136" s="36">
        <v>3.476</v>
      </c>
      <c r="X136" s="36">
        <v>3.476</v>
      </c>
      <c r="Y136" s="36">
        <v>3.476</v>
      </c>
      <c r="Z136" s="36">
        <v>3.476</v>
      </c>
      <c r="AA136" s="36">
        <v>3.476</v>
      </c>
      <c r="AB136" s="36">
        <v>3.476</v>
      </c>
      <c r="AC136" s="36">
        <v>3.476</v>
      </c>
      <c r="AD136" s="36">
        <v>3.476</v>
      </c>
      <c r="AE136" s="36">
        <v>3.476</v>
      </c>
      <c r="AF136" s="36">
        <v>3.476</v>
      </c>
      <c r="AG136" s="36">
        <v>3.476</v>
      </c>
      <c r="AH136" s="36">
        <v>3.476</v>
      </c>
      <c r="AI136" s="39">
        <v>1.33634708931066E-2</v>
      </c>
      <c r="AJ136" s="39">
        <v>1.33634708931066E-2</v>
      </c>
      <c r="AK136" s="39">
        <v>1.33634708931066E-2</v>
      </c>
      <c r="AL136" s="39">
        <v>1.33634708931066E-2</v>
      </c>
      <c r="AM136" s="39">
        <v>1.33634708931066E-2</v>
      </c>
      <c r="AN136" s="39">
        <v>1.33634708931066E-2</v>
      </c>
      <c r="AO136" s="39">
        <v>1.33634708931066E-2</v>
      </c>
      <c r="AP136" s="39">
        <v>1.33634708931066E-2</v>
      </c>
      <c r="AQ136" s="39">
        <v>1.33634708931066E-2</v>
      </c>
      <c r="AR136" s="39">
        <v>1.33634708931066E-2</v>
      </c>
      <c r="AS136" s="39">
        <v>1.33634708931066E-2</v>
      </c>
      <c r="AT136" s="39">
        <v>1.33634708931066E-2</v>
      </c>
      <c r="AU136" s="39">
        <v>1.2392217523121999E-3</v>
      </c>
      <c r="AV136" s="39">
        <v>1.2392217523121999E-3</v>
      </c>
      <c r="AW136" s="39">
        <v>1.2392217523121999E-3</v>
      </c>
      <c r="AX136" s="39">
        <v>1.2392217523121999E-3</v>
      </c>
      <c r="AY136" s="39">
        <v>1.2392217523121999E-3</v>
      </c>
      <c r="AZ136" s="39">
        <v>1.2392217523121999E-3</v>
      </c>
      <c r="BA136" s="39">
        <v>1.2392217523121999E-3</v>
      </c>
      <c r="BB136" s="39">
        <v>1.2392217523121999E-3</v>
      </c>
      <c r="BC136" s="39">
        <v>1.2392217523121999E-3</v>
      </c>
      <c r="BD136" s="39">
        <v>1.2392217523121999E-3</v>
      </c>
      <c r="BE136" s="39">
        <v>1.2392217523121999E-3</v>
      </c>
      <c r="BF136" s="39">
        <v>1.2392217523121999E-3</v>
      </c>
      <c r="BG136" s="1"/>
      <c r="BH136" s="12">
        <f t="shared" si="46"/>
        <v>338.2133</v>
      </c>
      <c r="BI136" s="12">
        <f t="shared" si="47"/>
        <v>513.89300000000003</v>
      </c>
      <c r="BJ136" s="12">
        <f t="shared" si="48"/>
        <v>455.01010000000002</v>
      </c>
      <c r="BK136" s="12">
        <f t="shared" si="49"/>
        <v>173.5479</v>
      </c>
      <c r="BL136" s="12">
        <f t="shared" si="50"/>
        <v>158.6576</v>
      </c>
      <c r="BM136" s="12">
        <f t="shared" si="51"/>
        <v>129.71679999999998</v>
      </c>
      <c r="BN136" s="12">
        <f t="shared" si="52"/>
        <v>132.2039</v>
      </c>
      <c r="BO136" s="12">
        <f t="shared" si="53"/>
        <v>184.5299</v>
      </c>
      <c r="BP136" s="12">
        <f t="shared" si="54"/>
        <v>354.94470000000001</v>
      </c>
      <c r="BQ136" s="12">
        <f t="shared" si="55"/>
        <v>520.80520000000001</v>
      </c>
      <c r="BR136" s="12">
        <f t="shared" si="56"/>
        <v>406.6893</v>
      </c>
      <c r="BS136" s="12">
        <f t="shared" si="57"/>
        <v>253.94260000000003</v>
      </c>
      <c r="BT136" s="1"/>
      <c r="BU136" s="11">
        <f t="shared" si="58"/>
        <v>343.15212486849282</v>
      </c>
      <c r="BV136" s="11">
        <f t="shared" si="59"/>
        <v>521.39722153163223</v>
      </c>
      <c r="BW136" s="11">
        <f t="shared" si="60"/>
        <v>461.65447264086129</v>
      </c>
      <c r="BX136" s="11">
        <f t="shared" si="61"/>
        <v>176.08216664295787</v>
      </c>
      <c r="BY136" s="11">
        <f t="shared" si="62"/>
        <v>160.97442816865981</v>
      </c>
      <c r="BZ136" s="11">
        <f t="shared" si="63"/>
        <v>131.61101456134725</v>
      </c>
      <c r="CA136" s="11">
        <f t="shared" si="64"/>
        <v>134.13443291822568</v>
      </c>
      <c r="CB136" s="11">
        <f t="shared" si="65"/>
        <v>187.22453341358985</v>
      </c>
      <c r="CC136" s="11">
        <f t="shared" si="66"/>
        <v>360.12784836022041</v>
      </c>
      <c r="CD136" s="11">
        <f t="shared" si="67"/>
        <v>528.41035826373593</v>
      </c>
      <c r="CE136" s="11">
        <f t="shared" si="68"/>
        <v>412.62805885008055</v>
      </c>
      <c r="CF136" s="11">
        <f t="shared" si="69"/>
        <v>257.65084573737857</v>
      </c>
      <c r="CG136" s="11"/>
      <c r="CH136" s="41">
        <v>3.23</v>
      </c>
      <c r="CI136" s="1"/>
      <c r="CJ136" s="53">
        <f t="shared" si="70"/>
        <v>98720</v>
      </c>
      <c r="CK136" s="53">
        <f t="shared" si="71"/>
        <v>149999</v>
      </c>
      <c r="CL136" s="53">
        <f t="shared" si="72"/>
        <v>132812</v>
      </c>
      <c r="CM136" s="53">
        <f t="shared" si="73"/>
        <v>50657</v>
      </c>
      <c r="CN136" s="53">
        <f t="shared" si="74"/>
        <v>46310</v>
      </c>
      <c r="CO136" s="53">
        <f t="shared" si="75"/>
        <v>37863</v>
      </c>
      <c r="CP136" s="53">
        <f t="shared" si="76"/>
        <v>38589</v>
      </c>
      <c r="CQ136" s="53">
        <f t="shared" si="77"/>
        <v>53862</v>
      </c>
      <c r="CR136" s="53">
        <f t="shared" si="78"/>
        <v>103604</v>
      </c>
      <c r="CS136" s="53">
        <f t="shared" si="79"/>
        <v>152017</v>
      </c>
      <c r="CT136" s="53">
        <f t="shared" si="80"/>
        <v>118708</v>
      </c>
      <c r="CU136" s="53">
        <f t="shared" si="81"/>
        <v>74123</v>
      </c>
      <c r="CV136" s="53">
        <f t="shared" si="84"/>
        <v>1057264</v>
      </c>
      <c r="CW136" s="1"/>
      <c r="CX136" s="1"/>
      <c r="CY136" s="1"/>
      <c r="CZ136" s="1"/>
      <c r="DA136" s="1"/>
      <c r="DB136" s="1"/>
      <c r="DC136" s="1"/>
      <c r="DD136" s="1"/>
      <c r="DE136" s="1"/>
      <c r="DF136" s="1"/>
      <c r="DG136" s="1"/>
      <c r="DH136" s="1"/>
      <c r="DI136" s="1"/>
      <c r="DJ136" s="1"/>
      <c r="DK136" s="1"/>
      <c r="DL136" s="1"/>
    </row>
    <row r="137" spans="1:116" ht="15.75" hidden="1" x14ac:dyDescent="0.25">
      <c r="A137" s="17"/>
      <c r="B137" s="17"/>
      <c r="C137" s="17"/>
      <c r="D137" s="17"/>
      <c r="E137" s="17"/>
      <c r="F137" s="32" t="s">
        <v>2954</v>
      </c>
      <c r="G137" s="57">
        <v>203.04</v>
      </c>
      <c r="H137" s="57">
        <v>203.04</v>
      </c>
      <c r="I137" s="57">
        <v>155.27000000000001</v>
      </c>
      <c r="J137" s="57">
        <v>119.44</v>
      </c>
      <c r="K137" s="57">
        <v>83.61</v>
      </c>
      <c r="L137" s="57">
        <v>59.72</v>
      </c>
      <c r="M137" s="57">
        <v>59.72</v>
      </c>
      <c r="N137" s="57">
        <v>95.55</v>
      </c>
      <c r="O137" s="57">
        <v>131.38</v>
      </c>
      <c r="P137" s="57">
        <v>179.16</v>
      </c>
      <c r="Q137" s="57">
        <v>179.16</v>
      </c>
      <c r="R137" s="57">
        <v>155.27000000000001</v>
      </c>
      <c r="S137" s="11">
        <f t="shared" si="45"/>
        <v>1624.3600000000001</v>
      </c>
      <c r="T137" s="8">
        <f t="shared" si="85"/>
        <v>-3.7645595803885892E-2</v>
      </c>
      <c r="U137" s="13" t="s">
        <v>2953</v>
      </c>
      <c r="V137" s="50">
        <f t="shared" si="83"/>
        <v>1359718</v>
      </c>
      <c r="W137" s="36">
        <v>3.915</v>
      </c>
      <c r="X137" s="36">
        <v>3.915</v>
      </c>
      <c r="Y137" s="36">
        <v>3.915</v>
      </c>
      <c r="Z137" s="36">
        <v>3.915</v>
      </c>
      <c r="AA137" s="36">
        <v>3.915</v>
      </c>
      <c r="AB137" s="36">
        <v>3.915</v>
      </c>
      <c r="AC137" s="36">
        <v>3.915</v>
      </c>
      <c r="AD137" s="36">
        <v>3.915</v>
      </c>
      <c r="AE137" s="36">
        <v>3.915</v>
      </c>
      <c r="AF137" s="36">
        <v>3.915</v>
      </c>
      <c r="AG137" s="36">
        <v>3.915</v>
      </c>
      <c r="AH137" s="36">
        <v>3.915</v>
      </c>
      <c r="AI137" s="39">
        <v>1.33634708931066E-2</v>
      </c>
      <c r="AJ137" s="39">
        <v>1.33634708931066E-2</v>
      </c>
      <c r="AK137" s="39">
        <v>1.33634708931066E-2</v>
      </c>
      <c r="AL137" s="39">
        <v>1.33634708931066E-2</v>
      </c>
      <c r="AM137" s="39">
        <v>1.33634708931066E-2</v>
      </c>
      <c r="AN137" s="39">
        <v>1.33634708931066E-2</v>
      </c>
      <c r="AO137" s="39">
        <v>1.33634708931066E-2</v>
      </c>
      <c r="AP137" s="39">
        <v>1.33634708931066E-2</v>
      </c>
      <c r="AQ137" s="39">
        <v>1.33634708931066E-2</v>
      </c>
      <c r="AR137" s="39">
        <v>1.33634708931066E-2</v>
      </c>
      <c r="AS137" s="39">
        <v>1.33634708931066E-2</v>
      </c>
      <c r="AT137" s="39">
        <v>1.33634708931066E-2</v>
      </c>
      <c r="AU137" s="39">
        <v>1.2392217523121999E-3</v>
      </c>
      <c r="AV137" s="39">
        <v>1.2392217523121999E-3</v>
      </c>
      <c r="AW137" s="39">
        <v>1.2392217523121999E-3</v>
      </c>
      <c r="AX137" s="39">
        <v>1.2392217523121999E-3</v>
      </c>
      <c r="AY137" s="39">
        <v>1.2392217523121999E-3</v>
      </c>
      <c r="AZ137" s="39">
        <v>1.2392217523121999E-3</v>
      </c>
      <c r="BA137" s="39">
        <v>1.2392217523121999E-3</v>
      </c>
      <c r="BB137" s="39">
        <v>1.2392217523121999E-3</v>
      </c>
      <c r="BC137" s="39">
        <v>1.2392217523121999E-3</v>
      </c>
      <c r="BD137" s="39">
        <v>1.2392217523121999E-3</v>
      </c>
      <c r="BE137" s="39">
        <v>1.2392217523121999E-3</v>
      </c>
      <c r="BF137" s="39">
        <v>1.2392217523121999E-3</v>
      </c>
      <c r="BG137" s="1"/>
      <c r="BH137" s="12">
        <f t="shared" si="46"/>
        <v>655.81920000000002</v>
      </c>
      <c r="BI137" s="12">
        <f t="shared" si="47"/>
        <v>655.81920000000002</v>
      </c>
      <c r="BJ137" s="12">
        <f t="shared" si="48"/>
        <v>501.52210000000002</v>
      </c>
      <c r="BK137" s="12">
        <f t="shared" si="49"/>
        <v>385.7912</v>
      </c>
      <c r="BL137" s="12">
        <f t="shared" si="50"/>
        <v>270.06029999999998</v>
      </c>
      <c r="BM137" s="12">
        <f t="shared" si="51"/>
        <v>192.8956</v>
      </c>
      <c r="BN137" s="12">
        <f t="shared" si="52"/>
        <v>192.8956</v>
      </c>
      <c r="BO137" s="12">
        <f t="shared" si="53"/>
        <v>308.62649999999996</v>
      </c>
      <c r="BP137" s="12">
        <f t="shared" si="54"/>
        <v>424.35739999999998</v>
      </c>
      <c r="BQ137" s="12">
        <f t="shared" si="55"/>
        <v>578.68679999999995</v>
      </c>
      <c r="BR137" s="12">
        <f t="shared" si="56"/>
        <v>578.68679999999995</v>
      </c>
      <c r="BS137" s="12">
        <f t="shared" si="57"/>
        <v>501.52210000000002</v>
      </c>
      <c r="BT137" s="1"/>
      <c r="BU137" s="11">
        <f t="shared" si="58"/>
        <v>665.39592620856445</v>
      </c>
      <c r="BV137" s="11">
        <f t="shared" si="59"/>
        <v>665.39592620856445</v>
      </c>
      <c r="BW137" s="11">
        <f t="shared" si="60"/>
        <v>508.845673081185</v>
      </c>
      <c r="BX137" s="11">
        <f t="shared" si="61"/>
        <v>391.4247903189073</v>
      </c>
      <c r="BY137" s="11">
        <f t="shared" si="62"/>
        <v>274.0039075566296</v>
      </c>
      <c r="BZ137" s="11">
        <f t="shared" si="63"/>
        <v>195.71239515945365</v>
      </c>
      <c r="CA137" s="11">
        <f t="shared" si="64"/>
        <v>195.71239515945365</v>
      </c>
      <c r="CB137" s="11">
        <f t="shared" si="65"/>
        <v>313.13327792173129</v>
      </c>
      <c r="CC137" s="11">
        <f t="shared" si="66"/>
        <v>430.55416068400905</v>
      </c>
      <c r="CD137" s="11">
        <f t="shared" si="67"/>
        <v>587.13718547836083</v>
      </c>
      <c r="CE137" s="11">
        <f t="shared" si="68"/>
        <v>587.13718547836083</v>
      </c>
      <c r="CF137" s="11">
        <f t="shared" si="69"/>
        <v>508.845673081185</v>
      </c>
      <c r="CG137" s="11"/>
      <c r="CH137" s="41">
        <v>3.23</v>
      </c>
      <c r="CI137" s="1"/>
      <c r="CJ137" s="53">
        <f t="shared" si="70"/>
        <v>169961</v>
      </c>
      <c r="CK137" s="53">
        <f t="shared" si="71"/>
        <v>169961</v>
      </c>
      <c r="CL137" s="53">
        <f t="shared" si="72"/>
        <v>129973</v>
      </c>
      <c r="CM137" s="53">
        <f t="shared" si="73"/>
        <v>99981</v>
      </c>
      <c r="CN137" s="53">
        <f t="shared" si="74"/>
        <v>69988</v>
      </c>
      <c r="CO137" s="53">
        <f t="shared" si="75"/>
        <v>49990</v>
      </c>
      <c r="CP137" s="53">
        <f t="shared" si="76"/>
        <v>49990</v>
      </c>
      <c r="CQ137" s="53">
        <f t="shared" si="77"/>
        <v>79983</v>
      </c>
      <c r="CR137" s="53">
        <f t="shared" si="78"/>
        <v>109976</v>
      </c>
      <c r="CS137" s="53">
        <f t="shared" si="79"/>
        <v>149971</v>
      </c>
      <c r="CT137" s="53">
        <f t="shared" si="80"/>
        <v>149971</v>
      </c>
      <c r="CU137" s="53">
        <f t="shared" si="81"/>
        <v>129973</v>
      </c>
      <c r="CV137" s="53">
        <f t="shared" si="84"/>
        <v>1359718</v>
      </c>
      <c r="CW137" s="1"/>
      <c r="CX137" s="1"/>
      <c r="CY137" s="1"/>
      <c r="CZ137" s="1"/>
      <c r="DA137" s="1"/>
      <c r="DB137" s="1"/>
      <c r="DC137" s="1"/>
      <c r="DD137" s="1"/>
      <c r="DE137" s="1"/>
      <c r="DF137" s="1"/>
      <c r="DG137" s="1"/>
      <c r="DH137" s="1"/>
      <c r="DI137" s="1"/>
      <c r="DJ137" s="1"/>
      <c r="DK137" s="1"/>
      <c r="DL137" s="1"/>
    </row>
    <row r="138" spans="1:116" ht="15.75" hidden="1" x14ac:dyDescent="0.25">
      <c r="A138" s="17"/>
      <c r="B138" s="17"/>
      <c r="C138" s="17"/>
      <c r="D138" s="17"/>
      <c r="E138" s="17"/>
      <c r="F138" s="32" t="s">
        <v>2954</v>
      </c>
      <c r="G138" s="57">
        <v>0</v>
      </c>
      <c r="H138" s="57">
        <v>0</v>
      </c>
      <c r="I138" s="57">
        <v>0</v>
      </c>
      <c r="J138" s="57">
        <v>0</v>
      </c>
      <c r="K138" s="57">
        <v>0</v>
      </c>
      <c r="L138" s="57">
        <v>0</v>
      </c>
      <c r="M138" s="57">
        <v>0</v>
      </c>
      <c r="N138" s="57">
        <v>0</v>
      </c>
      <c r="O138" s="57">
        <v>0</v>
      </c>
      <c r="P138" s="57">
        <v>0</v>
      </c>
      <c r="Q138" s="57">
        <v>0</v>
      </c>
      <c r="R138" s="57">
        <v>0</v>
      </c>
      <c r="S138" s="11">
        <f t="shared" ref="S138:S169" si="86">SUM(G138:R138)</f>
        <v>0</v>
      </c>
      <c r="T138" s="8">
        <f t="shared" si="85"/>
        <v>0</v>
      </c>
      <c r="U138" s="13" t="s">
        <v>2953</v>
      </c>
      <c r="V138" s="50">
        <f t="shared" si="83"/>
        <v>0</v>
      </c>
      <c r="W138" s="36">
        <v>9.06</v>
      </c>
      <c r="X138" s="36">
        <v>9.06</v>
      </c>
      <c r="Y138" s="36">
        <v>9.06</v>
      </c>
      <c r="Z138" s="36">
        <v>9.06</v>
      </c>
      <c r="AA138" s="36">
        <v>9.06</v>
      </c>
      <c r="AB138" s="36">
        <v>9.06</v>
      </c>
      <c r="AC138" s="36">
        <v>9.06</v>
      </c>
      <c r="AD138" s="36">
        <v>9.06</v>
      </c>
      <c r="AE138" s="36">
        <v>9.06</v>
      </c>
      <c r="AF138" s="36">
        <v>9.06</v>
      </c>
      <c r="AG138" s="36">
        <v>9.06</v>
      </c>
      <c r="AH138" s="36">
        <v>9.06</v>
      </c>
      <c r="AI138" s="39">
        <v>0</v>
      </c>
      <c r="AJ138" s="39">
        <v>0</v>
      </c>
      <c r="AK138" s="39">
        <v>0</v>
      </c>
      <c r="AL138" s="39">
        <v>0</v>
      </c>
      <c r="AM138" s="39">
        <v>0</v>
      </c>
      <c r="AN138" s="39">
        <v>0</v>
      </c>
      <c r="AO138" s="39">
        <v>0</v>
      </c>
      <c r="AP138" s="39">
        <v>0</v>
      </c>
      <c r="AQ138" s="39">
        <v>0</v>
      </c>
      <c r="AR138" s="39">
        <v>0</v>
      </c>
      <c r="AS138" s="39">
        <v>0</v>
      </c>
      <c r="AT138" s="39">
        <v>0</v>
      </c>
      <c r="AU138" s="39">
        <v>0</v>
      </c>
      <c r="AV138" s="39">
        <v>0</v>
      </c>
      <c r="AW138" s="39">
        <v>0</v>
      </c>
      <c r="AX138" s="39">
        <v>0</v>
      </c>
      <c r="AY138" s="39">
        <v>0</v>
      </c>
      <c r="AZ138" s="39">
        <v>0</v>
      </c>
      <c r="BA138" s="39">
        <v>0</v>
      </c>
      <c r="BB138" s="39">
        <v>0</v>
      </c>
      <c r="BC138" s="39">
        <v>0</v>
      </c>
      <c r="BD138" s="39">
        <v>0</v>
      </c>
      <c r="BE138" s="39">
        <v>0</v>
      </c>
      <c r="BF138" s="39">
        <v>0</v>
      </c>
      <c r="BG138" s="1"/>
      <c r="BH138" s="12">
        <f t="shared" si="46"/>
        <v>0</v>
      </c>
      <c r="BI138" s="12">
        <f t="shared" si="47"/>
        <v>0</v>
      </c>
      <c r="BJ138" s="12">
        <f t="shared" si="48"/>
        <v>0</v>
      </c>
      <c r="BK138" s="12">
        <f t="shared" si="49"/>
        <v>0</v>
      </c>
      <c r="BL138" s="12">
        <f t="shared" si="50"/>
        <v>0</v>
      </c>
      <c r="BM138" s="12">
        <f t="shared" si="51"/>
        <v>0</v>
      </c>
      <c r="BN138" s="12">
        <f t="shared" si="52"/>
        <v>0</v>
      </c>
      <c r="BO138" s="12">
        <f t="shared" si="53"/>
        <v>0</v>
      </c>
      <c r="BP138" s="12">
        <f t="shared" si="54"/>
        <v>0</v>
      </c>
      <c r="BQ138" s="12">
        <f t="shared" si="55"/>
        <v>0</v>
      </c>
      <c r="BR138" s="12">
        <f t="shared" si="56"/>
        <v>0</v>
      </c>
      <c r="BS138" s="12">
        <f t="shared" si="57"/>
        <v>0</v>
      </c>
      <c r="BT138" s="1"/>
      <c r="BU138" s="11">
        <f t="shared" si="58"/>
        <v>0</v>
      </c>
      <c r="BV138" s="11">
        <f t="shared" si="59"/>
        <v>0</v>
      </c>
      <c r="BW138" s="11">
        <f t="shared" si="60"/>
        <v>0</v>
      </c>
      <c r="BX138" s="11">
        <f t="shared" si="61"/>
        <v>0</v>
      </c>
      <c r="BY138" s="11">
        <f t="shared" si="62"/>
        <v>0</v>
      </c>
      <c r="BZ138" s="11">
        <f t="shared" si="63"/>
        <v>0</v>
      </c>
      <c r="CA138" s="11">
        <f t="shared" si="64"/>
        <v>0</v>
      </c>
      <c r="CB138" s="11">
        <f t="shared" si="65"/>
        <v>0</v>
      </c>
      <c r="CC138" s="11">
        <f t="shared" si="66"/>
        <v>0</v>
      </c>
      <c r="CD138" s="11">
        <f t="shared" si="67"/>
        <v>0</v>
      </c>
      <c r="CE138" s="11">
        <f t="shared" si="68"/>
        <v>0</v>
      </c>
      <c r="CF138" s="11">
        <f t="shared" si="69"/>
        <v>0</v>
      </c>
      <c r="CG138" s="11"/>
      <c r="CH138" s="41">
        <v>1</v>
      </c>
      <c r="CI138" s="1"/>
      <c r="CJ138" s="53">
        <f t="shared" si="70"/>
        <v>0</v>
      </c>
      <c r="CK138" s="53">
        <f t="shared" si="71"/>
        <v>0</v>
      </c>
      <c r="CL138" s="53">
        <f t="shared" si="72"/>
        <v>0</v>
      </c>
      <c r="CM138" s="53">
        <f t="shared" si="73"/>
        <v>0</v>
      </c>
      <c r="CN138" s="53">
        <f t="shared" si="74"/>
        <v>0</v>
      </c>
      <c r="CO138" s="53">
        <f t="shared" si="75"/>
        <v>0</v>
      </c>
      <c r="CP138" s="53">
        <f t="shared" si="76"/>
        <v>0</v>
      </c>
      <c r="CQ138" s="53">
        <f t="shared" si="77"/>
        <v>0</v>
      </c>
      <c r="CR138" s="53">
        <f t="shared" si="78"/>
        <v>0</v>
      </c>
      <c r="CS138" s="53">
        <f t="shared" si="79"/>
        <v>0</v>
      </c>
      <c r="CT138" s="53">
        <f t="shared" si="80"/>
        <v>0</v>
      </c>
      <c r="CU138" s="53">
        <f t="shared" si="81"/>
        <v>0</v>
      </c>
      <c r="CV138" s="53">
        <f t="shared" si="84"/>
        <v>0</v>
      </c>
      <c r="CW138" s="1"/>
      <c r="CX138" s="1"/>
      <c r="CY138" s="1"/>
      <c r="CZ138" s="1"/>
      <c r="DA138" s="1"/>
      <c r="DB138" s="1"/>
      <c r="DC138" s="1"/>
      <c r="DD138" s="1"/>
      <c r="DE138" s="1"/>
      <c r="DF138" s="1"/>
      <c r="DG138" s="1"/>
      <c r="DH138" s="1"/>
      <c r="DI138" s="1"/>
      <c r="DJ138" s="1"/>
      <c r="DK138" s="1"/>
      <c r="DL138" s="1"/>
    </row>
    <row r="139" spans="1:116" ht="15.75" hidden="1" x14ac:dyDescent="0.25">
      <c r="A139" s="17"/>
      <c r="B139" s="17"/>
      <c r="C139" s="17"/>
      <c r="D139" s="17"/>
      <c r="E139" s="17"/>
      <c r="F139" s="32" t="s">
        <v>2954</v>
      </c>
      <c r="G139" s="57">
        <v>0</v>
      </c>
      <c r="H139" s="57">
        <v>0</v>
      </c>
      <c r="I139" s="57">
        <v>0</v>
      </c>
      <c r="J139" s="57">
        <v>0</v>
      </c>
      <c r="K139" s="57">
        <v>0</v>
      </c>
      <c r="L139" s="57">
        <v>0</v>
      </c>
      <c r="M139" s="57">
        <v>0</v>
      </c>
      <c r="N139" s="57">
        <v>0</v>
      </c>
      <c r="O139" s="57">
        <v>0</v>
      </c>
      <c r="P139" s="57">
        <v>0</v>
      </c>
      <c r="Q139" s="57">
        <v>0</v>
      </c>
      <c r="R139" s="57">
        <v>0</v>
      </c>
      <c r="S139" s="11">
        <f t="shared" si="86"/>
        <v>0</v>
      </c>
      <c r="T139" s="8">
        <f t="shared" si="85"/>
        <v>0</v>
      </c>
      <c r="U139" s="13" t="s">
        <v>2953</v>
      </c>
      <c r="V139" s="50">
        <f t="shared" si="83"/>
        <v>0</v>
      </c>
      <c r="W139" s="36">
        <v>1.69</v>
      </c>
      <c r="X139" s="36">
        <v>1.69</v>
      </c>
      <c r="Y139" s="36">
        <v>1.69</v>
      </c>
      <c r="Z139" s="36">
        <v>1.69</v>
      </c>
      <c r="AA139" s="36">
        <v>1.69</v>
      </c>
      <c r="AB139" s="36">
        <v>1.69</v>
      </c>
      <c r="AC139" s="36">
        <v>1.69</v>
      </c>
      <c r="AD139" s="36">
        <v>1.69</v>
      </c>
      <c r="AE139" s="36">
        <v>1.69</v>
      </c>
      <c r="AF139" s="36">
        <v>1.69</v>
      </c>
      <c r="AG139" s="36">
        <v>1.69</v>
      </c>
      <c r="AH139" s="36">
        <v>1.69</v>
      </c>
      <c r="AI139" s="39">
        <v>0</v>
      </c>
      <c r="AJ139" s="39">
        <v>0</v>
      </c>
      <c r="AK139" s="39">
        <v>0</v>
      </c>
      <c r="AL139" s="39">
        <v>0</v>
      </c>
      <c r="AM139" s="39">
        <v>0</v>
      </c>
      <c r="AN139" s="39">
        <v>0</v>
      </c>
      <c r="AO139" s="39">
        <v>0</v>
      </c>
      <c r="AP139" s="39">
        <v>0</v>
      </c>
      <c r="AQ139" s="39">
        <v>0</v>
      </c>
      <c r="AR139" s="39">
        <v>0</v>
      </c>
      <c r="AS139" s="39">
        <v>0</v>
      </c>
      <c r="AT139" s="39">
        <v>0</v>
      </c>
      <c r="AU139" s="39">
        <v>0</v>
      </c>
      <c r="AV139" s="39">
        <v>0</v>
      </c>
      <c r="AW139" s="39">
        <v>0</v>
      </c>
      <c r="AX139" s="39">
        <v>0</v>
      </c>
      <c r="AY139" s="39">
        <v>0</v>
      </c>
      <c r="AZ139" s="39">
        <v>0</v>
      </c>
      <c r="BA139" s="39">
        <v>0</v>
      </c>
      <c r="BB139" s="39">
        <v>0</v>
      </c>
      <c r="BC139" s="39">
        <v>0</v>
      </c>
      <c r="BD139" s="39">
        <v>0</v>
      </c>
      <c r="BE139" s="39">
        <v>0</v>
      </c>
      <c r="BF139" s="39">
        <v>0</v>
      </c>
      <c r="BG139" s="1"/>
      <c r="BH139" s="12">
        <f t="shared" si="46"/>
        <v>0</v>
      </c>
      <c r="BI139" s="12">
        <f t="shared" si="47"/>
        <v>0</v>
      </c>
      <c r="BJ139" s="12">
        <f t="shared" si="48"/>
        <v>0</v>
      </c>
      <c r="BK139" s="12">
        <f t="shared" si="49"/>
        <v>0</v>
      </c>
      <c r="BL139" s="12">
        <f t="shared" si="50"/>
        <v>0</v>
      </c>
      <c r="BM139" s="12">
        <f t="shared" si="51"/>
        <v>0</v>
      </c>
      <c r="BN139" s="12">
        <f t="shared" si="52"/>
        <v>0</v>
      </c>
      <c r="BO139" s="12">
        <f t="shared" si="53"/>
        <v>0</v>
      </c>
      <c r="BP139" s="12">
        <f t="shared" si="54"/>
        <v>0</v>
      </c>
      <c r="BQ139" s="12">
        <f t="shared" si="55"/>
        <v>0</v>
      </c>
      <c r="BR139" s="12">
        <f t="shared" si="56"/>
        <v>0</v>
      </c>
      <c r="BS139" s="12">
        <f t="shared" si="57"/>
        <v>0</v>
      </c>
      <c r="BT139" s="1"/>
      <c r="BU139" s="11">
        <f t="shared" si="58"/>
        <v>0</v>
      </c>
      <c r="BV139" s="11">
        <f t="shared" si="59"/>
        <v>0</v>
      </c>
      <c r="BW139" s="11">
        <f t="shared" si="60"/>
        <v>0</v>
      </c>
      <c r="BX139" s="11">
        <f t="shared" si="61"/>
        <v>0</v>
      </c>
      <c r="BY139" s="11">
        <f t="shared" si="62"/>
        <v>0</v>
      </c>
      <c r="BZ139" s="11">
        <f t="shared" si="63"/>
        <v>0</v>
      </c>
      <c r="CA139" s="11">
        <f t="shared" si="64"/>
        <v>0</v>
      </c>
      <c r="CB139" s="11">
        <f t="shared" si="65"/>
        <v>0</v>
      </c>
      <c r="CC139" s="11">
        <f t="shared" si="66"/>
        <v>0</v>
      </c>
      <c r="CD139" s="11">
        <f t="shared" si="67"/>
        <v>0</v>
      </c>
      <c r="CE139" s="11">
        <f t="shared" si="68"/>
        <v>0</v>
      </c>
      <c r="CF139" s="11">
        <f t="shared" si="69"/>
        <v>0</v>
      </c>
      <c r="CG139" s="11"/>
      <c r="CH139" s="41">
        <v>1</v>
      </c>
      <c r="CI139" s="1"/>
      <c r="CJ139" s="53">
        <f t="shared" si="70"/>
        <v>0</v>
      </c>
      <c r="CK139" s="53">
        <f t="shared" si="71"/>
        <v>0</v>
      </c>
      <c r="CL139" s="53">
        <f t="shared" si="72"/>
        <v>0</v>
      </c>
      <c r="CM139" s="53">
        <f t="shared" si="73"/>
        <v>0</v>
      </c>
      <c r="CN139" s="53">
        <f t="shared" si="74"/>
        <v>0</v>
      </c>
      <c r="CO139" s="53">
        <f t="shared" si="75"/>
        <v>0</v>
      </c>
      <c r="CP139" s="53">
        <f t="shared" si="76"/>
        <v>0</v>
      </c>
      <c r="CQ139" s="53">
        <f t="shared" si="77"/>
        <v>0</v>
      </c>
      <c r="CR139" s="53">
        <f t="shared" si="78"/>
        <v>0</v>
      </c>
      <c r="CS139" s="53">
        <f t="shared" si="79"/>
        <v>0</v>
      </c>
      <c r="CT139" s="53">
        <f t="shared" si="80"/>
        <v>0</v>
      </c>
      <c r="CU139" s="53">
        <f t="shared" si="81"/>
        <v>0</v>
      </c>
      <c r="CV139" s="53">
        <f t="shared" si="84"/>
        <v>0</v>
      </c>
      <c r="CW139" s="1"/>
      <c r="CX139" s="1"/>
      <c r="CY139" s="1"/>
      <c r="CZ139" s="1"/>
      <c r="DA139" s="1"/>
      <c r="DB139" s="1"/>
      <c r="DC139" s="1"/>
      <c r="DD139" s="1"/>
      <c r="DE139" s="1"/>
      <c r="DF139" s="1"/>
      <c r="DG139" s="1"/>
      <c r="DH139" s="1"/>
      <c r="DI139" s="1"/>
      <c r="DJ139" s="1"/>
      <c r="DK139" s="1"/>
      <c r="DL139" s="1"/>
    </row>
    <row r="140" spans="1:116" ht="15.75" hidden="1" x14ac:dyDescent="0.25">
      <c r="A140" s="17"/>
      <c r="B140" s="17"/>
      <c r="C140" s="17"/>
      <c r="D140" s="17"/>
      <c r="E140" s="17"/>
      <c r="F140" s="32" t="s">
        <v>2954</v>
      </c>
      <c r="G140" s="57">
        <v>0</v>
      </c>
      <c r="H140" s="57">
        <v>0</v>
      </c>
      <c r="I140" s="57">
        <v>0</v>
      </c>
      <c r="J140" s="57">
        <v>0</v>
      </c>
      <c r="K140" s="57">
        <v>0</v>
      </c>
      <c r="L140" s="57">
        <v>0</v>
      </c>
      <c r="M140" s="57">
        <v>0</v>
      </c>
      <c r="N140" s="57">
        <v>0</v>
      </c>
      <c r="O140" s="57">
        <v>0</v>
      </c>
      <c r="P140" s="57">
        <v>0</v>
      </c>
      <c r="Q140" s="57">
        <v>0</v>
      </c>
      <c r="R140" s="57">
        <v>0</v>
      </c>
      <c r="S140" s="11">
        <f t="shared" si="86"/>
        <v>0</v>
      </c>
      <c r="T140" s="8">
        <f t="shared" si="85"/>
        <v>0</v>
      </c>
      <c r="U140" s="13" t="s">
        <v>2953</v>
      </c>
      <c r="V140" s="50">
        <f t="shared" si="83"/>
        <v>0</v>
      </c>
      <c r="W140" s="36">
        <v>1.8400042087542088</v>
      </c>
      <c r="X140" s="36">
        <v>1.8400042087542088</v>
      </c>
      <c r="Y140" s="36">
        <v>1.8400042087542088</v>
      </c>
      <c r="Z140" s="36">
        <v>1.8400042087542088</v>
      </c>
      <c r="AA140" s="36">
        <v>1.8400042087542088</v>
      </c>
      <c r="AB140" s="36">
        <v>1.8400042087542088</v>
      </c>
      <c r="AC140" s="36">
        <v>1.8400042087542088</v>
      </c>
      <c r="AD140" s="36">
        <v>1.8400042087542088</v>
      </c>
      <c r="AE140" s="36">
        <v>1.8400042087542088</v>
      </c>
      <c r="AF140" s="36">
        <v>1.8400042087542088</v>
      </c>
      <c r="AG140" s="36">
        <v>1.8400042087542088</v>
      </c>
      <c r="AH140" s="36">
        <v>1.8400042087542088</v>
      </c>
      <c r="AI140" s="39">
        <v>0</v>
      </c>
      <c r="AJ140" s="39">
        <v>0</v>
      </c>
      <c r="AK140" s="39">
        <v>0</v>
      </c>
      <c r="AL140" s="39">
        <v>0</v>
      </c>
      <c r="AM140" s="39">
        <v>0</v>
      </c>
      <c r="AN140" s="39">
        <v>0</v>
      </c>
      <c r="AO140" s="39">
        <v>0</v>
      </c>
      <c r="AP140" s="39">
        <v>0</v>
      </c>
      <c r="AQ140" s="39">
        <v>0</v>
      </c>
      <c r="AR140" s="39">
        <v>0</v>
      </c>
      <c r="AS140" s="39">
        <v>0</v>
      </c>
      <c r="AT140" s="39">
        <v>0</v>
      </c>
      <c r="AU140" s="39">
        <v>0</v>
      </c>
      <c r="AV140" s="39">
        <v>0</v>
      </c>
      <c r="AW140" s="39">
        <v>0</v>
      </c>
      <c r="AX140" s="39">
        <v>0</v>
      </c>
      <c r="AY140" s="39">
        <v>0</v>
      </c>
      <c r="AZ140" s="39">
        <v>0</v>
      </c>
      <c r="BA140" s="39">
        <v>0</v>
      </c>
      <c r="BB140" s="39">
        <v>0</v>
      </c>
      <c r="BC140" s="39">
        <v>0</v>
      </c>
      <c r="BD140" s="39">
        <v>0</v>
      </c>
      <c r="BE140" s="39">
        <v>0</v>
      </c>
      <c r="BF140" s="39">
        <v>0</v>
      </c>
      <c r="BG140" s="1"/>
      <c r="BH140" s="12">
        <f t="shared" si="46"/>
        <v>0</v>
      </c>
      <c r="BI140" s="12">
        <f t="shared" si="47"/>
        <v>0</v>
      </c>
      <c r="BJ140" s="12">
        <f t="shared" si="48"/>
        <v>0</v>
      </c>
      <c r="BK140" s="12">
        <f t="shared" si="49"/>
        <v>0</v>
      </c>
      <c r="BL140" s="12">
        <f t="shared" si="50"/>
        <v>0</v>
      </c>
      <c r="BM140" s="12">
        <f t="shared" si="51"/>
        <v>0</v>
      </c>
      <c r="BN140" s="12">
        <f t="shared" si="52"/>
        <v>0</v>
      </c>
      <c r="BO140" s="12">
        <f t="shared" si="53"/>
        <v>0</v>
      </c>
      <c r="BP140" s="12">
        <f t="shared" si="54"/>
        <v>0</v>
      </c>
      <c r="BQ140" s="12">
        <f t="shared" si="55"/>
        <v>0</v>
      </c>
      <c r="BR140" s="12">
        <f t="shared" si="56"/>
        <v>0</v>
      </c>
      <c r="BS140" s="12">
        <f t="shared" si="57"/>
        <v>0</v>
      </c>
      <c r="BT140" s="1"/>
      <c r="BU140" s="11">
        <f t="shared" si="58"/>
        <v>0</v>
      </c>
      <c r="BV140" s="11">
        <f t="shared" si="59"/>
        <v>0</v>
      </c>
      <c r="BW140" s="11">
        <f t="shared" si="60"/>
        <v>0</v>
      </c>
      <c r="BX140" s="11">
        <f t="shared" si="61"/>
        <v>0</v>
      </c>
      <c r="BY140" s="11">
        <f t="shared" si="62"/>
        <v>0</v>
      </c>
      <c r="BZ140" s="11">
        <f t="shared" si="63"/>
        <v>0</v>
      </c>
      <c r="CA140" s="11">
        <f t="shared" si="64"/>
        <v>0</v>
      </c>
      <c r="CB140" s="11">
        <f t="shared" si="65"/>
        <v>0</v>
      </c>
      <c r="CC140" s="11">
        <f t="shared" si="66"/>
        <v>0</v>
      </c>
      <c r="CD140" s="11">
        <f t="shared" si="67"/>
        <v>0</v>
      </c>
      <c r="CE140" s="11">
        <f t="shared" si="68"/>
        <v>0</v>
      </c>
      <c r="CF140" s="11">
        <f t="shared" si="69"/>
        <v>0</v>
      </c>
      <c r="CG140" s="11"/>
      <c r="CH140" s="41">
        <v>1</v>
      </c>
      <c r="CI140" s="1"/>
      <c r="CJ140" s="53">
        <f t="shared" si="70"/>
        <v>0</v>
      </c>
      <c r="CK140" s="53">
        <f t="shared" si="71"/>
        <v>0</v>
      </c>
      <c r="CL140" s="53">
        <f t="shared" si="72"/>
        <v>0</v>
      </c>
      <c r="CM140" s="53">
        <f t="shared" si="73"/>
        <v>0</v>
      </c>
      <c r="CN140" s="53">
        <f t="shared" si="74"/>
        <v>0</v>
      </c>
      <c r="CO140" s="53">
        <f t="shared" si="75"/>
        <v>0</v>
      </c>
      <c r="CP140" s="53">
        <f t="shared" si="76"/>
        <v>0</v>
      </c>
      <c r="CQ140" s="53">
        <f t="shared" si="77"/>
        <v>0</v>
      </c>
      <c r="CR140" s="53">
        <f t="shared" si="78"/>
        <v>0</v>
      </c>
      <c r="CS140" s="53">
        <f t="shared" si="79"/>
        <v>0</v>
      </c>
      <c r="CT140" s="53">
        <f t="shared" si="80"/>
        <v>0</v>
      </c>
      <c r="CU140" s="53">
        <f t="shared" si="81"/>
        <v>0</v>
      </c>
      <c r="CV140" s="53">
        <f t="shared" si="84"/>
        <v>0</v>
      </c>
      <c r="CW140" s="1"/>
      <c r="CX140" s="1"/>
      <c r="CY140" s="1"/>
      <c r="CZ140" s="1"/>
      <c r="DA140" s="1"/>
      <c r="DB140" s="1"/>
      <c r="DC140" s="1"/>
      <c r="DD140" s="1"/>
      <c r="DE140" s="1"/>
      <c r="DF140" s="1"/>
      <c r="DG140" s="1"/>
      <c r="DH140" s="1"/>
      <c r="DI140" s="1"/>
      <c r="DJ140" s="1"/>
      <c r="DK140" s="1"/>
      <c r="DL140" s="1"/>
    </row>
    <row r="141" spans="1:116" ht="15.75" hidden="1" x14ac:dyDescent="0.25">
      <c r="A141" s="17"/>
      <c r="B141" s="17"/>
      <c r="C141" s="17"/>
      <c r="D141" s="17"/>
      <c r="E141" s="17"/>
      <c r="F141" s="32" t="s">
        <v>2954</v>
      </c>
      <c r="G141" s="57">
        <v>0</v>
      </c>
      <c r="H141" s="57">
        <v>0</v>
      </c>
      <c r="I141" s="57">
        <v>0</v>
      </c>
      <c r="J141" s="57">
        <v>0</v>
      </c>
      <c r="K141" s="57">
        <v>0</v>
      </c>
      <c r="L141" s="57">
        <v>0</v>
      </c>
      <c r="M141" s="57">
        <v>0</v>
      </c>
      <c r="N141" s="57">
        <v>0</v>
      </c>
      <c r="O141" s="57">
        <v>0</v>
      </c>
      <c r="P141" s="57">
        <v>0</v>
      </c>
      <c r="Q141" s="57">
        <v>0</v>
      </c>
      <c r="R141" s="57">
        <v>0</v>
      </c>
      <c r="S141" s="11">
        <f t="shared" si="86"/>
        <v>0</v>
      </c>
      <c r="T141" s="8">
        <f t="shared" si="85"/>
        <v>0</v>
      </c>
      <c r="U141" s="13" t="s">
        <v>2953</v>
      </c>
      <c r="V141" s="50">
        <f t="shared" si="83"/>
        <v>0</v>
      </c>
      <c r="W141" s="36">
        <v>11.423999999999999</v>
      </c>
      <c r="X141" s="36">
        <v>11.423999999999999</v>
      </c>
      <c r="Y141" s="36">
        <v>11.423999999999999</v>
      </c>
      <c r="Z141" s="36">
        <v>11.423999999999999</v>
      </c>
      <c r="AA141" s="36">
        <v>11.423999999999999</v>
      </c>
      <c r="AB141" s="36">
        <v>11.423999999999999</v>
      </c>
      <c r="AC141" s="36">
        <v>11.423999999999999</v>
      </c>
      <c r="AD141" s="36">
        <v>11.423999999999999</v>
      </c>
      <c r="AE141" s="36">
        <v>11.423999999999999</v>
      </c>
      <c r="AF141" s="36">
        <v>11.423999999999999</v>
      </c>
      <c r="AG141" s="36">
        <v>11.423999999999999</v>
      </c>
      <c r="AH141" s="36">
        <v>11.423999999999999</v>
      </c>
      <c r="AI141" s="39">
        <v>0.22999999999999998</v>
      </c>
      <c r="AJ141" s="39">
        <v>0.22999999999999998</v>
      </c>
      <c r="AK141" s="39">
        <v>0.22999999999999998</v>
      </c>
      <c r="AL141" s="39">
        <v>0.22999999999999998</v>
      </c>
      <c r="AM141" s="39">
        <v>0.22999999999999998</v>
      </c>
      <c r="AN141" s="39">
        <v>0.22999999999999998</v>
      </c>
      <c r="AO141" s="39">
        <v>0.22999999999999998</v>
      </c>
      <c r="AP141" s="39">
        <v>0.22999999999999998</v>
      </c>
      <c r="AQ141" s="39">
        <v>0.22999999999999998</v>
      </c>
      <c r="AR141" s="39">
        <v>0.22999999999999998</v>
      </c>
      <c r="AS141" s="39">
        <v>0.22999999999999998</v>
      </c>
      <c r="AT141" s="39">
        <v>0.22999999999999998</v>
      </c>
      <c r="AU141" s="39">
        <v>0</v>
      </c>
      <c r="AV141" s="39">
        <v>0</v>
      </c>
      <c r="AW141" s="39">
        <v>0</v>
      </c>
      <c r="AX141" s="39">
        <v>0</v>
      </c>
      <c r="AY141" s="39">
        <v>0</v>
      </c>
      <c r="AZ141" s="39">
        <v>0</v>
      </c>
      <c r="BA141" s="39">
        <v>0</v>
      </c>
      <c r="BB141" s="39">
        <v>0</v>
      </c>
      <c r="BC141" s="39">
        <v>0</v>
      </c>
      <c r="BD141" s="39">
        <v>0</v>
      </c>
      <c r="BE141" s="39">
        <v>0</v>
      </c>
      <c r="BF141" s="39">
        <v>0</v>
      </c>
      <c r="BG141" s="1"/>
      <c r="BH141" s="12">
        <f t="shared" si="46"/>
        <v>0</v>
      </c>
      <c r="BI141" s="12">
        <f t="shared" si="47"/>
        <v>0</v>
      </c>
      <c r="BJ141" s="12">
        <f t="shared" si="48"/>
        <v>0</v>
      </c>
      <c r="BK141" s="12">
        <f t="shared" si="49"/>
        <v>0</v>
      </c>
      <c r="BL141" s="12">
        <f t="shared" si="50"/>
        <v>0</v>
      </c>
      <c r="BM141" s="12">
        <f t="shared" si="51"/>
        <v>0</v>
      </c>
      <c r="BN141" s="12">
        <f t="shared" si="52"/>
        <v>0</v>
      </c>
      <c r="BO141" s="12">
        <f t="shared" si="53"/>
        <v>0</v>
      </c>
      <c r="BP141" s="12">
        <f t="shared" si="54"/>
        <v>0</v>
      </c>
      <c r="BQ141" s="12">
        <f t="shared" si="55"/>
        <v>0</v>
      </c>
      <c r="BR141" s="12">
        <f t="shared" si="56"/>
        <v>0</v>
      </c>
      <c r="BS141" s="12">
        <f t="shared" si="57"/>
        <v>0</v>
      </c>
      <c r="BT141" s="1"/>
      <c r="BU141" s="11">
        <f t="shared" si="58"/>
        <v>0</v>
      </c>
      <c r="BV141" s="11">
        <f t="shared" si="59"/>
        <v>0</v>
      </c>
      <c r="BW141" s="11">
        <f t="shared" si="60"/>
        <v>0</v>
      </c>
      <c r="BX141" s="11">
        <f t="shared" si="61"/>
        <v>0</v>
      </c>
      <c r="BY141" s="11">
        <f t="shared" si="62"/>
        <v>0</v>
      </c>
      <c r="BZ141" s="11">
        <f t="shared" si="63"/>
        <v>0</v>
      </c>
      <c r="CA141" s="11">
        <f t="shared" si="64"/>
        <v>0</v>
      </c>
      <c r="CB141" s="11">
        <f t="shared" si="65"/>
        <v>0</v>
      </c>
      <c r="CC141" s="11">
        <f t="shared" si="66"/>
        <v>0</v>
      </c>
      <c r="CD141" s="11">
        <f t="shared" si="67"/>
        <v>0</v>
      </c>
      <c r="CE141" s="11">
        <f t="shared" si="68"/>
        <v>0</v>
      </c>
      <c r="CF141" s="11">
        <f t="shared" si="69"/>
        <v>0</v>
      </c>
      <c r="CG141" s="11"/>
      <c r="CH141" s="41">
        <v>1</v>
      </c>
      <c r="CI141" s="1"/>
      <c r="CJ141" s="53">
        <f t="shared" si="70"/>
        <v>0</v>
      </c>
      <c r="CK141" s="53">
        <f t="shared" si="71"/>
        <v>0</v>
      </c>
      <c r="CL141" s="53">
        <f t="shared" si="72"/>
        <v>0</v>
      </c>
      <c r="CM141" s="53">
        <f t="shared" si="73"/>
        <v>0</v>
      </c>
      <c r="CN141" s="53">
        <f t="shared" si="74"/>
        <v>0</v>
      </c>
      <c r="CO141" s="53">
        <f t="shared" si="75"/>
        <v>0</v>
      </c>
      <c r="CP141" s="53">
        <f t="shared" si="76"/>
        <v>0</v>
      </c>
      <c r="CQ141" s="53">
        <f t="shared" si="77"/>
        <v>0</v>
      </c>
      <c r="CR141" s="53">
        <f t="shared" si="78"/>
        <v>0</v>
      </c>
      <c r="CS141" s="53">
        <f t="shared" si="79"/>
        <v>0</v>
      </c>
      <c r="CT141" s="53">
        <f t="shared" si="80"/>
        <v>0</v>
      </c>
      <c r="CU141" s="53">
        <f t="shared" si="81"/>
        <v>0</v>
      </c>
      <c r="CV141" s="53">
        <f t="shared" si="84"/>
        <v>0</v>
      </c>
      <c r="CW141" s="1"/>
      <c r="CX141" s="1"/>
      <c r="CY141" s="1"/>
      <c r="CZ141" s="1"/>
      <c r="DA141" s="1"/>
      <c r="DB141" s="1"/>
      <c r="DC141" s="1"/>
      <c r="DD141" s="1"/>
      <c r="DE141" s="1"/>
      <c r="DF141" s="1"/>
      <c r="DG141" s="1"/>
      <c r="DH141" s="1"/>
      <c r="DI141" s="1"/>
      <c r="DJ141" s="1"/>
      <c r="DK141" s="1"/>
      <c r="DL141" s="1"/>
    </row>
    <row r="142" spans="1:116" ht="15.75" hidden="1" x14ac:dyDescent="0.25">
      <c r="A142" s="17"/>
      <c r="B142" s="17"/>
      <c r="C142" s="17"/>
      <c r="D142" s="17"/>
      <c r="E142" s="17"/>
      <c r="F142" s="18" t="s">
        <v>31</v>
      </c>
      <c r="G142" s="66">
        <v>33.090000000000003</v>
      </c>
      <c r="H142" s="66">
        <v>33.090000000000003</v>
      </c>
      <c r="I142" s="66">
        <v>27.57</v>
      </c>
      <c r="J142" s="66">
        <v>16.25</v>
      </c>
      <c r="K142" s="66">
        <v>18.28</v>
      </c>
      <c r="L142" s="66">
        <v>27.75</v>
      </c>
      <c r="M142" s="66">
        <v>26.6</v>
      </c>
      <c r="N142" s="66">
        <v>41.32</v>
      </c>
      <c r="O142" s="66">
        <v>41.02</v>
      </c>
      <c r="P142" s="66">
        <v>44.12</v>
      </c>
      <c r="Q142" s="66">
        <v>55.76</v>
      </c>
      <c r="R142" s="66">
        <v>24.78</v>
      </c>
      <c r="S142" s="11">
        <f t="shared" si="86"/>
        <v>389.63</v>
      </c>
      <c r="T142" s="1"/>
      <c r="U142" s="1"/>
      <c r="V142" s="50">
        <f t="shared" si="83"/>
        <v>339056</v>
      </c>
      <c r="W142" s="36">
        <v>3.766</v>
      </c>
      <c r="X142" s="36">
        <v>3.766</v>
      </c>
      <c r="Y142" s="36">
        <v>3.766</v>
      </c>
      <c r="Z142" s="36">
        <v>3.766</v>
      </c>
      <c r="AA142" s="36">
        <v>3.766</v>
      </c>
      <c r="AB142" s="36">
        <v>3.766</v>
      </c>
      <c r="AC142" s="36">
        <v>3.766</v>
      </c>
      <c r="AD142" s="36">
        <v>3.766</v>
      </c>
      <c r="AE142" s="36">
        <v>3.766</v>
      </c>
      <c r="AF142" s="36">
        <v>3.766</v>
      </c>
      <c r="AG142" s="36">
        <v>3.766</v>
      </c>
      <c r="AH142" s="36">
        <v>3.766</v>
      </c>
      <c r="AI142" s="39">
        <v>1.33634708931066E-2</v>
      </c>
      <c r="AJ142" s="39">
        <v>1.33634708931066E-2</v>
      </c>
      <c r="AK142" s="39">
        <v>1.33634708931066E-2</v>
      </c>
      <c r="AL142" s="39">
        <v>1.33634708931066E-2</v>
      </c>
      <c r="AM142" s="39">
        <v>1.33634708931066E-2</v>
      </c>
      <c r="AN142" s="39">
        <v>1.33634708931066E-2</v>
      </c>
      <c r="AO142" s="39">
        <v>1.33634708931066E-2</v>
      </c>
      <c r="AP142" s="39">
        <v>1.33634708931066E-2</v>
      </c>
      <c r="AQ142" s="39">
        <v>1.33634708931066E-2</v>
      </c>
      <c r="AR142" s="39">
        <v>1.33634708931066E-2</v>
      </c>
      <c r="AS142" s="39">
        <v>1.33634708931066E-2</v>
      </c>
      <c r="AT142" s="39">
        <v>1.33634708931066E-2</v>
      </c>
      <c r="AU142" s="39">
        <v>1.2392217523121999E-3</v>
      </c>
      <c r="AV142" s="39">
        <v>1.2392217523121999E-3</v>
      </c>
      <c r="AW142" s="39">
        <v>1.2392217523121999E-3</v>
      </c>
      <c r="AX142" s="39">
        <v>1.2392217523121999E-3</v>
      </c>
      <c r="AY142" s="39">
        <v>1.2392217523121999E-3</v>
      </c>
      <c r="AZ142" s="39">
        <v>1.2392217523121999E-3</v>
      </c>
      <c r="BA142" s="39">
        <v>1.2392217523121999E-3</v>
      </c>
      <c r="BB142" s="39">
        <v>1.2392217523121999E-3</v>
      </c>
      <c r="BC142" s="39">
        <v>1.2392217523121999E-3</v>
      </c>
      <c r="BD142" s="39">
        <v>1.2392217523121999E-3</v>
      </c>
      <c r="BE142" s="39">
        <v>1.2392217523121999E-3</v>
      </c>
      <c r="BF142" s="39">
        <v>1.2392217523121999E-3</v>
      </c>
      <c r="BG142" s="1"/>
      <c r="BH142" s="12">
        <f t="shared" si="46"/>
        <v>106.8807</v>
      </c>
      <c r="BI142" s="12">
        <f t="shared" si="47"/>
        <v>106.8807</v>
      </c>
      <c r="BJ142" s="12">
        <f t="shared" si="48"/>
        <v>89.051100000000005</v>
      </c>
      <c r="BK142" s="12">
        <f t="shared" si="49"/>
        <v>52.487499999999997</v>
      </c>
      <c r="BL142" s="12">
        <f t="shared" si="50"/>
        <v>59.044400000000003</v>
      </c>
      <c r="BM142" s="12">
        <f t="shared" si="51"/>
        <v>89.632499999999993</v>
      </c>
      <c r="BN142" s="12">
        <f t="shared" si="52"/>
        <v>85.918000000000006</v>
      </c>
      <c r="BO142" s="12">
        <f t="shared" si="53"/>
        <v>133.46360000000001</v>
      </c>
      <c r="BP142" s="12">
        <f t="shared" si="54"/>
        <v>132.49460000000002</v>
      </c>
      <c r="BQ142" s="12">
        <f t="shared" si="55"/>
        <v>142.5076</v>
      </c>
      <c r="BR142" s="12">
        <f t="shared" si="56"/>
        <v>180.10479999999998</v>
      </c>
      <c r="BS142" s="12">
        <f t="shared" si="57"/>
        <v>80.039400000000001</v>
      </c>
      <c r="BT142" s="1"/>
      <c r="BU142" s="11">
        <f t="shared" si="58"/>
        <v>108.44144601182722</v>
      </c>
      <c r="BV142" s="11">
        <f t="shared" si="59"/>
        <v>108.44144601182722</v>
      </c>
      <c r="BW142" s="11">
        <f t="shared" si="60"/>
        <v>90.351485843036457</v>
      </c>
      <c r="BX142" s="11">
        <f t="shared" si="61"/>
        <v>53.253958830226416</v>
      </c>
      <c r="BY142" s="11">
        <f t="shared" si="62"/>
        <v>59.906607225633167</v>
      </c>
      <c r="BZ142" s="11">
        <f t="shared" si="63"/>
        <v>90.941375848540488</v>
      </c>
      <c r="CA142" s="11">
        <f t="shared" si="64"/>
        <v>87.1726341467091</v>
      </c>
      <c r="CB142" s="11">
        <f t="shared" si="65"/>
        <v>135.41252793015113</v>
      </c>
      <c r="CC142" s="11">
        <f t="shared" si="66"/>
        <v>134.42937792097771</v>
      </c>
      <c r="CD142" s="11">
        <f t="shared" si="67"/>
        <v>144.58859468243628</v>
      </c>
      <c r="CE142" s="11">
        <f t="shared" si="68"/>
        <v>182.73481503836462</v>
      </c>
      <c r="CF142" s="11">
        <f t="shared" si="69"/>
        <v>81.208190757723727</v>
      </c>
      <c r="CG142" s="11"/>
      <c r="CH142" s="41">
        <v>3.23</v>
      </c>
      <c r="CI142" s="1"/>
      <c r="CJ142" s="53">
        <f t="shared" si="70"/>
        <v>28795</v>
      </c>
      <c r="CK142" s="53">
        <f t="shared" si="71"/>
        <v>28795</v>
      </c>
      <c r="CL142" s="53">
        <f t="shared" si="72"/>
        <v>23991</v>
      </c>
      <c r="CM142" s="53">
        <f t="shared" si="73"/>
        <v>14141</v>
      </c>
      <c r="CN142" s="53">
        <f t="shared" si="74"/>
        <v>15907</v>
      </c>
      <c r="CO142" s="53">
        <f t="shared" si="75"/>
        <v>24148</v>
      </c>
      <c r="CP142" s="53">
        <f t="shared" si="76"/>
        <v>23147</v>
      </c>
      <c r="CQ142" s="53">
        <f t="shared" si="77"/>
        <v>35957</v>
      </c>
      <c r="CR142" s="53">
        <f t="shared" si="78"/>
        <v>35696</v>
      </c>
      <c r="CS142" s="53">
        <f t="shared" si="79"/>
        <v>38393</v>
      </c>
      <c r="CT142" s="53">
        <f t="shared" si="80"/>
        <v>48522</v>
      </c>
      <c r="CU142" s="53">
        <f t="shared" si="81"/>
        <v>21564</v>
      </c>
      <c r="CV142" s="53">
        <f t="shared" si="84"/>
        <v>339056</v>
      </c>
      <c r="CW142" s="1"/>
      <c r="CX142" s="1"/>
      <c r="CY142" s="1"/>
      <c r="CZ142" s="1"/>
      <c r="DA142" s="1"/>
      <c r="DB142" s="1"/>
      <c r="DC142" s="1"/>
      <c r="DD142" s="1"/>
      <c r="DE142" s="1"/>
      <c r="DF142" s="1"/>
      <c r="DG142" s="1"/>
      <c r="DH142" s="1"/>
      <c r="DI142" s="1"/>
      <c r="DJ142" s="1"/>
      <c r="DK142" s="1"/>
      <c r="DL142" s="1"/>
    </row>
    <row r="143" spans="1:116" ht="15.75" hidden="1" x14ac:dyDescent="0.25">
      <c r="A143" s="17"/>
      <c r="B143" s="17"/>
      <c r="C143" s="17"/>
      <c r="D143" s="17"/>
      <c r="E143" s="17"/>
      <c r="F143" s="18" t="s">
        <v>31</v>
      </c>
      <c r="G143" s="66">
        <v>0</v>
      </c>
      <c r="H143" s="66">
        <v>0</v>
      </c>
      <c r="I143" s="66">
        <v>0</v>
      </c>
      <c r="J143" s="66">
        <v>0</v>
      </c>
      <c r="K143" s="66">
        <v>0</v>
      </c>
      <c r="L143" s="66">
        <v>0</v>
      </c>
      <c r="M143" s="66">
        <v>0</v>
      </c>
      <c r="N143" s="66">
        <v>0</v>
      </c>
      <c r="O143" s="66">
        <v>0</v>
      </c>
      <c r="P143" s="66">
        <v>0</v>
      </c>
      <c r="Q143" s="66">
        <v>0</v>
      </c>
      <c r="R143" s="66">
        <v>0</v>
      </c>
      <c r="S143" s="11">
        <f t="shared" si="86"/>
        <v>0</v>
      </c>
      <c r="T143" s="1"/>
      <c r="U143" s="1"/>
      <c r="V143" s="50">
        <f t="shared" si="83"/>
        <v>0</v>
      </c>
      <c r="W143" s="36">
        <v>0.94</v>
      </c>
      <c r="X143" s="36">
        <v>0.94</v>
      </c>
      <c r="Y143" s="36">
        <v>0.94</v>
      </c>
      <c r="Z143" s="36">
        <v>0.94</v>
      </c>
      <c r="AA143" s="36">
        <v>0.94</v>
      </c>
      <c r="AB143" s="36">
        <v>0.94</v>
      </c>
      <c r="AC143" s="36">
        <v>0.94</v>
      </c>
      <c r="AD143" s="36">
        <v>0.94</v>
      </c>
      <c r="AE143" s="36">
        <v>0.94</v>
      </c>
      <c r="AF143" s="36">
        <v>0.94</v>
      </c>
      <c r="AG143" s="36">
        <v>0.94</v>
      </c>
      <c r="AH143" s="36">
        <v>0.94</v>
      </c>
      <c r="AI143" s="39">
        <v>1.33634708931066E-2</v>
      </c>
      <c r="AJ143" s="39">
        <v>1.33634708931066E-2</v>
      </c>
      <c r="AK143" s="39">
        <v>1.33634708931066E-2</v>
      </c>
      <c r="AL143" s="39">
        <v>1.33634708931066E-2</v>
      </c>
      <c r="AM143" s="39">
        <v>1.33634708931066E-2</v>
      </c>
      <c r="AN143" s="39">
        <v>1.33634708931066E-2</v>
      </c>
      <c r="AO143" s="39">
        <v>1.33634708931066E-2</v>
      </c>
      <c r="AP143" s="39">
        <v>1.33634708931066E-2</v>
      </c>
      <c r="AQ143" s="39">
        <v>1.33634708931066E-2</v>
      </c>
      <c r="AR143" s="39">
        <v>1.33634708931066E-2</v>
      </c>
      <c r="AS143" s="39">
        <v>1.33634708931066E-2</v>
      </c>
      <c r="AT143" s="39">
        <v>1.33634708931066E-2</v>
      </c>
      <c r="AU143" s="39">
        <v>1.2392217523121999E-3</v>
      </c>
      <c r="AV143" s="39">
        <v>1.2392217523121999E-3</v>
      </c>
      <c r="AW143" s="39">
        <v>1.2392217523121999E-3</v>
      </c>
      <c r="AX143" s="39">
        <v>1.2392217523121999E-3</v>
      </c>
      <c r="AY143" s="39">
        <v>1.2392217523121999E-3</v>
      </c>
      <c r="AZ143" s="39">
        <v>1.2392217523121999E-3</v>
      </c>
      <c r="BA143" s="39">
        <v>1.2392217523121999E-3</v>
      </c>
      <c r="BB143" s="39">
        <v>1.2392217523121999E-3</v>
      </c>
      <c r="BC143" s="39">
        <v>1.2392217523121999E-3</v>
      </c>
      <c r="BD143" s="39">
        <v>1.2392217523121999E-3</v>
      </c>
      <c r="BE143" s="39">
        <v>1.2392217523121999E-3</v>
      </c>
      <c r="BF143" s="39">
        <v>1.2392217523121999E-3</v>
      </c>
      <c r="BG143" s="1"/>
      <c r="BH143" s="12">
        <f t="shared" si="46"/>
        <v>0</v>
      </c>
      <c r="BI143" s="12">
        <f t="shared" si="47"/>
        <v>0</v>
      </c>
      <c r="BJ143" s="12">
        <f t="shared" si="48"/>
        <v>0</v>
      </c>
      <c r="BK143" s="12">
        <f t="shared" si="49"/>
        <v>0</v>
      </c>
      <c r="BL143" s="12">
        <f t="shared" si="50"/>
        <v>0</v>
      </c>
      <c r="BM143" s="12">
        <f t="shared" si="51"/>
        <v>0</v>
      </c>
      <c r="BN143" s="12">
        <f t="shared" si="52"/>
        <v>0</v>
      </c>
      <c r="BO143" s="12">
        <f t="shared" si="53"/>
        <v>0</v>
      </c>
      <c r="BP143" s="12">
        <f t="shared" si="54"/>
        <v>0</v>
      </c>
      <c r="BQ143" s="12">
        <f t="shared" si="55"/>
        <v>0</v>
      </c>
      <c r="BR143" s="12">
        <f t="shared" si="56"/>
        <v>0</v>
      </c>
      <c r="BS143" s="12">
        <f t="shared" si="57"/>
        <v>0</v>
      </c>
      <c r="BT143" s="1"/>
      <c r="BU143" s="11">
        <f t="shared" si="58"/>
        <v>0</v>
      </c>
      <c r="BV143" s="11">
        <f t="shared" si="59"/>
        <v>0</v>
      </c>
      <c r="BW143" s="11">
        <f t="shared" si="60"/>
        <v>0</v>
      </c>
      <c r="BX143" s="11">
        <f t="shared" si="61"/>
        <v>0</v>
      </c>
      <c r="BY143" s="11">
        <f t="shared" si="62"/>
        <v>0</v>
      </c>
      <c r="BZ143" s="11">
        <f t="shared" si="63"/>
        <v>0</v>
      </c>
      <c r="CA143" s="11">
        <f t="shared" si="64"/>
        <v>0</v>
      </c>
      <c r="CB143" s="11">
        <f t="shared" si="65"/>
        <v>0</v>
      </c>
      <c r="CC143" s="11">
        <f t="shared" si="66"/>
        <v>0</v>
      </c>
      <c r="CD143" s="11">
        <f t="shared" si="67"/>
        <v>0</v>
      </c>
      <c r="CE143" s="11">
        <f t="shared" si="68"/>
        <v>0</v>
      </c>
      <c r="CF143" s="11">
        <f t="shared" si="69"/>
        <v>0</v>
      </c>
      <c r="CG143" s="11"/>
      <c r="CH143" s="41">
        <v>3.23</v>
      </c>
      <c r="CI143" s="1"/>
      <c r="CJ143" s="53">
        <f t="shared" si="70"/>
        <v>0</v>
      </c>
      <c r="CK143" s="53">
        <f t="shared" si="71"/>
        <v>0</v>
      </c>
      <c r="CL143" s="53">
        <f t="shared" si="72"/>
        <v>0</v>
      </c>
      <c r="CM143" s="53">
        <f t="shared" si="73"/>
        <v>0</v>
      </c>
      <c r="CN143" s="53">
        <f t="shared" si="74"/>
        <v>0</v>
      </c>
      <c r="CO143" s="53">
        <f t="shared" si="75"/>
        <v>0</v>
      </c>
      <c r="CP143" s="53">
        <f t="shared" si="76"/>
        <v>0</v>
      </c>
      <c r="CQ143" s="53">
        <f t="shared" si="77"/>
        <v>0</v>
      </c>
      <c r="CR143" s="53">
        <f t="shared" si="78"/>
        <v>0</v>
      </c>
      <c r="CS143" s="53">
        <f t="shared" si="79"/>
        <v>0</v>
      </c>
      <c r="CT143" s="53">
        <f t="shared" si="80"/>
        <v>0</v>
      </c>
      <c r="CU143" s="53">
        <f t="shared" si="81"/>
        <v>0</v>
      </c>
      <c r="CV143" s="53">
        <f t="shared" si="84"/>
        <v>0</v>
      </c>
      <c r="CW143" s="1"/>
      <c r="CX143" s="1"/>
      <c r="CY143" s="1"/>
      <c r="CZ143" s="1"/>
      <c r="DA143" s="1"/>
      <c r="DB143" s="1"/>
      <c r="DC143" s="1"/>
      <c r="DD143" s="1"/>
      <c r="DE143" s="1"/>
      <c r="DF143" s="1"/>
      <c r="DG143" s="1"/>
      <c r="DH143" s="1"/>
      <c r="DI143" s="1"/>
      <c r="DJ143" s="1"/>
      <c r="DK143" s="1"/>
      <c r="DL143" s="1"/>
    </row>
    <row r="144" spans="1:116" ht="15.75" hidden="1" x14ac:dyDescent="0.25">
      <c r="A144" s="17"/>
      <c r="B144" s="17"/>
      <c r="C144" s="17"/>
      <c r="D144" s="17"/>
      <c r="E144" s="17"/>
      <c r="F144" s="18" t="s">
        <v>31</v>
      </c>
      <c r="G144" s="66">
        <v>0</v>
      </c>
      <c r="H144" s="66">
        <v>0</v>
      </c>
      <c r="I144" s="66">
        <v>0</v>
      </c>
      <c r="J144" s="66">
        <v>0</v>
      </c>
      <c r="K144" s="66">
        <v>0</v>
      </c>
      <c r="L144" s="66">
        <v>0</v>
      </c>
      <c r="M144" s="66">
        <v>0</v>
      </c>
      <c r="N144" s="66">
        <v>0</v>
      </c>
      <c r="O144" s="66">
        <v>0</v>
      </c>
      <c r="P144" s="66">
        <v>0</v>
      </c>
      <c r="Q144" s="66">
        <v>0</v>
      </c>
      <c r="R144" s="66">
        <v>0</v>
      </c>
      <c r="S144" s="11">
        <f t="shared" si="86"/>
        <v>0</v>
      </c>
      <c r="T144" s="1"/>
      <c r="U144" s="1"/>
      <c r="V144" s="50">
        <f t="shared" si="83"/>
        <v>0</v>
      </c>
      <c r="W144" s="36">
        <v>1.75</v>
      </c>
      <c r="X144" s="36">
        <v>1.75</v>
      </c>
      <c r="Y144" s="36">
        <v>1.75</v>
      </c>
      <c r="Z144" s="36">
        <v>1.75</v>
      </c>
      <c r="AA144" s="36">
        <v>1.75</v>
      </c>
      <c r="AB144" s="36">
        <v>1.75</v>
      </c>
      <c r="AC144" s="36">
        <v>1.75</v>
      </c>
      <c r="AD144" s="36">
        <v>1.75</v>
      </c>
      <c r="AE144" s="36">
        <v>1.75</v>
      </c>
      <c r="AF144" s="36">
        <v>1.75</v>
      </c>
      <c r="AG144" s="36">
        <v>1.75</v>
      </c>
      <c r="AH144" s="36">
        <v>1.75</v>
      </c>
      <c r="AI144" s="39">
        <v>1.33634708931066E-2</v>
      </c>
      <c r="AJ144" s="39">
        <v>1.33634708931066E-2</v>
      </c>
      <c r="AK144" s="39">
        <v>1.33634708931066E-2</v>
      </c>
      <c r="AL144" s="39">
        <v>1.33634708931066E-2</v>
      </c>
      <c r="AM144" s="39">
        <v>1.33634708931066E-2</v>
      </c>
      <c r="AN144" s="39">
        <v>1.33634708931066E-2</v>
      </c>
      <c r="AO144" s="39">
        <v>1.33634708931066E-2</v>
      </c>
      <c r="AP144" s="39">
        <v>1.33634708931066E-2</v>
      </c>
      <c r="AQ144" s="39">
        <v>1.33634708931066E-2</v>
      </c>
      <c r="AR144" s="39">
        <v>1.33634708931066E-2</v>
      </c>
      <c r="AS144" s="39">
        <v>1.33634708931066E-2</v>
      </c>
      <c r="AT144" s="39">
        <v>1.33634708931066E-2</v>
      </c>
      <c r="AU144" s="39">
        <v>1.2392217523121999E-3</v>
      </c>
      <c r="AV144" s="39">
        <v>1.2392217523121999E-3</v>
      </c>
      <c r="AW144" s="39">
        <v>1.2392217523121999E-3</v>
      </c>
      <c r="AX144" s="39">
        <v>1.2392217523121999E-3</v>
      </c>
      <c r="AY144" s="39">
        <v>1.2392217523121999E-3</v>
      </c>
      <c r="AZ144" s="39">
        <v>1.2392217523121999E-3</v>
      </c>
      <c r="BA144" s="39">
        <v>1.2392217523121999E-3</v>
      </c>
      <c r="BB144" s="39">
        <v>1.2392217523121999E-3</v>
      </c>
      <c r="BC144" s="39">
        <v>1.2392217523121999E-3</v>
      </c>
      <c r="BD144" s="39">
        <v>1.2392217523121999E-3</v>
      </c>
      <c r="BE144" s="39">
        <v>1.2392217523121999E-3</v>
      </c>
      <c r="BF144" s="39">
        <v>1.2392217523121999E-3</v>
      </c>
      <c r="BG144" s="1"/>
      <c r="BH144" s="12">
        <f t="shared" si="46"/>
        <v>0</v>
      </c>
      <c r="BI144" s="12">
        <f t="shared" si="47"/>
        <v>0</v>
      </c>
      <c r="BJ144" s="12">
        <f t="shared" si="48"/>
        <v>0</v>
      </c>
      <c r="BK144" s="12">
        <f t="shared" si="49"/>
        <v>0</v>
      </c>
      <c r="BL144" s="12">
        <f t="shared" si="50"/>
        <v>0</v>
      </c>
      <c r="BM144" s="12">
        <f t="shared" si="51"/>
        <v>0</v>
      </c>
      <c r="BN144" s="12">
        <f t="shared" si="52"/>
        <v>0</v>
      </c>
      <c r="BO144" s="12">
        <f t="shared" si="53"/>
        <v>0</v>
      </c>
      <c r="BP144" s="12">
        <f t="shared" si="54"/>
        <v>0</v>
      </c>
      <c r="BQ144" s="12">
        <f t="shared" si="55"/>
        <v>0</v>
      </c>
      <c r="BR144" s="12">
        <f t="shared" si="56"/>
        <v>0</v>
      </c>
      <c r="BS144" s="12">
        <f t="shared" si="57"/>
        <v>0</v>
      </c>
      <c r="BT144" s="1"/>
      <c r="BU144" s="11">
        <f t="shared" si="58"/>
        <v>0</v>
      </c>
      <c r="BV144" s="11">
        <f t="shared" si="59"/>
        <v>0</v>
      </c>
      <c r="BW144" s="11">
        <f t="shared" si="60"/>
        <v>0</v>
      </c>
      <c r="BX144" s="11">
        <f t="shared" si="61"/>
        <v>0</v>
      </c>
      <c r="BY144" s="11">
        <f t="shared" si="62"/>
        <v>0</v>
      </c>
      <c r="BZ144" s="11">
        <f t="shared" si="63"/>
        <v>0</v>
      </c>
      <c r="CA144" s="11">
        <f t="shared" si="64"/>
        <v>0</v>
      </c>
      <c r="CB144" s="11">
        <f t="shared" si="65"/>
        <v>0</v>
      </c>
      <c r="CC144" s="11">
        <f t="shared" si="66"/>
        <v>0</v>
      </c>
      <c r="CD144" s="11">
        <f t="shared" si="67"/>
        <v>0</v>
      </c>
      <c r="CE144" s="11">
        <f t="shared" si="68"/>
        <v>0</v>
      </c>
      <c r="CF144" s="11">
        <f t="shared" si="69"/>
        <v>0</v>
      </c>
      <c r="CG144" s="11"/>
      <c r="CH144" s="41">
        <v>3.23</v>
      </c>
      <c r="CI144" s="1"/>
      <c r="CJ144" s="53">
        <f t="shared" si="70"/>
        <v>0</v>
      </c>
      <c r="CK144" s="53">
        <f t="shared" si="71"/>
        <v>0</v>
      </c>
      <c r="CL144" s="53">
        <f t="shared" si="72"/>
        <v>0</v>
      </c>
      <c r="CM144" s="53">
        <f t="shared" si="73"/>
        <v>0</v>
      </c>
      <c r="CN144" s="53">
        <f t="shared" si="74"/>
        <v>0</v>
      </c>
      <c r="CO144" s="53">
        <f t="shared" si="75"/>
        <v>0</v>
      </c>
      <c r="CP144" s="53">
        <f t="shared" si="76"/>
        <v>0</v>
      </c>
      <c r="CQ144" s="53">
        <f t="shared" si="77"/>
        <v>0</v>
      </c>
      <c r="CR144" s="53">
        <f t="shared" si="78"/>
        <v>0</v>
      </c>
      <c r="CS144" s="53">
        <f t="shared" si="79"/>
        <v>0</v>
      </c>
      <c r="CT144" s="53">
        <f t="shared" si="80"/>
        <v>0</v>
      </c>
      <c r="CU144" s="53">
        <f t="shared" si="81"/>
        <v>0</v>
      </c>
      <c r="CV144" s="53">
        <f t="shared" si="84"/>
        <v>0</v>
      </c>
      <c r="CW144" s="1"/>
      <c r="CX144" s="1"/>
      <c r="CY144" s="1"/>
      <c r="CZ144" s="1"/>
      <c r="DA144" s="1"/>
      <c r="DB144" s="1"/>
      <c r="DC144" s="1"/>
      <c r="DD144" s="1"/>
      <c r="DE144" s="1"/>
      <c r="DF144" s="1"/>
      <c r="DG144" s="1"/>
      <c r="DH144" s="1"/>
      <c r="DI144" s="1"/>
      <c r="DJ144" s="1"/>
      <c r="DK144" s="1"/>
      <c r="DL144" s="1"/>
    </row>
    <row r="145" spans="1:116" ht="15.75" hidden="1" x14ac:dyDescent="0.25">
      <c r="A145" s="17"/>
      <c r="B145" s="17"/>
      <c r="C145" s="17"/>
      <c r="D145" s="17"/>
      <c r="E145" s="17"/>
      <c r="F145" s="18" t="s">
        <v>31</v>
      </c>
      <c r="G145" s="66">
        <v>0</v>
      </c>
      <c r="H145" s="66">
        <v>0</v>
      </c>
      <c r="I145" s="66">
        <v>0</v>
      </c>
      <c r="J145" s="66">
        <v>0</v>
      </c>
      <c r="K145" s="66">
        <v>0</v>
      </c>
      <c r="L145" s="66">
        <v>0</v>
      </c>
      <c r="M145" s="66">
        <v>0</v>
      </c>
      <c r="N145" s="66">
        <v>0</v>
      </c>
      <c r="O145" s="66">
        <v>0</v>
      </c>
      <c r="P145" s="66">
        <v>0</v>
      </c>
      <c r="Q145" s="66">
        <v>0</v>
      </c>
      <c r="R145" s="66">
        <v>0</v>
      </c>
      <c r="S145" s="11">
        <f t="shared" si="86"/>
        <v>0</v>
      </c>
      <c r="T145" s="1"/>
      <c r="U145" s="1"/>
      <c r="V145" s="50">
        <f t="shared" si="83"/>
        <v>0</v>
      </c>
      <c r="W145" s="36">
        <v>1.82</v>
      </c>
      <c r="X145" s="36">
        <v>1.82</v>
      </c>
      <c r="Y145" s="36">
        <v>2.367</v>
      </c>
      <c r="Z145" s="36">
        <v>2.367</v>
      </c>
      <c r="AA145" s="36">
        <v>2.367</v>
      </c>
      <c r="AB145" s="36">
        <v>2.367</v>
      </c>
      <c r="AC145" s="36">
        <v>2.367</v>
      </c>
      <c r="AD145" s="36">
        <v>2.367</v>
      </c>
      <c r="AE145" s="36">
        <v>2.367</v>
      </c>
      <c r="AF145" s="36">
        <v>2.367</v>
      </c>
      <c r="AG145" s="36">
        <v>2.367</v>
      </c>
      <c r="AH145" s="36">
        <v>2.367</v>
      </c>
      <c r="AI145" s="39">
        <v>1.33634708931066E-2</v>
      </c>
      <c r="AJ145" s="39">
        <v>1.33634708931066E-2</v>
      </c>
      <c r="AK145" s="39">
        <v>1.33634708931066E-2</v>
      </c>
      <c r="AL145" s="39">
        <v>1.33634708931066E-2</v>
      </c>
      <c r="AM145" s="39">
        <v>1.33634708931066E-2</v>
      </c>
      <c r="AN145" s="39">
        <v>1.33634708931066E-2</v>
      </c>
      <c r="AO145" s="39">
        <v>1.33634708931066E-2</v>
      </c>
      <c r="AP145" s="39">
        <v>1.33634708931066E-2</v>
      </c>
      <c r="AQ145" s="39">
        <v>1.33634708931066E-2</v>
      </c>
      <c r="AR145" s="39">
        <v>1.33634708931066E-2</v>
      </c>
      <c r="AS145" s="39">
        <v>1.33634708931066E-2</v>
      </c>
      <c r="AT145" s="39">
        <v>1.33634708931066E-2</v>
      </c>
      <c r="AU145" s="39">
        <v>1.2392217523121999E-3</v>
      </c>
      <c r="AV145" s="39">
        <v>1.2392217523121999E-3</v>
      </c>
      <c r="AW145" s="39">
        <v>1.2392217523121999E-3</v>
      </c>
      <c r="AX145" s="39">
        <v>1.2392217523121999E-3</v>
      </c>
      <c r="AY145" s="39">
        <v>1.2392217523121999E-3</v>
      </c>
      <c r="AZ145" s="39">
        <v>1.2392217523121999E-3</v>
      </c>
      <c r="BA145" s="39">
        <v>1.2392217523121999E-3</v>
      </c>
      <c r="BB145" s="39">
        <v>1.2392217523121999E-3</v>
      </c>
      <c r="BC145" s="39">
        <v>1.2392217523121999E-3</v>
      </c>
      <c r="BD145" s="39">
        <v>1.2392217523121999E-3</v>
      </c>
      <c r="BE145" s="39">
        <v>1.2392217523121999E-3</v>
      </c>
      <c r="BF145" s="39">
        <v>1.2392217523121999E-3</v>
      </c>
      <c r="BG145" s="1"/>
      <c r="BH145" s="12">
        <f t="shared" si="46"/>
        <v>0</v>
      </c>
      <c r="BI145" s="12">
        <f t="shared" si="47"/>
        <v>0</v>
      </c>
      <c r="BJ145" s="12">
        <f t="shared" si="48"/>
        <v>0</v>
      </c>
      <c r="BK145" s="12">
        <f t="shared" si="49"/>
        <v>0</v>
      </c>
      <c r="BL145" s="12">
        <f t="shared" si="50"/>
        <v>0</v>
      </c>
      <c r="BM145" s="12">
        <f t="shared" si="51"/>
        <v>0</v>
      </c>
      <c r="BN145" s="12">
        <f t="shared" si="52"/>
        <v>0</v>
      </c>
      <c r="BO145" s="12">
        <f t="shared" si="53"/>
        <v>0</v>
      </c>
      <c r="BP145" s="12">
        <f t="shared" si="54"/>
        <v>0</v>
      </c>
      <c r="BQ145" s="12">
        <f t="shared" si="55"/>
        <v>0</v>
      </c>
      <c r="BR145" s="12">
        <f t="shared" si="56"/>
        <v>0</v>
      </c>
      <c r="BS145" s="12">
        <f t="shared" si="57"/>
        <v>0</v>
      </c>
      <c r="BT145" s="1"/>
      <c r="BU145" s="11">
        <f t="shared" si="58"/>
        <v>0</v>
      </c>
      <c r="BV145" s="11">
        <f t="shared" si="59"/>
        <v>0</v>
      </c>
      <c r="BW145" s="11">
        <f t="shared" si="60"/>
        <v>0</v>
      </c>
      <c r="BX145" s="11">
        <f t="shared" si="61"/>
        <v>0</v>
      </c>
      <c r="BY145" s="11">
        <f t="shared" si="62"/>
        <v>0</v>
      </c>
      <c r="BZ145" s="11">
        <f t="shared" si="63"/>
        <v>0</v>
      </c>
      <c r="CA145" s="11">
        <f t="shared" si="64"/>
        <v>0</v>
      </c>
      <c r="CB145" s="11">
        <f t="shared" si="65"/>
        <v>0</v>
      </c>
      <c r="CC145" s="11">
        <f t="shared" si="66"/>
        <v>0</v>
      </c>
      <c r="CD145" s="11">
        <f t="shared" si="67"/>
        <v>0</v>
      </c>
      <c r="CE145" s="11">
        <f t="shared" si="68"/>
        <v>0</v>
      </c>
      <c r="CF145" s="11">
        <f t="shared" si="69"/>
        <v>0</v>
      </c>
      <c r="CG145" s="11"/>
      <c r="CH145" s="41">
        <v>3.23</v>
      </c>
      <c r="CI145" s="1"/>
      <c r="CJ145" s="53">
        <f t="shared" si="70"/>
        <v>0</v>
      </c>
      <c r="CK145" s="53">
        <f t="shared" si="71"/>
        <v>0</v>
      </c>
      <c r="CL145" s="53">
        <f t="shared" si="72"/>
        <v>0</v>
      </c>
      <c r="CM145" s="53">
        <f t="shared" si="73"/>
        <v>0</v>
      </c>
      <c r="CN145" s="53">
        <f t="shared" si="74"/>
        <v>0</v>
      </c>
      <c r="CO145" s="53">
        <f t="shared" si="75"/>
        <v>0</v>
      </c>
      <c r="CP145" s="53">
        <f t="shared" si="76"/>
        <v>0</v>
      </c>
      <c r="CQ145" s="53">
        <f t="shared" si="77"/>
        <v>0</v>
      </c>
      <c r="CR145" s="53">
        <f t="shared" si="78"/>
        <v>0</v>
      </c>
      <c r="CS145" s="53">
        <f t="shared" si="79"/>
        <v>0</v>
      </c>
      <c r="CT145" s="53">
        <f t="shared" si="80"/>
        <v>0</v>
      </c>
      <c r="CU145" s="53">
        <f t="shared" si="81"/>
        <v>0</v>
      </c>
      <c r="CV145" s="53">
        <f t="shared" si="84"/>
        <v>0</v>
      </c>
      <c r="CW145" s="1"/>
      <c r="CX145" s="1"/>
      <c r="CY145" s="1"/>
      <c r="CZ145" s="1"/>
      <c r="DA145" s="1"/>
      <c r="DB145" s="1"/>
      <c r="DC145" s="1"/>
      <c r="DD145" s="1"/>
      <c r="DE145" s="1"/>
      <c r="DF145" s="1"/>
      <c r="DG145" s="1"/>
      <c r="DH145" s="1"/>
      <c r="DI145" s="1"/>
      <c r="DJ145" s="1"/>
      <c r="DK145" s="1"/>
      <c r="DL145" s="1"/>
    </row>
    <row r="146" spans="1:116" ht="15.75" hidden="1" x14ac:dyDescent="0.25">
      <c r="A146" s="17"/>
      <c r="B146" s="17"/>
      <c r="C146" s="17"/>
      <c r="D146" s="17"/>
      <c r="E146" s="17"/>
      <c r="F146" s="18" t="s">
        <v>31</v>
      </c>
      <c r="G146" s="66">
        <v>0</v>
      </c>
      <c r="H146" s="66">
        <v>0</v>
      </c>
      <c r="I146" s="66">
        <v>0</v>
      </c>
      <c r="J146" s="66">
        <v>0</v>
      </c>
      <c r="K146" s="66">
        <v>0</v>
      </c>
      <c r="L146" s="66">
        <v>0</v>
      </c>
      <c r="M146" s="66">
        <v>0</v>
      </c>
      <c r="N146" s="66">
        <v>0</v>
      </c>
      <c r="O146" s="66">
        <v>0</v>
      </c>
      <c r="P146" s="66">
        <v>0</v>
      </c>
      <c r="Q146" s="66">
        <v>0</v>
      </c>
      <c r="R146" s="66">
        <v>0</v>
      </c>
      <c r="S146" s="11">
        <f t="shared" si="86"/>
        <v>0</v>
      </c>
      <c r="T146" s="1"/>
      <c r="U146" s="1"/>
      <c r="V146" s="50">
        <f t="shared" si="83"/>
        <v>0</v>
      </c>
      <c r="W146" s="36">
        <v>1.4890000000000001</v>
      </c>
      <c r="X146" s="36">
        <v>1.4890000000000001</v>
      </c>
      <c r="Y146" s="36">
        <v>1.9370000000000001</v>
      </c>
      <c r="Z146" s="36">
        <v>1.9370000000000001</v>
      </c>
      <c r="AA146" s="36">
        <v>1.9370000000000001</v>
      </c>
      <c r="AB146" s="36">
        <v>1.9370000000000001</v>
      </c>
      <c r="AC146" s="36">
        <v>1.9370000000000001</v>
      </c>
      <c r="AD146" s="36">
        <v>1.9370000000000001</v>
      </c>
      <c r="AE146" s="36">
        <v>1.9370000000000001</v>
      </c>
      <c r="AF146" s="36">
        <v>1.9370000000000001</v>
      </c>
      <c r="AG146" s="36">
        <v>1.9370000000000001</v>
      </c>
      <c r="AH146" s="36">
        <v>1.9370000000000001</v>
      </c>
      <c r="AI146" s="39">
        <v>1.33634708931066E-2</v>
      </c>
      <c r="AJ146" s="39">
        <v>1.33634708931066E-2</v>
      </c>
      <c r="AK146" s="39">
        <v>1.33634708931066E-2</v>
      </c>
      <c r="AL146" s="39">
        <v>1.33634708931066E-2</v>
      </c>
      <c r="AM146" s="39">
        <v>1.33634708931066E-2</v>
      </c>
      <c r="AN146" s="39">
        <v>1.33634708931066E-2</v>
      </c>
      <c r="AO146" s="39">
        <v>1.33634708931066E-2</v>
      </c>
      <c r="AP146" s="39">
        <v>1.33634708931066E-2</v>
      </c>
      <c r="AQ146" s="39">
        <v>1.33634708931066E-2</v>
      </c>
      <c r="AR146" s="39">
        <v>1.33634708931066E-2</v>
      </c>
      <c r="AS146" s="39">
        <v>1.33634708931066E-2</v>
      </c>
      <c r="AT146" s="39">
        <v>1.33634708931066E-2</v>
      </c>
      <c r="AU146" s="39">
        <v>1.2392217523121999E-3</v>
      </c>
      <c r="AV146" s="39">
        <v>1.2392217523121999E-3</v>
      </c>
      <c r="AW146" s="39">
        <v>1.2392217523121999E-3</v>
      </c>
      <c r="AX146" s="39">
        <v>1.2392217523121999E-3</v>
      </c>
      <c r="AY146" s="39">
        <v>1.2392217523121999E-3</v>
      </c>
      <c r="AZ146" s="39">
        <v>1.2392217523121999E-3</v>
      </c>
      <c r="BA146" s="39">
        <v>1.2392217523121999E-3</v>
      </c>
      <c r="BB146" s="39">
        <v>1.2392217523121999E-3</v>
      </c>
      <c r="BC146" s="39">
        <v>1.2392217523121999E-3</v>
      </c>
      <c r="BD146" s="39">
        <v>1.2392217523121999E-3</v>
      </c>
      <c r="BE146" s="39">
        <v>1.2392217523121999E-3</v>
      </c>
      <c r="BF146" s="39">
        <v>1.2392217523121999E-3</v>
      </c>
      <c r="BG146" s="1"/>
      <c r="BH146" s="12">
        <f t="shared" ref="BH146:BH209" si="87">G146*$CH146</f>
        <v>0</v>
      </c>
      <c r="BI146" s="12">
        <f t="shared" ref="BI146:BI209" si="88">H146*$CH146</f>
        <v>0</v>
      </c>
      <c r="BJ146" s="12">
        <f t="shared" ref="BJ146:BJ209" si="89">I146*$CH146</f>
        <v>0</v>
      </c>
      <c r="BK146" s="12">
        <f t="shared" ref="BK146:BK209" si="90">J146*$CH146</f>
        <v>0</v>
      </c>
      <c r="BL146" s="12">
        <f t="shared" ref="BL146:BL209" si="91">K146*$CH146</f>
        <v>0</v>
      </c>
      <c r="BM146" s="12">
        <f t="shared" ref="BM146:BM209" si="92">L146*$CH146</f>
        <v>0</v>
      </c>
      <c r="BN146" s="12">
        <f t="shared" ref="BN146:BN209" si="93">M146*$CH146</f>
        <v>0</v>
      </c>
      <c r="BO146" s="12">
        <f t="shared" ref="BO146:BO209" si="94">N146*$CH146</f>
        <v>0</v>
      </c>
      <c r="BP146" s="12">
        <f t="shared" ref="BP146:BP209" si="95">O146*$CH146</f>
        <v>0</v>
      </c>
      <c r="BQ146" s="12">
        <f t="shared" ref="BQ146:BQ209" si="96">P146*$CH146</f>
        <v>0</v>
      </c>
      <c r="BR146" s="12">
        <f t="shared" ref="BR146:BR209" si="97">Q146*$CH146</f>
        <v>0</v>
      </c>
      <c r="BS146" s="12">
        <f t="shared" ref="BS146:BS209" si="98">R146*$CH146</f>
        <v>0</v>
      </c>
      <c r="BT146" s="1"/>
      <c r="BU146" s="11">
        <f t="shared" ref="BU146:BU209" si="99">BH146*(1+(AI146+AU146))</f>
        <v>0</v>
      </c>
      <c r="BV146" s="11">
        <f t="shared" ref="BV146:BV209" si="100">BI146*(1+(AJ146+AV146))</f>
        <v>0</v>
      </c>
      <c r="BW146" s="11">
        <f t="shared" ref="BW146:BW209" si="101">BJ146*(1+(AK146+AW146))</f>
        <v>0</v>
      </c>
      <c r="BX146" s="11">
        <f t="shared" ref="BX146:BX209" si="102">BK146*(1+(AL146+AX146))</f>
        <v>0</v>
      </c>
      <c r="BY146" s="11">
        <f t="shared" ref="BY146:BY209" si="103">BL146*(1+(AM146+AY146))</f>
        <v>0</v>
      </c>
      <c r="BZ146" s="11">
        <f t="shared" ref="BZ146:BZ209" si="104">BM146*(1+(AN146+AZ146))</f>
        <v>0</v>
      </c>
      <c r="CA146" s="11">
        <f t="shared" ref="CA146:CA209" si="105">BN146*(1+(AO146+BA146))</f>
        <v>0</v>
      </c>
      <c r="CB146" s="11">
        <f t="shared" ref="CB146:CB209" si="106">BO146*(1+(AP146+BB146))</f>
        <v>0</v>
      </c>
      <c r="CC146" s="11">
        <f t="shared" ref="CC146:CC209" si="107">BP146*(1+(AQ146+BC146))</f>
        <v>0</v>
      </c>
      <c r="CD146" s="11">
        <f t="shared" ref="CD146:CD209" si="108">BQ146*(1+(AR146+BD146))</f>
        <v>0</v>
      </c>
      <c r="CE146" s="11">
        <f t="shared" ref="CE146:CE209" si="109">BR146*(1+(AS146+BE146))</f>
        <v>0</v>
      </c>
      <c r="CF146" s="11">
        <f t="shared" ref="CF146:CF209" si="110">BS146*(1+(AT146+BF146))</f>
        <v>0</v>
      </c>
      <c r="CG146" s="11"/>
      <c r="CH146" s="41">
        <v>3.23</v>
      </c>
      <c r="CI146" s="1"/>
      <c r="CJ146" s="53">
        <f t="shared" ref="CJ146:CJ209" si="111">IFERROR(ROUND((BU146*1000)/W146,),0)</f>
        <v>0</v>
      </c>
      <c r="CK146" s="53">
        <f t="shared" ref="CK146:CK209" si="112">IFERROR(ROUND((BV146*1000)/X146,),0)</f>
        <v>0</v>
      </c>
      <c r="CL146" s="53">
        <f t="shared" ref="CL146:CL209" si="113">IFERROR(ROUND((BW146*1000)/Y146,),0)</f>
        <v>0</v>
      </c>
      <c r="CM146" s="53">
        <f t="shared" ref="CM146:CM209" si="114">IFERROR(ROUND((BX146*1000)/Z146,),0)</f>
        <v>0</v>
      </c>
      <c r="CN146" s="53">
        <f t="shared" ref="CN146:CN209" si="115">IFERROR(ROUND((BY146*1000)/AA146,),0)</f>
        <v>0</v>
      </c>
      <c r="CO146" s="53">
        <f t="shared" ref="CO146:CO209" si="116">IFERROR(ROUND((BZ146*1000)/AB146,),0)</f>
        <v>0</v>
      </c>
      <c r="CP146" s="53">
        <f t="shared" ref="CP146:CP209" si="117">IFERROR(ROUND((CA146*1000)/AC146,),0)</f>
        <v>0</v>
      </c>
      <c r="CQ146" s="53">
        <f t="shared" ref="CQ146:CQ209" si="118">IFERROR(ROUND((CB146*1000)/AD146,),0)</f>
        <v>0</v>
      </c>
      <c r="CR146" s="53">
        <f t="shared" ref="CR146:CR209" si="119">IFERROR(ROUND((CC146*1000)/AE146,),0)</f>
        <v>0</v>
      </c>
      <c r="CS146" s="53">
        <f t="shared" ref="CS146:CS209" si="120">IFERROR(ROUND((CD146*1000)/AF146,),0)</f>
        <v>0</v>
      </c>
      <c r="CT146" s="53">
        <f t="shared" ref="CT146:CT209" si="121">IFERROR(ROUND((CE146*1000)/AG146,),0)</f>
        <v>0</v>
      </c>
      <c r="CU146" s="53">
        <f t="shared" ref="CU146:CU209" si="122">IFERROR(ROUND((CF146*1000)/AH146,),0)</f>
        <v>0</v>
      </c>
      <c r="CV146" s="53">
        <f t="shared" si="84"/>
        <v>0</v>
      </c>
      <c r="CW146" s="1"/>
      <c r="CX146" s="1"/>
      <c r="CY146" s="1"/>
      <c r="CZ146" s="1"/>
      <c r="DA146" s="1"/>
      <c r="DB146" s="1"/>
      <c r="DC146" s="1"/>
      <c r="DD146" s="1"/>
      <c r="DE146" s="1"/>
      <c r="DF146" s="1"/>
      <c r="DG146" s="1"/>
      <c r="DH146" s="1"/>
      <c r="DI146" s="1"/>
      <c r="DJ146" s="1"/>
      <c r="DK146" s="1"/>
      <c r="DL146" s="1"/>
    </row>
    <row r="147" spans="1:116" ht="15.75" hidden="1" x14ac:dyDescent="0.25">
      <c r="A147" s="17"/>
      <c r="B147" s="17"/>
      <c r="C147" s="17"/>
      <c r="D147" s="17"/>
      <c r="E147" s="17"/>
      <c r="F147" s="18" t="s">
        <v>31</v>
      </c>
      <c r="G147" s="66">
        <v>106.95</v>
      </c>
      <c r="H147" s="66">
        <v>106.95</v>
      </c>
      <c r="I147" s="66">
        <v>142.97999999999999</v>
      </c>
      <c r="J147" s="66">
        <v>85.25</v>
      </c>
      <c r="K147" s="66">
        <v>85.25</v>
      </c>
      <c r="L147" s="66">
        <v>85.25</v>
      </c>
      <c r="M147" s="66">
        <v>85.25</v>
      </c>
      <c r="N147" s="66">
        <v>116.17</v>
      </c>
      <c r="O147" s="66">
        <v>116.17</v>
      </c>
      <c r="P147" s="66">
        <v>98.3</v>
      </c>
      <c r="Q147" s="66">
        <v>98.3</v>
      </c>
      <c r="R147" s="66">
        <v>89.36</v>
      </c>
      <c r="S147" s="11">
        <f t="shared" si="86"/>
        <v>1216.1799999999998</v>
      </c>
      <c r="T147" s="1"/>
      <c r="U147" s="1"/>
      <c r="V147" s="50">
        <f t="shared" si="83"/>
        <v>1587722</v>
      </c>
      <c r="W147" s="36">
        <v>1.9890000000000001</v>
      </c>
      <c r="X147" s="36">
        <v>1.9890000000000001</v>
      </c>
      <c r="Y147" s="36">
        <v>2.6589999999999998</v>
      </c>
      <c r="Z147" s="36">
        <v>2.6589999999999998</v>
      </c>
      <c r="AA147" s="36">
        <v>2.6589999999999998</v>
      </c>
      <c r="AB147" s="36">
        <v>2.6589999999999998</v>
      </c>
      <c r="AC147" s="36">
        <v>2.6589999999999998</v>
      </c>
      <c r="AD147" s="36">
        <v>2.6589999999999998</v>
      </c>
      <c r="AE147" s="36">
        <v>2.6589999999999998</v>
      </c>
      <c r="AF147" s="36">
        <v>2.6589999999999998</v>
      </c>
      <c r="AG147" s="36">
        <v>2.6589999999999998</v>
      </c>
      <c r="AH147" s="36">
        <v>2.6589999999999998</v>
      </c>
      <c r="AI147" s="39">
        <v>1.33634708931066E-2</v>
      </c>
      <c r="AJ147" s="39">
        <v>1.33634708931066E-2</v>
      </c>
      <c r="AK147" s="39">
        <v>1.33634708931066E-2</v>
      </c>
      <c r="AL147" s="39">
        <v>1.33634708931066E-2</v>
      </c>
      <c r="AM147" s="39">
        <v>1.33634708931066E-2</v>
      </c>
      <c r="AN147" s="39">
        <v>1.33634708931066E-2</v>
      </c>
      <c r="AO147" s="39">
        <v>1.33634708931066E-2</v>
      </c>
      <c r="AP147" s="39">
        <v>1.33634708931066E-2</v>
      </c>
      <c r="AQ147" s="39">
        <v>1.33634708931066E-2</v>
      </c>
      <c r="AR147" s="39">
        <v>1.33634708931066E-2</v>
      </c>
      <c r="AS147" s="39">
        <v>1.33634708931066E-2</v>
      </c>
      <c r="AT147" s="39">
        <v>1.33634708931066E-2</v>
      </c>
      <c r="AU147" s="39">
        <v>1.2392217523121999E-3</v>
      </c>
      <c r="AV147" s="39">
        <v>1.2392217523121999E-3</v>
      </c>
      <c r="AW147" s="39">
        <v>1.2392217523121999E-3</v>
      </c>
      <c r="AX147" s="39">
        <v>1.2392217523121999E-3</v>
      </c>
      <c r="AY147" s="39">
        <v>1.2392217523121999E-3</v>
      </c>
      <c r="AZ147" s="39">
        <v>1.2392217523121999E-3</v>
      </c>
      <c r="BA147" s="39">
        <v>1.2392217523121999E-3</v>
      </c>
      <c r="BB147" s="39">
        <v>1.2392217523121999E-3</v>
      </c>
      <c r="BC147" s="39">
        <v>1.2392217523121999E-3</v>
      </c>
      <c r="BD147" s="39">
        <v>1.2392217523121999E-3</v>
      </c>
      <c r="BE147" s="39">
        <v>1.2392217523121999E-3</v>
      </c>
      <c r="BF147" s="39">
        <v>1.2392217523121999E-3</v>
      </c>
      <c r="BG147" s="1"/>
      <c r="BH147" s="12">
        <f t="shared" si="87"/>
        <v>345.44850000000002</v>
      </c>
      <c r="BI147" s="12">
        <f t="shared" si="88"/>
        <v>345.44850000000002</v>
      </c>
      <c r="BJ147" s="12">
        <f t="shared" si="89"/>
        <v>461.82539999999995</v>
      </c>
      <c r="BK147" s="12">
        <f t="shared" si="90"/>
        <v>275.35750000000002</v>
      </c>
      <c r="BL147" s="12">
        <f t="shared" si="91"/>
        <v>275.35750000000002</v>
      </c>
      <c r="BM147" s="12">
        <f t="shared" si="92"/>
        <v>275.35750000000002</v>
      </c>
      <c r="BN147" s="12">
        <f t="shared" si="93"/>
        <v>275.35750000000002</v>
      </c>
      <c r="BO147" s="12">
        <f t="shared" si="94"/>
        <v>375.22910000000002</v>
      </c>
      <c r="BP147" s="12">
        <f t="shared" si="95"/>
        <v>375.22910000000002</v>
      </c>
      <c r="BQ147" s="12">
        <f t="shared" si="96"/>
        <v>317.50900000000001</v>
      </c>
      <c r="BR147" s="12">
        <f t="shared" si="97"/>
        <v>317.50900000000001</v>
      </c>
      <c r="BS147" s="12">
        <f t="shared" si="98"/>
        <v>288.63279999999997</v>
      </c>
      <c r="BT147" s="1"/>
      <c r="BU147" s="11">
        <f t="shared" si="99"/>
        <v>350.49297827032098</v>
      </c>
      <c r="BV147" s="11">
        <f t="shared" si="100"/>
        <v>350.49297827032098</v>
      </c>
      <c r="BW147" s="11">
        <f t="shared" si="101"/>
        <v>468.56929437204752</v>
      </c>
      <c r="BX147" s="11">
        <f t="shared" si="102"/>
        <v>279.37846094011093</v>
      </c>
      <c r="BY147" s="11">
        <f t="shared" si="103"/>
        <v>279.37846094011093</v>
      </c>
      <c r="BZ147" s="11">
        <f t="shared" si="104"/>
        <v>279.37846094011093</v>
      </c>
      <c r="CA147" s="11">
        <f t="shared" si="105"/>
        <v>279.37846094011093</v>
      </c>
      <c r="CB147" s="11">
        <f t="shared" si="106"/>
        <v>380.70845521891715</v>
      </c>
      <c r="CC147" s="11">
        <f t="shared" si="107"/>
        <v>380.70845521891715</v>
      </c>
      <c r="CD147" s="11">
        <f t="shared" si="108"/>
        <v>322.14548633915427</v>
      </c>
      <c r="CE147" s="11">
        <f t="shared" si="109"/>
        <v>322.14548633915427</v>
      </c>
      <c r="CF147" s="11">
        <f t="shared" si="110"/>
        <v>292.84761606578661</v>
      </c>
      <c r="CG147" s="11"/>
      <c r="CH147" s="41">
        <v>3.23</v>
      </c>
      <c r="CI147" s="1"/>
      <c r="CJ147" s="53">
        <f t="shared" si="111"/>
        <v>176216</v>
      </c>
      <c r="CK147" s="53">
        <f t="shared" si="112"/>
        <v>176216</v>
      </c>
      <c r="CL147" s="53">
        <f t="shared" si="113"/>
        <v>176220</v>
      </c>
      <c r="CM147" s="53">
        <f t="shared" si="114"/>
        <v>105069</v>
      </c>
      <c r="CN147" s="53">
        <f t="shared" si="115"/>
        <v>105069</v>
      </c>
      <c r="CO147" s="53">
        <f t="shared" si="116"/>
        <v>105069</v>
      </c>
      <c r="CP147" s="53">
        <f t="shared" si="117"/>
        <v>105069</v>
      </c>
      <c r="CQ147" s="53">
        <f t="shared" si="118"/>
        <v>143177</v>
      </c>
      <c r="CR147" s="53">
        <f t="shared" si="119"/>
        <v>143177</v>
      </c>
      <c r="CS147" s="53">
        <f t="shared" si="120"/>
        <v>121153</v>
      </c>
      <c r="CT147" s="53">
        <f t="shared" si="121"/>
        <v>121153</v>
      </c>
      <c r="CU147" s="53">
        <f t="shared" si="122"/>
        <v>110134</v>
      </c>
      <c r="CV147" s="53">
        <f t="shared" si="84"/>
        <v>1587722</v>
      </c>
      <c r="CW147" s="1"/>
      <c r="CX147" s="1"/>
      <c r="CY147" s="1"/>
      <c r="CZ147" s="1"/>
      <c r="DA147" s="1"/>
      <c r="DB147" s="1"/>
      <c r="DC147" s="1"/>
      <c r="DD147" s="1"/>
      <c r="DE147" s="1"/>
      <c r="DF147" s="1"/>
      <c r="DG147" s="1"/>
      <c r="DH147" s="1"/>
      <c r="DI147" s="1"/>
      <c r="DJ147" s="1"/>
      <c r="DK147" s="1"/>
      <c r="DL147" s="1"/>
    </row>
    <row r="148" spans="1:116" ht="15.75" hidden="1" x14ac:dyDescent="0.25">
      <c r="A148" s="17"/>
      <c r="B148" s="17"/>
      <c r="C148" s="17"/>
      <c r="D148" s="17"/>
      <c r="E148" s="17"/>
      <c r="F148" s="18" t="s">
        <v>31</v>
      </c>
      <c r="G148" s="66">
        <v>147.76</v>
      </c>
      <c r="H148" s="66">
        <v>121.16</v>
      </c>
      <c r="I148" s="66">
        <v>121.16</v>
      </c>
      <c r="J148" s="66">
        <v>74.39</v>
      </c>
      <c r="K148" s="66">
        <v>164.7</v>
      </c>
      <c r="L148" s="66">
        <v>178.75</v>
      </c>
      <c r="M148" s="66">
        <v>56.83</v>
      </c>
      <c r="N148" s="66">
        <v>157.82</v>
      </c>
      <c r="O148" s="66">
        <v>73.849999999999994</v>
      </c>
      <c r="P148" s="66">
        <v>185</v>
      </c>
      <c r="Q148" s="66">
        <v>405.34</v>
      </c>
      <c r="R148" s="66">
        <v>95.13</v>
      </c>
      <c r="S148" s="11">
        <f t="shared" si="86"/>
        <v>1781.8899999999999</v>
      </c>
      <c r="T148" s="1"/>
      <c r="U148" s="1"/>
      <c r="V148" s="50">
        <f t="shared" si="83"/>
        <v>963185</v>
      </c>
      <c r="W148" s="36">
        <v>1.8500010816189674</v>
      </c>
      <c r="X148" s="36">
        <v>1.8500010816189674</v>
      </c>
      <c r="Y148" s="36">
        <v>1.8500010816189674</v>
      </c>
      <c r="Z148" s="36">
        <v>1.8500010816189674</v>
      </c>
      <c r="AA148" s="36">
        <v>1.8500010816189674</v>
      </c>
      <c r="AB148" s="36">
        <v>1.8500010816189674</v>
      </c>
      <c r="AC148" s="36">
        <v>1.8500010816189674</v>
      </c>
      <c r="AD148" s="36">
        <v>1.8500010816189674</v>
      </c>
      <c r="AE148" s="36">
        <v>1.8500010816189674</v>
      </c>
      <c r="AF148" s="36">
        <v>1.8500010816189674</v>
      </c>
      <c r="AG148" s="36">
        <v>1.8500010816189674</v>
      </c>
      <c r="AH148" s="36">
        <v>1.8500010816189674</v>
      </c>
      <c r="AI148" s="39">
        <v>0</v>
      </c>
      <c r="AJ148" s="39">
        <v>0</v>
      </c>
      <c r="AK148" s="39">
        <v>0</v>
      </c>
      <c r="AL148" s="39">
        <v>0</v>
      </c>
      <c r="AM148" s="39">
        <v>0</v>
      </c>
      <c r="AN148" s="39">
        <v>0</v>
      </c>
      <c r="AO148" s="39">
        <v>0</v>
      </c>
      <c r="AP148" s="39">
        <v>0</v>
      </c>
      <c r="AQ148" s="39">
        <v>0</v>
      </c>
      <c r="AR148" s="39">
        <v>0</v>
      </c>
      <c r="AS148" s="39">
        <v>0</v>
      </c>
      <c r="AT148" s="39">
        <v>0</v>
      </c>
      <c r="AU148" s="39">
        <v>0</v>
      </c>
      <c r="AV148" s="39">
        <v>0</v>
      </c>
      <c r="AW148" s="39">
        <v>0</v>
      </c>
      <c r="AX148" s="39">
        <v>0</v>
      </c>
      <c r="AY148" s="39">
        <v>0</v>
      </c>
      <c r="AZ148" s="39">
        <v>0</v>
      </c>
      <c r="BA148" s="39">
        <v>0</v>
      </c>
      <c r="BB148" s="39">
        <v>0</v>
      </c>
      <c r="BC148" s="39">
        <v>0</v>
      </c>
      <c r="BD148" s="39">
        <v>0</v>
      </c>
      <c r="BE148" s="39">
        <v>0</v>
      </c>
      <c r="BF148" s="39">
        <v>0</v>
      </c>
      <c r="BG148" s="1"/>
      <c r="BH148" s="12">
        <f t="shared" si="87"/>
        <v>147.76</v>
      </c>
      <c r="BI148" s="12">
        <f t="shared" si="88"/>
        <v>121.16</v>
      </c>
      <c r="BJ148" s="12">
        <f t="shared" si="89"/>
        <v>121.16</v>
      </c>
      <c r="BK148" s="12">
        <f t="shared" si="90"/>
        <v>74.39</v>
      </c>
      <c r="BL148" s="12">
        <f t="shared" si="91"/>
        <v>164.7</v>
      </c>
      <c r="BM148" s="12">
        <f t="shared" si="92"/>
        <v>178.75</v>
      </c>
      <c r="BN148" s="12">
        <f t="shared" si="93"/>
        <v>56.83</v>
      </c>
      <c r="BO148" s="12">
        <f t="shared" si="94"/>
        <v>157.82</v>
      </c>
      <c r="BP148" s="12">
        <f t="shared" si="95"/>
        <v>73.849999999999994</v>
      </c>
      <c r="BQ148" s="12">
        <f t="shared" si="96"/>
        <v>185</v>
      </c>
      <c r="BR148" s="12">
        <f t="shared" si="97"/>
        <v>405.34</v>
      </c>
      <c r="BS148" s="12">
        <f t="shared" si="98"/>
        <v>95.13</v>
      </c>
      <c r="BT148" s="1"/>
      <c r="BU148" s="11">
        <f t="shared" si="99"/>
        <v>147.76</v>
      </c>
      <c r="BV148" s="11">
        <f t="shared" si="100"/>
        <v>121.16</v>
      </c>
      <c r="BW148" s="11">
        <f t="shared" si="101"/>
        <v>121.16</v>
      </c>
      <c r="BX148" s="11">
        <f t="shared" si="102"/>
        <v>74.39</v>
      </c>
      <c r="BY148" s="11">
        <f t="shared" si="103"/>
        <v>164.7</v>
      </c>
      <c r="BZ148" s="11">
        <f t="shared" si="104"/>
        <v>178.75</v>
      </c>
      <c r="CA148" s="11">
        <f t="shared" si="105"/>
        <v>56.83</v>
      </c>
      <c r="CB148" s="11">
        <f t="shared" si="106"/>
        <v>157.82</v>
      </c>
      <c r="CC148" s="11">
        <f t="shared" si="107"/>
        <v>73.849999999999994</v>
      </c>
      <c r="CD148" s="11">
        <f t="shared" si="108"/>
        <v>185</v>
      </c>
      <c r="CE148" s="11">
        <f t="shared" si="109"/>
        <v>405.34</v>
      </c>
      <c r="CF148" s="11">
        <f t="shared" si="110"/>
        <v>95.13</v>
      </c>
      <c r="CG148" s="11"/>
      <c r="CH148" s="41">
        <v>1</v>
      </c>
      <c r="CI148" s="1"/>
      <c r="CJ148" s="53">
        <f t="shared" si="111"/>
        <v>79870</v>
      </c>
      <c r="CK148" s="53">
        <f t="shared" si="112"/>
        <v>65492</v>
      </c>
      <c r="CL148" s="53">
        <f t="shared" si="113"/>
        <v>65492</v>
      </c>
      <c r="CM148" s="53">
        <f t="shared" si="114"/>
        <v>40211</v>
      </c>
      <c r="CN148" s="53">
        <f t="shared" si="115"/>
        <v>89027</v>
      </c>
      <c r="CO148" s="53">
        <f t="shared" si="116"/>
        <v>96622</v>
      </c>
      <c r="CP148" s="53">
        <f t="shared" si="117"/>
        <v>30719</v>
      </c>
      <c r="CQ148" s="53">
        <f t="shared" si="118"/>
        <v>85308</v>
      </c>
      <c r="CR148" s="53">
        <f t="shared" si="119"/>
        <v>39919</v>
      </c>
      <c r="CS148" s="53">
        <f t="shared" si="120"/>
        <v>100000</v>
      </c>
      <c r="CT148" s="53">
        <f t="shared" si="121"/>
        <v>219103</v>
      </c>
      <c r="CU148" s="53">
        <f t="shared" si="122"/>
        <v>51422</v>
      </c>
      <c r="CV148" s="53">
        <f t="shared" si="84"/>
        <v>963185</v>
      </c>
      <c r="CW148" s="1"/>
      <c r="CX148" s="1"/>
      <c r="CY148" s="1"/>
      <c r="CZ148" s="1"/>
      <c r="DA148" s="1"/>
      <c r="DB148" s="1"/>
      <c r="DC148" s="1"/>
      <c r="DD148" s="1"/>
      <c r="DE148" s="1"/>
      <c r="DF148" s="1"/>
      <c r="DG148" s="1"/>
      <c r="DH148" s="1"/>
      <c r="DI148" s="1"/>
      <c r="DJ148" s="1"/>
      <c r="DK148" s="1"/>
      <c r="DL148" s="1"/>
    </row>
    <row r="149" spans="1:116" ht="15.75" hidden="1" x14ac:dyDescent="0.25">
      <c r="A149" s="17"/>
      <c r="B149" s="17"/>
      <c r="C149" s="17"/>
      <c r="D149" s="17"/>
      <c r="E149" s="17"/>
      <c r="F149" s="18" t="s">
        <v>31</v>
      </c>
      <c r="G149" s="66">
        <v>25.36</v>
      </c>
      <c r="H149" s="66">
        <v>25.36</v>
      </c>
      <c r="I149" s="66">
        <v>25.36</v>
      </c>
      <c r="J149" s="66">
        <v>25.36</v>
      </c>
      <c r="K149" s="66">
        <v>25.36</v>
      </c>
      <c r="L149" s="66">
        <v>25.36</v>
      </c>
      <c r="M149" s="66">
        <v>25.36</v>
      </c>
      <c r="N149" s="66">
        <v>25.36</v>
      </c>
      <c r="O149" s="66">
        <v>31.7</v>
      </c>
      <c r="P149" s="66">
        <v>31.7</v>
      </c>
      <c r="Q149" s="66">
        <v>31.7</v>
      </c>
      <c r="R149" s="66">
        <v>31.7</v>
      </c>
      <c r="S149" s="11">
        <f t="shared" si="86"/>
        <v>329.67999999999995</v>
      </c>
      <c r="T149" s="1"/>
      <c r="U149" s="1"/>
      <c r="V149" s="50">
        <f t="shared" si="83"/>
        <v>104000</v>
      </c>
      <c r="W149" s="36">
        <v>3.17</v>
      </c>
      <c r="X149" s="36">
        <v>3.17</v>
      </c>
      <c r="Y149" s="36">
        <v>3.17</v>
      </c>
      <c r="Z149" s="36">
        <v>3.17</v>
      </c>
      <c r="AA149" s="36">
        <v>3.17</v>
      </c>
      <c r="AB149" s="36">
        <v>3.17</v>
      </c>
      <c r="AC149" s="36">
        <v>3.17</v>
      </c>
      <c r="AD149" s="36">
        <v>3.17</v>
      </c>
      <c r="AE149" s="36">
        <v>3.17</v>
      </c>
      <c r="AF149" s="36">
        <v>3.17</v>
      </c>
      <c r="AG149" s="36">
        <v>3.17</v>
      </c>
      <c r="AH149" s="36">
        <v>3.17</v>
      </c>
      <c r="AI149" s="39">
        <v>0</v>
      </c>
      <c r="AJ149" s="39">
        <v>0</v>
      </c>
      <c r="AK149" s="39">
        <v>0</v>
      </c>
      <c r="AL149" s="39">
        <v>0</v>
      </c>
      <c r="AM149" s="39">
        <v>0</v>
      </c>
      <c r="AN149" s="39">
        <v>0</v>
      </c>
      <c r="AO149" s="39">
        <v>0</v>
      </c>
      <c r="AP149" s="39">
        <v>0</v>
      </c>
      <c r="AQ149" s="39">
        <v>0</v>
      </c>
      <c r="AR149" s="39">
        <v>0</v>
      </c>
      <c r="AS149" s="39">
        <v>0</v>
      </c>
      <c r="AT149" s="39">
        <v>0</v>
      </c>
      <c r="AU149" s="39">
        <v>0</v>
      </c>
      <c r="AV149" s="39">
        <v>0</v>
      </c>
      <c r="AW149" s="39">
        <v>0</v>
      </c>
      <c r="AX149" s="39">
        <v>0</v>
      </c>
      <c r="AY149" s="39">
        <v>0</v>
      </c>
      <c r="AZ149" s="39">
        <v>0</v>
      </c>
      <c r="BA149" s="39">
        <v>0</v>
      </c>
      <c r="BB149" s="39">
        <v>0</v>
      </c>
      <c r="BC149" s="39">
        <v>0</v>
      </c>
      <c r="BD149" s="39">
        <v>0</v>
      </c>
      <c r="BE149" s="39">
        <v>0</v>
      </c>
      <c r="BF149" s="39">
        <v>0</v>
      </c>
      <c r="BG149" s="1"/>
      <c r="BH149" s="12">
        <f t="shared" si="87"/>
        <v>25.36</v>
      </c>
      <c r="BI149" s="12">
        <f t="shared" si="88"/>
        <v>25.36</v>
      </c>
      <c r="BJ149" s="12">
        <f t="shared" si="89"/>
        <v>25.36</v>
      </c>
      <c r="BK149" s="12">
        <f t="shared" si="90"/>
        <v>25.36</v>
      </c>
      <c r="BL149" s="12">
        <f t="shared" si="91"/>
        <v>25.36</v>
      </c>
      <c r="BM149" s="12">
        <f t="shared" si="92"/>
        <v>25.36</v>
      </c>
      <c r="BN149" s="12">
        <f t="shared" si="93"/>
        <v>25.36</v>
      </c>
      <c r="BO149" s="12">
        <f t="shared" si="94"/>
        <v>25.36</v>
      </c>
      <c r="BP149" s="12">
        <f t="shared" si="95"/>
        <v>31.7</v>
      </c>
      <c r="BQ149" s="12">
        <f t="shared" si="96"/>
        <v>31.7</v>
      </c>
      <c r="BR149" s="12">
        <f t="shared" si="97"/>
        <v>31.7</v>
      </c>
      <c r="BS149" s="12">
        <f t="shared" si="98"/>
        <v>31.7</v>
      </c>
      <c r="BT149" s="1"/>
      <c r="BU149" s="11">
        <f t="shared" si="99"/>
        <v>25.36</v>
      </c>
      <c r="BV149" s="11">
        <f t="shared" si="100"/>
        <v>25.36</v>
      </c>
      <c r="BW149" s="11">
        <f t="shared" si="101"/>
        <v>25.36</v>
      </c>
      <c r="BX149" s="11">
        <f t="shared" si="102"/>
        <v>25.36</v>
      </c>
      <c r="BY149" s="11">
        <f t="shared" si="103"/>
        <v>25.36</v>
      </c>
      <c r="BZ149" s="11">
        <f t="shared" si="104"/>
        <v>25.36</v>
      </c>
      <c r="CA149" s="11">
        <f t="shared" si="105"/>
        <v>25.36</v>
      </c>
      <c r="CB149" s="11">
        <f t="shared" si="106"/>
        <v>25.36</v>
      </c>
      <c r="CC149" s="11">
        <f t="shared" si="107"/>
        <v>31.7</v>
      </c>
      <c r="CD149" s="11">
        <f t="shared" si="108"/>
        <v>31.7</v>
      </c>
      <c r="CE149" s="11">
        <f t="shared" si="109"/>
        <v>31.7</v>
      </c>
      <c r="CF149" s="11">
        <f t="shared" si="110"/>
        <v>31.7</v>
      </c>
      <c r="CG149" s="11"/>
      <c r="CH149" s="41">
        <v>1</v>
      </c>
      <c r="CI149" s="1"/>
      <c r="CJ149" s="53">
        <f t="shared" si="111"/>
        <v>8000</v>
      </c>
      <c r="CK149" s="53">
        <f t="shared" si="112"/>
        <v>8000</v>
      </c>
      <c r="CL149" s="53">
        <f t="shared" si="113"/>
        <v>8000</v>
      </c>
      <c r="CM149" s="53">
        <f t="shared" si="114"/>
        <v>8000</v>
      </c>
      <c r="CN149" s="53">
        <f t="shared" si="115"/>
        <v>8000</v>
      </c>
      <c r="CO149" s="53">
        <f t="shared" si="116"/>
        <v>8000</v>
      </c>
      <c r="CP149" s="53">
        <f t="shared" si="117"/>
        <v>8000</v>
      </c>
      <c r="CQ149" s="53">
        <f t="shared" si="118"/>
        <v>8000</v>
      </c>
      <c r="CR149" s="53">
        <f t="shared" si="119"/>
        <v>10000</v>
      </c>
      <c r="CS149" s="53">
        <f t="shared" si="120"/>
        <v>10000</v>
      </c>
      <c r="CT149" s="53">
        <f t="shared" si="121"/>
        <v>10000</v>
      </c>
      <c r="CU149" s="53">
        <f t="shared" si="122"/>
        <v>10000</v>
      </c>
      <c r="CV149" s="53">
        <f t="shared" si="84"/>
        <v>104000</v>
      </c>
      <c r="CW149" s="1"/>
      <c r="CX149" s="1"/>
      <c r="CY149" s="1"/>
      <c r="CZ149" s="1"/>
      <c r="DA149" s="1"/>
      <c r="DB149" s="1"/>
      <c r="DC149" s="1"/>
      <c r="DD149" s="1"/>
      <c r="DE149" s="1"/>
      <c r="DF149" s="1"/>
      <c r="DG149" s="1"/>
      <c r="DH149" s="1"/>
      <c r="DI149" s="1"/>
      <c r="DJ149" s="1"/>
      <c r="DK149" s="1"/>
      <c r="DL149" s="1"/>
    </row>
    <row r="150" spans="1:116" ht="15.75" hidden="1" x14ac:dyDescent="0.25">
      <c r="A150" s="17"/>
      <c r="B150" s="17"/>
      <c r="C150" s="17"/>
      <c r="D150" s="17"/>
      <c r="E150" s="17"/>
      <c r="F150" s="18" t="s">
        <v>31</v>
      </c>
      <c r="G150" s="66">
        <v>0</v>
      </c>
      <c r="H150" s="66">
        <v>0</v>
      </c>
      <c r="I150" s="66">
        <v>0</v>
      </c>
      <c r="J150" s="66">
        <v>0</v>
      </c>
      <c r="K150" s="66">
        <v>0</v>
      </c>
      <c r="L150" s="66">
        <v>0</v>
      </c>
      <c r="M150" s="66">
        <v>0</v>
      </c>
      <c r="N150" s="66">
        <v>0</v>
      </c>
      <c r="O150" s="66">
        <v>0</v>
      </c>
      <c r="P150" s="66">
        <v>0</v>
      </c>
      <c r="Q150" s="66">
        <v>0</v>
      </c>
      <c r="R150" s="66">
        <v>0</v>
      </c>
      <c r="S150" s="11">
        <f t="shared" si="86"/>
        <v>0</v>
      </c>
      <c r="T150" s="1"/>
      <c r="U150" s="1"/>
      <c r="V150" s="50">
        <f t="shared" si="83"/>
        <v>0</v>
      </c>
      <c r="W150" s="36">
        <v>3.149</v>
      </c>
      <c r="X150" s="36">
        <v>3.149</v>
      </c>
      <c r="Y150" s="36">
        <v>3.149</v>
      </c>
      <c r="Z150" s="36">
        <v>3.149</v>
      </c>
      <c r="AA150" s="36">
        <v>3.149</v>
      </c>
      <c r="AB150" s="36">
        <v>3.149</v>
      </c>
      <c r="AC150" s="36">
        <v>3.149</v>
      </c>
      <c r="AD150" s="36">
        <v>3.149</v>
      </c>
      <c r="AE150" s="36">
        <v>3.149</v>
      </c>
      <c r="AF150" s="36">
        <v>3.149</v>
      </c>
      <c r="AG150" s="36">
        <v>3.149</v>
      </c>
      <c r="AH150" s="36">
        <v>3.149</v>
      </c>
      <c r="AI150" s="39">
        <v>1.33634708931066E-2</v>
      </c>
      <c r="AJ150" s="39">
        <v>1.33634708931066E-2</v>
      </c>
      <c r="AK150" s="39">
        <v>1.33634708931066E-2</v>
      </c>
      <c r="AL150" s="39">
        <v>1.33634708931066E-2</v>
      </c>
      <c r="AM150" s="39">
        <v>1.33634708931066E-2</v>
      </c>
      <c r="AN150" s="39">
        <v>1.33634708931066E-2</v>
      </c>
      <c r="AO150" s="39">
        <v>1.33634708931066E-2</v>
      </c>
      <c r="AP150" s="39">
        <v>1.33634708931066E-2</v>
      </c>
      <c r="AQ150" s="39">
        <v>1.33634708931066E-2</v>
      </c>
      <c r="AR150" s="39">
        <v>1.33634708931066E-2</v>
      </c>
      <c r="AS150" s="39">
        <v>1.33634708931066E-2</v>
      </c>
      <c r="AT150" s="39">
        <v>1.33634708931066E-2</v>
      </c>
      <c r="AU150" s="39">
        <v>1.2392217523121999E-3</v>
      </c>
      <c r="AV150" s="39">
        <v>1.2392217523121999E-3</v>
      </c>
      <c r="AW150" s="39">
        <v>1.2392217523121999E-3</v>
      </c>
      <c r="AX150" s="39">
        <v>1.2392217523121999E-3</v>
      </c>
      <c r="AY150" s="39">
        <v>1.2392217523121999E-3</v>
      </c>
      <c r="AZ150" s="39">
        <v>1.2392217523121999E-3</v>
      </c>
      <c r="BA150" s="39">
        <v>1.2392217523121999E-3</v>
      </c>
      <c r="BB150" s="39">
        <v>1.2392217523121999E-3</v>
      </c>
      <c r="BC150" s="39">
        <v>1.2392217523121999E-3</v>
      </c>
      <c r="BD150" s="39">
        <v>1.2392217523121999E-3</v>
      </c>
      <c r="BE150" s="39">
        <v>1.2392217523121999E-3</v>
      </c>
      <c r="BF150" s="39">
        <v>1.2392217523121999E-3</v>
      </c>
      <c r="BG150" s="1"/>
      <c r="BH150" s="12">
        <f t="shared" si="87"/>
        <v>0</v>
      </c>
      <c r="BI150" s="12">
        <f t="shared" si="88"/>
        <v>0</v>
      </c>
      <c r="BJ150" s="12">
        <f t="shared" si="89"/>
        <v>0</v>
      </c>
      <c r="BK150" s="12">
        <f t="shared" si="90"/>
        <v>0</v>
      </c>
      <c r="BL150" s="12">
        <f t="shared" si="91"/>
        <v>0</v>
      </c>
      <c r="BM150" s="12">
        <f t="shared" si="92"/>
        <v>0</v>
      </c>
      <c r="BN150" s="12">
        <f t="shared" si="93"/>
        <v>0</v>
      </c>
      <c r="BO150" s="12">
        <f t="shared" si="94"/>
        <v>0</v>
      </c>
      <c r="BP150" s="12">
        <f t="shared" si="95"/>
        <v>0</v>
      </c>
      <c r="BQ150" s="12">
        <f t="shared" si="96"/>
        <v>0</v>
      </c>
      <c r="BR150" s="12">
        <f t="shared" si="97"/>
        <v>0</v>
      </c>
      <c r="BS150" s="12">
        <f t="shared" si="98"/>
        <v>0</v>
      </c>
      <c r="BT150" s="1"/>
      <c r="BU150" s="11">
        <f t="shared" si="99"/>
        <v>0</v>
      </c>
      <c r="BV150" s="11">
        <f t="shared" si="100"/>
        <v>0</v>
      </c>
      <c r="BW150" s="11">
        <f t="shared" si="101"/>
        <v>0</v>
      </c>
      <c r="BX150" s="11">
        <f t="shared" si="102"/>
        <v>0</v>
      </c>
      <c r="BY150" s="11">
        <f t="shared" si="103"/>
        <v>0</v>
      </c>
      <c r="BZ150" s="11">
        <f t="shared" si="104"/>
        <v>0</v>
      </c>
      <c r="CA150" s="11">
        <f t="shared" si="105"/>
        <v>0</v>
      </c>
      <c r="CB150" s="11">
        <f t="shared" si="106"/>
        <v>0</v>
      </c>
      <c r="CC150" s="11">
        <f t="shared" si="107"/>
        <v>0</v>
      </c>
      <c r="CD150" s="11">
        <f t="shared" si="108"/>
        <v>0</v>
      </c>
      <c r="CE150" s="11">
        <f t="shared" si="109"/>
        <v>0</v>
      </c>
      <c r="CF150" s="11">
        <f t="shared" si="110"/>
        <v>0</v>
      </c>
      <c r="CG150" s="11"/>
      <c r="CH150" s="41">
        <v>3.23</v>
      </c>
      <c r="CI150" s="1"/>
      <c r="CJ150" s="53">
        <f t="shared" si="111"/>
        <v>0</v>
      </c>
      <c r="CK150" s="53">
        <f t="shared" si="112"/>
        <v>0</v>
      </c>
      <c r="CL150" s="53">
        <f t="shared" si="113"/>
        <v>0</v>
      </c>
      <c r="CM150" s="53">
        <f t="shared" si="114"/>
        <v>0</v>
      </c>
      <c r="CN150" s="53">
        <f t="shared" si="115"/>
        <v>0</v>
      </c>
      <c r="CO150" s="53">
        <f t="shared" si="116"/>
        <v>0</v>
      </c>
      <c r="CP150" s="53">
        <f t="shared" si="117"/>
        <v>0</v>
      </c>
      <c r="CQ150" s="53">
        <f t="shared" si="118"/>
        <v>0</v>
      </c>
      <c r="CR150" s="53">
        <f t="shared" si="119"/>
        <v>0</v>
      </c>
      <c r="CS150" s="53">
        <f t="shared" si="120"/>
        <v>0</v>
      </c>
      <c r="CT150" s="53">
        <f t="shared" si="121"/>
        <v>0</v>
      </c>
      <c r="CU150" s="53">
        <f t="shared" si="122"/>
        <v>0</v>
      </c>
      <c r="CV150" s="53">
        <f t="shared" si="84"/>
        <v>0</v>
      </c>
      <c r="CW150" s="1"/>
      <c r="CX150" s="1"/>
      <c r="CY150" s="1"/>
      <c r="CZ150" s="1"/>
      <c r="DA150" s="1"/>
      <c r="DB150" s="1"/>
      <c r="DC150" s="1"/>
      <c r="DD150" s="1"/>
      <c r="DE150" s="1"/>
      <c r="DF150" s="1"/>
      <c r="DG150" s="1"/>
      <c r="DH150" s="1"/>
      <c r="DI150" s="1"/>
      <c r="DJ150" s="1"/>
      <c r="DK150" s="1"/>
      <c r="DL150" s="1"/>
    </row>
    <row r="151" spans="1:116" ht="15.75" hidden="1" x14ac:dyDescent="0.25">
      <c r="A151" s="17"/>
      <c r="B151" s="17"/>
      <c r="C151" s="17"/>
      <c r="D151" s="17"/>
      <c r="E151" s="17"/>
      <c r="F151" s="18" t="s">
        <v>31</v>
      </c>
      <c r="G151" s="66">
        <v>0</v>
      </c>
      <c r="H151" s="66">
        <v>0</v>
      </c>
      <c r="I151" s="66">
        <v>0</v>
      </c>
      <c r="J151" s="66">
        <v>0</v>
      </c>
      <c r="K151" s="66">
        <v>0</v>
      </c>
      <c r="L151" s="66">
        <v>0</v>
      </c>
      <c r="M151" s="66">
        <v>0</v>
      </c>
      <c r="N151" s="66">
        <v>0</v>
      </c>
      <c r="O151" s="66">
        <v>0</v>
      </c>
      <c r="P151" s="66">
        <v>0</v>
      </c>
      <c r="Q151" s="66">
        <v>0</v>
      </c>
      <c r="R151" s="66">
        <v>0</v>
      </c>
      <c r="S151" s="11">
        <f t="shared" si="86"/>
        <v>0</v>
      </c>
      <c r="T151" s="1"/>
      <c r="U151" s="1"/>
      <c r="V151" s="50">
        <f t="shared" si="83"/>
        <v>0</v>
      </c>
      <c r="W151" s="36">
        <v>1.107</v>
      </c>
      <c r="X151" s="36">
        <v>1.107</v>
      </c>
      <c r="Y151" s="36">
        <v>1.4379999999999999</v>
      </c>
      <c r="Z151" s="36">
        <v>1.4379999999999999</v>
      </c>
      <c r="AA151" s="36">
        <v>1.4379999999999999</v>
      </c>
      <c r="AB151" s="36">
        <v>1.4379999999999999</v>
      </c>
      <c r="AC151" s="36">
        <v>1.4379999999999999</v>
      </c>
      <c r="AD151" s="36">
        <v>1.4379999999999999</v>
      </c>
      <c r="AE151" s="36">
        <v>1.4379999999999999</v>
      </c>
      <c r="AF151" s="36">
        <v>1.4379999999999999</v>
      </c>
      <c r="AG151" s="36">
        <v>1.4379999999999999</v>
      </c>
      <c r="AH151" s="36">
        <v>1.4379999999999999</v>
      </c>
      <c r="AI151" s="39">
        <v>1.33634708931066E-2</v>
      </c>
      <c r="AJ151" s="39">
        <v>1.33634708931066E-2</v>
      </c>
      <c r="AK151" s="39">
        <v>1.33634708931066E-2</v>
      </c>
      <c r="AL151" s="39">
        <v>1.33634708931066E-2</v>
      </c>
      <c r="AM151" s="39">
        <v>1.33634708931066E-2</v>
      </c>
      <c r="AN151" s="39">
        <v>1.33634708931066E-2</v>
      </c>
      <c r="AO151" s="39">
        <v>1.33634708931066E-2</v>
      </c>
      <c r="AP151" s="39">
        <v>1.33634708931066E-2</v>
      </c>
      <c r="AQ151" s="39">
        <v>1.33634708931066E-2</v>
      </c>
      <c r="AR151" s="39">
        <v>1.33634708931066E-2</v>
      </c>
      <c r="AS151" s="39">
        <v>1.33634708931066E-2</v>
      </c>
      <c r="AT151" s="39">
        <v>1.33634708931066E-2</v>
      </c>
      <c r="AU151" s="39">
        <v>1.2392217523121999E-3</v>
      </c>
      <c r="AV151" s="39">
        <v>1.2392217523121999E-3</v>
      </c>
      <c r="AW151" s="39">
        <v>1.2392217523121999E-3</v>
      </c>
      <c r="AX151" s="39">
        <v>1.2392217523121999E-3</v>
      </c>
      <c r="AY151" s="39">
        <v>1.2392217523121999E-3</v>
      </c>
      <c r="AZ151" s="39">
        <v>1.2392217523121999E-3</v>
      </c>
      <c r="BA151" s="39">
        <v>1.2392217523121999E-3</v>
      </c>
      <c r="BB151" s="39">
        <v>1.2392217523121999E-3</v>
      </c>
      <c r="BC151" s="39">
        <v>1.2392217523121999E-3</v>
      </c>
      <c r="BD151" s="39">
        <v>1.2392217523121999E-3</v>
      </c>
      <c r="BE151" s="39">
        <v>1.2392217523121999E-3</v>
      </c>
      <c r="BF151" s="39">
        <v>1.2392217523121999E-3</v>
      </c>
      <c r="BG151" s="1"/>
      <c r="BH151" s="12">
        <f t="shared" si="87"/>
        <v>0</v>
      </c>
      <c r="BI151" s="12">
        <f t="shared" si="88"/>
        <v>0</v>
      </c>
      <c r="BJ151" s="12">
        <f t="shared" si="89"/>
        <v>0</v>
      </c>
      <c r="BK151" s="12">
        <f t="shared" si="90"/>
        <v>0</v>
      </c>
      <c r="BL151" s="12">
        <f t="shared" si="91"/>
        <v>0</v>
      </c>
      <c r="BM151" s="12">
        <f t="shared" si="92"/>
        <v>0</v>
      </c>
      <c r="BN151" s="12">
        <f t="shared" si="93"/>
        <v>0</v>
      </c>
      <c r="BO151" s="12">
        <f t="shared" si="94"/>
        <v>0</v>
      </c>
      <c r="BP151" s="12">
        <f t="shared" si="95"/>
        <v>0</v>
      </c>
      <c r="BQ151" s="12">
        <f t="shared" si="96"/>
        <v>0</v>
      </c>
      <c r="BR151" s="12">
        <f t="shared" si="97"/>
        <v>0</v>
      </c>
      <c r="BS151" s="12">
        <f t="shared" si="98"/>
        <v>0</v>
      </c>
      <c r="BT151" s="1"/>
      <c r="BU151" s="11">
        <f t="shared" si="99"/>
        <v>0</v>
      </c>
      <c r="BV151" s="11">
        <f t="shared" si="100"/>
        <v>0</v>
      </c>
      <c r="BW151" s="11">
        <f t="shared" si="101"/>
        <v>0</v>
      </c>
      <c r="BX151" s="11">
        <f t="shared" si="102"/>
        <v>0</v>
      </c>
      <c r="BY151" s="11">
        <f t="shared" si="103"/>
        <v>0</v>
      </c>
      <c r="BZ151" s="11">
        <f t="shared" si="104"/>
        <v>0</v>
      </c>
      <c r="CA151" s="11">
        <f t="shared" si="105"/>
        <v>0</v>
      </c>
      <c r="CB151" s="11">
        <f t="shared" si="106"/>
        <v>0</v>
      </c>
      <c r="CC151" s="11">
        <f t="shared" si="107"/>
        <v>0</v>
      </c>
      <c r="CD151" s="11">
        <f t="shared" si="108"/>
        <v>0</v>
      </c>
      <c r="CE151" s="11">
        <f t="shared" si="109"/>
        <v>0</v>
      </c>
      <c r="CF151" s="11">
        <f t="shared" si="110"/>
        <v>0</v>
      </c>
      <c r="CG151" s="11"/>
      <c r="CH151" s="41">
        <v>3.23</v>
      </c>
      <c r="CI151" s="1"/>
      <c r="CJ151" s="53">
        <f t="shared" si="111"/>
        <v>0</v>
      </c>
      <c r="CK151" s="53">
        <f t="shared" si="112"/>
        <v>0</v>
      </c>
      <c r="CL151" s="53">
        <f t="shared" si="113"/>
        <v>0</v>
      </c>
      <c r="CM151" s="53">
        <f t="shared" si="114"/>
        <v>0</v>
      </c>
      <c r="CN151" s="53">
        <f t="shared" si="115"/>
        <v>0</v>
      </c>
      <c r="CO151" s="53">
        <f t="shared" si="116"/>
        <v>0</v>
      </c>
      <c r="CP151" s="53">
        <f t="shared" si="117"/>
        <v>0</v>
      </c>
      <c r="CQ151" s="53">
        <f t="shared" si="118"/>
        <v>0</v>
      </c>
      <c r="CR151" s="53">
        <f t="shared" si="119"/>
        <v>0</v>
      </c>
      <c r="CS151" s="53">
        <f t="shared" si="120"/>
        <v>0</v>
      </c>
      <c r="CT151" s="53">
        <f t="shared" si="121"/>
        <v>0</v>
      </c>
      <c r="CU151" s="53">
        <f t="shared" si="122"/>
        <v>0</v>
      </c>
      <c r="CV151" s="53">
        <f t="shared" si="84"/>
        <v>0</v>
      </c>
      <c r="CW151" s="1"/>
      <c r="CX151" s="1"/>
      <c r="CY151" s="1"/>
      <c r="CZ151" s="1"/>
      <c r="DA151" s="1"/>
      <c r="DB151" s="1"/>
      <c r="DC151" s="1"/>
      <c r="DD151" s="1"/>
      <c r="DE151" s="1"/>
      <c r="DF151" s="1"/>
      <c r="DG151" s="1"/>
      <c r="DH151" s="1"/>
      <c r="DI151" s="1"/>
      <c r="DJ151" s="1"/>
      <c r="DK151" s="1"/>
      <c r="DL151" s="1"/>
    </row>
    <row r="152" spans="1:116" ht="15.75" hidden="1" x14ac:dyDescent="0.25">
      <c r="A152" s="17"/>
      <c r="B152" s="17"/>
      <c r="C152" s="17"/>
      <c r="D152" s="17"/>
      <c r="E152" s="17"/>
      <c r="F152" s="18" t="s">
        <v>31</v>
      </c>
      <c r="G152" s="66">
        <v>97.37</v>
      </c>
      <c r="H152" s="66">
        <v>86.94</v>
      </c>
      <c r="I152" s="66">
        <v>90.34</v>
      </c>
      <c r="J152" s="66">
        <v>72.27</v>
      </c>
      <c r="K152" s="66">
        <v>58.72</v>
      </c>
      <c r="L152" s="66">
        <v>45.17</v>
      </c>
      <c r="M152" s="66">
        <v>45.17</v>
      </c>
      <c r="N152" s="66">
        <v>45.17</v>
      </c>
      <c r="O152" s="66">
        <v>81.31</v>
      </c>
      <c r="P152" s="66">
        <v>81.31</v>
      </c>
      <c r="Q152" s="66">
        <v>90.34</v>
      </c>
      <c r="R152" s="66">
        <v>67.75</v>
      </c>
      <c r="S152" s="11">
        <f t="shared" si="86"/>
        <v>861.86</v>
      </c>
      <c r="T152" s="1"/>
      <c r="U152" s="1"/>
      <c r="V152" s="50">
        <f t="shared" si="83"/>
        <v>1839038</v>
      </c>
      <c r="W152" s="36">
        <v>1.258</v>
      </c>
      <c r="X152" s="36">
        <v>1.258</v>
      </c>
      <c r="Y152" s="36">
        <v>1.6339999999999999</v>
      </c>
      <c r="Z152" s="36">
        <v>1.6339999999999999</v>
      </c>
      <c r="AA152" s="36">
        <v>1.6339999999999999</v>
      </c>
      <c r="AB152" s="36">
        <v>1.6339999999999999</v>
      </c>
      <c r="AC152" s="36">
        <v>1.6339999999999999</v>
      </c>
      <c r="AD152" s="36">
        <v>1.6339999999999999</v>
      </c>
      <c r="AE152" s="36">
        <v>1.6339999999999999</v>
      </c>
      <c r="AF152" s="36">
        <v>1.6339999999999999</v>
      </c>
      <c r="AG152" s="36">
        <v>1.6339999999999999</v>
      </c>
      <c r="AH152" s="36">
        <v>1.6339999999999999</v>
      </c>
      <c r="AI152" s="39">
        <v>1.33634708931066E-2</v>
      </c>
      <c r="AJ152" s="39">
        <v>1.33634708931066E-2</v>
      </c>
      <c r="AK152" s="39">
        <v>1.33634708931066E-2</v>
      </c>
      <c r="AL152" s="39">
        <v>1.33634708931066E-2</v>
      </c>
      <c r="AM152" s="39">
        <v>1.33634708931066E-2</v>
      </c>
      <c r="AN152" s="39">
        <v>1.33634708931066E-2</v>
      </c>
      <c r="AO152" s="39">
        <v>1.33634708931066E-2</v>
      </c>
      <c r="AP152" s="39">
        <v>1.33634708931066E-2</v>
      </c>
      <c r="AQ152" s="39">
        <v>1.33634708931066E-2</v>
      </c>
      <c r="AR152" s="39">
        <v>1.33634708931066E-2</v>
      </c>
      <c r="AS152" s="39">
        <v>1.33634708931066E-2</v>
      </c>
      <c r="AT152" s="39">
        <v>1.33634708931066E-2</v>
      </c>
      <c r="AU152" s="39">
        <v>1.2392217523121999E-3</v>
      </c>
      <c r="AV152" s="39">
        <v>1.2392217523121999E-3</v>
      </c>
      <c r="AW152" s="39">
        <v>1.2392217523121999E-3</v>
      </c>
      <c r="AX152" s="39">
        <v>1.2392217523121999E-3</v>
      </c>
      <c r="AY152" s="39">
        <v>1.2392217523121999E-3</v>
      </c>
      <c r="AZ152" s="39">
        <v>1.2392217523121999E-3</v>
      </c>
      <c r="BA152" s="39">
        <v>1.2392217523121999E-3</v>
      </c>
      <c r="BB152" s="39">
        <v>1.2392217523121999E-3</v>
      </c>
      <c r="BC152" s="39">
        <v>1.2392217523121999E-3</v>
      </c>
      <c r="BD152" s="39">
        <v>1.2392217523121999E-3</v>
      </c>
      <c r="BE152" s="39">
        <v>1.2392217523121999E-3</v>
      </c>
      <c r="BF152" s="39">
        <v>1.2392217523121999E-3</v>
      </c>
      <c r="BG152" s="1"/>
      <c r="BH152" s="12">
        <f t="shared" si="87"/>
        <v>314.50510000000003</v>
      </c>
      <c r="BI152" s="12">
        <f t="shared" si="88"/>
        <v>280.81619999999998</v>
      </c>
      <c r="BJ152" s="12">
        <f t="shared" si="89"/>
        <v>291.79820000000001</v>
      </c>
      <c r="BK152" s="12">
        <f t="shared" si="90"/>
        <v>233.43209999999999</v>
      </c>
      <c r="BL152" s="12">
        <f t="shared" si="91"/>
        <v>189.66559999999998</v>
      </c>
      <c r="BM152" s="12">
        <f t="shared" si="92"/>
        <v>145.8991</v>
      </c>
      <c r="BN152" s="12">
        <f t="shared" si="93"/>
        <v>145.8991</v>
      </c>
      <c r="BO152" s="12">
        <f t="shared" si="94"/>
        <v>145.8991</v>
      </c>
      <c r="BP152" s="12">
        <f t="shared" si="95"/>
        <v>262.63130000000001</v>
      </c>
      <c r="BQ152" s="12">
        <f t="shared" si="96"/>
        <v>262.63130000000001</v>
      </c>
      <c r="BR152" s="12">
        <f t="shared" si="97"/>
        <v>291.79820000000001</v>
      </c>
      <c r="BS152" s="12">
        <f t="shared" si="98"/>
        <v>218.83250000000001</v>
      </c>
      <c r="BT152" s="1"/>
      <c r="BU152" s="11">
        <f t="shared" si="99"/>
        <v>319.09772131071674</v>
      </c>
      <c r="BV152" s="11">
        <f t="shared" si="100"/>
        <v>284.91687265845445</v>
      </c>
      <c r="BW152" s="11">
        <f t="shared" si="101"/>
        <v>296.05923942908646</v>
      </c>
      <c r="BX152" s="11">
        <f t="shared" si="102"/>
        <v>236.84083720987465</v>
      </c>
      <c r="BY152" s="11">
        <f t="shared" si="103"/>
        <v>192.43522846220893</v>
      </c>
      <c r="BZ152" s="11">
        <f t="shared" si="104"/>
        <v>148.02961971454323</v>
      </c>
      <c r="CA152" s="11">
        <f t="shared" si="105"/>
        <v>148.02961971454323</v>
      </c>
      <c r="CB152" s="11">
        <f t="shared" si="106"/>
        <v>148.02961971454323</v>
      </c>
      <c r="CC152" s="11">
        <f t="shared" si="107"/>
        <v>266.46642415296679</v>
      </c>
      <c r="CD152" s="11">
        <f t="shared" si="108"/>
        <v>266.46642415296679</v>
      </c>
      <c r="CE152" s="11">
        <f t="shared" si="109"/>
        <v>296.05923942908646</v>
      </c>
      <c r="CF152" s="11">
        <f t="shared" si="110"/>
        <v>222.02804373832862</v>
      </c>
      <c r="CG152" s="11"/>
      <c r="CH152" s="41">
        <v>3.23</v>
      </c>
      <c r="CI152" s="1"/>
      <c r="CJ152" s="53">
        <f t="shared" si="111"/>
        <v>253655</v>
      </c>
      <c r="CK152" s="53">
        <f t="shared" si="112"/>
        <v>226484</v>
      </c>
      <c r="CL152" s="53">
        <f t="shared" si="113"/>
        <v>181187</v>
      </c>
      <c r="CM152" s="53">
        <f t="shared" si="114"/>
        <v>144945</v>
      </c>
      <c r="CN152" s="53">
        <f t="shared" si="115"/>
        <v>117769</v>
      </c>
      <c r="CO152" s="53">
        <f t="shared" si="116"/>
        <v>90593</v>
      </c>
      <c r="CP152" s="53">
        <f t="shared" si="117"/>
        <v>90593</v>
      </c>
      <c r="CQ152" s="53">
        <f t="shared" si="118"/>
        <v>90593</v>
      </c>
      <c r="CR152" s="53">
        <f t="shared" si="119"/>
        <v>163076</v>
      </c>
      <c r="CS152" s="53">
        <f t="shared" si="120"/>
        <v>163076</v>
      </c>
      <c r="CT152" s="53">
        <f t="shared" si="121"/>
        <v>181187</v>
      </c>
      <c r="CU152" s="53">
        <f t="shared" si="122"/>
        <v>135880</v>
      </c>
      <c r="CV152" s="53">
        <f t="shared" si="84"/>
        <v>1839038</v>
      </c>
      <c r="CW152" s="1"/>
      <c r="CX152" s="1"/>
      <c r="CY152" s="1"/>
      <c r="CZ152" s="1"/>
      <c r="DA152" s="1"/>
      <c r="DB152" s="1"/>
      <c r="DC152" s="1"/>
      <c r="DD152" s="1"/>
      <c r="DE152" s="1"/>
      <c r="DF152" s="1"/>
      <c r="DG152" s="1"/>
      <c r="DH152" s="1"/>
      <c r="DI152" s="1"/>
      <c r="DJ152" s="1"/>
      <c r="DK152" s="1"/>
      <c r="DL152" s="1"/>
    </row>
    <row r="153" spans="1:116" ht="15.75" hidden="1" x14ac:dyDescent="0.25">
      <c r="A153" s="17"/>
      <c r="B153" s="17"/>
      <c r="C153" s="17"/>
      <c r="D153" s="17"/>
      <c r="E153" s="17"/>
      <c r="F153" s="18" t="s">
        <v>31</v>
      </c>
      <c r="G153" s="66">
        <v>51.57</v>
      </c>
      <c r="H153" s="66">
        <v>51.57</v>
      </c>
      <c r="I153" s="66">
        <v>68.94</v>
      </c>
      <c r="J153" s="66">
        <v>52.76</v>
      </c>
      <c r="K153" s="66">
        <v>37.69</v>
      </c>
      <c r="L153" s="66">
        <v>37.69</v>
      </c>
      <c r="M153" s="66">
        <v>37.69</v>
      </c>
      <c r="N153" s="66">
        <v>50.2</v>
      </c>
      <c r="O153" s="66">
        <v>58.57</v>
      </c>
      <c r="P153" s="66">
        <v>66.94</v>
      </c>
      <c r="Q153" s="66">
        <v>66.94</v>
      </c>
      <c r="R153" s="66">
        <v>58.57</v>
      </c>
      <c r="S153" s="11">
        <f t="shared" si="86"/>
        <v>639.13</v>
      </c>
      <c r="T153" s="1"/>
      <c r="U153" s="1"/>
      <c r="V153" s="50">
        <f t="shared" si="83"/>
        <v>834639</v>
      </c>
      <c r="W153" s="36">
        <v>1.9790000000000001</v>
      </c>
      <c r="X153" s="36">
        <v>1.9790000000000001</v>
      </c>
      <c r="Y153" s="36">
        <v>2.6459999999999999</v>
      </c>
      <c r="Z153" s="36">
        <v>2.6459999999999999</v>
      </c>
      <c r="AA153" s="36">
        <v>2.6459999999999999</v>
      </c>
      <c r="AB153" s="36">
        <v>2.6459999999999999</v>
      </c>
      <c r="AC153" s="36">
        <v>2.6459999999999999</v>
      </c>
      <c r="AD153" s="36">
        <v>2.6459999999999999</v>
      </c>
      <c r="AE153" s="36">
        <v>2.6459999999999999</v>
      </c>
      <c r="AF153" s="36">
        <v>2.6459999999999999</v>
      </c>
      <c r="AG153" s="36">
        <v>2.6459999999999999</v>
      </c>
      <c r="AH153" s="36">
        <v>2.6459999999999999</v>
      </c>
      <c r="AI153" s="39">
        <v>1.33634708931066E-2</v>
      </c>
      <c r="AJ153" s="39">
        <v>1.33634708931066E-2</v>
      </c>
      <c r="AK153" s="39">
        <v>1.33634708931066E-2</v>
      </c>
      <c r="AL153" s="39">
        <v>1.33634708931066E-2</v>
      </c>
      <c r="AM153" s="39">
        <v>1.33634708931066E-2</v>
      </c>
      <c r="AN153" s="39">
        <v>1.33634708931066E-2</v>
      </c>
      <c r="AO153" s="39">
        <v>1.33634708931066E-2</v>
      </c>
      <c r="AP153" s="39">
        <v>1.33634708931066E-2</v>
      </c>
      <c r="AQ153" s="39">
        <v>1.33634708931066E-2</v>
      </c>
      <c r="AR153" s="39">
        <v>1.33634708931066E-2</v>
      </c>
      <c r="AS153" s="39">
        <v>1.33634708931066E-2</v>
      </c>
      <c r="AT153" s="39">
        <v>1.33634708931066E-2</v>
      </c>
      <c r="AU153" s="39">
        <v>1.2392217523121999E-3</v>
      </c>
      <c r="AV153" s="39">
        <v>1.2392217523121999E-3</v>
      </c>
      <c r="AW153" s="39">
        <v>1.2392217523121999E-3</v>
      </c>
      <c r="AX153" s="39">
        <v>1.2392217523121999E-3</v>
      </c>
      <c r="AY153" s="39">
        <v>1.2392217523121999E-3</v>
      </c>
      <c r="AZ153" s="39">
        <v>1.2392217523121999E-3</v>
      </c>
      <c r="BA153" s="39">
        <v>1.2392217523121999E-3</v>
      </c>
      <c r="BB153" s="39">
        <v>1.2392217523121999E-3</v>
      </c>
      <c r="BC153" s="39">
        <v>1.2392217523121999E-3</v>
      </c>
      <c r="BD153" s="39">
        <v>1.2392217523121999E-3</v>
      </c>
      <c r="BE153" s="39">
        <v>1.2392217523121999E-3</v>
      </c>
      <c r="BF153" s="39">
        <v>1.2392217523121999E-3</v>
      </c>
      <c r="BG153" s="1"/>
      <c r="BH153" s="12">
        <f t="shared" si="87"/>
        <v>166.5711</v>
      </c>
      <c r="BI153" s="12">
        <f t="shared" si="88"/>
        <v>166.5711</v>
      </c>
      <c r="BJ153" s="12">
        <f t="shared" si="89"/>
        <v>222.67619999999999</v>
      </c>
      <c r="BK153" s="12">
        <f t="shared" si="90"/>
        <v>170.41479999999999</v>
      </c>
      <c r="BL153" s="12">
        <f t="shared" si="91"/>
        <v>121.73869999999999</v>
      </c>
      <c r="BM153" s="12">
        <f t="shared" si="92"/>
        <v>121.73869999999999</v>
      </c>
      <c r="BN153" s="12">
        <f t="shared" si="93"/>
        <v>121.73869999999999</v>
      </c>
      <c r="BO153" s="12">
        <f t="shared" si="94"/>
        <v>162.14600000000002</v>
      </c>
      <c r="BP153" s="12">
        <f t="shared" si="95"/>
        <v>189.18109999999999</v>
      </c>
      <c r="BQ153" s="12">
        <f t="shared" si="96"/>
        <v>216.21619999999999</v>
      </c>
      <c r="BR153" s="12">
        <f t="shared" si="97"/>
        <v>216.21619999999999</v>
      </c>
      <c r="BS153" s="12">
        <f t="shared" si="98"/>
        <v>189.18109999999999</v>
      </c>
      <c r="BT153" s="1"/>
      <c r="BU153" s="11">
        <f t="shared" si="99"/>
        <v>169.00348657690932</v>
      </c>
      <c r="BV153" s="11">
        <f t="shared" si="100"/>
        <v>169.00348657690932</v>
      </c>
      <c r="BW153" s="11">
        <f t="shared" si="101"/>
        <v>225.9278721080498</v>
      </c>
      <c r="BX153" s="11">
        <f t="shared" si="102"/>
        <v>172.9033149466305</v>
      </c>
      <c r="BY153" s="11">
        <f t="shared" si="103"/>
        <v>123.51641281915283</v>
      </c>
      <c r="BZ153" s="11">
        <f t="shared" si="104"/>
        <v>123.51641281915283</v>
      </c>
      <c r="CA153" s="11">
        <f t="shared" si="105"/>
        <v>123.51641281915283</v>
      </c>
      <c r="CB153" s="11">
        <f t="shared" si="106"/>
        <v>164.51376820168409</v>
      </c>
      <c r="CC153" s="11">
        <f t="shared" si="107"/>
        <v>191.94365345762222</v>
      </c>
      <c r="CD153" s="11">
        <f t="shared" si="108"/>
        <v>219.37353871356038</v>
      </c>
      <c r="CE153" s="11">
        <f t="shared" si="109"/>
        <v>219.37353871356038</v>
      </c>
      <c r="CF153" s="11">
        <f t="shared" si="110"/>
        <v>191.94365345762222</v>
      </c>
      <c r="CG153" s="11"/>
      <c r="CH153" s="41">
        <v>3.23</v>
      </c>
      <c r="CI153" s="1"/>
      <c r="CJ153" s="53">
        <f t="shared" si="111"/>
        <v>85398</v>
      </c>
      <c r="CK153" s="53">
        <f t="shared" si="112"/>
        <v>85398</v>
      </c>
      <c r="CL153" s="53">
        <f t="shared" si="113"/>
        <v>85385</v>
      </c>
      <c r="CM153" s="53">
        <f t="shared" si="114"/>
        <v>65345</v>
      </c>
      <c r="CN153" s="53">
        <f t="shared" si="115"/>
        <v>46680</v>
      </c>
      <c r="CO153" s="53">
        <f t="shared" si="116"/>
        <v>46680</v>
      </c>
      <c r="CP153" s="53">
        <f t="shared" si="117"/>
        <v>46680</v>
      </c>
      <c r="CQ153" s="53">
        <f t="shared" si="118"/>
        <v>62175</v>
      </c>
      <c r="CR153" s="53">
        <f t="shared" si="119"/>
        <v>72541</v>
      </c>
      <c r="CS153" s="53">
        <f t="shared" si="120"/>
        <v>82908</v>
      </c>
      <c r="CT153" s="53">
        <f t="shared" si="121"/>
        <v>82908</v>
      </c>
      <c r="CU153" s="53">
        <f t="shared" si="122"/>
        <v>72541</v>
      </c>
      <c r="CV153" s="53">
        <f t="shared" si="84"/>
        <v>834639</v>
      </c>
      <c r="CW153" s="1"/>
      <c r="CX153" s="1"/>
      <c r="CY153" s="1"/>
      <c r="CZ153" s="1"/>
      <c r="DA153" s="1"/>
      <c r="DB153" s="1"/>
      <c r="DC153" s="1"/>
      <c r="DD153" s="1"/>
      <c r="DE153" s="1"/>
      <c r="DF153" s="1"/>
      <c r="DG153" s="1"/>
      <c r="DH153" s="1"/>
      <c r="DI153" s="1"/>
      <c r="DJ153" s="1"/>
      <c r="DK153" s="1"/>
      <c r="DL153" s="1"/>
    </row>
    <row r="154" spans="1:116" ht="15.75" hidden="1" x14ac:dyDescent="0.25">
      <c r="A154" s="17"/>
      <c r="B154" s="17"/>
      <c r="C154" s="17"/>
      <c r="D154" s="17"/>
      <c r="E154" s="17"/>
      <c r="F154" s="18" t="s">
        <v>31</v>
      </c>
      <c r="G154" s="66">
        <v>36.840000000000003</v>
      </c>
      <c r="H154" s="66">
        <v>36.840000000000003</v>
      </c>
      <c r="I154" s="66">
        <v>40.54</v>
      </c>
      <c r="J154" s="66">
        <v>25.8</v>
      </c>
      <c r="K154" s="66">
        <v>25.8</v>
      </c>
      <c r="L154" s="66">
        <v>22.12</v>
      </c>
      <c r="M154" s="66">
        <v>22.12</v>
      </c>
      <c r="N154" s="66">
        <v>22.12</v>
      </c>
      <c r="O154" s="66">
        <v>47.91</v>
      </c>
      <c r="P154" s="66">
        <v>47.91</v>
      </c>
      <c r="Q154" s="66">
        <v>47.91</v>
      </c>
      <c r="R154" s="66">
        <v>33.17</v>
      </c>
      <c r="S154" s="11">
        <f t="shared" si="86"/>
        <v>409.08</v>
      </c>
      <c r="T154" s="1"/>
      <c r="U154" s="1"/>
      <c r="V154" s="50">
        <f t="shared" si="83"/>
        <v>597045</v>
      </c>
      <c r="W154" s="36">
        <v>1.82</v>
      </c>
      <c r="X154" s="36">
        <v>1.82</v>
      </c>
      <c r="Y154" s="36">
        <v>2.367</v>
      </c>
      <c r="Z154" s="36">
        <v>2.367</v>
      </c>
      <c r="AA154" s="36">
        <v>2.367</v>
      </c>
      <c r="AB154" s="36">
        <v>2.367</v>
      </c>
      <c r="AC154" s="36">
        <v>2.367</v>
      </c>
      <c r="AD154" s="36">
        <v>2.367</v>
      </c>
      <c r="AE154" s="36">
        <v>2.367</v>
      </c>
      <c r="AF154" s="36">
        <v>2.367</v>
      </c>
      <c r="AG154" s="36">
        <v>2.367</v>
      </c>
      <c r="AH154" s="36">
        <v>2.367</v>
      </c>
      <c r="AI154" s="39">
        <v>1.33634708931066E-2</v>
      </c>
      <c r="AJ154" s="39">
        <v>1.33634708931066E-2</v>
      </c>
      <c r="AK154" s="39">
        <v>1.33634708931066E-2</v>
      </c>
      <c r="AL154" s="39">
        <v>1.33634708931066E-2</v>
      </c>
      <c r="AM154" s="39">
        <v>1.33634708931066E-2</v>
      </c>
      <c r="AN154" s="39">
        <v>1.33634708931066E-2</v>
      </c>
      <c r="AO154" s="39">
        <v>1.33634708931066E-2</v>
      </c>
      <c r="AP154" s="39">
        <v>1.33634708931066E-2</v>
      </c>
      <c r="AQ154" s="39">
        <v>1.33634708931066E-2</v>
      </c>
      <c r="AR154" s="39">
        <v>1.33634708931066E-2</v>
      </c>
      <c r="AS154" s="39">
        <v>1.33634708931066E-2</v>
      </c>
      <c r="AT154" s="39">
        <v>1.33634708931066E-2</v>
      </c>
      <c r="AU154" s="39">
        <v>1.2392217523121999E-3</v>
      </c>
      <c r="AV154" s="39">
        <v>1.2392217523121999E-3</v>
      </c>
      <c r="AW154" s="39">
        <v>1.2392217523121999E-3</v>
      </c>
      <c r="AX154" s="39">
        <v>1.2392217523121999E-3</v>
      </c>
      <c r="AY154" s="39">
        <v>1.2392217523121999E-3</v>
      </c>
      <c r="AZ154" s="39">
        <v>1.2392217523121999E-3</v>
      </c>
      <c r="BA154" s="39">
        <v>1.2392217523121999E-3</v>
      </c>
      <c r="BB154" s="39">
        <v>1.2392217523121999E-3</v>
      </c>
      <c r="BC154" s="39">
        <v>1.2392217523121999E-3</v>
      </c>
      <c r="BD154" s="39">
        <v>1.2392217523121999E-3</v>
      </c>
      <c r="BE154" s="39">
        <v>1.2392217523121999E-3</v>
      </c>
      <c r="BF154" s="39">
        <v>1.2392217523121999E-3</v>
      </c>
      <c r="BG154" s="1"/>
      <c r="BH154" s="12">
        <f t="shared" si="87"/>
        <v>118.99320000000002</v>
      </c>
      <c r="BI154" s="12">
        <f t="shared" si="88"/>
        <v>118.99320000000002</v>
      </c>
      <c r="BJ154" s="12">
        <f t="shared" si="89"/>
        <v>130.9442</v>
      </c>
      <c r="BK154" s="12">
        <f t="shared" si="90"/>
        <v>83.334000000000003</v>
      </c>
      <c r="BL154" s="12">
        <f t="shared" si="91"/>
        <v>83.334000000000003</v>
      </c>
      <c r="BM154" s="12">
        <f t="shared" si="92"/>
        <v>71.447600000000008</v>
      </c>
      <c r="BN154" s="12">
        <f t="shared" si="93"/>
        <v>71.447600000000008</v>
      </c>
      <c r="BO154" s="12">
        <f t="shared" si="94"/>
        <v>71.447600000000008</v>
      </c>
      <c r="BP154" s="12">
        <f t="shared" si="95"/>
        <v>154.74929999999998</v>
      </c>
      <c r="BQ154" s="12">
        <f t="shared" si="96"/>
        <v>154.74929999999998</v>
      </c>
      <c r="BR154" s="12">
        <f t="shared" si="97"/>
        <v>154.74929999999998</v>
      </c>
      <c r="BS154" s="12">
        <f t="shared" si="98"/>
        <v>107.1391</v>
      </c>
      <c r="BT154" s="1"/>
      <c r="BU154" s="11">
        <f t="shared" si="99"/>
        <v>120.73082112649486</v>
      </c>
      <c r="BV154" s="11">
        <f t="shared" si="100"/>
        <v>120.73082112649486</v>
      </c>
      <c r="BW154" s="11">
        <f t="shared" si="101"/>
        <v>132.85633790630024</v>
      </c>
      <c r="BX154" s="11">
        <f t="shared" si="102"/>
        <v>84.550900788913339</v>
      </c>
      <c r="BY154" s="11">
        <f t="shared" si="103"/>
        <v>84.550900788913339</v>
      </c>
      <c r="BZ154" s="11">
        <f t="shared" si="104"/>
        <v>72.490927343052832</v>
      </c>
      <c r="CA154" s="11">
        <f t="shared" si="105"/>
        <v>72.490927343052832</v>
      </c>
      <c r="CB154" s="11">
        <f t="shared" si="106"/>
        <v>72.490927343052832</v>
      </c>
      <c r="CC154" s="11">
        <f t="shared" si="107"/>
        <v>157.00905646499368</v>
      </c>
      <c r="CD154" s="11">
        <f t="shared" si="108"/>
        <v>157.00905646499368</v>
      </c>
      <c r="CE154" s="11">
        <f t="shared" si="109"/>
        <v>157.00905646499368</v>
      </c>
      <c r="CF154" s="11">
        <f t="shared" si="110"/>
        <v>108.70361934760679</v>
      </c>
      <c r="CG154" s="11"/>
      <c r="CH154" s="41">
        <v>3.23</v>
      </c>
      <c r="CI154" s="1"/>
      <c r="CJ154" s="53">
        <f t="shared" si="111"/>
        <v>66336</v>
      </c>
      <c r="CK154" s="53">
        <f t="shared" si="112"/>
        <v>66336</v>
      </c>
      <c r="CL154" s="53">
        <f t="shared" si="113"/>
        <v>56129</v>
      </c>
      <c r="CM154" s="53">
        <f t="shared" si="114"/>
        <v>35721</v>
      </c>
      <c r="CN154" s="53">
        <f t="shared" si="115"/>
        <v>35721</v>
      </c>
      <c r="CO154" s="53">
        <f t="shared" si="116"/>
        <v>30626</v>
      </c>
      <c r="CP154" s="53">
        <f t="shared" si="117"/>
        <v>30626</v>
      </c>
      <c r="CQ154" s="53">
        <f t="shared" si="118"/>
        <v>30626</v>
      </c>
      <c r="CR154" s="53">
        <f t="shared" si="119"/>
        <v>66333</v>
      </c>
      <c r="CS154" s="53">
        <f t="shared" si="120"/>
        <v>66333</v>
      </c>
      <c r="CT154" s="53">
        <f t="shared" si="121"/>
        <v>66333</v>
      </c>
      <c r="CU154" s="53">
        <f t="shared" si="122"/>
        <v>45925</v>
      </c>
      <c r="CV154" s="53">
        <f t="shared" si="84"/>
        <v>597045</v>
      </c>
      <c r="CW154" s="1"/>
      <c r="CX154" s="1"/>
      <c r="CY154" s="1"/>
      <c r="CZ154" s="1"/>
      <c r="DA154" s="1"/>
      <c r="DB154" s="1"/>
      <c r="DC154" s="1"/>
      <c r="DD154" s="1"/>
      <c r="DE154" s="1"/>
      <c r="DF154" s="1"/>
      <c r="DG154" s="1"/>
      <c r="DH154" s="1"/>
      <c r="DI154" s="1"/>
      <c r="DJ154" s="1"/>
      <c r="DK154" s="1"/>
      <c r="DL154" s="1"/>
    </row>
    <row r="155" spans="1:116" ht="15.75" hidden="1" x14ac:dyDescent="0.25">
      <c r="A155" s="17"/>
      <c r="B155" s="17"/>
      <c r="C155" s="17"/>
      <c r="D155" s="17"/>
      <c r="E155" s="17"/>
      <c r="F155" s="18" t="s">
        <v>31</v>
      </c>
      <c r="G155" s="66">
        <v>189.25</v>
      </c>
      <c r="H155" s="66">
        <v>189.25</v>
      </c>
      <c r="I155" s="66">
        <v>175.8</v>
      </c>
      <c r="J155" s="66">
        <v>85.7</v>
      </c>
      <c r="K155" s="66">
        <v>85.7</v>
      </c>
      <c r="L155" s="66">
        <v>85.7</v>
      </c>
      <c r="M155" s="66">
        <v>81.75</v>
      </c>
      <c r="N155" s="66">
        <v>85.7</v>
      </c>
      <c r="O155" s="66">
        <v>175.8</v>
      </c>
      <c r="P155" s="66">
        <v>219.75</v>
      </c>
      <c r="Q155" s="66">
        <v>175.8</v>
      </c>
      <c r="R155" s="66">
        <v>158.22</v>
      </c>
      <c r="S155" s="11">
        <f t="shared" si="86"/>
        <v>1708.42</v>
      </c>
      <c r="T155" s="1"/>
      <c r="U155" s="1"/>
      <c r="V155" s="50">
        <f t="shared" si="83"/>
        <v>1948932</v>
      </c>
      <c r="W155" s="36">
        <v>2.3559999999999999</v>
      </c>
      <c r="X155" s="36">
        <v>2.3559999999999999</v>
      </c>
      <c r="Y155" s="36">
        <v>3.0640000000000001</v>
      </c>
      <c r="Z155" s="36">
        <v>3.0640000000000001</v>
      </c>
      <c r="AA155" s="36">
        <v>3.0640000000000001</v>
      </c>
      <c r="AB155" s="36">
        <v>3.0640000000000001</v>
      </c>
      <c r="AC155" s="36">
        <v>3.0640000000000001</v>
      </c>
      <c r="AD155" s="36">
        <v>3.0640000000000001</v>
      </c>
      <c r="AE155" s="36">
        <v>3.0640000000000001</v>
      </c>
      <c r="AF155" s="36">
        <v>3.0640000000000001</v>
      </c>
      <c r="AG155" s="36">
        <v>3.0640000000000001</v>
      </c>
      <c r="AH155" s="36">
        <v>3.0640000000000001</v>
      </c>
      <c r="AI155" s="39">
        <v>1.33634708931066E-2</v>
      </c>
      <c r="AJ155" s="39">
        <v>1.33634708931066E-2</v>
      </c>
      <c r="AK155" s="39">
        <v>1.33634708931066E-2</v>
      </c>
      <c r="AL155" s="39">
        <v>1.33634708931066E-2</v>
      </c>
      <c r="AM155" s="39">
        <v>1.33634708931066E-2</v>
      </c>
      <c r="AN155" s="39">
        <v>1.33634708931066E-2</v>
      </c>
      <c r="AO155" s="39">
        <v>1.33634708931066E-2</v>
      </c>
      <c r="AP155" s="39">
        <v>1.33634708931066E-2</v>
      </c>
      <c r="AQ155" s="39">
        <v>1.33634708931066E-2</v>
      </c>
      <c r="AR155" s="39">
        <v>1.33634708931066E-2</v>
      </c>
      <c r="AS155" s="39">
        <v>1.33634708931066E-2</v>
      </c>
      <c r="AT155" s="39">
        <v>1.33634708931066E-2</v>
      </c>
      <c r="AU155" s="39">
        <v>1.2392217523121999E-3</v>
      </c>
      <c r="AV155" s="39">
        <v>1.2392217523121999E-3</v>
      </c>
      <c r="AW155" s="39">
        <v>1.2392217523121999E-3</v>
      </c>
      <c r="AX155" s="39">
        <v>1.2392217523121999E-3</v>
      </c>
      <c r="AY155" s="39">
        <v>1.2392217523121999E-3</v>
      </c>
      <c r="AZ155" s="39">
        <v>1.2392217523121999E-3</v>
      </c>
      <c r="BA155" s="39">
        <v>1.2392217523121999E-3</v>
      </c>
      <c r="BB155" s="39">
        <v>1.2392217523121999E-3</v>
      </c>
      <c r="BC155" s="39">
        <v>1.2392217523121999E-3</v>
      </c>
      <c r="BD155" s="39">
        <v>1.2392217523121999E-3</v>
      </c>
      <c r="BE155" s="39">
        <v>1.2392217523121999E-3</v>
      </c>
      <c r="BF155" s="39">
        <v>1.2392217523121999E-3</v>
      </c>
      <c r="BG155" s="1"/>
      <c r="BH155" s="12">
        <f t="shared" si="87"/>
        <v>611.27750000000003</v>
      </c>
      <c r="BI155" s="12">
        <f t="shared" si="88"/>
        <v>611.27750000000003</v>
      </c>
      <c r="BJ155" s="12">
        <f t="shared" si="89"/>
        <v>567.83400000000006</v>
      </c>
      <c r="BK155" s="12">
        <f t="shared" si="90"/>
        <v>276.81100000000004</v>
      </c>
      <c r="BL155" s="12">
        <f t="shared" si="91"/>
        <v>276.81100000000004</v>
      </c>
      <c r="BM155" s="12">
        <f t="shared" si="92"/>
        <v>276.81100000000004</v>
      </c>
      <c r="BN155" s="12">
        <f t="shared" si="93"/>
        <v>264.05250000000001</v>
      </c>
      <c r="BO155" s="12">
        <f t="shared" si="94"/>
        <v>276.81100000000004</v>
      </c>
      <c r="BP155" s="12">
        <f t="shared" si="95"/>
        <v>567.83400000000006</v>
      </c>
      <c r="BQ155" s="12">
        <f t="shared" si="96"/>
        <v>709.79250000000002</v>
      </c>
      <c r="BR155" s="12">
        <f t="shared" si="97"/>
        <v>567.83400000000006</v>
      </c>
      <c r="BS155" s="12">
        <f t="shared" si="98"/>
        <v>511.05059999999997</v>
      </c>
      <c r="BT155" s="1"/>
      <c r="BU155" s="11">
        <f t="shared" si="99"/>
        <v>620.20379745356001</v>
      </c>
      <c r="BV155" s="11">
        <f t="shared" si="100"/>
        <v>620.20379745356001</v>
      </c>
      <c r="BW155" s="11">
        <f t="shared" si="101"/>
        <v>576.1259053756188</v>
      </c>
      <c r="BX155" s="11">
        <f t="shared" si="102"/>
        <v>280.85318595387105</v>
      </c>
      <c r="BY155" s="11">
        <f t="shared" si="103"/>
        <v>280.85318595387105</v>
      </c>
      <c r="BZ155" s="11">
        <f t="shared" si="104"/>
        <v>280.85318595387105</v>
      </c>
      <c r="CA155" s="11">
        <f t="shared" si="105"/>
        <v>267.90837749975447</v>
      </c>
      <c r="CB155" s="11">
        <f t="shared" si="106"/>
        <v>280.85318595387105</v>
      </c>
      <c r="CC155" s="11">
        <f t="shared" si="107"/>
        <v>576.1259053756188</v>
      </c>
      <c r="CD155" s="11">
        <f t="shared" si="108"/>
        <v>720.15738171952341</v>
      </c>
      <c r="CE155" s="11">
        <f t="shared" si="109"/>
        <v>576.1259053756188</v>
      </c>
      <c r="CF155" s="11">
        <f t="shared" si="110"/>
        <v>518.51331483805689</v>
      </c>
      <c r="CG155" s="11"/>
      <c r="CH155" s="41">
        <v>3.23</v>
      </c>
      <c r="CI155" s="1"/>
      <c r="CJ155" s="53">
        <f t="shared" si="111"/>
        <v>263244</v>
      </c>
      <c r="CK155" s="53">
        <f t="shared" si="112"/>
        <v>263244</v>
      </c>
      <c r="CL155" s="53">
        <f t="shared" si="113"/>
        <v>188031</v>
      </c>
      <c r="CM155" s="53">
        <f t="shared" si="114"/>
        <v>91662</v>
      </c>
      <c r="CN155" s="53">
        <f t="shared" si="115"/>
        <v>91662</v>
      </c>
      <c r="CO155" s="53">
        <f t="shared" si="116"/>
        <v>91662</v>
      </c>
      <c r="CP155" s="53">
        <f t="shared" si="117"/>
        <v>87437</v>
      </c>
      <c r="CQ155" s="53">
        <f t="shared" si="118"/>
        <v>91662</v>
      </c>
      <c r="CR155" s="53">
        <f t="shared" si="119"/>
        <v>188031</v>
      </c>
      <c r="CS155" s="53">
        <f t="shared" si="120"/>
        <v>235038</v>
      </c>
      <c r="CT155" s="53">
        <f t="shared" si="121"/>
        <v>188031</v>
      </c>
      <c r="CU155" s="53">
        <f t="shared" si="122"/>
        <v>169228</v>
      </c>
      <c r="CV155" s="53">
        <f t="shared" si="84"/>
        <v>1948932</v>
      </c>
      <c r="CW155" s="1"/>
      <c r="CX155" s="1"/>
      <c r="CY155" s="1"/>
      <c r="CZ155" s="1"/>
      <c r="DA155" s="1"/>
      <c r="DB155" s="1"/>
      <c r="DC155" s="1"/>
      <c r="DD155" s="1"/>
      <c r="DE155" s="1"/>
      <c r="DF155" s="1"/>
      <c r="DG155" s="1"/>
      <c r="DH155" s="1"/>
      <c r="DI155" s="1"/>
      <c r="DJ155" s="1"/>
      <c r="DK155" s="1"/>
      <c r="DL155" s="1"/>
    </row>
    <row r="156" spans="1:116" ht="15.75" hidden="1" x14ac:dyDescent="0.25">
      <c r="A156" s="17"/>
      <c r="B156" s="17"/>
      <c r="C156" s="17"/>
      <c r="D156" s="17"/>
      <c r="E156" s="17"/>
      <c r="F156" s="18" t="s">
        <v>31</v>
      </c>
      <c r="G156" s="66">
        <v>653.71</v>
      </c>
      <c r="H156" s="66">
        <v>599.23</v>
      </c>
      <c r="I156" s="66">
        <v>692.48</v>
      </c>
      <c r="J156" s="66">
        <v>463.6</v>
      </c>
      <c r="K156" s="66">
        <v>463.6</v>
      </c>
      <c r="L156" s="66">
        <v>424.97</v>
      </c>
      <c r="M156" s="66">
        <v>424.97</v>
      </c>
      <c r="N156" s="66">
        <v>656.04</v>
      </c>
      <c r="O156" s="66">
        <v>692.48</v>
      </c>
      <c r="P156" s="66">
        <v>801.82</v>
      </c>
      <c r="Q156" s="66">
        <v>801.82</v>
      </c>
      <c r="R156" s="66">
        <v>583.14</v>
      </c>
      <c r="S156" s="11">
        <f t="shared" si="86"/>
        <v>7257.86</v>
      </c>
      <c r="T156" s="1"/>
      <c r="U156" s="1"/>
      <c r="V156" s="50">
        <f t="shared" si="83"/>
        <v>9578931</v>
      </c>
      <c r="W156" s="36">
        <v>1.964</v>
      </c>
      <c r="X156" s="36">
        <v>1.964</v>
      </c>
      <c r="Y156" s="36">
        <v>2.6280000000000001</v>
      </c>
      <c r="Z156" s="36">
        <v>2.6280000000000001</v>
      </c>
      <c r="AA156" s="36">
        <v>2.6280000000000001</v>
      </c>
      <c r="AB156" s="36">
        <v>2.6280000000000001</v>
      </c>
      <c r="AC156" s="36">
        <v>2.6280000000000001</v>
      </c>
      <c r="AD156" s="36">
        <v>2.6280000000000001</v>
      </c>
      <c r="AE156" s="36">
        <v>2.6280000000000001</v>
      </c>
      <c r="AF156" s="36">
        <v>2.6280000000000001</v>
      </c>
      <c r="AG156" s="36">
        <v>2.6280000000000001</v>
      </c>
      <c r="AH156" s="36">
        <v>2.6280000000000001</v>
      </c>
      <c r="AI156" s="39">
        <v>1.33634708931066E-2</v>
      </c>
      <c r="AJ156" s="39">
        <v>1.33634708931066E-2</v>
      </c>
      <c r="AK156" s="39">
        <v>1.33634708931066E-2</v>
      </c>
      <c r="AL156" s="39">
        <v>1.33634708931066E-2</v>
      </c>
      <c r="AM156" s="39">
        <v>1.33634708931066E-2</v>
      </c>
      <c r="AN156" s="39">
        <v>1.33634708931066E-2</v>
      </c>
      <c r="AO156" s="39">
        <v>1.33634708931066E-2</v>
      </c>
      <c r="AP156" s="39">
        <v>1.33634708931066E-2</v>
      </c>
      <c r="AQ156" s="39">
        <v>1.33634708931066E-2</v>
      </c>
      <c r="AR156" s="39">
        <v>1.33634708931066E-2</v>
      </c>
      <c r="AS156" s="39">
        <v>1.33634708931066E-2</v>
      </c>
      <c r="AT156" s="39">
        <v>1.33634708931066E-2</v>
      </c>
      <c r="AU156" s="39">
        <v>1.2392217523121999E-3</v>
      </c>
      <c r="AV156" s="39">
        <v>1.2392217523121999E-3</v>
      </c>
      <c r="AW156" s="39">
        <v>1.2392217523121999E-3</v>
      </c>
      <c r="AX156" s="39">
        <v>1.2392217523121999E-3</v>
      </c>
      <c r="AY156" s="39">
        <v>1.2392217523121999E-3</v>
      </c>
      <c r="AZ156" s="39">
        <v>1.2392217523121999E-3</v>
      </c>
      <c r="BA156" s="39">
        <v>1.2392217523121999E-3</v>
      </c>
      <c r="BB156" s="39">
        <v>1.2392217523121999E-3</v>
      </c>
      <c r="BC156" s="39">
        <v>1.2392217523121999E-3</v>
      </c>
      <c r="BD156" s="39">
        <v>1.2392217523121999E-3</v>
      </c>
      <c r="BE156" s="39">
        <v>1.2392217523121999E-3</v>
      </c>
      <c r="BF156" s="39">
        <v>1.2392217523121999E-3</v>
      </c>
      <c r="BG156" s="1"/>
      <c r="BH156" s="12">
        <f t="shared" si="87"/>
        <v>2111.4833000000003</v>
      </c>
      <c r="BI156" s="12">
        <f t="shared" si="88"/>
        <v>1935.5128999999999</v>
      </c>
      <c r="BJ156" s="12">
        <f t="shared" si="89"/>
        <v>2236.7103999999999</v>
      </c>
      <c r="BK156" s="12">
        <f t="shared" si="90"/>
        <v>1497.4280000000001</v>
      </c>
      <c r="BL156" s="12">
        <f t="shared" si="91"/>
        <v>1497.4280000000001</v>
      </c>
      <c r="BM156" s="12">
        <f t="shared" si="92"/>
        <v>1372.6531</v>
      </c>
      <c r="BN156" s="12">
        <f t="shared" si="93"/>
        <v>1372.6531</v>
      </c>
      <c r="BO156" s="12">
        <f t="shared" si="94"/>
        <v>2119.0092</v>
      </c>
      <c r="BP156" s="12">
        <f t="shared" si="95"/>
        <v>2236.7103999999999</v>
      </c>
      <c r="BQ156" s="12">
        <f t="shared" si="96"/>
        <v>2589.8786</v>
      </c>
      <c r="BR156" s="12">
        <f t="shared" si="97"/>
        <v>2589.8786</v>
      </c>
      <c r="BS156" s="12">
        <f t="shared" si="98"/>
        <v>1883.5421999999999</v>
      </c>
      <c r="BT156" s="1"/>
      <c r="BU156" s="11">
        <f t="shared" si="99"/>
        <v>2142.3166416558352</v>
      </c>
      <c r="BV156" s="11">
        <f t="shared" si="100"/>
        <v>1963.7765999899432</v>
      </c>
      <c r="BW156" s="11">
        <f t="shared" si="101"/>
        <v>2269.3723945080119</v>
      </c>
      <c r="BX156" s="11">
        <f t="shared" si="102"/>
        <v>1519.2944808426444</v>
      </c>
      <c r="BY156" s="11">
        <f t="shared" si="103"/>
        <v>1519.2944808426444</v>
      </c>
      <c r="BZ156" s="11">
        <f t="shared" si="104"/>
        <v>1392.6975313280814</v>
      </c>
      <c r="CA156" s="11">
        <f t="shared" si="105"/>
        <v>1392.6975313280814</v>
      </c>
      <c r="CB156" s="11">
        <f t="shared" si="106"/>
        <v>2149.9524400604146</v>
      </c>
      <c r="CC156" s="11">
        <f t="shared" si="107"/>
        <v>2269.3723945080119</v>
      </c>
      <c r="CD156" s="11">
        <f t="shared" si="108"/>
        <v>2627.6978011847477</v>
      </c>
      <c r="CE156" s="11">
        <f t="shared" si="109"/>
        <v>2627.6978011847477</v>
      </c>
      <c r="CF156" s="11">
        <f t="shared" si="110"/>
        <v>1911.0469878312758</v>
      </c>
      <c r="CG156" s="11"/>
      <c r="CH156" s="41">
        <v>3.23</v>
      </c>
      <c r="CI156" s="1"/>
      <c r="CJ156" s="53">
        <f t="shared" si="111"/>
        <v>1090793</v>
      </c>
      <c r="CK156" s="53">
        <f t="shared" si="112"/>
        <v>999886</v>
      </c>
      <c r="CL156" s="53">
        <f t="shared" si="113"/>
        <v>863536</v>
      </c>
      <c r="CM156" s="53">
        <f t="shared" si="114"/>
        <v>578118</v>
      </c>
      <c r="CN156" s="53">
        <f t="shared" si="115"/>
        <v>578118</v>
      </c>
      <c r="CO156" s="53">
        <f t="shared" si="116"/>
        <v>529946</v>
      </c>
      <c r="CP156" s="53">
        <f t="shared" si="117"/>
        <v>529946</v>
      </c>
      <c r="CQ156" s="53">
        <f t="shared" si="118"/>
        <v>818095</v>
      </c>
      <c r="CR156" s="53">
        <f t="shared" si="119"/>
        <v>863536</v>
      </c>
      <c r="CS156" s="53">
        <f t="shared" si="120"/>
        <v>999885</v>
      </c>
      <c r="CT156" s="53">
        <f t="shared" si="121"/>
        <v>999885</v>
      </c>
      <c r="CU156" s="53">
        <f t="shared" si="122"/>
        <v>727187</v>
      </c>
      <c r="CV156" s="53">
        <f t="shared" si="84"/>
        <v>9578931</v>
      </c>
      <c r="CW156" s="1"/>
      <c r="CX156" s="1"/>
      <c r="CY156" s="1"/>
      <c r="CZ156" s="1"/>
      <c r="DA156" s="1"/>
      <c r="DB156" s="1"/>
      <c r="DC156" s="1"/>
      <c r="DD156" s="1"/>
      <c r="DE156" s="1"/>
      <c r="DF156" s="1"/>
      <c r="DG156" s="1"/>
      <c r="DH156" s="1"/>
      <c r="DI156" s="1"/>
      <c r="DJ156" s="1"/>
      <c r="DK156" s="1"/>
      <c r="DL156" s="1"/>
    </row>
    <row r="157" spans="1:116" ht="15.75" hidden="1" x14ac:dyDescent="0.25">
      <c r="A157" s="17"/>
      <c r="B157" s="17"/>
      <c r="C157" s="17"/>
      <c r="D157" s="17"/>
      <c r="E157" s="17"/>
      <c r="F157" s="18" t="s">
        <v>31</v>
      </c>
      <c r="G157" s="66">
        <v>23.19</v>
      </c>
      <c r="H157" s="66">
        <v>23.19</v>
      </c>
      <c r="I157" s="66">
        <v>23.19</v>
      </c>
      <c r="J157" s="66">
        <v>23.19</v>
      </c>
      <c r="K157" s="66">
        <v>23.19</v>
      </c>
      <c r="L157" s="66">
        <v>23.19</v>
      </c>
      <c r="M157" s="66">
        <v>23.19</v>
      </c>
      <c r="N157" s="66">
        <v>23.19</v>
      </c>
      <c r="O157" s="66">
        <v>23.19</v>
      </c>
      <c r="P157" s="66">
        <v>23.19</v>
      </c>
      <c r="Q157" s="66">
        <v>23.19</v>
      </c>
      <c r="R157" s="66">
        <v>23.19</v>
      </c>
      <c r="S157" s="11">
        <f t="shared" si="86"/>
        <v>278.28000000000003</v>
      </c>
      <c r="T157" s="1"/>
      <c r="U157" s="1"/>
      <c r="V157" s="50">
        <f t="shared" si="83"/>
        <v>178572</v>
      </c>
      <c r="W157" s="36">
        <v>5.1070000000000002</v>
      </c>
      <c r="X157" s="36">
        <v>5.1070000000000002</v>
      </c>
      <c r="Y157" s="36">
        <v>5.1070000000000002</v>
      </c>
      <c r="Z157" s="36">
        <v>5.1070000000000002</v>
      </c>
      <c r="AA157" s="36">
        <v>5.1070000000000002</v>
      </c>
      <c r="AB157" s="36">
        <v>5.1070000000000002</v>
      </c>
      <c r="AC157" s="36">
        <v>5.1070000000000002</v>
      </c>
      <c r="AD157" s="36">
        <v>5.1070000000000002</v>
      </c>
      <c r="AE157" s="36">
        <v>5.1070000000000002</v>
      </c>
      <c r="AF157" s="36">
        <v>5.1070000000000002</v>
      </c>
      <c r="AG157" s="36">
        <v>5.1070000000000002</v>
      </c>
      <c r="AH157" s="36">
        <v>5.1070000000000002</v>
      </c>
      <c r="AI157" s="39">
        <v>1.33634708931066E-2</v>
      </c>
      <c r="AJ157" s="39">
        <v>1.33634708931066E-2</v>
      </c>
      <c r="AK157" s="39">
        <v>1.33634708931066E-2</v>
      </c>
      <c r="AL157" s="39">
        <v>1.33634708931066E-2</v>
      </c>
      <c r="AM157" s="39">
        <v>1.33634708931066E-2</v>
      </c>
      <c r="AN157" s="39">
        <v>1.33634708931066E-2</v>
      </c>
      <c r="AO157" s="39">
        <v>1.33634708931066E-2</v>
      </c>
      <c r="AP157" s="39">
        <v>1.33634708931066E-2</v>
      </c>
      <c r="AQ157" s="39">
        <v>1.33634708931066E-2</v>
      </c>
      <c r="AR157" s="39">
        <v>1.33634708931066E-2</v>
      </c>
      <c r="AS157" s="39">
        <v>1.33634708931066E-2</v>
      </c>
      <c r="AT157" s="39">
        <v>1.33634708931066E-2</v>
      </c>
      <c r="AU157" s="39">
        <v>1.2392217523121999E-3</v>
      </c>
      <c r="AV157" s="39">
        <v>1.2392217523121999E-3</v>
      </c>
      <c r="AW157" s="39">
        <v>1.2392217523121999E-3</v>
      </c>
      <c r="AX157" s="39">
        <v>1.2392217523121999E-3</v>
      </c>
      <c r="AY157" s="39">
        <v>1.2392217523121999E-3</v>
      </c>
      <c r="AZ157" s="39">
        <v>1.2392217523121999E-3</v>
      </c>
      <c r="BA157" s="39">
        <v>1.2392217523121999E-3</v>
      </c>
      <c r="BB157" s="39">
        <v>1.2392217523121999E-3</v>
      </c>
      <c r="BC157" s="39">
        <v>1.2392217523121999E-3</v>
      </c>
      <c r="BD157" s="39">
        <v>1.2392217523121999E-3</v>
      </c>
      <c r="BE157" s="39">
        <v>1.2392217523121999E-3</v>
      </c>
      <c r="BF157" s="39">
        <v>1.2392217523121999E-3</v>
      </c>
      <c r="BG157" s="1"/>
      <c r="BH157" s="12">
        <f t="shared" si="87"/>
        <v>74.903700000000001</v>
      </c>
      <c r="BI157" s="12">
        <f t="shared" si="88"/>
        <v>74.903700000000001</v>
      </c>
      <c r="BJ157" s="12">
        <f t="shared" si="89"/>
        <v>74.903700000000001</v>
      </c>
      <c r="BK157" s="12">
        <f t="shared" si="90"/>
        <v>74.903700000000001</v>
      </c>
      <c r="BL157" s="12">
        <f t="shared" si="91"/>
        <v>74.903700000000001</v>
      </c>
      <c r="BM157" s="12">
        <f t="shared" si="92"/>
        <v>74.903700000000001</v>
      </c>
      <c r="BN157" s="12">
        <f t="shared" si="93"/>
        <v>74.903700000000001</v>
      </c>
      <c r="BO157" s="12">
        <f t="shared" si="94"/>
        <v>74.903700000000001</v>
      </c>
      <c r="BP157" s="12">
        <f t="shared" si="95"/>
        <v>74.903700000000001</v>
      </c>
      <c r="BQ157" s="12">
        <f t="shared" si="96"/>
        <v>74.903700000000001</v>
      </c>
      <c r="BR157" s="12">
        <f t="shared" si="97"/>
        <v>74.903700000000001</v>
      </c>
      <c r="BS157" s="12">
        <f t="shared" si="98"/>
        <v>74.903700000000001</v>
      </c>
      <c r="BT157" s="1"/>
      <c r="BU157" s="11">
        <f t="shared" si="99"/>
        <v>75.997495709104655</v>
      </c>
      <c r="BV157" s="11">
        <f t="shared" si="100"/>
        <v>75.997495709104655</v>
      </c>
      <c r="BW157" s="11">
        <f t="shared" si="101"/>
        <v>75.997495709104655</v>
      </c>
      <c r="BX157" s="11">
        <f t="shared" si="102"/>
        <v>75.997495709104655</v>
      </c>
      <c r="BY157" s="11">
        <f t="shared" si="103"/>
        <v>75.997495709104655</v>
      </c>
      <c r="BZ157" s="11">
        <f t="shared" si="104"/>
        <v>75.997495709104655</v>
      </c>
      <c r="CA157" s="11">
        <f t="shared" si="105"/>
        <v>75.997495709104655</v>
      </c>
      <c r="CB157" s="11">
        <f t="shared" si="106"/>
        <v>75.997495709104655</v>
      </c>
      <c r="CC157" s="11">
        <f t="shared" si="107"/>
        <v>75.997495709104655</v>
      </c>
      <c r="CD157" s="11">
        <f t="shared" si="108"/>
        <v>75.997495709104655</v>
      </c>
      <c r="CE157" s="11">
        <f t="shared" si="109"/>
        <v>75.997495709104655</v>
      </c>
      <c r="CF157" s="11">
        <f t="shared" si="110"/>
        <v>75.997495709104655</v>
      </c>
      <c r="CG157" s="11"/>
      <c r="CH157" s="41">
        <v>3.23</v>
      </c>
      <c r="CI157" s="1"/>
      <c r="CJ157" s="53">
        <f t="shared" si="111"/>
        <v>14881</v>
      </c>
      <c r="CK157" s="53">
        <f t="shared" si="112"/>
        <v>14881</v>
      </c>
      <c r="CL157" s="53">
        <f t="shared" si="113"/>
        <v>14881</v>
      </c>
      <c r="CM157" s="53">
        <f t="shared" si="114"/>
        <v>14881</v>
      </c>
      <c r="CN157" s="53">
        <f t="shared" si="115"/>
        <v>14881</v>
      </c>
      <c r="CO157" s="53">
        <f t="shared" si="116"/>
        <v>14881</v>
      </c>
      <c r="CP157" s="53">
        <f t="shared" si="117"/>
        <v>14881</v>
      </c>
      <c r="CQ157" s="53">
        <f t="shared" si="118"/>
        <v>14881</v>
      </c>
      <c r="CR157" s="53">
        <f t="shared" si="119"/>
        <v>14881</v>
      </c>
      <c r="CS157" s="53">
        <f t="shared" si="120"/>
        <v>14881</v>
      </c>
      <c r="CT157" s="53">
        <f t="shared" si="121"/>
        <v>14881</v>
      </c>
      <c r="CU157" s="53">
        <f t="shared" si="122"/>
        <v>14881</v>
      </c>
      <c r="CV157" s="53">
        <f t="shared" si="84"/>
        <v>178572</v>
      </c>
      <c r="CW157" s="1"/>
      <c r="CX157" s="1"/>
      <c r="CY157" s="1"/>
      <c r="CZ157" s="1"/>
      <c r="DA157" s="1"/>
      <c r="DB157" s="1"/>
      <c r="DC157" s="1"/>
      <c r="DD157" s="1"/>
      <c r="DE157" s="1"/>
      <c r="DF157" s="1"/>
      <c r="DG157" s="1"/>
      <c r="DH157" s="1"/>
      <c r="DI157" s="1"/>
      <c r="DJ157" s="1"/>
      <c r="DK157" s="1"/>
      <c r="DL157" s="1"/>
    </row>
    <row r="158" spans="1:116" ht="15.75" hidden="1" x14ac:dyDescent="0.25">
      <c r="A158" s="17"/>
      <c r="B158" s="17"/>
      <c r="C158" s="17"/>
      <c r="D158" s="17"/>
      <c r="E158" s="17"/>
      <c r="F158" s="18" t="s">
        <v>31</v>
      </c>
      <c r="G158" s="66">
        <v>28.55</v>
      </c>
      <c r="H158" s="66">
        <v>23.79</v>
      </c>
      <c r="I158" s="66">
        <v>23.79</v>
      </c>
      <c r="J158" s="66">
        <v>24.98</v>
      </c>
      <c r="K158" s="66">
        <v>19.98</v>
      </c>
      <c r="L158" s="66">
        <v>4</v>
      </c>
      <c r="M158" s="66">
        <v>4</v>
      </c>
      <c r="N158" s="66">
        <v>3</v>
      </c>
      <c r="O158" s="66">
        <v>11.42</v>
      </c>
      <c r="P158" s="66">
        <v>19.03</v>
      </c>
      <c r="Q158" s="66">
        <v>24.98</v>
      </c>
      <c r="R158" s="66">
        <v>24.98</v>
      </c>
      <c r="S158" s="11">
        <f t="shared" si="86"/>
        <v>212.49999999999997</v>
      </c>
      <c r="T158" s="1"/>
      <c r="U158" s="1"/>
      <c r="V158" s="50">
        <f t="shared" si="83"/>
        <v>213882</v>
      </c>
      <c r="W158" s="36">
        <v>3.2559999999999998</v>
      </c>
      <c r="X158" s="36">
        <v>3.2559999999999998</v>
      </c>
      <c r="Y158" s="36">
        <v>3.2559999999999998</v>
      </c>
      <c r="Z158" s="36">
        <v>3.2559999999999998</v>
      </c>
      <c r="AA158" s="36">
        <v>3.2559999999999998</v>
      </c>
      <c r="AB158" s="36">
        <v>3.2559999999999998</v>
      </c>
      <c r="AC158" s="36">
        <v>3.2559999999999998</v>
      </c>
      <c r="AD158" s="36">
        <v>3.2559999999999998</v>
      </c>
      <c r="AE158" s="36">
        <v>3.2559999999999998</v>
      </c>
      <c r="AF158" s="36">
        <v>3.2559999999999998</v>
      </c>
      <c r="AG158" s="36">
        <v>3.2559999999999998</v>
      </c>
      <c r="AH158" s="36">
        <v>3.2559999999999998</v>
      </c>
      <c r="AI158" s="39">
        <v>1.33634708931066E-2</v>
      </c>
      <c r="AJ158" s="39">
        <v>1.33634708931066E-2</v>
      </c>
      <c r="AK158" s="39">
        <v>1.33634708931066E-2</v>
      </c>
      <c r="AL158" s="39">
        <v>1.33634708931066E-2</v>
      </c>
      <c r="AM158" s="39">
        <v>1.33634708931066E-2</v>
      </c>
      <c r="AN158" s="39">
        <v>1.33634708931066E-2</v>
      </c>
      <c r="AO158" s="39">
        <v>1.33634708931066E-2</v>
      </c>
      <c r="AP158" s="39">
        <v>1.33634708931066E-2</v>
      </c>
      <c r="AQ158" s="39">
        <v>1.33634708931066E-2</v>
      </c>
      <c r="AR158" s="39">
        <v>1.33634708931066E-2</v>
      </c>
      <c r="AS158" s="39">
        <v>1.33634708931066E-2</v>
      </c>
      <c r="AT158" s="39">
        <v>1.33634708931066E-2</v>
      </c>
      <c r="AU158" s="39">
        <v>1.2392217523121999E-3</v>
      </c>
      <c r="AV158" s="39">
        <v>1.2392217523121999E-3</v>
      </c>
      <c r="AW158" s="39">
        <v>1.2392217523121999E-3</v>
      </c>
      <c r="AX158" s="39">
        <v>1.2392217523121999E-3</v>
      </c>
      <c r="AY158" s="39">
        <v>1.2392217523121999E-3</v>
      </c>
      <c r="AZ158" s="39">
        <v>1.2392217523121999E-3</v>
      </c>
      <c r="BA158" s="39">
        <v>1.2392217523121999E-3</v>
      </c>
      <c r="BB158" s="39">
        <v>1.2392217523121999E-3</v>
      </c>
      <c r="BC158" s="39">
        <v>1.2392217523121999E-3</v>
      </c>
      <c r="BD158" s="39">
        <v>1.2392217523121999E-3</v>
      </c>
      <c r="BE158" s="39">
        <v>1.2392217523121999E-3</v>
      </c>
      <c r="BF158" s="39">
        <v>1.2392217523121999E-3</v>
      </c>
      <c r="BG158" s="1"/>
      <c r="BH158" s="12">
        <f t="shared" si="87"/>
        <v>92.216499999999996</v>
      </c>
      <c r="BI158" s="12">
        <f t="shared" si="88"/>
        <v>76.841700000000003</v>
      </c>
      <c r="BJ158" s="12">
        <f t="shared" si="89"/>
        <v>76.841700000000003</v>
      </c>
      <c r="BK158" s="12">
        <f t="shared" si="90"/>
        <v>80.685400000000001</v>
      </c>
      <c r="BL158" s="12">
        <f t="shared" si="91"/>
        <v>64.535399999999996</v>
      </c>
      <c r="BM158" s="12">
        <f t="shared" si="92"/>
        <v>12.92</v>
      </c>
      <c r="BN158" s="12">
        <f t="shared" si="93"/>
        <v>12.92</v>
      </c>
      <c r="BO158" s="12">
        <f t="shared" si="94"/>
        <v>9.69</v>
      </c>
      <c r="BP158" s="12">
        <f t="shared" si="95"/>
        <v>36.886600000000001</v>
      </c>
      <c r="BQ158" s="12">
        <f t="shared" si="96"/>
        <v>61.466900000000003</v>
      </c>
      <c r="BR158" s="12">
        <f t="shared" si="97"/>
        <v>80.685400000000001</v>
      </c>
      <c r="BS158" s="12">
        <f t="shared" si="98"/>
        <v>80.685400000000001</v>
      </c>
      <c r="BT158" s="1"/>
      <c r="BU158" s="11">
        <f t="shared" si="99"/>
        <v>93.563109206336264</v>
      </c>
      <c r="BV158" s="11">
        <f t="shared" si="100"/>
        <v>77.963795727451483</v>
      </c>
      <c r="BW158" s="11">
        <f t="shared" si="101"/>
        <v>77.963795727451483</v>
      </c>
      <c r="BX158" s="11">
        <f t="shared" si="102"/>
        <v>81.863624097172675</v>
      </c>
      <c r="BY158" s="11">
        <f t="shared" si="103"/>
        <v>65.477790610949157</v>
      </c>
      <c r="BZ158" s="11">
        <f t="shared" si="104"/>
        <v>13.108666788978811</v>
      </c>
      <c r="CA158" s="11">
        <f t="shared" si="105"/>
        <v>13.108666788978811</v>
      </c>
      <c r="CB158" s="11">
        <f t="shared" si="106"/>
        <v>9.8315000917341084</v>
      </c>
      <c r="CC158" s="11">
        <f t="shared" si="107"/>
        <v>37.425243682534507</v>
      </c>
      <c r="CD158" s="11">
        <f t="shared" si="108"/>
        <v>62.364482248566695</v>
      </c>
      <c r="CE158" s="11">
        <f t="shared" si="109"/>
        <v>81.863624097172675</v>
      </c>
      <c r="CF158" s="11">
        <f t="shared" si="110"/>
        <v>81.863624097172675</v>
      </c>
      <c r="CG158" s="11"/>
      <c r="CH158" s="41">
        <v>3.23</v>
      </c>
      <c r="CI158" s="1"/>
      <c r="CJ158" s="53">
        <f t="shared" si="111"/>
        <v>28736</v>
      </c>
      <c r="CK158" s="53">
        <f t="shared" si="112"/>
        <v>23945</v>
      </c>
      <c r="CL158" s="53">
        <f t="shared" si="113"/>
        <v>23945</v>
      </c>
      <c r="CM158" s="53">
        <f t="shared" si="114"/>
        <v>25142</v>
      </c>
      <c r="CN158" s="53">
        <f t="shared" si="115"/>
        <v>20110</v>
      </c>
      <c r="CO158" s="53">
        <f t="shared" si="116"/>
        <v>4026</v>
      </c>
      <c r="CP158" s="53">
        <f t="shared" si="117"/>
        <v>4026</v>
      </c>
      <c r="CQ158" s="53">
        <f t="shared" si="118"/>
        <v>3020</v>
      </c>
      <c r="CR158" s="53">
        <f t="shared" si="119"/>
        <v>11494</v>
      </c>
      <c r="CS158" s="53">
        <f t="shared" si="120"/>
        <v>19154</v>
      </c>
      <c r="CT158" s="53">
        <f t="shared" si="121"/>
        <v>25142</v>
      </c>
      <c r="CU158" s="53">
        <f t="shared" si="122"/>
        <v>25142</v>
      </c>
      <c r="CV158" s="53">
        <f t="shared" si="84"/>
        <v>213882</v>
      </c>
      <c r="CW158" s="1"/>
      <c r="CX158" s="1"/>
      <c r="CY158" s="1"/>
      <c r="CZ158" s="1"/>
      <c r="DA158" s="1"/>
      <c r="DB158" s="1"/>
      <c r="DC158" s="1"/>
      <c r="DD158" s="1"/>
      <c r="DE158" s="1"/>
      <c r="DF158" s="1"/>
      <c r="DG158" s="1"/>
      <c r="DH158" s="1"/>
      <c r="DI158" s="1"/>
      <c r="DJ158" s="1"/>
      <c r="DK158" s="1"/>
      <c r="DL158" s="1"/>
    </row>
    <row r="159" spans="1:116" ht="15.75" hidden="1" x14ac:dyDescent="0.25">
      <c r="A159" s="17"/>
      <c r="B159" s="17"/>
      <c r="C159" s="17"/>
      <c r="D159" s="17"/>
      <c r="E159" s="17"/>
      <c r="F159" s="18" t="s">
        <v>31</v>
      </c>
      <c r="G159" s="66">
        <v>17.510000000000002</v>
      </c>
      <c r="H159" s="66">
        <v>13.13</v>
      </c>
      <c r="I159" s="66">
        <v>10.07</v>
      </c>
      <c r="J159" s="66">
        <v>7.11</v>
      </c>
      <c r="K159" s="66">
        <v>7.88</v>
      </c>
      <c r="L159" s="66">
        <v>3.68</v>
      </c>
      <c r="M159" s="66">
        <v>3.68</v>
      </c>
      <c r="N159" s="66">
        <v>4.38</v>
      </c>
      <c r="O159" s="66">
        <v>8.76</v>
      </c>
      <c r="P159" s="66">
        <v>13.13</v>
      </c>
      <c r="Q159" s="66">
        <v>13.13</v>
      </c>
      <c r="R159" s="66">
        <v>9.6300000000000008</v>
      </c>
      <c r="S159" s="11">
        <f t="shared" si="86"/>
        <v>112.08999999999999</v>
      </c>
      <c r="T159" s="1"/>
      <c r="U159" s="1"/>
      <c r="V159" s="50">
        <f t="shared" si="83"/>
        <v>255985</v>
      </c>
      <c r="W159" s="36">
        <v>1.4350000000000001</v>
      </c>
      <c r="X159" s="36">
        <v>1.4350000000000001</v>
      </c>
      <c r="Y159" s="36">
        <v>1.4350000000000001</v>
      </c>
      <c r="Z159" s="36">
        <v>1.4350000000000001</v>
      </c>
      <c r="AA159" s="36">
        <v>1.4350000000000001</v>
      </c>
      <c r="AB159" s="36">
        <v>1.4350000000000001</v>
      </c>
      <c r="AC159" s="36">
        <v>1.4350000000000001</v>
      </c>
      <c r="AD159" s="36">
        <v>1.4350000000000001</v>
      </c>
      <c r="AE159" s="36">
        <v>1.4350000000000001</v>
      </c>
      <c r="AF159" s="36">
        <v>1.4350000000000001</v>
      </c>
      <c r="AG159" s="36">
        <v>1.4350000000000001</v>
      </c>
      <c r="AH159" s="36">
        <v>1.4350000000000001</v>
      </c>
      <c r="AI159" s="39">
        <v>1.33634708931066E-2</v>
      </c>
      <c r="AJ159" s="39">
        <v>1.33634708931066E-2</v>
      </c>
      <c r="AK159" s="39">
        <v>1.33634708931066E-2</v>
      </c>
      <c r="AL159" s="39">
        <v>1.33634708931066E-2</v>
      </c>
      <c r="AM159" s="39">
        <v>1.33634708931066E-2</v>
      </c>
      <c r="AN159" s="39">
        <v>1.33634708931066E-2</v>
      </c>
      <c r="AO159" s="39">
        <v>1.33634708931066E-2</v>
      </c>
      <c r="AP159" s="39">
        <v>1.33634708931066E-2</v>
      </c>
      <c r="AQ159" s="39">
        <v>1.33634708931066E-2</v>
      </c>
      <c r="AR159" s="39">
        <v>1.33634708931066E-2</v>
      </c>
      <c r="AS159" s="39">
        <v>1.33634708931066E-2</v>
      </c>
      <c r="AT159" s="39">
        <v>1.33634708931066E-2</v>
      </c>
      <c r="AU159" s="39">
        <v>1.2392217523121999E-3</v>
      </c>
      <c r="AV159" s="39">
        <v>1.2392217523121999E-3</v>
      </c>
      <c r="AW159" s="39">
        <v>1.2392217523121999E-3</v>
      </c>
      <c r="AX159" s="39">
        <v>1.2392217523121999E-3</v>
      </c>
      <c r="AY159" s="39">
        <v>1.2392217523121999E-3</v>
      </c>
      <c r="AZ159" s="39">
        <v>1.2392217523121999E-3</v>
      </c>
      <c r="BA159" s="39">
        <v>1.2392217523121999E-3</v>
      </c>
      <c r="BB159" s="39">
        <v>1.2392217523121999E-3</v>
      </c>
      <c r="BC159" s="39">
        <v>1.2392217523121999E-3</v>
      </c>
      <c r="BD159" s="39">
        <v>1.2392217523121999E-3</v>
      </c>
      <c r="BE159" s="39">
        <v>1.2392217523121999E-3</v>
      </c>
      <c r="BF159" s="39">
        <v>1.2392217523121999E-3</v>
      </c>
      <c r="BG159" s="1"/>
      <c r="BH159" s="12">
        <f t="shared" si="87"/>
        <v>56.557300000000005</v>
      </c>
      <c r="BI159" s="12">
        <f t="shared" si="88"/>
        <v>42.4099</v>
      </c>
      <c r="BJ159" s="12">
        <f t="shared" si="89"/>
        <v>32.5261</v>
      </c>
      <c r="BK159" s="12">
        <f t="shared" si="90"/>
        <v>22.965299999999999</v>
      </c>
      <c r="BL159" s="12">
        <f t="shared" si="91"/>
        <v>25.452400000000001</v>
      </c>
      <c r="BM159" s="12">
        <f t="shared" si="92"/>
        <v>11.8864</v>
      </c>
      <c r="BN159" s="12">
        <f t="shared" si="93"/>
        <v>11.8864</v>
      </c>
      <c r="BO159" s="12">
        <f t="shared" si="94"/>
        <v>14.147399999999999</v>
      </c>
      <c r="BP159" s="12">
        <f t="shared" si="95"/>
        <v>28.294799999999999</v>
      </c>
      <c r="BQ159" s="12">
        <f t="shared" si="96"/>
        <v>42.4099</v>
      </c>
      <c r="BR159" s="12">
        <f t="shared" si="97"/>
        <v>42.4099</v>
      </c>
      <c r="BS159" s="12">
        <f t="shared" si="98"/>
        <v>31.104900000000001</v>
      </c>
      <c r="BT159" s="1"/>
      <c r="BU159" s="11">
        <f t="shared" si="99"/>
        <v>57.38318886875475</v>
      </c>
      <c r="BV159" s="11">
        <f t="shared" si="100"/>
        <v>43.029198734822948</v>
      </c>
      <c r="BW159" s="11">
        <f t="shared" si="101"/>
        <v>33.001068641254157</v>
      </c>
      <c r="BX159" s="11">
        <f t="shared" si="102"/>
        <v>23.300655217409837</v>
      </c>
      <c r="BY159" s="11">
        <f t="shared" si="103"/>
        <v>25.82407357428826</v>
      </c>
      <c r="BZ159" s="11">
        <f t="shared" si="104"/>
        <v>12.059973445860507</v>
      </c>
      <c r="CA159" s="11">
        <f t="shared" si="105"/>
        <v>12.059973445860507</v>
      </c>
      <c r="CB159" s="11">
        <f t="shared" si="106"/>
        <v>14.353990133931797</v>
      </c>
      <c r="CC159" s="11">
        <f t="shared" si="107"/>
        <v>28.707980267863594</v>
      </c>
      <c r="CD159" s="11">
        <f t="shared" si="108"/>
        <v>43.029198734822948</v>
      </c>
      <c r="CE159" s="11">
        <f t="shared" si="109"/>
        <v>43.029198734822948</v>
      </c>
      <c r="CF159" s="11">
        <f t="shared" si="110"/>
        <v>31.559115294466487</v>
      </c>
      <c r="CG159" s="11"/>
      <c r="CH159" s="41">
        <v>3.23</v>
      </c>
      <c r="CI159" s="1"/>
      <c r="CJ159" s="53">
        <f t="shared" si="111"/>
        <v>39988</v>
      </c>
      <c r="CK159" s="53">
        <f t="shared" si="112"/>
        <v>29986</v>
      </c>
      <c r="CL159" s="53">
        <f t="shared" si="113"/>
        <v>22997</v>
      </c>
      <c r="CM159" s="53">
        <f t="shared" si="114"/>
        <v>16237</v>
      </c>
      <c r="CN159" s="53">
        <f t="shared" si="115"/>
        <v>17996</v>
      </c>
      <c r="CO159" s="53">
        <f t="shared" si="116"/>
        <v>8404</v>
      </c>
      <c r="CP159" s="53">
        <f t="shared" si="117"/>
        <v>8404</v>
      </c>
      <c r="CQ159" s="53">
        <f t="shared" si="118"/>
        <v>10003</v>
      </c>
      <c r="CR159" s="53">
        <f t="shared" si="119"/>
        <v>20006</v>
      </c>
      <c r="CS159" s="53">
        <f t="shared" si="120"/>
        <v>29986</v>
      </c>
      <c r="CT159" s="53">
        <f t="shared" si="121"/>
        <v>29986</v>
      </c>
      <c r="CU159" s="53">
        <f t="shared" si="122"/>
        <v>21992</v>
      </c>
      <c r="CV159" s="53">
        <f t="shared" si="84"/>
        <v>255985</v>
      </c>
      <c r="CW159" s="1"/>
      <c r="CX159" s="1"/>
      <c r="CY159" s="1"/>
      <c r="CZ159" s="1"/>
      <c r="DA159" s="1"/>
      <c r="DB159" s="1"/>
      <c r="DC159" s="1"/>
      <c r="DD159" s="1"/>
      <c r="DE159" s="1"/>
      <c r="DF159" s="1"/>
      <c r="DG159" s="1"/>
      <c r="DH159" s="1"/>
      <c r="DI159" s="1"/>
      <c r="DJ159" s="1"/>
      <c r="DK159" s="1"/>
      <c r="DL159" s="1"/>
    </row>
    <row r="160" spans="1:116" ht="15.75" hidden="1" x14ac:dyDescent="0.25">
      <c r="A160" s="17"/>
      <c r="B160" s="17"/>
      <c r="C160" s="17"/>
      <c r="D160" s="17"/>
      <c r="E160" s="17"/>
      <c r="F160" s="18" t="s">
        <v>31</v>
      </c>
      <c r="G160" s="66">
        <v>10.82</v>
      </c>
      <c r="H160" s="66">
        <v>7.94</v>
      </c>
      <c r="I160" s="66">
        <v>6.94</v>
      </c>
      <c r="J160" s="66">
        <v>6.94</v>
      </c>
      <c r="K160" s="66">
        <v>6.94</v>
      </c>
      <c r="L160" s="66">
        <v>3.97</v>
      </c>
      <c r="M160" s="66">
        <v>3.97</v>
      </c>
      <c r="N160" s="66">
        <v>11.9</v>
      </c>
      <c r="O160" s="66">
        <v>14.88</v>
      </c>
      <c r="P160" s="66">
        <v>14.88</v>
      </c>
      <c r="Q160" s="66">
        <v>14.88</v>
      </c>
      <c r="R160" s="66">
        <v>14.88</v>
      </c>
      <c r="S160" s="11">
        <f t="shared" si="86"/>
        <v>118.93999999999998</v>
      </c>
      <c r="T160" s="1"/>
      <c r="U160" s="1"/>
      <c r="V160" s="50">
        <f t="shared" si="83"/>
        <v>131864</v>
      </c>
      <c r="W160" s="36">
        <v>2.956</v>
      </c>
      <c r="X160" s="36">
        <v>2.956</v>
      </c>
      <c r="Y160" s="36">
        <v>2.956</v>
      </c>
      <c r="Z160" s="36">
        <v>2.956</v>
      </c>
      <c r="AA160" s="36">
        <v>2.956</v>
      </c>
      <c r="AB160" s="36">
        <v>2.956</v>
      </c>
      <c r="AC160" s="36">
        <v>2.956</v>
      </c>
      <c r="AD160" s="36">
        <v>2.956</v>
      </c>
      <c r="AE160" s="36">
        <v>2.956</v>
      </c>
      <c r="AF160" s="36">
        <v>2.956</v>
      </c>
      <c r="AG160" s="36">
        <v>2.956</v>
      </c>
      <c r="AH160" s="36">
        <v>2.956</v>
      </c>
      <c r="AI160" s="39">
        <v>1.33634708931066E-2</v>
      </c>
      <c r="AJ160" s="39">
        <v>1.33634708931066E-2</v>
      </c>
      <c r="AK160" s="39">
        <v>1.33634708931066E-2</v>
      </c>
      <c r="AL160" s="39">
        <v>1.33634708931066E-2</v>
      </c>
      <c r="AM160" s="39">
        <v>1.33634708931066E-2</v>
      </c>
      <c r="AN160" s="39">
        <v>1.33634708931066E-2</v>
      </c>
      <c r="AO160" s="39">
        <v>1.33634708931066E-2</v>
      </c>
      <c r="AP160" s="39">
        <v>1.33634708931066E-2</v>
      </c>
      <c r="AQ160" s="39">
        <v>1.33634708931066E-2</v>
      </c>
      <c r="AR160" s="39">
        <v>1.33634708931066E-2</v>
      </c>
      <c r="AS160" s="39">
        <v>1.33634708931066E-2</v>
      </c>
      <c r="AT160" s="39">
        <v>1.33634708931066E-2</v>
      </c>
      <c r="AU160" s="39">
        <v>1.2392217523121999E-3</v>
      </c>
      <c r="AV160" s="39">
        <v>1.2392217523121999E-3</v>
      </c>
      <c r="AW160" s="39">
        <v>1.2392217523121999E-3</v>
      </c>
      <c r="AX160" s="39">
        <v>1.2392217523121999E-3</v>
      </c>
      <c r="AY160" s="39">
        <v>1.2392217523121999E-3</v>
      </c>
      <c r="AZ160" s="39">
        <v>1.2392217523121999E-3</v>
      </c>
      <c r="BA160" s="39">
        <v>1.2392217523121999E-3</v>
      </c>
      <c r="BB160" s="39">
        <v>1.2392217523121999E-3</v>
      </c>
      <c r="BC160" s="39">
        <v>1.2392217523121999E-3</v>
      </c>
      <c r="BD160" s="39">
        <v>1.2392217523121999E-3</v>
      </c>
      <c r="BE160" s="39">
        <v>1.2392217523121999E-3</v>
      </c>
      <c r="BF160" s="39">
        <v>1.2392217523121999E-3</v>
      </c>
      <c r="BG160" s="1"/>
      <c r="BH160" s="12">
        <f t="shared" si="87"/>
        <v>34.948599999999999</v>
      </c>
      <c r="BI160" s="12">
        <f t="shared" si="88"/>
        <v>25.6462</v>
      </c>
      <c r="BJ160" s="12">
        <f t="shared" si="89"/>
        <v>22.4162</v>
      </c>
      <c r="BK160" s="12">
        <f t="shared" si="90"/>
        <v>22.4162</v>
      </c>
      <c r="BL160" s="12">
        <f t="shared" si="91"/>
        <v>22.4162</v>
      </c>
      <c r="BM160" s="12">
        <f t="shared" si="92"/>
        <v>12.8231</v>
      </c>
      <c r="BN160" s="12">
        <f t="shared" si="93"/>
        <v>12.8231</v>
      </c>
      <c r="BO160" s="12">
        <f t="shared" si="94"/>
        <v>38.436999999999998</v>
      </c>
      <c r="BP160" s="12">
        <f t="shared" si="95"/>
        <v>48.062400000000004</v>
      </c>
      <c r="BQ160" s="12">
        <f t="shared" si="96"/>
        <v>48.062400000000004</v>
      </c>
      <c r="BR160" s="12">
        <f t="shared" si="97"/>
        <v>48.062400000000004</v>
      </c>
      <c r="BS160" s="12">
        <f t="shared" si="98"/>
        <v>48.062400000000004</v>
      </c>
      <c r="BT160" s="1"/>
      <c r="BU160" s="11">
        <f t="shared" si="99"/>
        <v>35.458943664187686</v>
      </c>
      <c r="BV160" s="11">
        <f t="shared" si="100"/>
        <v>26.020703576122941</v>
      </c>
      <c r="BW160" s="11">
        <f t="shared" si="101"/>
        <v>22.743536878878238</v>
      </c>
      <c r="BX160" s="11">
        <f t="shared" si="102"/>
        <v>22.743536878878238</v>
      </c>
      <c r="BY160" s="11">
        <f t="shared" si="103"/>
        <v>22.743536878878238</v>
      </c>
      <c r="BZ160" s="11">
        <f t="shared" si="104"/>
        <v>13.01035178806147</v>
      </c>
      <c r="CA160" s="11">
        <f t="shared" si="105"/>
        <v>13.01035178806147</v>
      </c>
      <c r="CB160" s="11">
        <f t="shared" si="106"/>
        <v>38.99828369721196</v>
      </c>
      <c r="CC160" s="11">
        <f t="shared" si="107"/>
        <v>48.764240455001179</v>
      </c>
      <c r="CD160" s="11">
        <f t="shared" si="108"/>
        <v>48.764240455001179</v>
      </c>
      <c r="CE160" s="11">
        <f t="shared" si="109"/>
        <v>48.764240455001179</v>
      </c>
      <c r="CF160" s="11">
        <f t="shared" si="110"/>
        <v>48.764240455001179</v>
      </c>
      <c r="CG160" s="11"/>
      <c r="CH160" s="41">
        <v>3.23</v>
      </c>
      <c r="CI160" s="1"/>
      <c r="CJ160" s="53">
        <f t="shared" si="111"/>
        <v>11996</v>
      </c>
      <c r="CK160" s="53">
        <f t="shared" si="112"/>
        <v>8803</v>
      </c>
      <c r="CL160" s="53">
        <f t="shared" si="113"/>
        <v>7694</v>
      </c>
      <c r="CM160" s="53">
        <f t="shared" si="114"/>
        <v>7694</v>
      </c>
      <c r="CN160" s="53">
        <f t="shared" si="115"/>
        <v>7694</v>
      </c>
      <c r="CO160" s="53">
        <f t="shared" si="116"/>
        <v>4401</v>
      </c>
      <c r="CP160" s="53">
        <f t="shared" si="117"/>
        <v>4401</v>
      </c>
      <c r="CQ160" s="53">
        <f t="shared" si="118"/>
        <v>13193</v>
      </c>
      <c r="CR160" s="53">
        <f t="shared" si="119"/>
        <v>16497</v>
      </c>
      <c r="CS160" s="53">
        <f t="shared" si="120"/>
        <v>16497</v>
      </c>
      <c r="CT160" s="53">
        <f t="shared" si="121"/>
        <v>16497</v>
      </c>
      <c r="CU160" s="53">
        <f t="shared" si="122"/>
        <v>16497</v>
      </c>
      <c r="CV160" s="53">
        <f t="shared" si="84"/>
        <v>131864</v>
      </c>
      <c r="CW160" s="1"/>
      <c r="CX160" s="1"/>
      <c r="CY160" s="1"/>
      <c r="CZ160" s="1"/>
      <c r="DA160" s="1"/>
      <c r="DB160" s="1"/>
      <c r="DC160" s="1"/>
      <c r="DD160" s="1"/>
      <c r="DE160" s="1"/>
      <c r="DF160" s="1"/>
      <c r="DG160" s="1"/>
      <c r="DH160" s="1"/>
      <c r="DI160" s="1"/>
      <c r="DJ160" s="1"/>
      <c r="DK160" s="1"/>
      <c r="DL160" s="1"/>
    </row>
    <row r="161" spans="1:116" ht="15.75" hidden="1" x14ac:dyDescent="0.25">
      <c r="A161" s="17"/>
      <c r="B161" s="17"/>
      <c r="C161" s="17"/>
      <c r="D161" s="17"/>
      <c r="E161" s="17"/>
      <c r="F161" s="18" t="s">
        <v>31</v>
      </c>
      <c r="G161" s="66">
        <v>100.17</v>
      </c>
      <c r="H161" s="66">
        <v>144.82</v>
      </c>
      <c r="I161" s="66">
        <v>104.67</v>
      </c>
      <c r="J161" s="66">
        <v>62.8</v>
      </c>
      <c r="K161" s="66">
        <v>62.8</v>
      </c>
      <c r="L161" s="66">
        <v>62.8</v>
      </c>
      <c r="M161" s="66">
        <v>62.8</v>
      </c>
      <c r="N161" s="66">
        <v>83.73</v>
      </c>
      <c r="O161" s="66">
        <v>136.07</v>
      </c>
      <c r="P161" s="66">
        <v>146.53</v>
      </c>
      <c r="Q161" s="66">
        <v>146.53</v>
      </c>
      <c r="R161" s="66">
        <v>83.73</v>
      </c>
      <c r="S161" s="11">
        <f t="shared" si="86"/>
        <v>1197.45</v>
      </c>
      <c r="T161" s="1"/>
      <c r="U161" s="1"/>
      <c r="V161" s="50">
        <f t="shared" si="83"/>
        <v>1128954</v>
      </c>
      <c r="W161" s="36">
        <v>3.476</v>
      </c>
      <c r="X161" s="36">
        <v>3.476</v>
      </c>
      <c r="Y161" s="36">
        <v>3.476</v>
      </c>
      <c r="Z161" s="36">
        <v>3.476</v>
      </c>
      <c r="AA161" s="36">
        <v>3.476</v>
      </c>
      <c r="AB161" s="36">
        <v>3.476</v>
      </c>
      <c r="AC161" s="36">
        <v>3.476</v>
      </c>
      <c r="AD161" s="36">
        <v>3.476</v>
      </c>
      <c r="AE161" s="36">
        <v>3.476</v>
      </c>
      <c r="AF161" s="36">
        <v>3.476</v>
      </c>
      <c r="AG161" s="36">
        <v>3.476</v>
      </c>
      <c r="AH161" s="36">
        <v>3.476</v>
      </c>
      <c r="AI161" s="39">
        <v>1.33634708931066E-2</v>
      </c>
      <c r="AJ161" s="39">
        <v>1.33634708931066E-2</v>
      </c>
      <c r="AK161" s="39">
        <v>1.33634708931066E-2</v>
      </c>
      <c r="AL161" s="39">
        <v>1.33634708931066E-2</v>
      </c>
      <c r="AM161" s="39">
        <v>1.33634708931066E-2</v>
      </c>
      <c r="AN161" s="39">
        <v>1.33634708931066E-2</v>
      </c>
      <c r="AO161" s="39">
        <v>1.33634708931066E-2</v>
      </c>
      <c r="AP161" s="39">
        <v>1.33634708931066E-2</v>
      </c>
      <c r="AQ161" s="39">
        <v>1.33634708931066E-2</v>
      </c>
      <c r="AR161" s="39">
        <v>1.33634708931066E-2</v>
      </c>
      <c r="AS161" s="39">
        <v>1.33634708931066E-2</v>
      </c>
      <c r="AT161" s="39">
        <v>1.33634708931066E-2</v>
      </c>
      <c r="AU161" s="39">
        <v>1.2392217523121999E-3</v>
      </c>
      <c r="AV161" s="39">
        <v>1.2392217523121999E-3</v>
      </c>
      <c r="AW161" s="39">
        <v>1.2392217523121999E-3</v>
      </c>
      <c r="AX161" s="39">
        <v>1.2392217523121999E-3</v>
      </c>
      <c r="AY161" s="39">
        <v>1.2392217523121999E-3</v>
      </c>
      <c r="AZ161" s="39">
        <v>1.2392217523121999E-3</v>
      </c>
      <c r="BA161" s="39">
        <v>1.2392217523121999E-3</v>
      </c>
      <c r="BB161" s="39">
        <v>1.2392217523121999E-3</v>
      </c>
      <c r="BC161" s="39">
        <v>1.2392217523121999E-3</v>
      </c>
      <c r="BD161" s="39">
        <v>1.2392217523121999E-3</v>
      </c>
      <c r="BE161" s="39">
        <v>1.2392217523121999E-3</v>
      </c>
      <c r="BF161" s="39">
        <v>1.2392217523121999E-3</v>
      </c>
      <c r="BG161" s="1"/>
      <c r="BH161" s="12">
        <f t="shared" si="87"/>
        <v>323.54910000000001</v>
      </c>
      <c r="BI161" s="12">
        <f t="shared" si="88"/>
        <v>467.76859999999999</v>
      </c>
      <c r="BJ161" s="12">
        <f t="shared" si="89"/>
        <v>338.08409999999998</v>
      </c>
      <c r="BK161" s="12">
        <f t="shared" si="90"/>
        <v>202.84399999999999</v>
      </c>
      <c r="BL161" s="12">
        <f t="shared" si="91"/>
        <v>202.84399999999999</v>
      </c>
      <c r="BM161" s="12">
        <f t="shared" si="92"/>
        <v>202.84399999999999</v>
      </c>
      <c r="BN161" s="12">
        <f t="shared" si="93"/>
        <v>202.84399999999999</v>
      </c>
      <c r="BO161" s="12">
        <f t="shared" si="94"/>
        <v>270.4479</v>
      </c>
      <c r="BP161" s="12">
        <f t="shared" si="95"/>
        <v>439.5061</v>
      </c>
      <c r="BQ161" s="12">
        <f t="shared" si="96"/>
        <v>473.2919</v>
      </c>
      <c r="BR161" s="12">
        <f t="shared" si="97"/>
        <v>473.2919</v>
      </c>
      <c r="BS161" s="12">
        <f t="shared" si="98"/>
        <v>270.4479</v>
      </c>
      <c r="BT161" s="1"/>
      <c r="BU161" s="11">
        <f t="shared" si="99"/>
        <v>328.27378806300186</v>
      </c>
      <c r="BV161" s="11">
        <f t="shared" si="100"/>
        <v>474.59928109497787</v>
      </c>
      <c r="BW161" s="11">
        <f t="shared" si="101"/>
        <v>343.02103820060302</v>
      </c>
      <c r="BX161" s="11">
        <f t="shared" si="102"/>
        <v>205.80606858696731</v>
      </c>
      <c r="BY161" s="11">
        <f t="shared" si="103"/>
        <v>205.80606858696731</v>
      </c>
      <c r="BZ161" s="11">
        <f t="shared" si="104"/>
        <v>205.80606858696731</v>
      </c>
      <c r="CA161" s="11">
        <f t="shared" si="105"/>
        <v>205.80606858696731</v>
      </c>
      <c r="CB161" s="11">
        <f t="shared" si="106"/>
        <v>274.39716756029895</v>
      </c>
      <c r="CC161" s="11">
        <f t="shared" si="107"/>
        <v>445.92407249408672</v>
      </c>
      <c r="CD161" s="11">
        <f t="shared" si="108"/>
        <v>480.2032361472663</v>
      </c>
      <c r="CE161" s="11">
        <f t="shared" si="109"/>
        <v>480.2032361472663</v>
      </c>
      <c r="CF161" s="11">
        <f t="shared" si="110"/>
        <v>274.39716756029895</v>
      </c>
      <c r="CG161" s="11"/>
      <c r="CH161" s="41">
        <v>3.23</v>
      </c>
      <c r="CI161" s="1"/>
      <c r="CJ161" s="53">
        <f t="shared" si="111"/>
        <v>94440</v>
      </c>
      <c r="CK161" s="53">
        <f t="shared" si="112"/>
        <v>136536</v>
      </c>
      <c r="CL161" s="53">
        <f t="shared" si="113"/>
        <v>98683</v>
      </c>
      <c r="CM161" s="53">
        <f t="shared" si="114"/>
        <v>59208</v>
      </c>
      <c r="CN161" s="53">
        <f t="shared" si="115"/>
        <v>59208</v>
      </c>
      <c r="CO161" s="53">
        <f t="shared" si="116"/>
        <v>59208</v>
      </c>
      <c r="CP161" s="53">
        <f t="shared" si="117"/>
        <v>59208</v>
      </c>
      <c r="CQ161" s="53">
        <f t="shared" si="118"/>
        <v>78940</v>
      </c>
      <c r="CR161" s="53">
        <f t="shared" si="119"/>
        <v>128287</v>
      </c>
      <c r="CS161" s="53">
        <f t="shared" si="120"/>
        <v>138148</v>
      </c>
      <c r="CT161" s="53">
        <f t="shared" si="121"/>
        <v>138148</v>
      </c>
      <c r="CU161" s="53">
        <f t="shared" si="122"/>
        <v>78940</v>
      </c>
      <c r="CV161" s="53">
        <f t="shared" si="84"/>
        <v>1128954</v>
      </c>
      <c r="CW161" s="1"/>
      <c r="CX161" s="1"/>
      <c r="CY161" s="1"/>
      <c r="CZ161" s="1"/>
      <c r="DA161" s="1"/>
      <c r="DB161" s="1"/>
      <c r="DC161" s="1"/>
      <c r="DD161" s="1"/>
      <c r="DE161" s="1"/>
      <c r="DF161" s="1"/>
      <c r="DG161" s="1"/>
      <c r="DH161" s="1"/>
      <c r="DI161" s="1"/>
      <c r="DJ161" s="1"/>
      <c r="DK161" s="1"/>
      <c r="DL161" s="1"/>
    </row>
    <row r="162" spans="1:116" ht="15.75" hidden="1" x14ac:dyDescent="0.25">
      <c r="A162" s="17"/>
      <c r="B162" s="17"/>
      <c r="C162" s="17"/>
      <c r="D162" s="17"/>
      <c r="E162" s="17"/>
      <c r="F162" s="18" t="s">
        <v>31</v>
      </c>
      <c r="G162" s="66">
        <v>238.88</v>
      </c>
      <c r="H162" s="66">
        <v>214.99</v>
      </c>
      <c r="I162" s="66">
        <v>179.16</v>
      </c>
      <c r="J162" s="66">
        <v>83.61</v>
      </c>
      <c r="K162" s="66">
        <v>86.95</v>
      </c>
      <c r="L162" s="66">
        <v>74.53</v>
      </c>
      <c r="M162" s="66">
        <v>74.53</v>
      </c>
      <c r="N162" s="66">
        <v>74.53</v>
      </c>
      <c r="O162" s="66">
        <v>149.06</v>
      </c>
      <c r="P162" s="66">
        <v>173.9</v>
      </c>
      <c r="Q162" s="66">
        <v>173.9</v>
      </c>
      <c r="R162" s="66">
        <v>124.22</v>
      </c>
      <c r="S162" s="11">
        <f t="shared" si="86"/>
        <v>1648.2600000000002</v>
      </c>
      <c r="T162" s="1"/>
      <c r="U162" s="1"/>
      <c r="V162" s="50">
        <f t="shared" si="83"/>
        <v>1379726</v>
      </c>
      <c r="W162" s="36">
        <v>3.915</v>
      </c>
      <c r="X162" s="36">
        <v>3.915</v>
      </c>
      <c r="Y162" s="36">
        <v>3.915</v>
      </c>
      <c r="Z162" s="36">
        <v>3.915</v>
      </c>
      <c r="AA162" s="36">
        <v>3.915</v>
      </c>
      <c r="AB162" s="36">
        <v>3.915</v>
      </c>
      <c r="AC162" s="36">
        <v>3.915</v>
      </c>
      <c r="AD162" s="36">
        <v>3.915</v>
      </c>
      <c r="AE162" s="36">
        <v>3.915</v>
      </c>
      <c r="AF162" s="36">
        <v>3.915</v>
      </c>
      <c r="AG162" s="36">
        <v>3.915</v>
      </c>
      <c r="AH162" s="36">
        <v>3.915</v>
      </c>
      <c r="AI162" s="39">
        <v>1.33634708931066E-2</v>
      </c>
      <c r="AJ162" s="39">
        <v>1.33634708931066E-2</v>
      </c>
      <c r="AK162" s="39">
        <v>1.33634708931066E-2</v>
      </c>
      <c r="AL162" s="39">
        <v>1.33634708931066E-2</v>
      </c>
      <c r="AM162" s="39">
        <v>1.33634708931066E-2</v>
      </c>
      <c r="AN162" s="39">
        <v>1.33634708931066E-2</v>
      </c>
      <c r="AO162" s="39">
        <v>1.33634708931066E-2</v>
      </c>
      <c r="AP162" s="39">
        <v>1.33634708931066E-2</v>
      </c>
      <c r="AQ162" s="39">
        <v>1.33634708931066E-2</v>
      </c>
      <c r="AR162" s="39">
        <v>1.33634708931066E-2</v>
      </c>
      <c r="AS162" s="39">
        <v>1.33634708931066E-2</v>
      </c>
      <c r="AT162" s="39">
        <v>1.33634708931066E-2</v>
      </c>
      <c r="AU162" s="39">
        <v>1.2392217523121999E-3</v>
      </c>
      <c r="AV162" s="39">
        <v>1.2392217523121999E-3</v>
      </c>
      <c r="AW162" s="39">
        <v>1.2392217523121999E-3</v>
      </c>
      <c r="AX162" s="39">
        <v>1.2392217523121999E-3</v>
      </c>
      <c r="AY162" s="39">
        <v>1.2392217523121999E-3</v>
      </c>
      <c r="AZ162" s="39">
        <v>1.2392217523121999E-3</v>
      </c>
      <c r="BA162" s="39">
        <v>1.2392217523121999E-3</v>
      </c>
      <c r="BB162" s="39">
        <v>1.2392217523121999E-3</v>
      </c>
      <c r="BC162" s="39">
        <v>1.2392217523121999E-3</v>
      </c>
      <c r="BD162" s="39">
        <v>1.2392217523121999E-3</v>
      </c>
      <c r="BE162" s="39">
        <v>1.2392217523121999E-3</v>
      </c>
      <c r="BF162" s="39">
        <v>1.2392217523121999E-3</v>
      </c>
      <c r="BG162" s="1"/>
      <c r="BH162" s="12">
        <f t="shared" si="87"/>
        <v>771.58240000000001</v>
      </c>
      <c r="BI162" s="12">
        <f t="shared" si="88"/>
        <v>694.41770000000008</v>
      </c>
      <c r="BJ162" s="12">
        <f t="shared" si="89"/>
        <v>578.68679999999995</v>
      </c>
      <c r="BK162" s="12">
        <f t="shared" si="90"/>
        <v>270.06029999999998</v>
      </c>
      <c r="BL162" s="12">
        <f t="shared" si="91"/>
        <v>280.8485</v>
      </c>
      <c r="BM162" s="12">
        <f t="shared" si="92"/>
        <v>240.7319</v>
      </c>
      <c r="BN162" s="12">
        <f t="shared" si="93"/>
        <v>240.7319</v>
      </c>
      <c r="BO162" s="12">
        <f t="shared" si="94"/>
        <v>240.7319</v>
      </c>
      <c r="BP162" s="12">
        <f t="shared" si="95"/>
        <v>481.46379999999999</v>
      </c>
      <c r="BQ162" s="12">
        <f t="shared" si="96"/>
        <v>561.697</v>
      </c>
      <c r="BR162" s="12">
        <f t="shared" si="97"/>
        <v>561.697</v>
      </c>
      <c r="BS162" s="12">
        <f t="shared" si="98"/>
        <v>401.23059999999998</v>
      </c>
      <c r="BT162" s="1"/>
      <c r="BU162" s="11">
        <f t="shared" si="99"/>
        <v>782.8495806378146</v>
      </c>
      <c r="BV162" s="11">
        <f t="shared" si="100"/>
        <v>704.5580682406387</v>
      </c>
      <c r="BW162" s="11">
        <f t="shared" si="101"/>
        <v>587.13718547836083</v>
      </c>
      <c r="BX162" s="11">
        <f t="shared" si="102"/>
        <v>274.0039075566296</v>
      </c>
      <c r="BY162" s="11">
        <f t="shared" si="103"/>
        <v>284.9496443254269</v>
      </c>
      <c r="BZ162" s="11">
        <f t="shared" si="104"/>
        <v>244.24723394564768</v>
      </c>
      <c r="CA162" s="11">
        <f t="shared" si="105"/>
        <v>244.24723394564768</v>
      </c>
      <c r="CB162" s="11">
        <f t="shared" si="106"/>
        <v>244.24723394564768</v>
      </c>
      <c r="CC162" s="11">
        <f t="shared" si="107"/>
        <v>488.49446789129536</v>
      </c>
      <c r="CD162" s="11">
        <f t="shared" si="108"/>
        <v>569.8992886508538</v>
      </c>
      <c r="CE162" s="11">
        <f t="shared" si="109"/>
        <v>569.8992886508538</v>
      </c>
      <c r="CF162" s="11">
        <f t="shared" si="110"/>
        <v>407.08964713173697</v>
      </c>
      <c r="CG162" s="11"/>
      <c r="CH162" s="41">
        <v>3.23</v>
      </c>
      <c r="CI162" s="1"/>
      <c r="CJ162" s="53">
        <f t="shared" si="111"/>
        <v>199962</v>
      </c>
      <c r="CK162" s="53">
        <f t="shared" si="112"/>
        <v>179964</v>
      </c>
      <c r="CL162" s="53">
        <f t="shared" si="113"/>
        <v>149971</v>
      </c>
      <c r="CM162" s="53">
        <f t="shared" si="114"/>
        <v>69988</v>
      </c>
      <c r="CN162" s="53">
        <f t="shared" si="115"/>
        <v>72784</v>
      </c>
      <c r="CO162" s="53">
        <f t="shared" si="116"/>
        <v>62388</v>
      </c>
      <c r="CP162" s="53">
        <f t="shared" si="117"/>
        <v>62388</v>
      </c>
      <c r="CQ162" s="53">
        <f t="shared" si="118"/>
        <v>62388</v>
      </c>
      <c r="CR162" s="53">
        <f t="shared" si="119"/>
        <v>124775</v>
      </c>
      <c r="CS162" s="53">
        <f t="shared" si="120"/>
        <v>145568</v>
      </c>
      <c r="CT162" s="53">
        <f t="shared" si="121"/>
        <v>145568</v>
      </c>
      <c r="CU162" s="53">
        <f t="shared" si="122"/>
        <v>103982</v>
      </c>
      <c r="CV162" s="53">
        <f t="shared" si="84"/>
        <v>1379726</v>
      </c>
      <c r="CW162" s="1"/>
      <c r="CX162" s="1"/>
      <c r="CY162" s="1"/>
      <c r="CZ162" s="1"/>
      <c r="DA162" s="1"/>
      <c r="DB162" s="1"/>
      <c r="DC162" s="1"/>
      <c r="DD162" s="1"/>
      <c r="DE162" s="1"/>
      <c r="DF162" s="1"/>
      <c r="DG162" s="1"/>
      <c r="DH162" s="1"/>
      <c r="DI162" s="1"/>
      <c r="DJ162" s="1"/>
      <c r="DK162" s="1"/>
      <c r="DL162" s="1"/>
    </row>
    <row r="163" spans="1:116" ht="15.75" hidden="1" x14ac:dyDescent="0.25">
      <c r="A163" s="17"/>
      <c r="B163" s="17"/>
      <c r="C163" s="17"/>
      <c r="D163" s="17"/>
      <c r="E163" s="17"/>
      <c r="F163" s="18" t="s">
        <v>31</v>
      </c>
      <c r="G163" s="66">
        <v>39.14</v>
      </c>
      <c r="H163" s="66">
        <v>0</v>
      </c>
      <c r="I163" s="66">
        <v>78.28</v>
      </c>
      <c r="J163" s="66">
        <v>0</v>
      </c>
      <c r="K163" s="66">
        <v>0</v>
      </c>
      <c r="L163" s="66">
        <v>0</v>
      </c>
      <c r="M163" s="66">
        <v>0</v>
      </c>
      <c r="N163" s="66">
        <v>39.14</v>
      </c>
      <c r="O163" s="66">
        <v>0</v>
      </c>
      <c r="P163" s="66">
        <v>39.14</v>
      </c>
      <c r="Q163" s="66">
        <v>39.14</v>
      </c>
      <c r="R163" s="66">
        <v>39.14</v>
      </c>
      <c r="S163" s="11">
        <f t="shared" si="86"/>
        <v>273.97999999999996</v>
      </c>
      <c r="T163" s="1"/>
      <c r="U163" s="1"/>
      <c r="V163" s="50">
        <f t="shared" si="83"/>
        <v>30240</v>
      </c>
      <c r="W163" s="36">
        <v>9.06</v>
      </c>
      <c r="X163" s="36">
        <v>9.06</v>
      </c>
      <c r="Y163" s="36">
        <v>9.06</v>
      </c>
      <c r="Z163" s="36">
        <v>9.06</v>
      </c>
      <c r="AA163" s="36">
        <v>9.06</v>
      </c>
      <c r="AB163" s="36">
        <v>9.06</v>
      </c>
      <c r="AC163" s="36">
        <v>9.06</v>
      </c>
      <c r="AD163" s="36">
        <v>9.06</v>
      </c>
      <c r="AE163" s="36">
        <v>9.06</v>
      </c>
      <c r="AF163" s="36">
        <v>9.06</v>
      </c>
      <c r="AG163" s="36">
        <v>9.06</v>
      </c>
      <c r="AH163" s="36">
        <v>9.06</v>
      </c>
      <c r="AI163" s="39">
        <v>0</v>
      </c>
      <c r="AJ163" s="39">
        <v>0</v>
      </c>
      <c r="AK163" s="39">
        <v>0</v>
      </c>
      <c r="AL163" s="39">
        <v>0</v>
      </c>
      <c r="AM163" s="39">
        <v>0</v>
      </c>
      <c r="AN163" s="39">
        <v>0</v>
      </c>
      <c r="AO163" s="39">
        <v>0</v>
      </c>
      <c r="AP163" s="39">
        <v>0</v>
      </c>
      <c r="AQ163" s="39">
        <v>0</v>
      </c>
      <c r="AR163" s="39">
        <v>0</v>
      </c>
      <c r="AS163" s="39">
        <v>0</v>
      </c>
      <c r="AT163" s="39">
        <v>0</v>
      </c>
      <c r="AU163" s="39">
        <v>0</v>
      </c>
      <c r="AV163" s="39">
        <v>0</v>
      </c>
      <c r="AW163" s="39">
        <v>0</v>
      </c>
      <c r="AX163" s="39">
        <v>0</v>
      </c>
      <c r="AY163" s="39">
        <v>0</v>
      </c>
      <c r="AZ163" s="39">
        <v>0</v>
      </c>
      <c r="BA163" s="39">
        <v>0</v>
      </c>
      <c r="BB163" s="39">
        <v>0</v>
      </c>
      <c r="BC163" s="39">
        <v>0</v>
      </c>
      <c r="BD163" s="39">
        <v>0</v>
      </c>
      <c r="BE163" s="39">
        <v>0</v>
      </c>
      <c r="BF163" s="39">
        <v>0</v>
      </c>
      <c r="BG163" s="1"/>
      <c r="BH163" s="12">
        <f t="shared" si="87"/>
        <v>39.14</v>
      </c>
      <c r="BI163" s="12">
        <f t="shared" si="88"/>
        <v>0</v>
      </c>
      <c r="BJ163" s="12">
        <f t="shared" si="89"/>
        <v>78.28</v>
      </c>
      <c r="BK163" s="12">
        <f t="shared" si="90"/>
        <v>0</v>
      </c>
      <c r="BL163" s="12">
        <f t="shared" si="91"/>
        <v>0</v>
      </c>
      <c r="BM163" s="12">
        <f t="shared" si="92"/>
        <v>0</v>
      </c>
      <c r="BN163" s="12">
        <f t="shared" si="93"/>
        <v>0</v>
      </c>
      <c r="BO163" s="12">
        <f t="shared" si="94"/>
        <v>39.14</v>
      </c>
      <c r="BP163" s="12">
        <f t="shared" si="95"/>
        <v>0</v>
      </c>
      <c r="BQ163" s="12">
        <f t="shared" si="96"/>
        <v>39.14</v>
      </c>
      <c r="BR163" s="12">
        <f t="shared" si="97"/>
        <v>39.14</v>
      </c>
      <c r="BS163" s="12">
        <f t="shared" si="98"/>
        <v>39.14</v>
      </c>
      <c r="BT163" s="1"/>
      <c r="BU163" s="11">
        <f t="shared" si="99"/>
        <v>39.14</v>
      </c>
      <c r="BV163" s="11">
        <f t="shared" si="100"/>
        <v>0</v>
      </c>
      <c r="BW163" s="11">
        <f t="shared" si="101"/>
        <v>78.28</v>
      </c>
      <c r="BX163" s="11">
        <f t="shared" si="102"/>
        <v>0</v>
      </c>
      <c r="BY163" s="11">
        <f t="shared" si="103"/>
        <v>0</v>
      </c>
      <c r="BZ163" s="11">
        <f t="shared" si="104"/>
        <v>0</v>
      </c>
      <c r="CA163" s="11">
        <f t="shared" si="105"/>
        <v>0</v>
      </c>
      <c r="CB163" s="11">
        <f t="shared" si="106"/>
        <v>39.14</v>
      </c>
      <c r="CC163" s="11">
        <f t="shared" si="107"/>
        <v>0</v>
      </c>
      <c r="CD163" s="11">
        <f t="shared" si="108"/>
        <v>39.14</v>
      </c>
      <c r="CE163" s="11">
        <f t="shared" si="109"/>
        <v>39.14</v>
      </c>
      <c r="CF163" s="11">
        <f t="shared" si="110"/>
        <v>39.14</v>
      </c>
      <c r="CG163" s="11"/>
      <c r="CH163" s="41">
        <v>1</v>
      </c>
      <c r="CI163" s="1"/>
      <c r="CJ163" s="53">
        <f t="shared" si="111"/>
        <v>4320</v>
      </c>
      <c r="CK163" s="53">
        <f t="shared" si="112"/>
        <v>0</v>
      </c>
      <c r="CL163" s="53">
        <f t="shared" si="113"/>
        <v>8640</v>
      </c>
      <c r="CM163" s="53">
        <f t="shared" si="114"/>
        <v>0</v>
      </c>
      <c r="CN163" s="53">
        <f t="shared" si="115"/>
        <v>0</v>
      </c>
      <c r="CO163" s="53">
        <f t="shared" si="116"/>
        <v>0</v>
      </c>
      <c r="CP163" s="53">
        <f t="shared" si="117"/>
        <v>0</v>
      </c>
      <c r="CQ163" s="53">
        <f t="shared" si="118"/>
        <v>4320</v>
      </c>
      <c r="CR163" s="53">
        <f t="shared" si="119"/>
        <v>0</v>
      </c>
      <c r="CS163" s="53">
        <f t="shared" si="120"/>
        <v>4320</v>
      </c>
      <c r="CT163" s="53">
        <f t="shared" si="121"/>
        <v>4320</v>
      </c>
      <c r="CU163" s="53">
        <f t="shared" si="122"/>
        <v>4320</v>
      </c>
      <c r="CV163" s="53">
        <f t="shared" si="84"/>
        <v>30240</v>
      </c>
      <c r="CW163" s="1"/>
      <c r="CX163" s="1"/>
      <c r="CY163" s="1"/>
      <c r="CZ163" s="1"/>
      <c r="DA163" s="1"/>
      <c r="DB163" s="1"/>
      <c r="DC163" s="1"/>
      <c r="DD163" s="1"/>
      <c r="DE163" s="1"/>
      <c r="DF163" s="1"/>
      <c r="DG163" s="1"/>
      <c r="DH163" s="1"/>
      <c r="DI163" s="1"/>
      <c r="DJ163" s="1"/>
      <c r="DK163" s="1"/>
      <c r="DL163" s="1"/>
    </row>
    <row r="164" spans="1:116" ht="15.75" hidden="1" x14ac:dyDescent="0.25">
      <c r="A164" s="17"/>
      <c r="B164" s="17"/>
      <c r="C164" s="17"/>
      <c r="D164" s="17"/>
      <c r="E164" s="17"/>
      <c r="F164" s="18" t="s">
        <v>31</v>
      </c>
      <c r="G164" s="66">
        <v>0</v>
      </c>
      <c r="H164" s="66">
        <v>17.579999999999998</v>
      </c>
      <c r="I164" s="66">
        <v>0</v>
      </c>
      <c r="J164" s="66">
        <v>0</v>
      </c>
      <c r="K164" s="66">
        <v>17.579999999999998</v>
      </c>
      <c r="L164" s="66">
        <v>0</v>
      </c>
      <c r="M164" s="66">
        <v>8.7899999999999991</v>
      </c>
      <c r="N164" s="66">
        <v>0</v>
      </c>
      <c r="O164" s="66">
        <v>17.579999999999998</v>
      </c>
      <c r="P164" s="66">
        <v>0</v>
      </c>
      <c r="Q164" s="66">
        <v>17.579999999999998</v>
      </c>
      <c r="R164" s="66">
        <v>0</v>
      </c>
      <c r="S164" s="11">
        <f t="shared" si="86"/>
        <v>79.109999999999985</v>
      </c>
      <c r="T164" s="1"/>
      <c r="U164" s="1"/>
      <c r="V164" s="50">
        <f t="shared" si="83"/>
        <v>46809</v>
      </c>
      <c r="W164" s="36">
        <v>1.69</v>
      </c>
      <c r="X164" s="36">
        <v>1.69</v>
      </c>
      <c r="Y164" s="36">
        <v>1.69</v>
      </c>
      <c r="Z164" s="36">
        <v>1.69</v>
      </c>
      <c r="AA164" s="36">
        <v>1.69</v>
      </c>
      <c r="AB164" s="36">
        <v>1.69</v>
      </c>
      <c r="AC164" s="36">
        <v>1.69</v>
      </c>
      <c r="AD164" s="36">
        <v>1.69</v>
      </c>
      <c r="AE164" s="36">
        <v>1.69</v>
      </c>
      <c r="AF164" s="36">
        <v>1.69</v>
      </c>
      <c r="AG164" s="36">
        <v>1.69</v>
      </c>
      <c r="AH164" s="36">
        <v>1.69</v>
      </c>
      <c r="AI164" s="39">
        <v>0</v>
      </c>
      <c r="AJ164" s="39">
        <v>0</v>
      </c>
      <c r="AK164" s="39">
        <v>0</v>
      </c>
      <c r="AL164" s="39">
        <v>0</v>
      </c>
      <c r="AM164" s="39">
        <v>0</v>
      </c>
      <c r="AN164" s="39">
        <v>0</v>
      </c>
      <c r="AO164" s="39">
        <v>0</v>
      </c>
      <c r="AP164" s="39">
        <v>0</v>
      </c>
      <c r="AQ164" s="39">
        <v>0</v>
      </c>
      <c r="AR164" s="39">
        <v>0</v>
      </c>
      <c r="AS164" s="39">
        <v>0</v>
      </c>
      <c r="AT164" s="39">
        <v>0</v>
      </c>
      <c r="AU164" s="39">
        <v>0</v>
      </c>
      <c r="AV164" s="39">
        <v>0</v>
      </c>
      <c r="AW164" s="39">
        <v>0</v>
      </c>
      <c r="AX164" s="39">
        <v>0</v>
      </c>
      <c r="AY164" s="39">
        <v>0</v>
      </c>
      <c r="AZ164" s="39">
        <v>0</v>
      </c>
      <c r="BA164" s="39">
        <v>0</v>
      </c>
      <c r="BB164" s="39">
        <v>0</v>
      </c>
      <c r="BC164" s="39">
        <v>0</v>
      </c>
      <c r="BD164" s="39">
        <v>0</v>
      </c>
      <c r="BE164" s="39">
        <v>0</v>
      </c>
      <c r="BF164" s="39">
        <v>0</v>
      </c>
      <c r="BG164" s="1"/>
      <c r="BH164" s="12">
        <f t="shared" si="87"/>
        <v>0</v>
      </c>
      <c r="BI164" s="12">
        <f t="shared" si="88"/>
        <v>17.579999999999998</v>
      </c>
      <c r="BJ164" s="12">
        <f t="shared" si="89"/>
        <v>0</v>
      </c>
      <c r="BK164" s="12">
        <f t="shared" si="90"/>
        <v>0</v>
      </c>
      <c r="BL164" s="12">
        <f t="shared" si="91"/>
        <v>17.579999999999998</v>
      </c>
      <c r="BM164" s="12">
        <f t="shared" si="92"/>
        <v>0</v>
      </c>
      <c r="BN164" s="12">
        <f t="shared" si="93"/>
        <v>8.7899999999999991</v>
      </c>
      <c r="BO164" s="12">
        <f t="shared" si="94"/>
        <v>0</v>
      </c>
      <c r="BP164" s="12">
        <f t="shared" si="95"/>
        <v>17.579999999999998</v>
      </c>
      <c r="BQ164" s="12">
        <f t="shared" si="96"/>
        <v>0</v>
      </c>
      <c r="BR164" s="12">
        <f t="shared" si="97"/>
        <v>17.579999999999998</v>
      </c>
      <c r="BS164" s="12">
        <f t="shared" si="98"/>
        <v>0</v>
      </c>
      <c r="BT164" s="1"/>
      <c r="BU164" s="11">
        <f t="shared" si="99"/>
        <v>0</v>
      </c>
      <c r="BV164" s="11">
        <f t="shared" si="100"/>
        <v>17.579999999999998</v>
      </c>
      <c r="BW164" s="11">
        <f t="shared" si="101"/>
        <v>0</v>
      </c>
      <c r="BX164" s="11">
        <f t="shared" si="102"/>
        <v>0</v>
      </c>
      <c r="BY164" s="11">
        <f t="shared" si="103"/>
        <v>17.579999999999998</v>
      </c>
      <c r="BZ164" s="11">
        <f t="shared" si="104"/>
        <v>0</v>
      </c>
      <c r="CA164" s="11">
        <f t="shared" si="105"/>
        <v>8.7899999999999991</v>
      </c>
      <c r="CB164" s="11">
        <f t="shared" si="106"/>
        <v>0</v>
      </c>
      <c r="CC164" s="11">
        <f t="shared" si="107"/>
        <v>17.579999999999998</v>
      </c>
      <c r="CD164" s="11">
        <f t="shared" si="108"/>
        <v>0</v>
      </c>
      <c r="CE164" s="11">
        <f t="shared" si="109"/>
        <v>17.579999999999998</v>
      </c>
      <c r="CF164" s="11">
        <f t="shared" si="110"/>
        <v>0</v>
      </c>
      <c r="CG164" s="11"/>
      <c r="CH164" s="41">
        <v>1</v>
      </c>
      <c r="CI164" s="1"/>
      <c r="CJ164" s="53">
        <f t="shared" si="111"/>
        <v>0</v>
      </c>
      <c r="CK164" s="53">
        <f t="shared" si="112"/>
        <v>10402</v>
      </c>
      <c r="CL164" s="53">
        <f t="shared" si="113"/>
        <v>0</v>
      </c>
      <c r="CM164" s="53">
        <f t="shared" si="114"/>
        <v>0</v>
      </c>
      <c r="CN164" s="53">
        <f t="shared" si="115"/>
        <v>10402</v>
      </c>
      <c r="CO164" s="53">
        <f t="shared" si="116"/>
        <v>0</v>
      </c>
      <c r="CP164" s="53">
        <f t="shared" si="117"/>
        <v>5201</v>
      </c>
      <c r="CQ164" s="53">
        <f t="shared" si="118"/>
        <v>0</v>
      </c>
      <c r="CR164" s="53">
        <f t="shared" si="119"/>
        <v>10402</v>
      </c>
      <c r="CS164" s="53">
        <f t="shared" si="120"/>
        <v>0</v>
      </c>
      <c r="CT164" s="53">
        <f t="shared" si="121"/>
        <v>10402</v>
      </c>
      <c r="CU164" s="53">
        <f t="shared" si="122"/>
        <v>0</v>
      </c>
      <c r="CV164" s="53">
        <f t="shared" si="84"/>
        <v>46809</v>
      </c>
      <c r="CW164" s="1"/>
      <c r="CX164" s="1"/>
      <c r="CY164" s="1"/>
      <c r="CZ164" s="1"/>
      <c r="DA164" s="1"/>
      <c r="DB164" s="1"/>
      <c r="DC164" s="1"/>
      <c r="DD164" s="1"/>
      <c r="DE164" s="1"/>
      <c r="DF164" s="1"/>
      <c r="DG164" s="1"/>
      <c r="DH164" s="1"/>
      <c r="DI164" s="1"/>
      <c r="DJ164" s="1"/>
      <c r="DK164" s="1"/>
      <c r="DL164" s="1"/>
    </row>
    <row r="165" spans="1:116" ht="15.75" hidden="1" x14ac:dyDescent="0.25">
      <c r="A165" s="17"/>
      <c r="B165" s="17"/>
      <c r="C165" s="17"/>
      <c r="D165" s="17"/>
      <c r="E165" s="17"/>
      <c r="F165" s="18" t="s">
        <v>31</v>
      </c>
      <c r="G165" s="66">
        <v>19.14</v>
      </c>
      <c r="H165" s="66">
        <v>19.14</v>
      </c>
      <c r="I165" s="66">
        <v>0</v>
      </c>
      <c r="J165" s="66">
        <v>19.14</v>
      </c>
      <c r="K165" s="66">
        <v>0</v>
      </c>
      <c r="L165" s="66">
        <v>19.14</v>
      </c>
      <c r="M165" s="66">
        <v>0</v>
      </c>
      <c r="N165" s="66">
        <v>0</v>
      </c>
      <c r="O165" s="66">
        <v>19.14</v>
      </c>
      <c r="P165" s="66">
        <v>0</v>
      </c>
      <c r="Q165" s="66">
        <v>19.14</v>
      </c>
      <c r="R165" s="66">
        <v>0</v>
      </c>
      <c r="S165" s="11">
        <f t="shared" si="86"/>
        <v>114.84</v>
      </c>
      <c r="T165" s="1"/>
      <c r="U165" s="1"/>
      <c r="V165" s="50">
        <f t="shared" si="83"/>
        <v>62412</v>
      </c>
      <c r="W165" s="36">
        <v>1.8400042087542088</v>
      </c>
      <c r="X165" s="36">
        <v>1.8400042087542088</v>
      </c>
      <c r="Y165" s="36">
        <v>1.8400042087542088</v>
      </c>
      <c r="Z165" s="36">
        <v>1.8400042087542088</v>
      </c>
      <c r="AA165" s="36">
        <v>1.8400042087542088</v>
      </c>
      <c r="AB165" s="36">
        <v>1.8400042087542088</v>
      </c>
      <c r="AC165" s="36">
        <v>1.8400042087542088</v>
      </c>
      <c r="AD165" s="36">
        <v>1.8400042087542088</v>
      </c>
      <c r="AE165" s="36">
        <v>1.8400042087542088</v>
      </c>
      <c r="AF165" s="36">
        <v>1.8400042087542088</v>
      </c>
      <c r="AG165" s="36">
        <v>1.8400042087542088</v>
      </c>
      <c r="AH165" s="36">
        <v>1.8400042087542088</v>
      </c>
      <c r="AI165" s="39">
        <v>0</v>
      </c>
      <c r="AJ165" s="39">
        <v>0</v>
      </c>
      <c r="AK165" s="39">
        <v>0</v>
      </c>
      <c r="AL165" s="39">
        <v>0</v>
      </c>
      <c r="AM165" s="39">
        <v>0</v>
      </c>
      <c r="AN165" s="39">
        <v>0</v>
      </c>
      <c r="AO165" s="39">
        <v>0</v>
      </c>
      <c r="AP165" s="39">
        <v>0</v>
      </c>
      <c r="AQ165" s="39">
        <v>0</v>
      </c>
      <c r="AR165" s="39">
        <v>0</v>
      </c>
      <c r="AS165" s="39">
        <v>0</v>
      </c>
      <c r="AT165" s="39">
        <v>0</v>
      </c>
      <c r="AU165" s="39">
        <v>0</v>
      </c>
      <c r="AV165" s="39">
        <v>0</v>
      </c>
      <c r="AW165" s="39">
        <v>0</v>
      </c>
      <c r="AX165" s="39">
        <v>0</v>
      </c>
      <c r="AY165" s="39">
        <v>0</v>
      </c>
      <c r="AZ165" s="39">
        <v>0</v>
      </c>
      <c r="BA165" s="39">
        <v>0</v>
      </c>
      <c r="BB165" s="39">
        <v>0</v>
      </c>
      <c r="BC165" s="39">
        <v>0</v>
      </c>
      <c r="BD165" s="39">
        <v>0</v>
      </c>
      <c r="BE165" s="39">
        <v>0</v>
      </c>
      <c r="BF165" s="39">
        <v>0</v>
      </c>
      <c r="BG165" s="1"/>
      <c r="BH165" s="12">
        <f t="shared" si="87"/>
        <v>19.14</v>
      </c>
      <c r="BI165" s="12">
        <f t="shared" si="88"/>
        <v>19.14</v>
      </c>
      <c r="BJ165" s="12">
        <f t="shared" si="89"/>
        <v>0</v>
      </c>
      <c r="BK165" s="12">
        <f t="shared" si="90"/>
        <v>19.14</v>
      </c>
      <c r="BL165" s="12">
        <f t="shared" si="91"/>
        <v>0</v>
      </c>
      <c r="BM165" s="12">
        <f t="shared" si="92"/>
        <v>19.14</v>
      </c>
      <c r="BN165" s="12">
        <f t="shared" si="93"/>
        <v>0</v>
      </c>
      <c r="BO165" s="12">
        <f t="shared" si="94"/>
        <v>0</v>
      </c>
      <c r="BP165" s="12">
        <f t="shared" si="95"/>
        <v>19.14</v>
      </c>
      <c r="BQ165" s="12">
        <f t="shared" si="96"/>
        <v>0</v>
      </c>
      <c r="BR165" s="12">
        <f t="shared" si="97"/>
        <v>19.14</v>
      </c>
      <c r="BS165" s="12">
        <f t="shared" si="98"/>
        <v>0</v>
      </c>
      <c r="BT165" s="1"/>
      <c r="BU165" s="11">
        <f t="shared" si="99"/>
        <v>19.14</v>
      </c>
      <c r="BV165" s="11">
        <f t="shared" si="100"/>
        <v>19.14</v>
      </c>
      <c r="BW165" s="11">
        <f t="shared" si="101"/>
        <v>0</v>
      </c>
      <c r="BX165" s="11">
        <f t="shared" si="102"/>
        <v>19.14</v>
      </c>
      <c r="BY165" s="11">
        <f t="shared" si="103"/>
        <v>0</v>
      </c>
      <c r="BZ165" s="11">
        <f t="shared" si="104"/>
        <v>19.14</v>
      </c>
      <c r="CA165" s="11">
        <f t="shared" si="105"/>
        <v>0</v>
      </c>
      <c r="CB165" s="11">
        <f t="shared" si="106"/>
        <v>0</v>
      </c>
      <c r="CC165" s="11">
        <f t="shared" si="107"/>
        <v>19.14</v>
      </c>
      <c r="CD165" s="11">
        <f t="shared" si="108"/>
        <v>0</v>
      </c>
      <c r="CE165" s="11">
        <f t="shared" si="109"/>
        <v>19.14</v>
      </c>
      <c r="CF165" s="11">
        <f t="shared" si="110"/>
        <v>0</v>
      </c>
      <c r="CG165" s="11"/>
      <c r="CH165" s="41">
        <v>1</v>
      </c>
      <c r="CI165" s="1"/>
      <c r="CJ165" s="53">
        <f t="shared" si="111"/>
        <v>10402</v>
      </c>
      <c r="CK165" s="53">
        <f t="shared" si="112"/>
        <v>10402</v>
      </c>
      <c r="CL165" s="53">
        <f t="shared" si="113"/>
        <v>0</v>
      </c>
      <c r="CM165" s="53">
        <f t="shared" si="114"/>
        <v>10402</v>
      </c>
      <c r="CN165" s="53">
        <f t="shared" si="115"/>
        <v>0</v>
      </c>
      <c r="CO165" s="53">
        <f t="shared" si="116"/>
        <v>10402</v>
      </c>
      <c r="CP165" s="53">
        <f t="shared" si="117"/>
        <v>0</v>
      </c>
      <c r="CQ165" s="53">
        <f t="shared" si="118"/>
        <v>0</v>
      </c>
      <c r="CR165" s="53">
        <f t="shared" si="119"/>
        <v>10402</v>
      </c>
      <c r="CS165" s="53">
        <f t="shared" si="120"/>
        <v>0</v>
      </c>
      <c r="CT165" s="53">
        <f t="shared" si="121"/>
        <v>10402</v>
      </c>
      <c r="CU165" s="53">
        <f t="shared" si="122"/>
        <v>0</v>
      </c>
      <c r="CV165" s="53">
        <f t="shared" si="84"/>
        <v>62412</v>
      </c>
      <c r="CW165" s="1"/>
      <c r="CX165" s="1"/>
      <c r="CY165" s="1"/>
      <c r="CZ165" s="1"/>
      <c r="DA165" s="1"/>
      <c r="DB165" s="1"/>
      <c r="DC165" s="1"/>
      <c r="DD165" s="1"/>
      <c r="DE165" s="1"/>
      <c r="DF165" s="1"/>
      <c r="DG165" s="1"/>
      <c r="DH165" s="1"/>
      <c r="DI165" s="1"/>
      <c r="DJ165" s="1"/>
      <c r="DK165" s="1"/>
      <c r="DL165" s="1"/>
    </row>
    <row r="166" spans="1:116" ht="15.75" hidden="1" x14ac:dyDescent="0.25">
      <c r="A166" s="17"/>
      <c r="B166" s="17"/>
      <c r="C166" s="17"/>
      <c r="D166" s="17"/>
      <c r="E166" s="17"/>
      <c r="F166" s="18" t="s">
        <v>31</v>
      </c>
      <c r="G166" s="66">
        <v>0</v>
      </c>
      <c r="H166" s="66">
        <v>0</v>
      </c>
      <c r="I166" s="66">
        <v>0</v>
      </c>
      <c r="J166" s="66">
        <v>0</v>
      </c>
      <c r="K166" s="66">
        <v>0</v>
      </c>
      <c r="L166" s="66">
        <v>0</v>
      </c>
      <c r="M166" s="66">
        <v>0</v>
      </c>
      <c r="N166" s="66">
        <v>0</v>
      </c>
      <c r="O166" s="66">
        <v>0</v>
      </c>
      <c r="P166" s="66">
        <v>0</v>
      </c>
      <c r="Q166" s="66">
        <v>0</v>
      </c>
      <c r="R166" s="66">
        <v>0</v>
      </c>
      <c r="S166" s="11">
        <f t="shared" si="86"/>
        <v>0</v>
      </c>
      <c r="T166" s="1"/>
      <c r="U166" s="1"/>
      <c r="V166" s="50">
        <f t="shared" si="83"/>
        <v>0</v>
      </c>
      <c r="W166" s="36">
        <v>11.423999999999999</v>
      </c>
      <c r="X166" s="36">
        <v>11.423999999999999</v>
      </c>
      <c r="Y166" s="36">
        <v>11.423999999999999</v>
      </c>
      <c r="Z166" s="36">
        <v>11.423999999999999</v>
      </c>
      <c r="AA166" s="36">
        <v>11.423999999999999</v>
      </c>
      <c r="AB166" s="36">
        <v>11.423999999999999</v>
      </c>
      <c r="AC166" s="36">
        <v>11.423999999999999</v>
      </c>
      <c r="AD166" s="36">
        <v>11.423999999999999</v>
      </c>
      <c r="AE166" s="36">
        <v>11.423999999999999</v>
      </c>
      <c r="AF166" s="36">
        <v>11.423999999999999</v>
      </c>
      <c r="AG166" s="36">
        <v>11.423999999999999</v>
      </c>
      <c r="AH166" s="36">
        <v>11.423999999999999</v>
      </c>
      <c r="AI166" s="39">
        <v>0.22999999999999998</v>
      </c>
      <c r="AJ166" s="39">
        <v>0.22999999999999998</v>
      </c>
      <c r="AK166" s="39">
        <v>0.22999999999999998</v>
      </c>
      <c r="AL166" s="39">
        <v>0.22999999999999998</v>
      </c>
      <c r="AM166" s="39">
        <v>0.22999999999999998</v>
      </c>
      <c r="AN166" s="39">
        <v>0.22999999999999998</v>
      </c>
      <c r="AO166" s="39">
        <v>0.22999999999999998</v>
      </c>
      <c r="AP166" s="39">
        <v>0.22999999999999998</v>
      </c>
      <c r="AQ166" s="39">
        <v>0.22999999999999998</v>
      </c>
      <c r="AR166" s="39">
        <v>0.22999999999999998</v>
      </c>
      <c r="AS166" s="39">
        <v>0.22999999999999998</v>
      </c>
      <c r="AT166" s="39">
        <v>0.22999999999999998</v>
      </c>
      <c r="AU166" s="39">
        <v>0</v>
      </c>
      <c r="AV166" s="39">
        <v>0</v>
      </c>
      <c r="AW166" s="39">
        <v>0</v>
      </c>
      <c r="AX166" s="39">
        <v>0</v>
      </c>
      <c r="AY166" s="39">
        <v>0</v>
      </c>
      <c r="AZ166" s="39">
        <v>0</v>
      </c>
      <c r="BA166" s="39">
        <v>0</v>
      </c>
      <c r="BB166" s="39">
        <v>0</v>
      </c>
      <c r="BC166" s="39">
        <v>0</v>
      </c>
      <c r="BD166" s="39">
        <v>0</v>
      </c>
      <c r="BE166" s="39">
        <v>0</v>
      </c>
      <c r="BF166" s="39">
        <v>0</v>
      </c>
      <c r="BG166" s="1"/>
      <c r="BH166" s="12">
        <f t="shared" si="87"/>
        <v>0</v>
      </c>
      <c r="BI166" s="12">
        <f t="shared" si="88"/>
        <v>0</v>
      </c>
      <c r="BJ166" s="12">
        <f t="shared" si="89"/>
        <v>0</v>
      </c>
      <c r="BK166" s="12">
        <f t="shared" si="90"/>
        <v>0</v>
      </c>
      <c r="BL166" s="12">
        <f t="shared" si="91"/>
        <v>0</v>
      </c>
      <c r="BM166" s="12">
        <f t="shared" si="92"/>
        <v>0</v>
      </c>
      <c r="BN166" s="12">
        <f t="shared" si="93"/>
        <v>0</v>
      </c>
      <c r="BO166" s="12">
        <f t="shared" si="94"/>
        <v>0</v>
      </c>
      <c r="BP166" s="12">
        <f t="shared" si="95"/>
        <v>0</v>
      </c>
      <c r="BQ166" s="12">
        <f t="shared" si="96"/>
        <v>0</v>
      </c>
      <c r="BR166" s="12">
        <f t="shared" si="97"/>
        <v>0</v>
      </c>
      <c r="BS166" s="12">
        <f t="shared" si="98"/>
        <v>0</v>
      </c>
      <c r="BT166" s="1"/>
      <c r="BU166" s="11">
        <f t="shared" si="99"/>
        <v>0</v>
      </c>
      <c r="BV166" s="11">
        <f t="shared" si="100"/>
        <v>0</v>
      </c>
      <c r="BW166" s="11">
        <f t="shared" si="101"/>
        <v>0</v>
      </c>
      <c r="BX166" s="11">
        <f t="shared" si="102"/>
        <v>0</v>
      </c>
      <c r="BY166" s="11">
        <f t="shared" si="103"/>
        <v>0</v>
      </c>
      <c r="BZ166" s="11">
        <f t="shared" si="104"/>
        <v>0</v>
      </c>
      <c r="CA166" s="11">
        <f t="shared" si="105"/>
        <v>0</v>
      </c>
      <c r="CB166" s="11">
        <f t="shared" si="106"/>
        <v>0</v>
      </c>
      <c r="CC166" s="11">
        <f t="shared" si="107"/>
        <v>0</v>
      </c>
      <c r="CD166" s="11">
        <f t="shared" si="108"/>
        <v>0</v>
      </c>
      <c r="CE166" s="11">
        <f t="shared" si="109"/>
        <v>0</v>
      </c>
      <c r="CF166" s="11">
        <f t="shared" si="110"/>
        <v>0</v>
      </c>
      <c r="CG166" s="11"/>
      <c r="CH166" s="41">
        <v>1</v>
      </c>
      <c r="CI166" s="1"/>
      <c r="CJ166" s="53">
        <f t="shared" si="111"/>
        <v>0</v>
      </c>
      <c r="CK166" s="53">
        <f t="shared" si="112"/>
        <v>0</v>
      </c>
      <c r="CL166" s="53">
        <f t="shared" si="113"/>
        <v>0</v>
      </c>
      <c r="CM166" s="53">
        <f t="shared" si="114"/>
        <v>0</v>
      </c>
      <c r="CN166" s="53">
        <f t="shared" si="115"/>
        <v>0</v>
      </c>
      <c r="CO166" s="53">
        <f t="shared" si="116"/>
        <v>0</v>
      </c>
      <c r="CP166" s="53">
        <f t="shared" si="117"/>
        <v>0</v>
      </c>
      <c r="CQ166" s="53">
        <f t="shared" si="118"/>
        <v>0</v>
      </c>
      <c r="CR166" s="53">
        <f t="shared" si="119"/>
        <v>0</v>
      </c>
      <c r="CS166" s="53">
        <f t="shared" si="120"/>
        <v>0</v>
      </c>
      <c r="CT166" s="53">
        <f t="shared" si="121"/>
        <v>0</v>
      </c>
      <c r="CU166" s="53">
        <f t="shared" si="122"/>
        <v>0</v>
      </c>
      <c r="CV166" s="53">
        <f t="shared" si="84"/>
        <v>0</v>
      </c>
      <c r="CW166" s="1"/>
      <c r="CX166" s="1"/>
      <c r="CY166" s="1"/>
      <c r="CZ166" s="1"/>
      <c r="DA166" s="1"/>
      <c r="DB166" s="1"/>
      <c r="DC166" s="1"/>
      <c r="DD166" s="1"/>
      <c r="DE166" s="1"/>
      <c r="DF166" s="1"/>
      <c r="DG166" s="1"/>
      <c r="DH166" s="1"/>
      <c r="DI166" s="1"/>
      <c r="DJ166" s="1"/>
      <c r="DK166" s="1"/>
      <c r="DL166" s="1"/>
    </row>
    <row r="167" spans="1:116" ht="15.75" hidden="1" x14ac:dyDescent="0.25">
      <c r="A167" s="16"/>
      <c r="B167" s="44"/>
      <c r="C167" s="44"/>
      <c r="D167" s="44"/>
      <c r="E167" s="44"/>
      <c r="F167" s="45" t="s">
        <v>20</v>
      </c>
      <c r="G167" s="65">
        <v>33.090000000000003</v>
      </c>
      <c r="H167" s="65">
        <v>33.090000000000003</v>
      </c>
      <c r="I167" s="65">
        <v>27.57</v>
      </c>
      <c r="J167" s="65">
        <v>16.25</v>
      </c>
      <c r="K167" s="65">
        <v>18.28</v>
      </c>
      <c r="L167" s="65">
        <v>27.75</v>
      </c>
      <c r="M167" s="65">
        <v>26.6</v>
      </c>
      <c r="N167" s="65">
        <v>41.32</v>
      </c>
      <c r="O167" s="65">
        <v>41.02</v>
      </c>
      <c r="P167" s="65">
        <v>44.12</v>
      </c>
      <c r="Q167" s="65">
        <v>55.76</v>
      </c>
      <c r="R167" s="65">
        <v>24.78</v>
      </c>
      <c r="S167" s="11">
        <f t="shared" si="86"/>
        <v>389.63</v>
      </c>
      <c r="T167" s="8">
        <f t="shared" ref="T167:T191" si="123">IFERROR(((S167-S17)/S17),0)</f>
        <v>4.7843158347676482E-2</v>
      </c>
      <c r="U167" s="13" t="s">
        <v>22</v>
      </c>
      <c r="V167" s="50">
        <f t="shared" si="83"/>
        <v>339056</v>
      </c>
      <c r="W167" s="36">
        <v>3.766</v>
      </c>
      <c r="X167" s="36">
        <v>3.766</v>
      </c>
      <c r="Y167" s="36">
        <v>3.766</v>
      </c>
      <c r="Z167" s="36">
        <v>3.766</v>
      </c>
      <c r="AA167" s="36">
        <v>3.766</v>
      </c>
      <c r="AB167" s="36">
        <v>3.766</v>
      </c>
      <c r="AC167" s="36">
        <v>3.766</v>
      </c>
      <c r="AD167" s="36">
        <v>3.766</v>
      </c>
      <c r="AE167" s="36">
        <v>3.766</v>
      </c>
      <c r="AF167" s="36">
        <v>3.766</v>
      </c>
      <c r="AG167" s="36">
        <v>3.766</v>
      </c>
      <c r="AH167" s="36">
        <v>3.766</v>
      </c>
      <c r="AI167" s="39">
        <v>1.33634708931066E-2</v>
      </c>
      <c r="AJ167" s="39">
        <v>1.33634708931066E-2</v>
      </c>
      <c r="AK167" s="39">
        <v>1.33634708931066E-2</v>
      </c>
      <c r="AL167" s="39">
        <v>1.33634708931066E-2</v>
      </c>
      <c r="AM167" s="39">
        <v>1.33634708931066E-2</v>
      </c>
      <c r="AN167" s="39">
        <v>1.33634708931066E-2</v>
      </c>
      <c r="AO167" s="39">
        <v>1.33634708931066E-2</v>
      </c>
      <c r="AP167" s="39">
        <v>1.33634708931066E-2</v>
      </c>
      <c r="AQ167" s="39">
        <v>1.33634708931066E-2</v>
      </c>
      <c r="AR167" s="39">
        <v>1.33634708931066E-2</v>
      </c>
      <c r="AS167" s="39">
        <v>1.33634708931066E-2</v>
      </c>
      <c r="AT167" s="39">
        <v>1.33634708931066E-2</v>
      </c>
      <c r="AU167" s="39">
        <v>1.2392217523121999E-3</v>
      </c>
      <c r="AV167" s="39">
        <v>1.2392217523121999E-3</v>
      </c>
      <c r="AW167" s="39">
        <v>1.2392217523121999E-3</v>
      </c>
      <c r="AX167" s="39">
        <v>1.2392217523121999E-3</v>
      </c>
      <c r="AY167" s="39">
        <v>1.2392217523121999E-3</v>
      </c>
      <c r="AZ167" s="39">
        <v>1.2392217523121999E-3</v>
      </c>
      <c r="BA167" s="39">
        <v>1.2392217523121999E-3</v>
      </c>
      <c r="BB167" s="39">
        <v>1.2392217523121999E-3</v>
      </c>
      <c r="BC167" s="39">
        <v>1.2392217523121999E-3</v>
      </c>
      <c r="BD167" s="39">
        <v>1.2392217523121999E-3</v>
      </c>
      <c r="BE167" s="39">
        <v>1.2392217523121999E-3</v>
      </c>
      <c r="BF167" s="39">
        <v>1.2392217523121999E-3</v>
      </c>
      <c r="BG167" s="1"/>
      <c r="BH167" s="12">
        <f t="shared" si="87"/>
        <v>106.8807</v>
      </c>
      <c r="BI167" s="12">
        <f t="shared" si="88"/>
        <v>106.8807</v>
      </c>
      <c r="BJ167" s="12">
        <f t="shared" si="89"/>
        <v>89.051100000000005</v>
      </c>
      <c r="BK167" s="12">
        <f t="shared" si="90"/>
        <v>52.487499999999997</v>
      </c>
      <c r="BL167" s="12">
        <f t="shared" si="91"/>
        <v>59.044400000000003</v>
      </c>
      <c r="BM167" s="12">
        <f t="shared" si="92"/>
        <v>89.632499999999993</v>
      </c>
      <c r="BN167" s="12">
        <f t="shared" si="93"/>
        <v>85.918000000000006</v>
      </c>
      <c r="BO167" s="12">
        <f t="shared" si="94"/>
        <v>133.46360000000001</v>
      </c>
      <c r="BP167" s="12">
        <f t="shared" si="95"/>
        <v>132.49460000000002</v>
      </c>
      <c r="BQ167" s="12">
        <f t="shared" si="96"/>
        <v>142.5076</v>
      </c>
      <c r="BR167" s="12">
        <f t="shared" si="97"/>
        <v>180.10479999999998</v>
      </c>
      <c r="BS167" s="12">
        <f t="shared" si="98"/>
        <v>80.039400000000001</v>
      </c>
      <c r="BT167" s="1"/>
      <c r="BU167" s="11">
        <f t="shared" si="99"/>
        <v>108.44144601182722</v>
      </c>
      <c r="BV167" s="11">
        <f t="shared" si="100"/>
        <v>108.44144601182722</v>
      </c>
      <c r="BW167" s="11">
        <f t="shared" si="101"/>
        <v>90.351485843036457</v>
      </c>
      <c r="BX167" s="11">
        <f t="shared" si="102"/>
        <v>53.253958830226416</v>
      </c>
      <c r="BY167" s="11">
        <f t="shared" si="103"/>
        <v>59.906607225633167</v>
      </c>
      <c r="BZ167" s="11">
        <f t="shared" si="104"/>
        <v>90.941375848540488</v>
      </c>
      <c r="CA167" s="11">
        <f t="shared" si="105"/>
        <v>87.1726341467091</v>
      </c>
      <c r="CB167" s="11">
        <f t="shared" si="106"/>
        <v>135.41252793015113</v>
      </c>
      <c r="CC167" s="11">
        <f t="shared" si="107"/>
        <v>134.42937792097771</v>
      </c>
      <c r="CD167" s="11">
        <f t="shared" si="108"/>
        <v>144.58859468243628</v>
      </c>
      <c r="CE167" s="11">
        <f t="shared" si="109"/>
        <v>182.73481503836462</v>
      </c>
      <c r="CF167" s="11">
        <f t="shared" si="110"/>
        <v>81.208190757723727</v>
      </c>
      <c r="CG167" s="11"/>
      <c r="CH167" s="41">
        <v>3.23</v>
      </c>
      <c r="CI167" s="1"/>
      <c r="CJ167" s="53">
        <f t="shared" si="111"/>
        <v>28795</v>
      </c>
      <c r="CK167" s="53">
        <f t="shared" si="112"/>
        <v>28795</v>
      </c>
      <c r="CL167" s="53">
        <f t="shared" si="113"/>
        <v>23991</v>
      </c>
      <c r="CM167" s="53">
        <f t="shared" si="114"/>
        <v>14141</v>
      </c>
      <c r="CN167" s="53">
        <f t="shared" si="115"/>
        <v>15907</v>
      </c>
      <c r="CO167" s="53">
        <f t="shared" si="116"/>
        <v>24148</v>
      </c>
      <c r="CP167" s="53">
        <f t="shared" si="117"/>
        <v>23147</v>
      </c>
      <c r="CQ167" s="53">
        <f t="shared" si="118"/>
        <v>35957</v>
      </c>
      <c r="CR167" s="53">
        <f t="shared" si="119"/>
        <v>35696</v>
      </c>
      <c r="CS167" s="53">
        <f t="shared" si="120"/>
        <v>38393</v>
      </c>
      <c r="CT167" s="53">
        <f t="shared" si="121"/>
        <v>48522</v>
      </c>
      <c r="CU167" s="53">
        <f t="shared" si="122"/>
        <v>21564</v>
      </c>
      <c r="CV167" s="53">
        <f t="shared" si="84"/>
        <v>339056</v>
      </c>
      <c r="CW167" s="1"/>
      <c r="CX167" s="1"/>
      <c r="CY167" s="1"/>
      <c r="CZ167" s="1"/>
      <c r="DA167" s="1"/>
      <c r="DB167" s="1"/>
      <c r="DC167" s="1"/>
      <c r="DD167" s="1"/>
      <c r="DE167" s="1"/>
      <c r="DF167" s="1"/>
      <c r="DG167" s="1"/>
      <c r="DH167" s="1"/>
      <c r="DI167" s="1"/>
      <c r="DJ167" s="1"/>
      <c r="DK167" s="1"/>
      <c r="DL167" s="1"/>
    </row>
    <row r="168" spans="1:116" ht="15.75" hidden="1" x14ac:dyDescent="0.25">
      <c r="A168" s="16"/>
      <c r="B168" s="44"/>
      <c r="C168" s="44"/>
      <c r="D168" s="44"/>
      <c r="E168" s="44"/>
      <c r="F168" s="45" t="s">
        <v>20</v>
      </c>
      <c r="G168" s="65">
        <v>0</v>
      </c>
      <c r="H168" s="65">
        <v>0</v>
      </c>
      <c r="I168" s="65">
        <v>0</v>
      </c>
      <c r="J168" s="65">
        <v>0</v>
      </c>
      <c r="K168" s="65">
        <v>0</v>
      </c>
      <c r="L168" s="65">
        <v>0</v>
      </c>
      <c r="M168" s="65">
        <v>0</v>
      </c>
      <c r="N168" s="65">
        <v>0</v>
      </c>
      <c r="O168" s="65">
        <v>0</v>
      </c>
      <c r="P168" s="65">
        <v>0</v>
      </c>
      <c r="Q168" s="65">
        <v>0</v>
      </c>
      <c r="R168" s="65">
        <v>0</v>
      </c>
      <c r="S168" s="11">
        <f t="shared" si="86"/>
        <v>0</v>
      </c>
      <c r="T168" s="8">
        <f t="shared" si="123"/>
        <v>-1</v>
      </c>
      <c r="U168" s="13" t="s">
        <v>22</v>
      </c>
      <c r="V168" s="50">
        <f t="shared" si="83"/>
        <v>0</v>
      </c>
      <c r="W168" s="36">
        <v>0.94</v>
      </c>
      <c r="X168" s="36">
        <v>0.94</v>
      </c>
      <c r="Y168" s="36">
        <v>0.94</v>
      </c>
      <c r="Z168" s="36">
        <v>0.94</v>
      </c>
      <c r="AA168" s="36">
        <v>0.94</v>
      </c>
      <c r="AB168" s="36">
        <v>0.94</v>
      </c>
      <c r="AC168" s="36">
        <v>0.94</v>
      </c>
      <c r="AD168" s="36">
        <v>0.94</v>
      </c>
      <c r="AE168" s="36">
        <v>0.94</v>
      </c>
      <c r="AF168" s="36">
        <v>0.94</v>
      </c>
      <c r="AG168" s="36">
        <v>0.94</v>
      </c>
      <c r="AH168" s="36">
        <v>0.94</v>
      </c>
      <c r="AI168" s="39">
        <v>1.33634708931066E-2</v>
      </c>
      <c r="AJ168" s="39">
        <v>1.33634708931066E-2</v>
      </c>
      <c r="AK168" s="39">
        <v>1.33634708931066E-2</v>
      </c>
      <c r="AL168" s="39">
        <v>1.33634708931066E-2</v>
      </c>
      <c r="AM168" s="39">
        <v>1.33634708931066E-2</v>
      </c>
      <c r="AN168" s="39">
        <v>1.33634708931066E-2</v>
      </c>
      <c r="AO168" s="39">
        <v>1.33634708931066E-2</v>
      </c>
      <c r="AP168" s="39">
        <v>1.33634708931066E-2</v>
      </c>
      <c r="AQ168" s="39">
        <v>1.33634708931066E-2</v>
      </c>
      <c r="AR168" s="39">
        <v>1.33634708931066E-2</v>
      </c>
      <c r="AS168" s="39">
        <v>1.33634708931066E-2</v>
      </c>
      <c r="AT168" s="39">
        <v>1.33634708931066E-2</v>
      </c>
      <c r="AU168" s="39">
        <v>1.2392217523121999E-3</v>
      </c>
      <c r="AV168" s="39">
        <v>1.2392217523121999E-3</v>
      </c>
      <c r="AW168" s="39">
        <v>1.2392217523121999E-3</v>
      </c>
      <c r="AX168" s="39">
        <v>1.2392217523121999E-3</v>
      </c>
      <c r="AY168" s="39">
        <v>1.2392217523121999E-3</v>
      </c>
      <c r="AZ168" s="39">
        <v>1.2392217523121999E-3</v>
      </c>
      <c r="BA168" s="39">
        <v>1.2392217523121999E-3</v>
      </c>
      <c r="BB168" s="39">
        <v>1.2392217523121999E-3</v>
      </c>
      <c r="BC168" s="39">
        <v>1.2392217523121999E-3</v>
      </c>
      <c r="BD168" s="39">
        <v>1.2392217523121999E-3</v>
      </c>
      <c r="BE168" s="39">
        <v>1.2392217523121999E-3</v>
      </c>
      <c r="BF168" s="39">
        <v>1.2392217523121999E-3</v>
      </c>
      <c r="BG168" s="1"/>
      <c r="BH168" s="12">
        <f t="shared" si="87"/>
        <v>0</v>
      </c>
      <c r="BI168" s="12">
        <f t="shared" si="88"/>
        <v>0</v>
      </c>
      <c r="BJ168" s="12">
        <f t="shared" si="89"/>
        <v>0</v>
      </c>
      <c r="BK168" s="12">
        <f t="shared" si="90"/>
        <v>0</v>
      </c>
      <c r="BL168" s="12">
        <f t="shared" si="91"/>
        <v>0</v>
      </c>
      <c r="BM168" s="12">
        <f t="shared" si="92"/>
        <v>0</v>
      </c>
      <c r="BN168" s="12">
        <f t="shared" si="93"/>
        <v>0</v>
      </c>
      <c r="BO168" s="12">
        <f t="shared" si="94"/>
        <v>0</v>
      </c>
      <c r="BP168" s="12">
        <f t="shared" si="95"/>
        <v>0</v>
      </c>
      <c r="BQ168" s="12">
        <f t="shared" si="96"/>
        <v>0</v>
      </c>
      <c r="BR168" s="12">
        <f t="shared" si="97"/>
        <v>0</v>
      </c>
      <c r="BS168" s="12">
        <f t="shared" si="98"/>
        <v>0</v>
      </c>
      <c r="BT168" s="1"/>
      <c r="BU168" s="11">
        <f t="shared" si="99"/>
        <v>0</v>
      </c>
      <c r="BV168" s="11">
        <f t="shared" si="100"/>
        <v>0</v>
      </c>
      <c r="BW168" s="11">
        <f t="shared" si="101"/>
        <v>0</v>
      </c>
      <c r="BX168" s="11">
        <f t="shared" si="102"/>
        <v>0</v>
      </c>
      <c r="BY168" s="11">
        <f t="shared" si="103"/>
        <v>0</v>
      </c>
      <c r="BZ168" s="11">
        <f t="shared" si="104"/>
        <v>0</v>
      </c>
      <c r="CA168" s="11">
        <f t="shared" si="105"/>
        <v>0</v>
      </c>
      <c r="CB168" s="11">
        <f t="shared" si="106"/>
        <v>0</v>
      </c>
      <c r="CC168" s="11">
        <f t="shared" si="107"/>
        <v>0</v>
      </c>
      <c r="CD168" s="11">
        <f t="shared" si="108"/>
        <v>0</v>
      </c>
      <c r="CE168" s="11">
        <f t="shared" si="109"/>
        <v>0</v>
      </c>
      <c r="CF168" s="11">
        <f t="shared" si="110"/>
        <v>0</v>
      </c>
      <c r="CG168" s="11"/>
      <c r="CH168" s="41">
        <v>3.23</v>
      </c>
      <c r="CI168" s="1"/>
      <c r="CJ168" s="53">
        <f t="shared" si="111"/>
        <v>0</v>
      </c>
      <c r="CK168" s="53">
        <f t="shared" si="112"/>
        <v>0</v>
      </c>
      <c r="CL168" s="53">
        <f t="shared" si="113"/>
        <v>0</v>
      </c>
      <c r="CM168" s="53">
        <f t="shared" si="114"/>
        <v>0</v>
      </c>
      <c r="CN168" s="53">
        <f t="shared" si="115"/>
        <v>0</v>
      </c>
      <c r="CO168" s="53">
        <f t="shared" si="116"/>
        <v>0</v>
      </c>
      <c r="CP168" s="53">
        <f t="shared" si="117"/>
        <v>0</v>
      </c>
      <c r="CQ168" s="53">
        <f t="shared" si="118"/>
        <v>0</v>
      </c>
      <c r="CR168" s="53">
        <f t="shared" si="119"/>
        <v>0</v>
      </c>
      <c r="CS168" s="53">
        <f t="shared" si="120"/>
        <v>0</v>
      </c>
      <c r="CT168" s="53">
        <f t="shared" si="121"/>
        <v>0</v>
      </c>
      <c r="CU168" s="53">
        <f t="shared" si="122"/>
        <v>0</v>
      </c>
      <c r="CV168" s="53">
        <f t="shared" si="84"/>
        <v>0</v>
      </c>
      <c r="CW168" s="1"/>
      <c r="CX168" s="1"/>
      <c r="CY168" s="1"/>
      <c r="CZ168" s="1"/>
      <c r="DA168" s="1"/>
      <c r="DB168" s="1"/>
      <c r="DC168" s="1"/>
      <c r="DD168" s="1"/>
      <c r="DE168" s="1"/>
      <c r="DF168" s="1"/>
      <c r="DG168" s="1"/>
      <c r="DH168" s="1"/>
      <c r="DI168" s="1"/>
      <c r="DJ168" s="1"/>
      <c r="DK168" s="1"/>
      <c r="DL168" s="1"/>
    </row>
    <row r="169" spans="1:116" ht="15.75" hidden="1" x14ac:dyDescent="0.25">
      <c r="A169" s="16"/>
      <c r="B169" s="44"/>
      <c r="C169" s="44"/>
      <c r="D169" s="44"/>
      <c r="E169" s="44"/>
      <c r="F169" s="45" t="s">
        <v>20</v>
      </c>
      <c r="G169" s="65">
        <v>0</v>
      </c>
      <c r="H169" s="65">
        <v>0</v>
      </c>
      <c r="I169" s="65">
        <v>0</v>
      </c>
      <c r="J169" s="65">
        <v>0</v>
      </c>
      <c r="K169" s="65">
        <v>0</v>
      </c>
      <c r="L169" s="65">
        <v>0</v>
      </c>
      <c r="M169" s="65">
        <v>0</v>
      </c>
      <c r="N169" s="65">
        <v>0</v>
      </c>
      <c r="O169" s="65">
        <v>0</v>
      </c>
      <c r="P169" s="65">
        <v>0</v>
      </c>
      <c r="Q169" s="65">
        <v>0</v>
      </c>
      <c r="R169" s="65">
        <v>0</v>
      </c>
      <c r="S169" s="11">
        <f t="shared" si="86"/>
        <v>0</v>
      </c>
      <c r="T169" s="8">
        <f t="shared" si="123"/>
        <v>0</v>
      </c>
      <c r="U169" s="13" t="s">
        <v>22</v>
      </c>
      <c r="V169" s="50">
        <f t="shared" si="83"/>
        <v>0</v>
      </c>
      <c r="W169" s="36">
        <v>1.75</v>
      </c>
      <c r="X169" s="36">
        <v>1.75</v>
      </c>
      <c r="Y169" s="36">
        <v>1.75</v>
      </c>
      <c r="Z169" s="36">
        <v>1.75</v>
      </c>
      <c r="AA169" s="36">
        <v>1.75</v>
      </c>
      <c r="AB169" s="36">
        <v>1.75</v>
      </c>
      <c r="AC169" s="36">
        <v>1.75</v>
      </c>
      <c r="AD169" s="36">
        <v>1.75</v>
      </c>
      <c r="AE169" s="36">
        <v>1.75</v>
      </c>
      <c r="AF169" s="36">
        <v>1.75</v>
      </c>
      <c r="AG169" s="36">
        <v>1.75</v>
      </c>
      <c r="AH169" s="36">
        <v>1.75</v>
      </c>
      <c r="AI169" s="39">
        <v>1.33634708931066E-2</v>
      </c>
      <c r="AJ169" s="39">
        <v>1.33634708931066E-2</v>
      </c>
      <c r="AK169" s="39">
        <v>1.33634708931066E-2</v>
      </c>
      <c r="AL169" s="39">
        <v>1.33634708931066E-2</v>
      </c>
      <c r="AM169" s="39">
        <v>1.33634708931066E-2</v>
      </c>
      <c r="AN169" s="39">
        <v>1.33634708931066E-2</v>
      </c>
      <c r="AO169" s="39">
        <v>1.33634708931066E-2</v>
      </c>
      <c r="AP169" s="39">
        <v>1.33634708931066E-2</v>
      </c>
      <c r="AQ169" s="39">
        <v>1.33634708931066E-2</v>
      </c>
      <c r="AR169" s="39">
        <v>1.33634708931066E-2</v>
      </c>
      <c r="AS169" s="39">
        <v>1.33634708931066E-2</v>
      </c>
      <c r="AT169" s="39">
        <v>1.33634708931066E-2</v>
      </c>
      <c r="AU169" s="39">
        <v>1.2392217523121999E-3</v>
      </c>
      <c r="AV169" s="39">
        <v>1.2392217523121999E-3</v>
      </c>
      <c r="AW169" s="39">
        <v>1.2392217523121999E-3</v>
      </c>
      <c r="AX169" s="39">
        <v>1.2392217523121999E-3</v>
      </c>
      <c r="AY169" s="39">
        <v>1.2392217523121999E-3</v>
      </c>
      <c r="AZ169" s="39">
        <v>1.2392217523121999E-3</v>
      </c>
      <c r="BA169" s="39">
        <v>1.2392217523121999E-3</v>
      </c>
      <c r="BB169" s="39">
        <v>1.2392217523121999E-3</v>
      </c>
      <c r="BC169" s="39">
        <v>1.2392217523121999E-3</v>
      </c>
      <c r="BD169" s="39">
        <v>1.2392217523121999E-3</v>
      </c>
      <c r="BE169" s="39">
        <v>1.2392217523121999E-3</v>
      </c>
      <c r="BF169" s="39">
        <v>1.2392217523121999E-3</v>
      </c>
      <c r="BG169" s="1"/>
      <c r="BH169" s="12">
        <f t="shared" si="87"/>
        <v>0</v>
      </c>
      <c r="BI169" s="12">
        <f t="shared" si="88"/>
        <v>0</v>
      </c>
      <c r="BJ169" s="12">
        <f t="shared" si="89"/>
        <v>0</v>
      </c>
      <c r="BK169" s="12">
        <f t="shared" si="90"/>
        <v>0</v>
      </c>
      <c r="BL169" s="12">
        <f t="shared" si="91"/>
        <v>0</v>
      </c>
      <c r="BM169" s="12">
        <f t="shared" si="92"/>
        <v>0</v>
      </c>
      <c r="BN169" s="12">
        <f t="shared" si="93"/>
        <v>0</v>
      </c>
      <c r="BO169" s="12">
        <f t="shared" si="94"/>
        <v>0</v>
      </c>
      <c r="BP169" s="12">
        <f t="shared" si="95"/>
        <v>0</v>
      </c>
      <c r="BQ169" s="12">
        <f t="shared" si="96"/>
        <v>0</v>
      </c>
      <c r="BR169" s="12">
        <f t="shared" si="97"/>
        <v>0</v>
      </c>
      <c r="BS169" s="12">
        <f t="shared" si="98"/>
        <v>0</v>
      </c>
      <c r="BT169" s="1"/>
      <c r="BU169" s="11">
        <f t="shared" si="99"/>
        <v>0</v>
      </c>
      <c r="BV169" s="11">
        <f t="shared" si="100"/>
        <v>0</v>
      </c>
      <c r="BW169" s="11">
        <f t="shared" si="101"/>
        <v>0</v>
      </c>
      <c r="BX169" s="11">
        <f t="shared" si="102"/>
        <v>0</v>
      </c>
      <c r="BY169" s="11">
        <f t="shared" si="103"/>
        <v>0</v>
      </c>
      <c r="BZ169" s="11">
        <f t="shared" si="104"/>
        <v>0</v>
      </c>
      <c r="CA169" s="11">
        <f t="shared" si="105"/>
        <v>0</v>
      </c>
      <c r="CB169" s="11">
        <f t="shared" si="106"/>
        <v>0</v>
      </c>
      <c r="CC169" s="11">
        <f t="shared" si="107"/>
        <v>0</v>
      </c>
      <c r="CD169" s="11">
        <f t="shared" si="108"/>
        <v>0</v>
      </c>
      <c r="CE169" s="11">
        <f t="shared" si="109"/>
        <v>0</v>
      </c>
      <c r="CF169" s="11">
        <f t="shared" si="110"/>
        <v>0</v>
      </c>
      <c r="CG169" s="11"/>
      <c r="CH169" s="41">
        <v>3.23</v>
      </c>
      <c r="CI169" s="1"/>
      <c r="CJ169" s="53">
        <f t="shared" si="111"/>
        <v>0</v>
      </c>
      <c r="CK169" s="53">
        <f t="shared" si="112"/>
        <v>0</v>
      </c>
      <c r="CL169" s="53">
        <f t="shared" si="113"/>
        <v>0</v>
      </c>
      <c r="CM169" s="53">
        <f t="shared" si="114"/>
        <v>0</v>
      </c>
      <c r="CN169" s="53">
        <f t="shared" si="115"/>
        <v>0</v>
      </c>
      <c r="CO169" s="53">
        <f t="shared" si="116"/>
        <v>0</v>
      </c>
      <c r="CP169" s="53">
        <f t="shared" si="117"/>
        <v>0</v>
      </c>
      <c r="CQ169" s="53">
        <f t="shared" si="118"/>
        <v>0</v>
      </c>
      <c r="CR169" s="53">
        <f t="shared" si="119"/>
        <v>0</v>
      </c>
      <c r="CS169" s="53">
        <f t="shared" si="120"/>
        <v>0</v>
      </c>
      <c r="CT169" s="53">
        <f t="shared" si="121"/>
        <v>0</v>
      </c>
      <c r="CU169" s="53">
        <f t="shared" si="122"/>
        <v>0</v>
      </c>
      <c r="CV169" s="53">
        <f t="shared" si="84"/>
        <v>0</v>
      </c>
      <c r="CW169" s="1"/>
      <c r="CX169" s="1"/>
      <c r="CY169" s="1"/>
      <c r="CZ169" s="1"/>
      <c r="DA169" s="1"/>
      <c r="DB169" s="1"/>
      <c r="DC169" s="1"/>
      <c r="DD169" s="1"/>
      <c r="DE169" s="1"/>
      <c r="DF169" s="1"/>
      <c r="DG169" s="1"/>
      <c r="DH169" s="1"/>
      <c r="DI169" s="1"/>
      <c r="DJ169" s="1"/>
      <c r="DK169" s="1"/>
      <c r="DL169" s="1"/>
    </row>
    <row r="170" spans="1:116" ht="15.75" hidden="1" x14ac:dyDescent="0.25">
      <c r="A170" s="16"/>
      <c r="B170" s="44"/>
      <c r="C170" s="44"/>
      <c r="D170" s="44"/>
      <c r="E170" s="44"/>
      <c r="F170" s="45" t="s">
        <v>20</v>
      </c>
      <c r="G170" s="65">
        <v>0</v>
      </c>
      <c r="H170" s="65">
        <v>0</v>
      </c>
      <c r="I170" s="65">
        <v>0</v>
      </c>
      <c r="J170" s="65">
        <v>0</v>
      </c>
      <c r="K170" s="65">
        <v>0</v>
      </c>
      <c r="L170" s="65">
        <v>0</v>
      </c>
      <c r="M170" s="65">
        <v>0</v>
      </c>
      <c r="N170" s="65">
        <v>0</v>
      </c>
      <c r="O170" s="65">
        <v>0</v>
      </c>
      <c r="P170" s="65">
        <v>0</v>
      </c>
      <c r="Q170" s="65">
        <v>0</v>
      </c>
      <c r="R170" s="65">
        <v>0</v>
      </c>
      <c r="S170" s="11">
        <f t="shared" ref="S170:S175" si="124">SUM(G170:R170)</f>
        <v>0</v>
      </c>
      <c r="T170" s="8">
        <f t="shared" si="123"/>
        <v>-1</v>
      </c>
      <c r="U170" s="13" t="s">
        <v>22</v>
      </c>
      <c r="V170" s="50">
        <f t="shared" si="83"/>
        <v>0</v>
      </c>
      <c r="W170" s="36">
        <v>2.367</v>
      </c>
      <c r="X170" s="36">
        <v>2.367</v>
      </c>
      <c r="Y170" s="36">
        <v>2.367</v>
      </c>
      <c r="Z170" s="36">
        <v>2.367</v>
      </c>
      <c r="AA170" s="36">
        <v>2.367</v>
      </c>
      <c r="AB170" s="36">
        <v>2.367</v>
      </c>
      <c r="AC170" s="36">
        <v>2.367</v>
      </c>
      <c r="AD170" s="36">
        <v>2.367</v>
      </c>
      <c r="AE170" s="36">
        <v>2.367</v>
      </c>
      <c r="AF170" s="36">
        <v>2.367</v>
      </c>
      <c r="AG170" s="36">
        <v>2.367</v>
      </c>
      <c r="AH170" s="36">
        <v>2.367</v>
      </c>
      <c r="AI170" s="39">
        <v>1.33634708931066E-2</v>
      </c>
      <c r="AJ170" s="39">
        <v>1.33634708931066E-2</v>
      </c>
      <c r="AK170" s="39">
        <v>1.33634708931066E-2</v>
      </c>
      <c r="AL170" s="39">
        <v>1.33634708931066E-2</v>
      </c>
      <c r="AM170" s="39">
        <v>1.33634708931066E-2</v>
      </c>
      <c r="AN170" s="39">
        <v>1.33634708931066E-2</v>
      </c>
      <c r="AO170" s="39">
        <v>1.33634708931066E-2</v>
      </c>
      <c r="AP170" s="39">
        <v>1.33634708931066E-2</v>
      </c>
      <c r="AQ170" s="39">
        <v>1.33634708931066E-2</v>
      </c>
      <c r="AR170" s="39">
        <v>1.33634708931066E-2</v>
      </c>
      <c r="AS170" s="39">
        <v>1.33634708931066E-2</v>
      </c>
      <c r="AT170" s="39">
        <v>1.33634708931066E-2</v>
      </c>
      <c r="AU170" s="39">
        <v>1.2392217523121999E-3</v>
      </c>
      <c r="AV170" s="39">
        <v>1.2392217523121999E-3</v>
      </c>
      <c r="AW170" s="39">
        <v>1.2392217523121999E-3</v>
      </c>
      <c r="AX170" s="39">
        <v>1.2392217523121999E-3</v>
      </c>
      <c r="AY170" s="39">
        <v>1.2392217523121999E-3</v>
      </c>
      <c r="AZ170" s="39">
        <v>1.2392217523121999E-3</v>
      </c>
      <c r="BA170" s="39">
        <v>1.2392217523121999E-3</v>
      </c>
      <c r="BB170" s="39">
        <v>1.2392217523121999E-3</v>
      </c>
      <c r="BC170" s="39">
        <v>1.2392217523121999E-3</v>
      </c>
      <c r="BD170" s="39">
        <v>1.2392217523121999E-3</v>
      </c>
      <c r="BE170" s="39">
        <v>1.2392217523121999E-3</v>
      </c>
      <c r="BF170" s="39">
        <v>1.2392217523121999E-3</v>
      </c>
      <c r="BG170" s="1"/>
      <c r="BH170" s="12">
        <f t="shared" si="87"/>
        <v>0</v>
      </c>
      <c r="BI170" s="12">
        <f t="shared" si="88"/>
        <v>0</v>
      </c>
      <c r="BJ170" s="12">
        <f t="shared" si="89"/>
        <v>0</v>
      </c>
      <c r="BK170" s="12">
        <f t="shared" si="90"/>
        <v>0</v>
      </c>
      <c r="BL170" s="12">
        <f t="shared" si="91"/>
        <v>0</v>
      </c>
      <c r="BM170" s="12">
        <f t="shared" si="92"/>
        <v>0</v>
      </c>
      <c r="BN170" s="12">
        <f t="shared" si="93"/>
        <v>0</v>
      </c>
      <c r="BO170" s="12">
        <f t="shared" si="94"/>
        <v>0</v>
      </c>
      <c r="BP170" s="12">
        <f t="shared" si="95"/>
        <v>0</v>
      </c>
      <c r="BQ170" s="12">
        <f t="shared" si="96"/>
        <v>0</v>
      </c>
      <c r="BR170" s="12">
        <f t="shared" si="97"/>
        <v>0</v>
      </c>
      <c r="BS170" s="12">
        <f t="shared" si="98"/>
        <v>0</v>
      </c>
      <c r="BT170" s="1"/>
      <c r="BU170" s="11">
        <f t="shared" si="99"/>
        <v>0</v>
      </c>
      <c r="BV170" s="11">
        <f t="shared" si="100"/>
        <v>0</v>
      </c>
      <c r="BW170" s="11">
        <f t="shared" si="101"/>
        <v>0</v>
      </c>
      <c r="BX170" s="11">
        <f t="shared" si="102"/>
        <v>0</v>
      </c>
      <c r="BY170" s="11">
        <f t="shared" si="103"/>
        <v>0</v>
      </c>
      <c r="BZ170" s="11">
        <f t="shared" si="104"/>
        <v>0</v>
      </c>
      <c r="CA170" s="11">
        <f t="shared" si="105"/>
        <v>0</v>
      </c>
      <c r="CB170" s="11">
        <f t="shared" si="106"/>
        <v>0</v>
      </c>
      <c r="CC170" s="11">
        <f t="shared" si="107"/>
        <v>0</v>
      </c>
      <c r="CD170" s="11">
        <f t="shared" si="108"/>
        <v>0</v>
      </c>
      <c r="CE170" s="11">
        <f t="shared" si="109"/>
        <v>0</v>
      </c>
      <c r="CF170" s="11">
        <f t="shared" si="110"/>
        <v>0</v>
      </c>
      <c r="CG170" s="11"/>
      <c r="CH170" s="41">
        <v>3.23</v>
      </c>
      <c r="CI170" s="1"/>
      <c r="CJ170" s="53">
        <f t="shared" si="111"/>
        <v>0</v>
      </c>
      <c r="CK170" s="53">
        <f t="shared" si="112"/>
        <v>0</v>
      </c>
      <c r="CL170" s="53">
        <f t="shared" si="113"/>
        <v>0</v>
      </c>
      <c r="CM170" s="53">
        <f t="shared" si="114"/>
        <v>0</v>
      </c>
      <c r="CN170" s="53">
        <f t="shared" si="115"/>
        <v>0</v>
      </c>
      <c r="CO170" s="53">
        <f t="shared" si="116"/>
        <v>0</v>
      </c>
      <c r="CP170" s="53">
        <f t="shared" si="117"/>
        <v>0</v>
      </c>
      <c r="CQ170" s="53">
        <f t="shared" si="118"/>
        <v>0</v>
      </c>
      <c r="CR170" s="53">
        <f t="shared" si="119"/>
        <v>0</v>
      </c>
      <c r="CS170" s="53">
        <f t="shared" si="120"/>
        <v>0</v>
      </c>
      <c r="CT170" s="53">
        <f t="shared" si="121"/>
        <v>0</v>
      </c>
      <c r="CU170" s="53">
        <f t="shared" si="122"/>
        <v>0</v>
      </c>
      <c r="CV170" s="53">
        <f t="shared" si="84"/>
        <v>0</v>
      </c>
      <c r="CW170" s="1"/>
      <c r="CX170" s="1"/>
      <c r="CY170" s="1"/>
      <c r="CZ170" s="1"/>
      <c r="DA170" s="1"/>
      <c r="DB170" s="1"/>
      <c r="DC170" s="1"/>
      <c r="DD170" s="1"/>
      <c r="DE170" s="1"/>
      <c r="DF170" s="1"/>
      <c r="DG170" s="1"/>
      <c r="DH170" s="1"/>
      <c r="DI170" s="1"/>
      <c r="DJ170" s="1"/>
      <c r="DK170" s="1"/>
      <c r="DL170" s="1"/>
    </row>
    <row r="171" spans="1:116" ht="15.75" hidden="1" x14ac:dyDescent="0.25">
      <c r="A171" s="16"/>
      <c r="B171" s="44"/>
      <c r="C171" s="44"/>
      <c r="D171" s="44"/>
      <c r="E171" s="44"/>
      <c r="F171" s="45" t="s">
        <v>20</v>
      </c>
      <c r="G171" s="65">
        <v>0</v>
      </c>
      <c r="H171" s="65">
        <v>0</v>
      </c>
      <c r="I171" s="65">
        <v>0</v>
      </c>
      <c r="J171" s="65">
        <v>0</v>
      </c>
      <c r="K171" s="65">
        <v>0</v>
      </c>
      <c r="L171" s="65">
        <v>0</v>
      </c>
      <c r="M171" s="65">
        <v>0</v>
      </c>
      <c r="N171" s="65">
        <v>0</v>
      </c>
      <c r="O171" s="65">
        <v>0</v>
      </c>
      <c r="P171" s="65">
        <v>0</v>
      </c>
      <c r="Q171" s="65">
        <v>0</v>
      </c>
      <c r="R171" s="65">
        <v>0</v>
      </c>
      <c r="S171" s="11">
        <f t="shared" si="124"/>
        <v>0</v>
      </c>
      <c r="T171" s="8">
        <f t="shared" si="123"/>
        <v>-1</v>
      </c>
      <c r="U171" s="13" t="s">
        <v>22</v>
      </c>
      <c r="V171" s="50">
        <f t="shared" ref="V171:V234" si="125">CV171</f>
        <v>0</v>
      </c>
      <c r="W171" s="36">
        <v>1.9370000000000001</v>
      </c>
      <c r="X171" s="36">
        <v>1.9370000000000001</v>
      </c>
      <c r="Y171" s="36">
        <v>1.9370000000000001</v>
      </c>
      <c r="Z171" s="36">
        <v>1.9370000000000001</v>
      </c>
      <c r="AA171" s="36">
        <v>1.9370000000000001</v>
      </c>
      <c r="AB171" s="36">
        <v>1.9370000000000001</v>
      </c>
      <c r="AC171" s="36">
        <v>1.9370000000000001</v>
      </c>
      <c r="AD171" s="36">
        <v>1.9370000000000001</v>
      </c>
      <c r="AE171" s="36">
        <v>1.9370000000000001</v>
      </c>
      <c r="AF171" s="36">
        <v>1.9370000000000001</v>
      </c>
      <c r="AG171" s="36">
        <v>1.9370000000000001</v>
      </c>
      <c r="AH171" s="36">
        <v>1.9370000000000001</v>
      </c>
      <c r="AI171" s="39">
        <v>1.33634708931066E-2</v>
      </c>
      <c r="AJ171" s="39">
        <v>1.33634708931066E-2</v>
      </c>
      <c r="AK171" s="39">
        <v>1.33634708931066E-2</v>
      </c>
      <c r="AL171" s="39">
        <v>1.33634708931066E-2</v>
      </c>
      <c r="AM171" s="39">
        <v>1.33634708931066E-2</v>
      </c>
      <c r="AN171" s="39">
        <v>1.33634708931066E-2</v>
      </c>
      <c r="AO171" s="39">
        <v>1.33634708931066E-2</v>
      </c>
      <c r="AP171" s="39">
        <v>1.33634708931066E-2</v>
      </c>
      <c r="AQ171" s="39">
        <v>1.33634708931066E-2</v>
      </c>
      <c r="AR171" s="39">
        <v>1.33634708931066E-2</v>
      </c>
      <c r="AS171" s="39">
        <v>1.33634708931066E-2</v>
      </c>
      <c r="AT171" s="39">
        <v>1.33634708931066E-2</v>
      </c>
      <c r="AU171" s="39">
        <v>1.2392217523121999E-3</v>
      </c>
      <c r="AV171" s="39">
        <v>1.2392217523121999E-3</v>
      </c>
      <c r="AW171" s="39">
        <v>1.2392217523121999E-3</v>
      </c>
      <c r="AX171" s="39">
        <v>1.2392217523121999E-3</v>
      </c>
      <c r="AY171" s="39">
        <v>1.2392217523121999E-3</v>
      </c>
      <c r="AZ171" s="39">
        <v>1.2392217523121999E-3</v>
      </c>
      <c r="BA171" s="39">
        <v>1.2392217523121999E-3</v>
      </c>
      <c r="BB171" s="39">
        <v>1.2392217523121999E-3</v>
      </c>
      <c r="BC171" s="39">
        <v>1.2392217523121999E-3</v>
      </c>
      <c r="BD171" s="39">
        <v>1.2392217523121999E-3</v>
      </c>
      <c r="BE171" s="39">
        <v>1.2392217523121999E-3</v>
      </c>
      <c r="BF171" s="39">
        <v>1.2392217523121999E-3</v>
      </c>
      <c r="BG171" s="1"/>
      <c r="BH171" s="12">
        <f t="shared" si="87"/>
        <v>0</v>
      </c>
      <c r="BI171" s="12">
        <f t="shared" si="88"/>
        <v>0</v>
      </c>
      <c r="BJ171" s="12">
        <f t="shared" si="89"/>
        <v>0</v>
      </c>
      <c r="BK171" s="12">
        <f t="shared" si="90"/>
        <v>0</v>
      </c>
      <c r="BL171" s="12">
        <f t="shared" si="91"/>
        <v>0</v>
      </c>
      <c r="BM171" s="12">
        <f t="shared" si="92"/>
        <v>0</v>
      </c>
      <c r="BN171" s="12">
        <f t="shared" si="93"/>
        <v>0</v>
      </c>
      <c r="BO171" s="12">
        <f t="shared" si="94"/>
        <v>0</v>
      </c>
      <c r="BP171" s="12">
        <f t="shared" si="95"/>
        <v>0</v>
      </c>
      <c r="BQ171" s="12">
        <f t="shared" si="96"/>
        <v>0</v>
      </c>
      <c r="BR171" s="12">
        <f t="shared" si="97"/>
        <v>0</v>
      </c>
      <c r="BS171" s="12">
        <f t="shared" si="98"/>
        <v>0</v>
      </c>
      <c r="BT171" s="1"/>
      <c r="BU171" s="11">
        <f t="shared" si="99"/>
        <v>0</v>
      </c>
      <c r="BV171" s="11">
        <f t="shared" si="100"/>
        <v>0</v>
      </c>
      <c r="BW171" s="11">
        <f t="shared" si="101"/>
        <v>0</v>
      </c>
      <c r="BX171" s="11">
        <f t="shared" si="102"/>
        <v>0</v>
      </c>
      <c r="BY171" s="11">
        <f t="shared" si="103"/>
        <v>0</v>
      </c>
      <c r="BZ171" s="11">
        <f t="shared" si="104"/>
        <v>0</v>
      </c>
      <c r="CA171" s="11">
        <f t="shared" si="105"/>
        <v>0</v>
      </c>
      <c r="CB171" s="11">
        <f t="shared" si="106"/>
        <v>0</v>
      </c>
      <c r="CC171" s="11">
        <f t="shared" si="107"/>
        <v>0</v>
      </c>
      <c r="CD171" s="11">
        <f t="shared" si="108"/>
        <v>0</v>
      </c>
      <c r="CE171" s="11">
        <f t="shared" si="109"/>
        <v>0</v>
      </c>
      <c r="CF171" s="11">
        <f t="shared" si="110"/>
        <v>0</v>
      </c>
      <c r="CG171" s="11"/>
      <c r="CH171" s="41">
        <v>3.23</v>
      </c>
      <c r="CI171" s="1"/>
      <c r="CJ171" s="53">
        <f t="shared" si="111"/>
        <v>0</v>
      </c>
      <c r="CK171" s="53">
        <f t="shared" si="112"/>
        <v>0</v>
      </c>
      <c r="CL171" s="53">
        <f t="shared" si="113"/>
        <v>0</v>
      </c>
      <c r="CM171" s="53">
        <f t="shared" si="114"/>
        <v>0</v>
      </c>
      <c r="CN171" s="53">
        <f t="shared" si="115"/>
        <v>0</v>
      </c>
      <c r="CO171" s="53">
        <f t="shared" si="116"/>
        <v>0</v>
      </c>
      <c r="CP171" s="53">
        <f t="shared" si="117"/>
        <v>0</v>
      </c>
      <c r="CQ171" s="53">
        <f t="shared" si="118"/>
        <v>0</v>
      </c>
      <c r="CR171" s="53">
        <f t="shared" si="119"/>
        <v>0</v>
      </c>
      <c r="CS171" s="53">
        <f t="shared" si="120"/>
        <v>0</v>
      </c>
      <c r="CT171" s="53">
        <f t="shared" si="121"/>
        <v>0</v>
      </c>
      <c r="CU171" s="53">
        <f t="shared" si="122"/>
        <v>0</v>
      </c>
      <c r="CV171" s="53">
        <f t="shared" ref="CV171:CV234" si="126">ROUNDUP(SUM(CJ171:CU171),0)</f>
        <v>0</v>
      </c>
      <c r="CW171" s="1"/>
      <c r="CX171" s="1"/>
      <c r="CY171" s="1"/>
      <c r="CZ171" s="1"/>
      <c r="DA171" s="1"/>
      <c r="DB171" s="1"/>
      <c r="DC171" s="1"/>
      <c r="DD171" s="1"/>
      <c r="DE171" s="1"/>
      <c r="DF171" s="1"/>
      <c r="DG171" s="1"/>
      <c r="DH171" s="1"/>
      <c r="DI171" s="1"/>
      <c r="DJ171" s="1"/>
      <c r="DK171" s="1"/>
      <c r="DL171" s="1"/>
    </row>
    <row r="172" spans="1:116" ht="15.75" hidden="1" x14ac:dyDescent="0.25">
      <c r="A172" s="16"/>
      <c r="B172" s="44"/>
      <c r="C172" s="44"/>
      <c r="D172" s="44"/>
      <c r="E172" s="44"/>
      <c r="F172" s="45" t="s">
        <v>20</v>
      </c>
      <c r="G172" s="65">
        <v>142.97999999999999</v>
      </c>
      <c r="H172" s="65">
        <v>142.97999999999999</v>
      </c>
      <c r="I172" s="65">
        <v>142.97999999999999</v>
      </c>
      <c r="J172" s="65">
        <v>85.25</v>
      </c>
      <c r="K172" s="65">
        <v>85.25</v>
      </c>
      <c r="L172" s="65">
        <v>85.25</v>
      </c>
      <c r="M172" s="65">
        <v>85.25</v>
      </c>
      <c r="N172" s="65">
        <v>116.17</v>
      </c>
      <c r="O172" s="65">
        <v>116.17</v>
      </c>
      <c r="P172" s="65">
        <v>98.3</v>
      </c>
      <c r="Q172" s="65">
        <v>98.3</v>
      </c>
      <c r="R172" s="65">
        <v>89.36</v>
      </c>
      <c r="S172" s="11">
        <f t="shared" si="124"/>
        <v>1288.2399999999998</v>
      </c>
      <c r="T172" s="8">
        <f t="shared" si="123"/>
        <v>0.13623454285663869</v>
      </c>
      <c r="U172" s="13" t="s">
        <v>22</v>
      </c>
      <c r="V172" s="50">
        <f t="shared" si="125"/>
        <v>1587730</v>
      </c>
      <c r="W172" s="36">
        <v>2.6589999999999998</v>
      </c>
      <c r="X172" s="36">
        <v>2.6589999999999998</v>
      </c>
      <c r="Y172" s="36">
        <v>2.6589999999999998</v>
      </c>
      <c r="Z172" s="36">
        <v>2.6589999999999998</v>
      </c>
      <c r="AA172" s="36">
        <v>2.6589999999999998</v>
      </c>
      <c r="AB172" s="36">
        <v>2.6589999999999998</v>
      </c>
      <c r="AC172" s="36">
        <v>2.6589999999999998</v>
      </c>
      <c r="AD172" s="36">
        <v>2.6589999999999998</v>
      </c>
      <c r="AE172" s="36">
        <v>2.6589999999999998</v>
      </c>
      <c r="AF172" s="36">
        <v>2.6589999999999998</v>
      </c>
      <c r="AG172" s="36">
        <v>2.6589999999999998</v>
      </c>
      <c r="AH172" s="36">
        <v>2.6589999999999998</v>
      </c>
      <c r="AI172" s="39">
        <v>1.33634708931066E-2</v>
      </c>
      <c r="AJ172" s="39">
        <v>1.33634708931066E-2</v>
      </c>
      <c r="AK172" s="39">
        <v>1.33634708931066E-2</v>
      </c>
      <c r="AL172" s="39">
        <v>1.33634708931066E-2</v>
      </c>
      <c r="AM172" s="39">
        <v>1.33634708931066E-2</v>
      </c>
      <c r="AN172" s="39">
        <v>1.33634708931066E-2</v>
      </c>
      <c r="AO172" s="39">
        <v>1.33634708931066E-2</v>
      </c>
      <c r="AP172" s="39">
        <v>1.33634708931066E-2</v>
      </c>
      <c r="AQ172" s="39">
        <v>1.33634708931066E-2</v>
      </c>
      <c r="AR172" s="39">
        <v>1.33634708931066E-2</v>
      </c>
      <c r="AS172" s="39">
        <v>1.33634708931066E-2</v>
      </c>
      <c r="AT172" s="39">
        <v>1.33634708931066E-2</v>
      </c>
      <c r="AU172" s="39">
        <v>1.2392217523121999E-3</v>
      </c>
      <c r="AV172" s="39">
        <v>1.2392217523121999E-3</v>
      </c>
      <c r="AW172" s="39">
        <v>1.2392217523121999E-3</v>
      </c>
      <c r="AX172" s="39">
        <v>1.2392217523121999E-3</v>
      </c>
      <c r="AY172" s="39">
        <v>1.2392217523121999E-3</v>
      </c>
      <c r="AZ172" s="39">
        <v>1.2392217523121999E-3</v>
      </c>
      <c r="BA172" s="39">
        <v>1.2392217523121999E-3</v>
      </c>
      <c r="BB172" s="39">
        <v>1.2392217523121999E-3</v>
      </c>
      <c r="BC172" s="39">
        <v>1.2392217523121999E-3</v>
      </c>
      <c r="BD172" s="39">
        <v>1.2392217523121999E-3</v>
      </c>
      <c r="BE172" s="39">
        <v>1.2392217523121999E-3</v>
      </c>
      <c r="BF172" s="39">
        <v>1.2392217523121999E-3</v>
      </c>
      <c r="BG172" s="1"/>
      <c r="BH172" s="12">
        <f t="shared" si="87"/>
        <v>461.82539999999995</v>
      </c>
      <c r="BI172" s="12">
        <f t="shared" si="88"/>
        <v>461.82539999999995</v>
      </c>
      <c r="BJ172" s="12">
        <f t="shared" si="89"/>
        <v>461.82539999999995</v>
      </c>
      <c r="BK172" s="12">
        <f t="shared" si="90"/>
        <v>275.35750000000002</v>
      </c>
      <c r="BL172" s="12">
        <f t="shared" si="91"/>
        <v>275.35750000000002</v>
      </c>
      <c r="BM172" s="12">
        <f t="shared" si="92"/>
        <v>275.35750000000002</v>
      </c>
      <c r="BN172" s="12">
        <f t="shared" si="93"/>
        <v>275.35750000000002</v>
      </c>
      <c r="BO172" s="12">
        <f t="shared" si="94"/>
        <v>375.22910000000002</v>
      </c>
      <c r="BP172" s="12">
        <f t="shared" si="95"/>
        <v>375.22910000000002</v>
      </c>
      <c r="BQ172" s="12">
        <f t="shared" si="96"/>
        <v>317.50900000000001</v>
      </c>
      <c r="BR172" s="12">
        <f t="shared" si="97"/>
        <v>317.50900000000001</v>
      </c>
      <c r="BS172" s="12">
        <f t="shared" si="98"/>
        <v>288.63279999999997</v>
      </c>
      <c r="BT172" s="1"/>
      <c r="BU172" s="11">
        <f t="shared" si="99"/>
        <v>468.56929437204752</v>
      </c>
      <c r="BV172" s="11">
        <f t="shared" si="100"/>
        <v>468.56929437204752</v>
      </c>
      <c r="BW172" s="11">
        <f t="shared" si="101"/>
        <v>468.56929437204752</v>
      </c>
      <c r="BX172" s="11">
        <f t="shared" si="102"/>
        <v>279.37846094011093</v>
      </c>
      <c r="BY172" s="11">
        <f t="shared" si="103"/>
        <v>279.37846094011093</v>
      </c>
      <c r="BZ172" s="11">
        <f t="shared" si="104"/>
        <v>279.37846094011093</v>
      </c>
      <c r="CA172" s="11">
        <f t="shared" si="105"/>
        <v>279.37846094011093</v>
      </c>
      <c r="CB172" s="11">
        <f t="shared" si="106"/>
        <v>380.70845521891715</v>
      </c>
      <c r="CC172" s="11">
        <f t="shared" si="107"/>
        <v>380.70845521891715</v>
      </c>
      <c r="CD172" s="11">
        <f t="shared" si="108"/>
        <v>322.14548633915427</v>
      </c>
      <c r="CE172" s="11">
        <f t="shared" si="109"/>
        <v>322.14548633915427</v>
      </c>
      <c r="CF172" s="11">
        <f t="shared" si="110"/>
        <v>292.84761606578661</v>
      </c>
      <c r="CG172" s="11"/>
      <c r="CH172" s="41">
        <v>3.23</v>
      </c>
      <c r="CI172" s="1"/>
      <c r="CJ172" s="53">
        <f t="shared" si="111"/>
        <v>176220</v>
      </c>
      <c r="CK172" s="53">
        <f t="shared" si="112"/>
        <v>176220</v>
      </c>
      <c r="CL172" s="53">
        <f t="shared" si="113"/>
        <v>176220</v>
      </c>
      <c r="CM172" s="53">
        <f t="shared" si="114"/>
        <v>105069</v>
      </c>
      <c r="CN172" s="53">
        <f t="shared" si="115"/>
        <v>105069</v>
      </c>
      <c r="CO172" s="53">
        <f t="shared" si="116"/>
        <v>105069</v>
      </c>
      <c r="CP172" s="53">
        <f t="shared" si="117"/>
        <v>105069</v>
      </c>
      <c r="CQ172" s="53">
        <f t="shared" si="118"/>
        <v>143177</v>
      </c>
      <c r="CR172" s="53">
        <f t="shared" si="119"/>
        <v>143177</v>
      </c>
      <c r="CS172" s="53">
        <f t="shared" si="120"/>
        <v>121153</v>
      </c>
      <c r="CT172" s="53">
        <f t="shared" si="121"/>
        <v>121153</v>
      </c>
      <c r="CU172" s="53">
        <f t="shared" si="122"/>
        <v>110134</v>
      </c>
      <c r="CV172" s="53">
        <f t="shared" si="126"/>
        <v>1587730</v>
      </c>
      <c r="CW172" s="1"/>
      <c r="CX172" s="1"/>
      <c r="CY172" s="1"/>
      <c r="CZ172" s="1"/>
      <c r="DA172" s="1"/>
      <c r="DB172" s="1"/>
      <c r="DC172" s="1"/>
      <c r="DD172" s="1"/>
      <c r="DE172" s="1"/>
      <c r="DF172" s="1"/>
      <c r="DG172" s="1"/>
      <c r="DH172" s="1"/>
      <c r="DI172" s="1"/>
      <c r="DJ172" s="1"/>
      <c r="DK172" s="1"/>
      <c r="DL172" s="1"/>
    </row>
    <row r="173" spans="1:116" ht="15.75" hidden="1" x14ac:dyDescent="0.25">
      <c r="A173" s="16"/>
      <c r="B173" s="44"/>
      <c r="C173" s="44"/>
      <c r="D173" s="44"/>
      <c r="E173" s="44"/>
      <c r="F173" s="45" t="s">
        <v>20</v>
      </c>
      <c r="G173" s="65">
        <v>147.76</v>
      </c>
      <c r="H173" s="65">
        <v>121.16</v>
      </c>
      <c r="I173" s="65">
        <v>121.16</v>
      </c>
      <c r="J173" s="65">
        <v>74.39</v>
      </c>
      <c r="K173" s="65">
        <v>164.7</v>
      </c>
      <c r="L173" s="65">
        <v>178.75</v>
      </c>
      <c r="M173" s="65">
        <v>56.83</v>
      </c>
      <c r="N173" s="65">
        <v>157.82</v>
      </c>
      <c r="O173" s="65">
        <v>73.849999999999994</v>
      </c>
      <c r="P173" s="65">
        <v>185</v>
      </c>
      <c r="Q173" s="65">
        <v>405.34</v>
      </c>
      <c r="R173" s="65">
        <v>95.13</v>
      </c>
      <c r="S173" s="11">
        <f t="shared" si="124"/>
        <v>1781.8899999999999</v>
      </c>
      <c r="T173" s="8">
        <f t="shared" si="123"/>
        <v>-1.9625211822443315E-2</v>
      </c>
      <c r="U173" s="13" t="s">
        <v>22</v>
      </c>
      <c r="V173" s="50">
        <f t="shared" si="125"/>
        <v>963185</v>
      </c>
      <c r="W173" s="36">
        <v>1.8500010816189674</v>
      </c>
      <c r="X173" s="36">
        <v>1.8500010816189674</v>
      </c>
      <c r="Y173" s="36">
        <v>1.8500010816189674</v>
      </c>
      <c r="Z173" s="36">
        <v>1.8500010816189674</v>
      </c>
      <c r="AA173" s="36">
        <v>1.8500010816189674</v>
      </c>
      <c r="AB173" s="36">
        <v>1.8500010816189674</v>
      </c>
      <c r="AC173" s="36">
        <v>1.8500010816189674</v>
      </c>
      <c r="AD173" s="36">
        <v>1.8500010816189674</v>
      </c>
      <c r="AE173" s="36">
        <v>1.8500010816189674</v>
      </c>
      <c r="AF173" s="36">
        <v>1.8500010816189674</v>
      </c>
      <c r="AG173" s="36">
        <v>1.8500010816189674</v>
      </c>
      <c r="AH173" s="36">
        <v>1.8500010816189674</v>
      </c>
      <c r="AI173" s="39">
        <v>0</v>
      </c>
      <c r="AJ173" s="39">
        <v>0</v>
      </c>
      <c r="AK173" s="39">
        <v>0</v>
      </c>
      <c r="AL173" s="39">
        <v>0</v>
      </c>
      <c r="AM173" s="39">
        <v>0</v>
      </c>
      <c r="AN173" s="39">
        <v>0</v>
      </c>
      <c r="AO173" s="39">
        <v>0</v>
      </c>
      <c r="AP173" s="39">
        <v>0</v>
      </c>
      <c r="AQ173" s="39">
        <v>0</v>
      </c>
      <c r="AR173" s="39">
        <v>0</v>
      </c>
      <c r="AS173" s="39">
        <v>0</v>
      </c>
      <c r="AT173" s="39">
        <v>0</v>
      </c>
      <c r="AU173" s="39">
        <v>0</v>
      </c>
      <c r="AV173" s="39">
        <v>0</v>
      </c>
      <c r="AW173" s="39">
        <v>0</v>
      </c>
      <c r="AX173" s="39">
        <v>0</v>
      </c>
      <c r="AY173" s="39">
        <v>0</v>
      </c>
      <c r="AZ173" s="39">
        <v>0</v>
      </c>
      <c r="BA173" s="39">
        <v>0</v>
      </c>
      <c r="BB173" s="39">
        <v>0</v>
      </c>
      <c r="BC173" s="39">
        <v>0</v>
      </c>
      <c r="BD173" s="39">
        <v>0</v>
      </c>
      <c r="BE173" s="39">
        <v>0</v>
      </c>
      <c r="BF173" s="39">
        <v>0</v>
      </c>
      <c r="BG173" s="1"/>
      <c r="BH173" s="12">
        <f t="shared" si="87"/>
        <v>147.76</v>
      </c>
      <c r="BI173" s="12">
        <f t="shared" si="88"/>
        <v>121.16</v>
      </c>
      <c r="BJ173" s="12">
        <f t="shared" si="89"/>
        <v>121.16</v>
      </c>
      <c r="BK173" s="12">
        <f t="shared" si="90"/>
        <v>74.39</v>
      </c>
      <c r="BL173" s="12">
        <f t="shared" si="91"/>
        <v>164.7</v>
      </c>
      <c r="BM173" s="12">
        <f t="shared" si="92"/>
        <v>178.75</v>
      </c>
      <c r="BN173" s="12">
        <f t="shared" si="93"/>
        <v>56.83</v>
      </c>
      <c r="BO173" s="12">
        <f t="shared" si="94"/>
        <v>157.82</v>
      </c>
      <c r="BP173" s="12">
        <f t="shared" si="95"/>
        <v>73.849999999999994</v>
      </c>
      <c r="BQ173" s="12">
        <f t="shared" si="96"/>
        <v>185</v>
      </c>
      <c r="BR173" s="12">
        <f t="shared" si="97"/>
        <v>405.34</v>
      </c>
      <c r="BS173" s="12">
        <f t="shared" si="98"/>
        <v>95.13</v>
      </c>
      <c r="BT173" s="1"/>
      <c r="BU173" s="11">
        <f t="shared" si="99"/>
        <v>147.76</v>
      </c>
      <c r="BV173" s="11">
        <f t="shared" si="100"/>
        <v>121.16</v>
      </c>
      <c r="BW173" s="11">
        <f t="shared" si="101"/>
        <v>121.16</v>
      </c>
      <c r="BX173" s="11">
        <f t="shared" si="102"/>
        <v>74.39</v>
      </c>
      <c r="BY173" s="11">
        <f t="shared" si="103"/>
        <v>164.7</v>
      </c>
      <c r="BZ173" s="11">
        <f t="shared" si="104"/>
        <v>178.75</v>
      </c>
      <c r="CA173" s="11">
        <f t="shared" si="105"/>
        <v>56.83</v>
      </c>
      <c r="CB173" s="11">
        <f t="shared" si="106"/>
        <v>157.82</v>
      </c>
      <c r="CC173" s="11">
        <f t="shared" si="107"/>
        <v>73.849999999999994</v>
      </c>
      <c r="CD173" s="11">
        <f t="shared" si="108"/>
        <v>185</v>
      </c>
      <c r="CE173" s="11">
        <f t="shared" si="109"/>
        <v>405.34</v>
      </c>
      <c r="CF173" s="11">
        <f t="shared" si="110"/>
        <v>95.13</v>
      </c>
      <c r="CG173" s="11"/>
      <c r="CH173" s="41">
        <v>1</v>
      </c>
      <c r="CI173" s="1"/>
      <c r="CJ173" s="53">
        <f t="shared" si="111"/>
        <v>79870</v>
      </c>
      <c r="CK173" s="53">
        <f t="shared" si="112"/>
        <v>65492</v>
      </c>
      <c r="CL173" s="53">
        <f t="shared" si="113"/>
        <v>65492</v>
      </c>
      <c r="CM173" s="53">
        <f t="shared" si="114"/>
        <v>40211</v>
      </c>
      <c r="CN173" s="53">
        <f t="shared" si="115"/>
        <v>89027</v>
      </c>
      <c r="CO173" s="53">
        <f t="shared" si="116"/>
        <v>96622</v>
      </c>
      <c r="CP173" s="53">
        <f t="shared" si="117"/>
        <v>30719</v>
      </c>
      <c r="CQ173" s="53">
        <f t="shared" si="118"/>
        <v>85308</v>
      </c>
      <c r="CR173" s="53">
        <f t="shared" si="119"/>
        <v>39919</v>
      </c>
      <c r="CS173" s="53">
        <f t="shared" si="120"/>
        <v>100000</v>
      </c>
      <c r="CT173" s="53">
        <f t="shared" si="121"/>
        <v>219103</v>
      </c>
      <c r="CU173" s="53">
        <f t="shared" si="122"/>
        <v>51422</v>
      </c>
      <c r="CV173" s="53">
        <f t="shared" si="126"/>
        <v>963185</v>
      </c>
      <c r="CW173" s="1"/>
      <c r="CX173" s="1"/>
      <c r="CY173" s="1"/>
      <c r="CZ173" s="1"/>
      <c r="DA173" s="1"/>
      <c r="DB173" s="1"/>
      <c r="DC173" s="1"/>
      <c r="DD173" s="1"/>
      <c r="DE173" s="1"/>
      <c r="DF173" s="1"/>
      <c r="DG173" s="1"/>
      <c r="DH173" s="1"/>
      <c r="DI173" s="1"/>
      <c r="DJ173" s="1"/>
      <c r="DK173" s="1"/>
      <c r="DL173" s="1"/>
    </row>
    <row r="174" spans="1:116" ht="15.75" hidden="1" x14ac:dyDescent="0.25">
      <c r="A174" s="16"/>
      <c r="B174" s="44"/>
      <c r="C174" s="44"/>
      <c r="D174" s="44"/>
      <c r="E174" s="44"/>
      <c r="F174" s="45" t="s">
        <v>20</v>
      </c>
      <c r="G174" s="65">
        <v>25.36</v>
      </c>
      <c r="H174" s="65">
        <v>25.36</v>
      </c>
      <c r="I174" s="65">
        <v>25.36</v>
      </c>
      <c r="J174" s="65">
        <v>25.36</v>
      </c>
      <c r="K174" s="65">
        <v>25.36</v>
      </c>
      <c r="L174" s="65">
        <v>25.36</v>
      </c>
      <c r="M174" s="65">
        <v>25.36</v>
      </c>
      <c r="N174" s="65">
        <v>25.36</v>
      </c>
      <c r="O174" s="65">
        <v>31.7</v>
      </c>
      <c r="P174" s="65">
        <v>31.7</v>
      </c>
      <c r="Q174" s="65">
        <v>31.7</v>
      </c>
      <c r="R174" s="65">
        <v>31.7</v>
      </c>
      <c r="S174" s="11">
        <f t="shared" si="124"/>
        <v>329.67999999999995</v>
      </c>
      <c r="T174" s="8">
        <f t="shared" si="123"/>
        <v>9.3999999999999986</v>
      </c>
      <c r="U174" s="13" t="s">
        <v>22</v>
      </c>
      <c r="V174" s="50">
        <f t="shared" si="125"/>
        <v>104000</v>
      </c>
      <c r="W174" s="36">
        <v>3.17</v>
      </c>
      <c r="X174" s="36">
        <v>3.17</v>
      </c>
      <c r="Y174" s="36">
        <v>3.17</v>
      </c>
      <c r="Z174" s="36">
        <v>3.17</v>
      </c>
      <c r="AA174" s="36">
        <v>3.17</v>
      </c>
      <c r="AB174" s="36">
        <v>3.17</v>
      </c>
      <c r="AC174" s="36">
        <v>3.17</v>
      </c>
      <c r="AD174" s="36">
        <v>3.17</v>
      </c>
      <c r="AE174" s="36">
        <v>3.17</v>
      </c>
      <c r="AF174" s="36">
        <v>3.17</v>
      </c>
      <c r="AG174" s="36">
        <v>3.17</v>
      </c>
      <c r="AH174" s="36">
        <v>3.17</v>
      </c>
      <c r="AI174" s="39">
        <v>0</v>
      </c>
      <c r="AJ174" s="39">
        <v>0</v>
      </c>
      <c r="AK174" s="39">
        <v>0</v>
      </c>
      <c r="AL174" s="39">
        <v>0</v>
      </c>
      <c r="AM174" s="39">
        <v>0</v>
      </c>
      <c r="AN174" s="39">
        <v>0</v>
      </c>
      <c r="AO174" s="39">
        <v>0</v>
      </c>
      <c r="AP174" s="39">
        <v>0</v>
      </c>
      <c r="AQ174" s="39">
        <v>0</v>
      </c>
      <c r="AR174" s="39">
        <v>0</v>
      </c>
      <c r="AS174" s="39">
        <v>0</v>
      </c>
      <c r="AT174" s="39">
        <v>0</v>
      </c>
      <c r="AU174" s="39">
        <v>0</v>
      </c>
      <c r="AV174" s="39">
        <v>0</v>
      </c>
      <c r="AW174" s="39">
        <v>0</v>
      </c>
      <c r="AX174" s="39">
        <v>0</v>
      </c>
      <c r="AY174" s="39">
        <v>0</v>
      </c>
      <c r="AZ174" s="39">
        <v>0</v>
      </c>
      <c r="BA174" s="39">
        <v>0</v>
      </c>
      <c r="BB174" s="39">
        <v>0</v>
      </c>
      <c r="BC174" s="39">
        <v>0</v>
      </c>
      <c r="BD174" s="39">
        <v>0</v>
      </c>
      <c r="BE174" s="39">
        <v>0</v>
      </c>
      <c r="BF174" s="39">
        <v>0</v>
      </c>
      <c r="BG174" s="1"/>
      <c r="BH174" s="12">
        <f t="shared" si="87"/>
        <v>25.36</v>
      </c>
      <c r="BI174" s="12">
        <f t="shared" si="88"/>
        <v>25.36</v>
      </c>
      <c r="BJ174" s="12">
        <f t="shared" si="89"/>
        <v>25.36</v>
      </c>
      <c r="BK174" s="12">
        <f t="shared" si="90"/>
        <v>25.36</v>
      </c>
      <c r="BL174" s="12">
        <f t="shared" si="91"/>
        <v>25.36</v>
      </c>
      <c r="BM174" s="12">
        <f t="shared" si="92"/>
        <v>25.36</v>
      </c>
      <c r="BN174" s="12">
        <f t="shared" si="93"/>
        <v>25.36</v>
      </c>
      <c r="BO174" s="12">
        <f t="shared" si="94"/>
        <v>25.36</v>
      </c>
      <c r="BP174" s="12">
        <f t="shared" si="95"/>
        <v>31.7</v>
      </c>
      <c r="BQ174" s="12">
        <f t="shared" si="96"/>
        <v>31.7</v>
      </c>
      <c r="BR174" s="12">
        <f t="shared" si="97"/>
        <v>31.7</v>
      </c>
      <c r="BS174" s="12">
        <f t="shared" si="98"/>
        <v>31.7</v>
      </c>
      <c r="BT174" s="1"/>
      <c r="BU174" s="11">
        <f t="shared" si="99"/>
        <v>25.36</v>
      </c>
      <c r="BV174" s="11">
        <f t="shared" si="100"/>
        <v>25.36</v>
      </c>
      <c r="BW174" s="11">
        <f t="shared" si="101"/>
        <v>25.36</v>
      </c>
      <c r="BX174" s="11">
        <f t="shared" si="102"/>
        <v>25.36</v>
      </c>
      <c r="BY174" s="11">
        <f t="shared" si="103"/>
        <v>25.36</v>
      </c>
      <c r="BZ174" s="11">
        <f t="shared" si="104"/>
        <v>25.36</v>
      </c>
      <c r="CA174" s="11">
        <f t="shared" si="105"/>
        <v>25.36</v>
      </c>
      <c r="CB174" s="11">
        <f t="shared" si="106"/>
        <v>25.36</v>
      </c>
      <c r="CC174" s="11">
        <f t="shared" si="107"/>
        <v>31.7</v>
      </c>
      <c r="CD174" s="11">
        <f t="shared" si="108"/>
        <v>31.7</v>
      </c>
      <c r="CE174" s="11">
        <f t="shared" si="109"/>
        <v>31.7</v>
      </c>
      <c r="CF174" s="11">
        <f t="shared" si="110"/>
        <v>31.7</v>
      </c>
      <c r="CG174" s="11"/>
      <c r="CH174" s="41">
        <v>1</v>
      </c>
      <c r="CI174" s="1"/>
      <c r="CJ174" s="53">
        <f t="shared" si="111"/>
        <v>8000</v>
      </c>
      <c r="CK174" s="53">
        <f t="shared" si="112"/>
        <v>8000</v>
      </c>
      <c r="CL174" s="53">
        <f t="shared" si="113"/>
        <v>8000</v>
      </c>
      <c r="CM174" s="53">
        <f t="shared" si="114"/>
        <v>8000</v>
      </c>
      <c r="CN174" s="53">
        <f t="shared" si="115"/>
        <v>8000</v>
      </c>
      <c r="CO174" s="53">
        <f t="shared" si="116"/>
        <v>8000</v>
      </c>
      <c r="CP174" s="53">
        <f t="shared" si="117"/>
        <v>8000</v>
      </c>
      <c r="CQ174" s="53">
        <f t="shared" si="118"/>
        <v>8000</v>
      </c>
      <c r="CR174" s="53">
        <f t="shared" si="119"/>
        <v>10000</v>
      </c>
      <c r="CS174" s="53">
        <f t="shared" si="120"/>
        <v>10000</v>
      </c>
      <c r="CT174" s="53">
        <f t="shared" si="121"/>
        <v>10000</v>
      </c>
      <c r="CU174" s="53">
        <f t="shared" si="122"/>
        <v>10000</v>
      </c>
      <c r="CV174" s="53">
        <f t="shared" si="126"/>
        <v>104000</v>
      </c>
      <c r="CW174" s="1"/>
      <c r="CX174" s="1"/>
      <c r="CY174" s="1"/>
      <c r="CZ174" s="1"/>
      <c r="DA174" s="1"/>
      <c r="DB174" s="1"/>
      <c r="DC174" s="1"/>
      <c r="DD174" s="1"/>
      <c r="DE174" s="1"/>
      <c r="DF174" s="1"/>
      <c r="DG174" s="1"/>
      <c r="DH174" s="1"/>
      <c r="DI174" s="1"/>
      <c r="DJ174" s="1"/>
      <c r="DK174" s="1"/>
      <c r="DL174" s="1"/>
    </row>
    <row r="175" spans="1:116" ht="15.75" hidden="1" x14ac:dyDescent="0.25">
      <c r="A175" s="16"/>
      <c r="B175" s="44"/>
      <c r="C175" s="44"/>
      <c r="D175" s="44"/>
      <c r="E175" s="44"/>
      <c r="F175" s="45" t="s">
        <v>20</v>
      </c>
      <c r="G175" s="65">
        <v>0</v>
      </c>
      <c r="H175" s="65">
        <v>0</v>
      </c>
      <c r="I175" s="65">
        <v>0</v>
      </c>
      <c r="J175" s="65">
        <v>0</v>
      </c>
      <c r="K175" s="65">
        <v>0</v>
      </c>
      <c r="L175" s="65">
        <v>0</v>
      </c>
      <c r="M175" s="65">
        <v>0</v>
      </c>
      <c r="N175" s="65">
        <v>0</v>
      </c>
      <c r="O175" s="65">
        <v>0</v>
      </c>
      <c r="P175" s="65">
        <v>0</v>
      </c>
      <c r="Q175" s="65">
        <v>0</v>
      </c>
      <c r="R175" s="65">
        <v>0</v>
      </c>
      <c r="S175" s="11">
        <f t="shared" si="124"/>
        <v>0</v>
      </c>
      <c r="T175" s="8">
        <f t="shared" si="123"/>
        <v>0</v>
      </c>
      <c r="U175" s="13" t="s">
        <v>22</v>
      </c>
      <c r="V175" s="50">
        <f t="shared" si="125"/>
        <v>0</v>
      </c>
      <c r="W175" s="36">
        <v>3.149</v>
      </c>
      <c r="X175" s="36">
        <v>3.149</v>
      </c>
      <c r="Y175" s="36">
        <v>3.149</v>
      </c>
      <c r="Z175" s="36">
        <v>3.149</v>
      </c>
      <c r="AA175" s="36">
        <v>3.149</v>
      </c>
      <c r="AB175" s="36">
        <v>3.149</v>
      </c>
      <c r="AC175" s="36">
        <v>3.149</v>
      </c>
      <c r="AD175" s="36">
        <v>3.149</v>
      </c>
      <c r="AE175" s="36">
        <v>3.149</v>
      </c>
      <c r="AF175" s="36">
        <v>3.149</v>
      </c>
      <c r="AG175" s="36">
        <v>3.149</v>
      </c>
      <c r="AH175" s="36">
        <v>3.149</v>
      </c>
      <c r="AI175" s="39">
        <v>1.33634708931066E-2</v>
      </c>
      <c r="AJ175" s="39">
        <v>1.33634708931066E-2</v>
      </c>
      <c r="AK175" s="39">
        <v>1.33634708931066E-2</v>
      </c>
      <c r="AL175" s="39">
        <v>1.33634708931066E-2</v>
      </c>
      <c r="AM175" s="39">
        <v>1.33634708931066E-2</v>
      </c>
      <c r="AN175" s="39">
        <v>1.33634708931066E-2</v>
      </c>
      <c r="AO175" s="39">
        <v>1.33634708931066E-2</v>
      </c>
      <c r="AP175" s="39">
        <v>1.33634708931066E-2</v>
      </c>
      <c r="AQ175" s="39">
        <v>1.33634708931066E-2</v>
      </c>
      <c r="AR175" s="39">
        <v>1.33634708931066E-2</v>
      </c>
      <c r="AS175" s="39">
        <v>1.33634708931066E-2</v>
      </c>
      <c r="AT175" s="39">
        <v>1.33634708931066E-2</v>
      </c>
      <c r="AU175" s="39">
        <v>1.2392217523121999E-3</v>
      </c>
      <c r="AV175" s="39">
        <v>1.2392217523121999E-3</v>
      </c>
      <c r="AW175" s="39">
        <v>1.2392217523121999E-3</v>
      </c>
      <c r="AX175" s="39">
        <v>1.2392217523121999E-3</v>
      </c>
      <c r="AY175" s="39">
        <v>1.2392217523121999E-3</v>
      </c>
      <c r="AZ175" s="39">
        <v>1.2392217523121999E-3</v>
      </c>
      <c r="BA175" s="39">
        <v>1.2392217523121999E-3</v>
      </c>
      <c r="BB175" s="39">
        <v>1.2392217523121999E-3</v>
      </c>
      <c r="BC175" s="39">
        <v>1.2392217523121999E-3</v>
      </c>
      <c r="BD175" s="39">
        <v>1.2392217523121999E-3</v>
      </c>
      <c r="BE175" s="39">
        <v>1.2392217523121999E-3</v>
      </c>
      <c r="BF175" s="39">
        <v>1.2392217523121999E-3</v>
      </c>
      <c r="BG175" s="1"/>
      <c r="BH175" s="12">
        <f t="shared" si="87"/>
        <v>0</v>
      </c>
      <c r="BI175" s="12">
        <f t="shared" si="88"/>
        <v>0</v>
      </c>
      <c r="BJ175" s="12">
        <f t="shared" si="89"/>
        <v>0</v>
      </c>
      <c r="BK175" s="12">
        <f t="shared" si="90"/>
        <v>0</v>
      </c>
      <c r="BL175" s="12">
        <f t="shared" si="91"/>
        <v>0</v>
      </c>
      <c r="BM175" s="12">
        <f t="shared" si="92"/>
        <v>0</v>
      </c>
      <c r="BN175" s="12">
        <f t="shared" si="93"/>
        <v>0</v>
      </c>
      <c r="BO175" s="12">
        <f t="shared" si="94"/>
        <v>0</v>
      </c>
      <c r="BP175" s="12">
        <f t="shared" si="95"/>
        <v>0</v>
      </c>
      <c r="BQ175" s="12">
        <f t="shared" si="96"/>
        <v>0</v>
      </c>
      <c r="BR175" s="12">
        <f t="shared" si="97"/>
        <v>0</v>
      </c>
      <c r="BS175" s="12">
        <f t="shared" si="98"/>
        <v>0</v>
      </c>
      <c r="BT175" s="1"/>
      <c r="BU175" s="11">
        <f t="shared" si="99"/>
        <v>0</v>
      </c>
      <c r="BV175" s="11">
        <f t="shared" si="100"/>
        <v>0</v>
      </c>
      <c r="BW175" s="11">
        <f t="shared" si="101"/>
        <v>0</v>
      </c>
      <c r="BX175" s="11">
        <f t="shared" si="102"/>
        <v>0</v>
      </c>
      <c r="BY175" s="11">
        <f t="shared" si="103"/>
        <v>0</v>
      </c>
      <c r="BZ175" s="11">
        <f t="shared" si="104"/>
        <v>0</v>
      </c>
      <c r="CA175" s="11">
        <f t="shared" si="105"/>
        <v>0</v>
      </c>
      <c r="CB175" s="11">
        <f t="shared" si="106"/>
        <v>0</v>
      </c>
      <c r="CC175" s="11">
        <f t="shared" si="107"/>
        <v>0</v>
      </c>
      <c r="CD175" s="11">
        <f t="shared" si="108"/>
        <v>0</v>
      </c>
      <c r="CE175" s="11">
        <f t="shared" si="109"/>
        <v>0</v>
      </c>
      <c r="CF175" s="11">
        <f t="shared" si="110"/>
        <v>0</v>
      </c>
      <c r="CG175" s="11"/>
      <c r="CH175" s="41">
        <v>3.23</v>
      </c>
      <c r="CI175" s="1"/>
      <c r="CJ175" s="53">
        <f t="shared" si="111"/>
        <v>0</v>
      </c>
      <c r="CK175" s="53">
        <f t="shared" si="112"/>
        <v>0</v>
      </c>
      <c r="CL175" s="53">
        <f t="shared" si="113"/>
        <v>0</v>
      </c>
      <c r="CM175" s="53">
        <f t="shared" si="114"/>
        <v>0</v>
      </c>
      <c r="CN175" s="53">
        <f t="shared" si="115"/>
        <v>0</v>
      </c>
      <c r="CO175" s="53">
        <f t="shared" si="116"/>
        <v>0</v>
      </c>
      <c r="CP175" s="53">
        <f t="shared" si="117"/>
        <v>0</v>
      </c>
      <c r="CQ175" s="53">
        <f t="shared" si="118"/>
        <v>0</v>
      </c>
      <c r="CR175" s="53">
        <f t="shared" si="119"/>
        <v>0</v>
      </c>
      <c r="CS175" s="53">
        <f t="shared" si="120"/>
        <v>0</v>
      </c>
      <c r="CT175" s="53">
        <f t="shared" si="121"/>
        <v>0</v>
      </c>
      <c r="CU175" s="53">
        <f t="shared" si="122"/>
        <v>0</v>
      </c>
      <c r="CV175" s="53">
        <f t="shared" si="126"/>
        <v>0</v>
      </c>
      <c r="CW175" s="1"/>
      <c r="CX175" s="1"/>
      <c r="CY175" s="1"/>
      <c r="CZ175" s="1"/>
      <c r="DA175" s="1"/>
      <c r="DB175" s="1"/>
      <c r="DC175" s="1"/>
      <c r="DD175" s="1"/>
      <c r="DE175" s="1"/>
      <c r="DF175" s="1"/>
      <c r="DG175" s="1"/>
      <c r="DH175" s="1"/>
      <c r="DI175" s="1"/>
      <c r="DJ175" s="1"/>
      <c r="DK175" s="1"/>
      <c r="DL175" s="1"/>
    </row>
    <row r="176" spans="1:116" ht="15.75" hidden="1" x14ac:dyDescent="0.25">
      <c r="A176" s="16"/>
      <c r="B176" s="44"/>
      <c r="C176" s="44"/>
      <c r="D176" s="44"/>
      <c r="E176" s="44"/>
      <c r="F176" s="45" t="s">
        <v>20</v>
      </c>
      <c r="G176" s="65">
        <v>0</v>
      </c>
      <c r="H176" s="65">
        <v>0</v>
      </c>
      <c r="I176" s="65">
        <v>0</v>
      </c>
      <c r="J176" s="65">
        <v>0</v>
      </c>
      <c r="K176" s="65">
        <v>0</v>
      </c>
      <c r="L176" s="65">
        <v>0</v>
      </c>
      <c r="M176" s="65">
        <v>0</v>
      </c>
      <c r="N176" s="65">
        <v>0</v>
      </c>
      <c r="O176" s="65">
        <v>0</v>
      </c>
      <c r="P176" s="65">
        <v>0</v>
      </c>
      <c r="Q176" s="65">
        <v>0</v>
      </c>
      <c r="R176" s="65">
        <v>0</v>
      </c>
      <c r="S176" s="11">
        <f t="shared" ref="S176:S242" si="127">SUM(G176:R176)</f>
        <v>0</v>
      </c>
      <c r="T176" s="8">
        <f t="shared" si="123"/>
        <v>0</v>
      </c>
      <c r="U176" s="13" t="s">
        <v>22</v>
      </c>
      <c r="V176" s="50">
        <f t="shared" si="125"/>
        <v>0</v>
      </c>
      <c r="W176" s="36">
        <v>1.4379999999999999</v>
      </c>
      <c r="X176" s="36">
        <v>1.4379999999999999</v>
      </c>
      <c r="Y176" s="36">
        <v>1.4379999999999999</v>
      </c>
      <c r="Z176" s="36">
        <v>1.4379999999999999</v>
      </c>
      <c r="AA176" s="36">
        <v>1.4379999999999999</v>
      </c>
      <c r="AB176" s="36">
        <v>1.4379999999999999</v>
      </c>
      <c r="AC176" s="36">
        <v>1.4379999999999999</v>
      </c>
      <c r="AD176" s="36">
        <v>1.4379999999999999</v>
      </c>
      <c r="AE176" s="36">
        <v>1.4379999999999999</v>
      </c>
      <c r="AF176" s="36">
        <v>1.4379999999999999</v>
      </c>
      <c r="AG176" s="36">
        <v>1.4379999999999999</v>
      </c>
      <c r="AH176" s="36">
        <v>1.4379999999999999</v>
      </c>
      <c r="AI176" s="39">
        <v>1.33634708931066E-2</v>
      </c>
      <c r="AJ176" s="39">
        <v>1.33634708931066E-2</v>
      </c>
      <c r="AK176" s="39">
        <v>1.33634708931066E-2</v>
      </c>
      <c r="AL176" s="39">
        <v>1.33634708931066E-2</v>
      </c>
      <c r="AM176" s="39">
        <v>1.33634708931066E-2</v>
      </c>
      <c r="AN176" s="39">
        <v>1.33634708931066E-2</v>
      </c>
      <c r="AO176" s="39">
        <v>1.33634708931066E-2</v>
      </c>
      <c r="AP176" s="39">
        <v>1.33634708931066E-2</v>
      </c>
      <c r="AQ176" s="39">
        <v>1.33634708931066E-2</v>
      </c>
      <c r="AR176" s="39">
        <v>1.33634708931066E-2</v>
      </c>
      <c r="AS176" s="39">
        <v>1.33634708931066E-2</v>
      </c>
      <c r="AT176" s="39">
        <v>1.33634708931066E-2</v>
      </c>
      <c r="AU176" s="39">
        <v>1.2392217523121999E-3</v>
      </c>
      <c r="AV176" s="39">
        <v>1.2392217523121999E-3</v>
      </c>
      <c r="AW176" s="39">
        <v>1.2392217523121999E-3</v>
      </c>
      <c r="AX176" s="39">
        <v>1.2392217523121999E-3</v>
      </c>
      <c r="AY176" s="39">
        <v>1.2392217523121999E-3</v>
      </c>
      <c r="AZ176" s="39">
        <v>1.2392217523121999E-3</v>
      </c>
      <c r="BA176" s="39">
        <v>1.2392217523121999E-3</v>
      </c>
      <c r="BB176" s="39">
        <v>1.2392217523121999E-3</v>
      </c>
      <c r="BC176" s="39">
        <v>1.2392217523121999E-3</v>
      </c>
      <c r="BD176" s="39">
        <v>1.2392217523121999E-3</v>
      </c>
      <c r="BE176" s="39">
        <v>1.2392217523121999E-3</v>
      </c>
      <c r="BF176" s="39">
        <v>1.2392217523121999E-3</v>
      </c>
      <c r="BG176" s="1"/>
      <c r="BH176" s="12">
        <f t="shared" si="87"/>
        <v>0</v>
      </c>
      <c r="BI176" s="12">
        <f t="shared" si="88"/>
        <v>0</v>
      </c>
      <c r="BJ176" s="12">
        <f t="shared" si="89"/>
        <v>0</v>
      </c>
      <c r="BK176" s="12">
        <f t="shared" si="90"/>
        <v>0</v>
      </c>
      <c r="BL176" s="12">
        <f t="shared" si="91"/>
        <v>0</v>
      </c>
      <c r="BM176" s="12">
        <f t="shared" si="92"/>
        <v>0</v>
      </c>
      <c r="BN176" s="12">
        <f t="shared" si="93"/>
        <v>0</v>
      </c>
      <c r="BO176" s="12">
        <f t="shared" si="94"/>
        <v>0</v>
      </c>
      <c r="BP176" s="12">
        <f t="shared" si="95"/>
        <v>0</v>
      </c>
      <c r="BQ176" s="12">
        <f t="shared" si="96"/>
        <v>0</v>
      </c>
      <c r="BR176" s="12">
        <f t="shared" si="97"/>
        <v>0</v>
      </c>
      <c r="BS176" s="12">
        <f t="shared" si="98"/>
        <v>0</v>
      </c>
      <c r="BT176" s="1"/>
      <c r="BU176" s="11">
        <f t="shared" si="99"/>
        <v>0</v>
      </c>
      <c r="BV176" s="11">
        <f t="shared" si="100"/>
        <v>0</v>
      </c>
      <c r="BW176" s="11">
        <f t="shared" si="101"/>
        <v>0</v>
      </c>
      <c r="BX176" s="11">
        <f t="shared" si="102"/>
        <v>0</v>
      </c>
      <c r="BY176" s="11">
        <f t="shared" si="103"/>
        <v>0</v>
      </c>
      <c r="BZ176" s="11">
        <f t="shared" si="104"/>
        <v>0</v>
      </c>
      <c r="CA176" s="11">
        <f t="shared" si="105"/>
        <v>0</v>
      </c>
      <c r="CB176" s="11">
        <f t="shared" si="106"/>
        <v>0</v>
      </c>
      <c r="CC176" s="11">
        <f t="shared" si="107"/>
        <v>0</v>
      </c>
      <c r="CD176" s="11">
        <f t="shared" si="108"/>
        <v>0</v>
      </c>
      <c r="CE176" s="11">
        <f t="shared" si="109"/>
        <v>0</v>
      </c>
      <c r="CF176" s="11">
        <f t="shared" si="110"/>
        <v>0</v>
      </c>
      <c r="CG176" s="11"/>
      <c r="CH176" s="41">
        <v>3.23</v>
      </c>
      <c r="CI176" s="1"/>
      <c r="CJ176" s="53">
        <f t="shared" si="111"/>
        <v>0</v>
      </c>
      <c r="CK176" s="53">
        <f t="shared" si="112"/>
        <v>0</v>
      </c>
      <c r="CL176" s="53">
        <f t="shared" si="113"/>
        <v>0</v>
      </c>
      <c r="CM176" s="53">
        <f t="shared" si="114"/>
        <v>0</v>
      </c>
      <c r="CN176" s="53">
        <f t="shared" si="115"/>
        <v>0</v>
      </c>
      <c r="CO176" s="53">
        <f t="shared" si="116"/>
        <v>0</v>
      </c>
      <c r="CP176" s="53">
        <f t="shared" si="117"/>
        <v>0</v>
      </c>
      <c r="CQ176" s="53">
        <f t="shared" si="118"/>
        <v>0</v>
      </c>
      <c r="CR176" s="53">
        <f t="shared" si="119"/>
        <v>0</v>
      </c>
      <c r="CS176" s="53">
        <f t="shared" si="120"/>
        <v>0</v>
      </c>
      <c r="CT176" s="53">
        <f t="shared" si="121"/>
        <v>0</v>
      </c>
      <c r="CU176" s="53">
        <f t="shared" si="122"/>
        <v>0</v>
      </c>
      <c r="CV176" s="53">
        <f t="shared" si="126"/>
        <v>0</v>
      </c>
      <c r="CW176" s="1"/>
      <c r="CX176" s="1"/>
      <c r="CY176" s="1"/>
      <c r="CZ176" s="1"/>
      <c r="DA176" s="1"/>
      <c r="DB176" s="1"/>
      <c r="DC176" s="1"/>
      <c r="DD176" s="1"/>
      <c r="DE176" s="1"/>
      <c r="DF176" s="1"/>
      <c r="DG176" s="1"/>
      <c r="DH176" s="1"/>
      <c r="DI176" s="1"/>
      <c r="DJ176" s="1"/>
      <c r="DK176" s="1"/>
      <c r="DL176" s="1"/>
    </row>
    <row r="177" spans="1:116" ht="15.75" hidden="1" x14ac:dyDescent="0.25">
      <c r="A177" s="16"/>
      <c r="B177" s="44"/>
      <c r="C177" s="44"/>
      <c r="D177" s="44"/>
      <c r="E177" s="44"/>
      <c r="F177" s="45" t="s">
        <v>20</v>
      </c>
      <c r="G177" s="65">
        <v>126.47</v>
      </c>
      <c r="H177" s="65">
        <v>112.92</v>
      </c>
      <c r="I177" s="65">
        <v>90.34</v>
      </c>
      <c r="J177" s="65">
        <v>72.27</v>
      </c>
      <c r="K177" s="65">
        <v>58.72</v>
      </c>
      <c r="L177" s="65">
        <v>45.17</v>
      </c>
      <c r="M177" s="65">
        <v>45.17</v>
      </c>
      <c r="N177" s="65">
        <v>45.17</v>
      </c>
      <c r="O177" s="65">
        <v>81.31</v>
      </c>
      <c r="P177" s="65">
        <v>81.31</v>
      </c>
      <c r="Q177" s="65">
        <v>90.34</v>
      </c>
      <c r="R177" s="65">
        <v>67.75</v>
      </c>
      <c r="S177" s="11">
        <f t="shared" si="127"/>
        <v>916.93999999999994</v>
      </c>
      <c r="T177" s="8">
        <f t="shared" si="123"/>
        <v>0.13418103554906832</v>
      </c>
      <c r="U177" s="13" t="s">
        <v>22</v>
      </c>
      <c r="V177" s="50">
        <f t="shared" si="125"/>
        <v>1839021</v>
      </c>
      <c r="W177" s="36">
        <v>1.6339999999999999</v>
      </c>
      <c r="X177" s="36">
        <v>1.6339999999999999</v>
      </c>
      <c r="Y177" s="36">
        <v>1.6339999999999999</v>
      </c>
      <c r="Z177" s="36">
        <v>1.6339999999999999</v>
      </c>
      <c r="AA177" s="36">
        <v>1.6339999999999999</v>
      </c>
      <c r="AB177" s="36">
        <v>1.6339999999999999</v>
      </c>
      <c r="AC177" s="36">
        <v>1.6339999999999999</v>
      </c>
      <c r="AD177" s="36">
        <v>1.6339999999999999</v>
      </c>
      <c r="AE177" s="36">
        <v>1.6339999999999999</v>
      </c>
      <c r="AF177" s="36">
        <v>1.6339999999999999</v>
      </c>
      <c r="AG177" s="36">
        <v>1.6339999999999999</v>
      </c>
      <c r="AH177" s="36">
        <v>1.6339999999999999</v>
      </c>
      <c r="AI177" s="39">
        <v>1.33634708931066E-2</v>
      </c>
      <c r="AJ177" s="39">
        <v>1.33634708931066E-2</v>
      </c>
      <c r="AK177" s="39">
        <v>1.33634708931066E-2</v>
      </c>
      <c r="AL177" s="39">
        <v>1.33634708931066E-2</v>
      </c>
      <c r="AM177" s="39">
        <v>1.33634708931066E-2</v>
      </c>
      <c r="AN177" s="39">
        <v>1.33634708931066E-2</v>
      </c>
      <c r="AO177" s="39">
        <v>1.33634708931066E-2</v>
      </c>
      <c r="AP177" s="39">
        <v>1.33634708931066E-2</v>
      </c>
      <c r="AQ177" s="39">
        <v>1.33634708931066E-2</v>
      </c>
      <c r="AR177" s="39">
        <v>1.33634708931066E-2</v>
      </c>
      <c r="AS177" s="39">
        <v>1.33634708931066E-2</v>
      </c>
      <c r="AT177" s="39">
        <v>1.33634708931066E-2</v>
      </c>
      <c r="AU177" s="39">
        <v>1.2392217523121999E-3</v>
      </c>
      <c r="AV177" s="39">
        <v>1.2392217523121999E-3</v>
      </c>
      <c r="AW177" s="39">
        <v>1.2392217523121999E-3</v>
      </c>
      <c r="AX177" s="39">
        <v>1.2392217523121999E-3</v>
      </c>
      <c r="AY177" s="39">
        <v>1.2392217523121999E-3</v>
      </c>
      <c r="AZ177" s="39">
        <v>1.2392217523121999E-3</v>
      </c>
      <c r="BA177" s="39">
        <v>1.2392217523121999E-3</v>
      </c>
      <c r="BB177" s="39">
        <v>1.2392217523121999E-3</v>
      </c>
      <c r="BC177" s="39">
        <v>1.2392217523121999E-3</v>
      </c>
      <c r="BD177" s="39">
        <v>1.2392217523121999E-3</v>
      </c>
      <c r="BE177" s="39">
        <v>1.2392217523121999E-3</v>
      </c>
      <c r="BF177" s="39">
        <v>1.2392217523121999E-3</v>
      </c>
      <c r="BG177" s="1"/>
      <c r="BH177" s="12">
        <f t="shared" si="87"/>
        <v>408.49810000000002</v>
      </c>
      <c r="BI177" s="12">
        <f t="shared" si="88"/>
        <v>364.73160000000001</v>
      </c>
      <c r="BJ177" s="12">
        <f t="shared" si="89"/>
        <v>291.79820000000001</v>
      </c>
      <c r="BK177" s="12">
        <f t="shared" si="90"/>
        <v>233.43209999999999</v>
      </c>
      <c r="BL177" s="12">
        <f t="shared" si="91"/>
        <v>189.66559999999998</v>
      </c>
      <c r="BM177" s="12">
        <f t="shared" si="92"/>
        <v>145.8991</v>
      </c>
      <c r="BN177" s="12">
        <f t="shared" si="93"/>
        <v>145.8991</v>
      </c>
      <c r="BO177" s="12">
        <f t="shared" si="94"/>
        <v>145.8991</v>
      </c>
      <c r="BP177" s="12">
        <f t="shared" si="95"/>
        <v>262.63130000000001</v>
      </c>
      <c r="BQ177" s="12">
        <f t="shared" si="96"/>
        <v>262.63130000000001</v>
      </c>
      <c r="BR177" s="12">
        <f t="shared" si="97"/>
        <v>291.79820000000001</v>
      </c>
      <c r="BS177" s="12">
        <f t="shared" si="98"/>
        <v>218.83250000000001</v>
      </c>
      <c r="BT177" s="1"/>
      <c r="BU177" s="11">
        <f t="shared" si="99"/>
        <v>414.46327220053757</v>
      </c>
      <c r="BV177" s="11">
        <f t="shared" si="100"/>
        <v>370.05766345287185</v>
      </c>
      <c r="BW177" s="11">
        <f t="shared" si="101"/>
        <v>296.05923942908646</v>
      </c>
      <c r="BX177" s="11">
        <f t="shared" si="102"/>
        <v>236.84083720987465</v>
      </c>
      <c r="BY177" s="11">
        <f t="shared" si="103"/>
        <v>192.43522846220893</v>
      </c>
      <c r="BZ177" s="11">
        <f t="shared" si="104"/>
        <v>148.02961971454323</v>
      </c>
      <c r="CA177" s="11">
        <f t="shared" si="105"/>
        <v>148.02961971454323</v>
      </c>
      <c r="CB177" s="11">
        <f t="shared" si="106"/>
        <v>148.02961971454323</v>
      </c>
      <c r="CC177" s="11">
        <f t="shared" si="107"/>
        <v>266.46642415296679</v>
      </c>
      <c r="CD177" s="11">
        <f t="shared" si="108"/>
        <v>266.46642415296679</v>
      </c>
      <c r="CE177" s="11">
        <f t="shared" si="109"/>
        <v>296.05923942908646</v>
      </c>
      <c r="CF177" s="11">
        <f t="shared" si="110"/>
        <v>222.02804373832862</v>
      </c>
      <c r="CG177" s="11"/>
      <c r="CH177" s="41">
        <v>3.23</v>
      </c>
      <c r="CI177" s="1"/>
      <c r="CJ177" s="53">
        <f t="shared" si="111"/>
        <v>253649</v>
      </c>
      <c r="CK177" s="53">
        <f t="shared" si="112"/>
        <v>226473</v>
      </c>
      <c r="CL177" s="53">
        <f t="shared" si="113"/>
        <v>181187</v>
      </c>
      <c r="CM177" s="53">
        <f t="shared" si="114"/>
        <v>144945</v>
      </c>
      <c r="CN177" s="53">
        <f t="shared" si="115"/>
        <v>117769</v>
      </c>
      <c r="CO177" s="53">
        <f t="shared" si="116"/>
        <v>90593</v>
      </c>
      <c r="CP177" s="53">
        <f t="shared" si="117"/>
        <v>90593</v>
      </c>
      <c r="CQ177" s="53">
        <f t="shared" si="118"/>
        <v>90593</v>
      </c>
      <c r="CR177" s="53">
        <f t="shared" si="119"/>
        <v>163076</v>
      </c>
      <c r="CS177" s="53">
        <f t="shared" si="120"/>
        <v>163076</v>
      </c>
      <c r="CT177" s="53">
        <f t="shared" si="121"/>
        <v>181187</v>
      </c>
      <c r="CU177" s="53">
        <f t="shared" si="122"/>
        <v>135880</v>
      </c>
      <c r="CV177" s="53">
        <f t="shared" si="126"/>
        <v>1839021</v>
      </c>
      <c r="CW177" s="1"/>
      <c r="CX177" s="1"/>
      <c r="CY177" s="1"/>
      <c r="CZ177" s="1"/>
      <c r="DA177" s="1"/>
      <c r="DB177" s="1"/>
      <c r="DC177" s="1"/>
      <c r="DD177" s="1"/>
      <c r="DE177" s="1"/>
      <c r="DF177" s="1"/>
      <c r="DG177" s="1"/>
      <c r="DH177" s="1"/>
      <c r="DI177" s="1"/>
      <c r="DJ177" s="1"/>
      <c r="DK177" s="1"/>
      <c r="DL177" s="1"/>
    </row>
    <row r="178" spans="1:116" ht="15.75" hidden="1" x14ac:dyDescent="0.25">
      <c r="A178" s="16"/>
      <c r="B178" s="44"/>
      <c r="C178" s="44"/>
      <c r="D178" s="44"/>
      <c r="E178" s="44"/>
      <c r="F178" s="45" t="s">
        <v>20</v>
      </c>
      <c r="G178" s="65">
        <v>68.94</v>
      </c>
      <c r="H178" s="65">
        <v>68.94</v>
      </c>
      <c r="I178" s="65">
        <v>68.94</v>
      </c>
      <c r="J178" s="65">
        <v>52.76</v>
      </c>
      <c r="K178" s="65">
        <v>37.69</v>
      </c>
      <c r="L178" s="65">
        <v>37.69</v>
      </c>
      <c r="M178" s="65">
        <v>37.69</v>
      </c>
      <c r="N178" s="65">
        <v>50.2</v>
      </c>
      <c r="O178" s="65">
        <v>58.57</v>
      </c>
      <c r="P178" s="65">
        <v>66.94</v>
      </c>
      <c r="Q178" s="65">
        <v>66.94</v>
      </c>
      <c r="R178" s="65">
        <v>58.57</v>
      </c>
      <c r="S178" s="11">
        <f t="shared" si="127"/>
        <v>673.87</v>
      </c>
      <c r="T178" s="8">
        <f t="shared" si="123"/>
        <v>0.13493894736842105</v>
      </c>
      <c r="U178" s="13" t="s">
        <v>22</v>
      </c>
      <c r="V178" s="50">
        <f t="shared" si="125"/>
        <v>834613</v>
      </c>
      <c r="W178" s="36">
        <v>2.6459999999999999</v>
      </c>
      <c r="X178" s="36">
        <v>2.6459999999999999</v>
      </c>
      <c r="Y178" s="36">
        <v>2.6459999999999999</v>
      </c>
      <c r="Z178" s="36">
        <v>2.6459999999999999</v>
      </c>
      <c r="AA178" s="36">
        <v>2.6459999999999999</v>
      </c>
      <c r="AB178" s="36">
        <v>2.6459999999999999</v>
      </c>
      <c r="AC178" s="36">
        <v>2.6459999999999999</v>
      </c>
      <c r="AD178" s="36">
        <v>2.6459999999999999</v>
      </c>
      <c r="AE178" s="36">
        <v>2.6459999999999999</v>
      </c>
      <c r="AF178" s="36">
        <v>2.6459999999999999</v>
      </c>
      <c r="AG178" s="36">
        <v>2.6459999999999999</v>
      </c>
      <c r="AH178" s="36">
        <v>2.6459999999999999</v>
      </c>
      <c r="AI178" s="39">
        <v>1.33634708931066E-2</v>
      </c>
      <c r="AJ178" s="39">
        <v>1.33634708931066E-2</v>
      </c>
      <c r="AK178" s="39">
        <v>1.33634708931066E-2</v>
      </c>
      <c r="AL178" s="39">
        <v>1.33634708931066E-2</v>
      </c>
      <c r="AM178" s="39">
        <v>1.33634708931066E-2</v>
      </c>
      <c r="AN178" s="39">
        <v>1.33634708931066E-2</v>
      </c>
      <c r="AO178" s="39">
        <v>1.33634708931066E-2</v>
      </c>
      <c r="AP178" s="39">
        <v>1.33634708931066E-2</v>
      </c>
      <c r="AQ178" s="39">
        <v>1.33634708931066E-2</v>
      </c>
      <c r="AR178" s="39">
        <v>1.33634708931066E-2</v>
      </c>
      <c r="AS178" s="39">
        <v>1.33634708931066E-2</v>
      </c>
      <c r="AT178" s="39">
        <v>1.33634708931066E-2</v>
      </c>
      <c r="AU178" s="39">
        <v>1.2392217523121999E-3</v>
      </c>
      <c r="AV178" s="39">
        <v>1.2392217523121999E-3</v>
      </c>
      <c r="AW178" s="39">
        <v>1.2392217523121999E-3</v>
      </c>
      <c r="AX178" s="39">
        <v>1.2392217523121999E-3</v>
      </c>
      <c r="AY178" s="39">
        <v>1.2392217523121999E-3</v>
      </c>
      <c r="AZ178" s="39">
        <v>1.2392217523121999E-3</v>
      </c>
      <c r="BA178" s="39">
        <v>1.2392217523121999E-3</v>
      </c>
      <c r="BB178" s="39">
        <v>1.2392217523121999E-3</v>
      </c>
      <c r="BC178" s="39">
        <v>1.2392217523121999E-3</v>
      </c>
      <c r="BD178" s="39">
        <v>1.2392217523121999E-3</v>
      </c>
      <c r="BE178" s="39">
        <v>1.2392217523121999E-3</v>
      </c>
      <c r="BF178" s="39">
        <v>1.2392217523121999E-3</v>
      </c>
      <c r="BG178" s="1"/>
      <c r="BH178" s="12">
        <f t="shared" si="87"/>
        <v>222.67619999999999</v>
      </c>
      <c r="BI178" s="12">
        <f t="shared" si="88"/>
        <v>222.67619999999999</v>
      </c>
      <c r="BJ178" s="12">
        <f t="shared" si="89"/>
        <v>222.67619999999999</v>
      </c>
      <c r="BK178" s="12">
        <f t="shared" si="90"/>
        <v>170.41479999999999</v>
      </c>
      <c r="BL178" s="12">
        <f t="shared" si="91"/>
        <v>121.73869999999999</v>
      </c>
      <c r="BM178" s="12">
        <f t="shared" si="92"/>
        <v>121.73869999999999</v>
      </c>
      <c r="BN178" s="12">
        <f t="shared" si="93"/>
        <v>121.73869999999999</v>
      </c>
      <c r="BO178" s="12">
        <f t="shared" si="94"/>
        <v>162.14600000000002</v>
      </c>
      <c r="BP178" s="12">
        <f t="shared" si="95"/>
        <v>189.18109999999999</v>
      </c>
      <c r="BQ178" s="12">
        <f t="shared" si="96"/>
        <v>216.21619999999999</v>
      </c>
      <c r="BR178" s="12">
        <f t="shared" si="97"/>
        <v>216.21619999999999</v>
      </c>
      <c r="BS178" s="12">
        <f t="shared" si="98"/>
        <v>189.18109999999999</v>
      </c>
      <c r="BT178" s="1"/>
      <c r="BU178" s="11">
        <f t="shared" si="99"/>
        <v>225.9278721080498</v>
      </c>
      <c r="BV178" s="11">
        <f t="shared" si="100"/>
        <v>225.9278721080498</v>
      </c>
      <c r="BW178" s="11">
        <f t="shared" si="101"/>
        <v>225.9278721080498</v>
      </c>
      <c r="BX178" s="11">
        <f t="shared" si="102"/>
        <v>172.9033149466305</v>
      </c>
      <c r="BY178" s="11">
        <f t="shared" si="103"/>
        <v>123.51641281915283</v>
      </c>
      <c r="BZ178" s="11">
        <f t="shared" si="104"/>
        <v>123.51641281915283</v>
      </c>
      <c r="CA178" s="11">
        <f t="shared" si="105"/>
        <v>123.51641281915283</v>
      </c>
      <c r="CB178" s="11">
        <f t="shared" si="106"/>
        <v>164.51376820168409</v>
      </c>
      <c r="CC178" s="11">
        <f t="shared" si="107"/>
        <v>191.94365345762222</v>
      </c>
      <c r="CD178" s="11">
        <f t="shared" si="108"/>
        <v>219.37353871356038</v>
      </c>
      <c r="CE178" s="11">
        <f t="shared" si="109"/>
        <v>219.37353871356038</v>
      </c>
      <c r="CF178" s="11">
        <f t="shared" si="110"/>
        <v>191.94365345762222</v>
      </c>
      <c r="CG178" s="11"/>
      <c r="CH178" s="41">
        <v>3.23</v>
      </c>
      <c r="CI178" s="1"/>
      <c r="CJ178" s="53">
        <f t="shared" si="111"/>
        <v>85385</v>
      </c>
      <c r="CK178" s="53">
        <f t="shared" si="112"/>
        <v>85385</v>
      </c>
      <c r="CL178" s="53">
        <f t="shared" si="113"/>
        <v>85385</v>
      </c>
      <c r="CM178" s="53">
        <f t="shared" si="114"/>
        <v>65345</v>
      </c>
      <c r="CN178" s="53">
        <f t="shared" si="115"/>
        <v>46680</v>
      </c>
      <c r="CO178" s="53">
        <f t="shared" si="116"/>
        <v>46680</v>
      </c>
      <c r="CP178" s="53">
        <f t="shared" si="117"/>
        <v>46680</v>
      </c>
      <c r="CQ178" s="53">
        <f t="shared" si="118"/>
        <v>62175</v>
      </c>
      <c r="CR178" s="53">
        <f t="shared" si="119"/>
        <v>72541</v>
      </c>
      <c r="CS178" s="53">
        <f t="shared" si="120"/>
        <v>82908</v>
      </c>
      <c r="CT178" s="53">
        <f t="shared" si="121"/>
        <v>82908</v>
      </c>
      <c r="CU178" s="53">
        <f t="shared" si="122"/>
        <v>72541</v>
      </c>
      <c r="CV178" s="53">
        <f t="shared" si="126"/>
        <v>834613</v>
      </c>
      <c r="CW178" s="1"/>
      <c r="CX178" s="1"/>
      <c r="CY178" s="1"/>
      <c r="CZ178" s="1"/>
      <c r="DA178" s="1"/>
      <c r="DB178" s="1"/>
      <c r="DC178" s="1"/>
      <c r="DD178" s="1"/>
      <c r="DE178" s="1"/>
      <c r="DF178" s="1"/>
      <c r="DG178" s="1"/>
      <c r="DH178" s="1"/>
      <c r="DI178" s="1"/>
      <c r="DJ178" s="1"/>
      <c r="DK178" s="1"/>
      <c r="DL178" s="1"/>
    </row>
    <row r="179" spans="1:116" ht="15.75" hidden="1" x14ac:dyDescent="0.25">
      <c r="A179" s="16"/>
      <c r="B179" s="44"/>
      <c r="C179" s="44"/>
      <c r="D179" s="44"/>
      <c r="E179" s="44"/>
      <c r="F179" s="45" t="s">
        <v>20</v>
      </c>
      <c r="G179" s="65">
        <v>47.91</v>
      </c>
      <c r="H179" s="65">
        <v>47.91</v>
      </c>
      <c r="I179" s="65">
        <v>40.54</v>
      </c>
      <c r="J179" s="65">
        <v>25.8</v>
      </c>
      <c r="K179" s="65">
        <v>25.8</v>
      </c>
      <c r="L179" s="65">
        <v>22.12</v>
      </c>
      <c r="M179" s="65">
        <v>22.12</v>
      </c>
      <c r="N179" s="65">
        <v>22.12</v>
      </c>
      <c r="O179" s="65">
        <v>47.91</v>
      </c>
      <c r="P179" s="65">
        <v>47.91</v>
      </c>
      <c r="Q179" s="65">
        <v>47.91</v>
      </c>
      <c r="R179" s="65">
        <v>33.17</v>
      </c>
      <c r="S179" s="11">
        <f t="shared" si="127"/>
        <v>431.21999999999997</v>
      </c>
      <c r="T179" s="8">
        <f t="shared" si="123"/>
        <v>0.12422765075475119</v>
      </c>
      <c r="U179" s="13" t="s">
        <v>22</v>
      </c>
      <c r="V179" s="50">
        <f t="shared" si="125"/>
        <v>597039</v>
      </c>
      <c r="W179" s="36">
        <v>2.367</v>
      </c>
      <c r="X179" s="36">
        <v>2.367</v>
      </c>
      <c r="Y179" s="36">
        <v>2.367</v>
      </c>
      <c r="Z179" s="36">
        <v>2.367</v>
      </c>
      <c r="AA179" s="36">
        <v>2.367</v>
      </c>
      <c r="AB179" s="36">
        <v>2.367</v>
      </c>
      <c r="AC179" s="36">
        <v>2.367</v>
      </c>
      <c r="AD179" s="36">
        <v>2.367</v>
      </c>
      <c r="AE179" s="36">
        <v>2.367</v>
      </c>
      <c r="AF179" s="36">
        <v>2.367</v>
      </c>
      <c r="AG179" s="36">
        <v>2.367</v>
      </c>
      <c r="AH179" s="36">
        <v>2.367</v>
      </c>
      <c r="AI179" s="39">
        <v>1.33634708931066E-2</v>
      </c>
      <c r="AJ179" s="39">
        <v>1.33634708931066E-2</v>
      </c>
      <c r="AK179" s="39">
        <v>1.33634708931066E-2</v>
      </c>
      <c r="AL179" s="39">
        <v>1.33634708931066E-2</v>
      </c>
      <c r="AM179" s="39">
        <v>1.33634708931066E-2</v>
      </c>
      <c r="AN179" s="39">
        <v>1.33634708931066E-2</v>
      </c>
      <c r="AO179" s="39">
        <v>1.33634708931066E-2</v>
      </c>
      <c r="AP179" s="39">
        <v>1.33634708931066E-2</v>
      </c>
      <c r="AQ179" s="39">
        <v>1.33634708931066E-2</v>
      </c>
      <c r="AR179" s="39">
        <v>1.33634708931066E-2</v>
      </c>
      <c r="AS179" s="39">
        <v>1.33634708931066E-2</v>
      </c>
      <c r="AT179" s="39">
        <v>1.33634708931066E-2</v>
      </c>
      <c r="AU179" s="39">
        <v>1.2392217523121999E-3</v>
      </c>
      <c r="AV179" s="39">
        <v>1.2392217523121999E-3</v>
      </c>
      <c r="AW179" s="39">
        <v>1.2392217523121999E-3</v>
      </c>
      <c r="AX179" s="39">
        <v>1.2392217523121999E-3</v>
      </c>
      <c r="AY179" s="39">
        <v>1.2392217523121999E-3</v>
      </c>
      <c r="AZ179" s="39">
        <v>1.2392217523121999E-3</v>
      </c>
      <c r="BA179" s="39">
        <v>1.2392217523121999E-3</v>
      </c>
      <c r="BB179" s="39">
        <v>1.2392217523121999E-3</v>
      </c>
      <c r="BC179" s="39">
        <v>1.2392217523121999E-3</v>
      </c>
      <c r="BD179" s="39">
        <v>1.2392217523121999E-3</v>
      </c>
      <c r="BE179" s="39">
        <v>1.2392217523121999E-3</v>
      </c>
      <c r="BF179" s="39">
        <v>1.2392217523121999E-3</v>
      </c>
      <c r="BG179" s="1"/>
      <c r="BH179" s="12">
        <f t="shared" si="87"/>
        <v>154.74929999999998</v>
      </c>
      <c r="BI179" s="12">
        <f t="shared" si="88"/>
        <v>154.74929999999998</v>
      </c>
      <c r="BJ179" s="12">
        <f t="shared" si="89"/>
        <v>130.9442</v>
      </c>
      <c r="BK179" s="12">
        <f t="shared" si="90"/>
        <v>83.334000000000003</v>
      </c>
      <c r="BL179" s="12">
        <f t="shared" si="91"/>
        <v>83.334000000000003</v>
      </c>
      <c r="BM179" s="12">
        <f t="shared" si="92"/>
        <v>71.447600000000008</v>
      </c>
      <c r="BN179" s="12">
        <f t="shared" si="93"/>
        <v>71.447600000000008</v>
      </c>
      <c r="BO179" s="12">
        <f t="shared" si="94"/>
        <v>71.447600000000008</v>
      </c>
      <c r="BP179" s="12">
        <f t="shared" si="95"/>
        <v>154.74929999999998</v>
      </c>
      <c r="BQ179" s="12">
        <f t="shared" si="96"/>
        <v>154.74929999999998</v>
      </c>
      <c r="BR179" s="12">
        <f t="shared" si="97"/>
        <v>154.74929999999998</v>
      </c>
      <c r="BS179" s="12">
        <f t="shared" si="98"/>
        <v>107.1391</v>
      </c>
      <c r="BT179" s="1"/>
      <c r="BU179" s="11">
        <f t="shared" si="99"/>
        <v>157.00905646499368</v>
      </c>
      <c r="BV179" s="11">
        <f t="shared" si="100"/>
        <v>157.00905646499368</v>
      </c>
      <c r="BW179" s="11">
        <f t="shared" si="101"/>
        <v>132.85633790630024</v>
      </c>
      <c r="BX179" s="11">
        <f t="shared" si="102"/>
        <v>84.550900788913339</v>
      </c>
      <c r="BY179" s="11">
        <f t="shared" si="103"/>
        <v>84.550900788913339</v>
      </c>
      <c r="BZ179" s="11">
        <f t="shared" si="104"/>
        <v>72.490927343052832</v>
      </c>
      <c r="CA179" s="11">
        <f t="shared" si="105"/>
        <v>72.490927343052832</v>
      </c>
      <c r="CB179" s="11">
        <f t="shared" si="106"/>
        <v>72.490927343052832</v>
      </c>
      <c r="CC179" s="11">
        <f t="shared" si="107"/>
        <v>157.00905646499368</v>
      </c>
      <c r="CD179" s="11">
        <f t="shared" si="108"/>
        <v>157.00905646499368</v>
      </c>
      <c r="CE179" s="11">
        <f t="shared" si="109"/>
        <v>157.00905646499368</v>
      </c>
      <c r="CF179" s="11">
        <f t="shared" si="110"/>
        <v>108.70361934760679</v>
      </c>
      <c r="CG179" s="11"/>
      <c r="CH179" s="41">
        <v>3.23</v>
      </c>
      <c r="CI179" s="1"/>
      <c r="CJ179" s="53">
        <f t="shared" si="111"/>
        <v>66333</v>
      </c>
      <c r="CK179" s="53">
        <f t="shared" si="112"/>
        <v>66333</v>
      </c>
      <c r="CL179" s="53">
        <f t="shared" si="113"/>
        <v>56129</v>
      </c>
      <c r="CM179" s="53">
        <f t="shared" si="114"/>
        <v>35721</v>
      </c>
      <c r="CN179" s="53">
        <f t="shared" si="115"/>
        <v>35721</v>
      </c>
      <c r="CO179" s="53">
        <f t="shared" si="116"/>
        <v>30626</v>
      </c>
      <c r="CP179" s="53">
        <f t="shared" si="117"/>
        <v>30626</v>
      </c>
      <c r="CQ179" s="53">
        <f t="shared" si="118"/>
        <v>30626</v>
      </c>
      <c r="CR179" s="53">
        <f t="shared" si="119"/>
        <v>66333</v>
      </c>
      <c r="CS179" s="53">
        <f t="shared" si="120"/>
        <v>66333</v>
      </c>
      <c r="CT179" s="53">
        <f t="shared" si="121"/>
        <v>66333</v>
      </c>
      <c r="CU179" s="53">
        <f t="shared" si="122"/>
        <v>45925</v>
      </c>
      <c r="CV179" s="53">
        <f t="shared" si="126"/>
        <v>597039</v>
      </c>
      <c r="CW179" s="1"/>
      <c r="CX179" s="1"/>
      <c r="CY179" s="1"/>
      <c r="CZ179" s="1"/>
      <c r="DA179" s="1"/>
      <c r="DB179" s="1"/>
      <c r="DC179" s="1"/>
      <c r="DD179" s="1"/>
      <c r="DE179" s="1"/>
      <c r="DF179" s="1"/>
      <c r="DG179" s="1"/>
      <c r="DH179" s="1"/>
      <c r="DI179" s="1"/>
      <c r="DJ179" s="1"/>
      <c r="DK179" s="1"/>
      <c r="DL179" s="1"/>
    </row>
    <row r="180" spans="1:116" ht="15.75" hidden="1" x14ac:dyDescent="0.25">
      <c r="A180" s="16"/>
      <c r="B180" s="44"/>
      <c r="C180" s="44"/>
      <c r="D180" s="44"/>
      <c r="E180" s="44"/>
      <c r="F180" s="45" t="s">
        <v>20</v>
      </c>
      <c r="G180" s="65">
        <v>246.12</v>
      </c>
      <c r="H180" s="65">
        <v>246.12</v>
      </c>
      <c r="I180" s="65">
        <v>175.8</v>
      </c>
      <c r="J180" s="65">
        <v>85.7</v>
      </c>
      <c r="K180" s="65">
        <v>85.7</v>
      </c>
      <c r="L180" s="65">
        <v>85.7</v>
      </c>
      <c r="M180" s="65">
        <v>81.75</v>
      </c>
      <c r="N180" s="65">
        <v>85.7</v>
      </c>
      <c r="O180" s="65">
        <v>175.8</v>
      </c>
      <c r="P180" s="65">
        <v>219.75</v>
      </c>
      <c r="Q180" s="65">
        <v>175.8</v>
      </c>
      <c r="R180" s="65">
        <v>158.22</v>
      </c>
      <c r="S180" s="11">
        <f t="shared" si="127"/>
        <v>1822.16</v>
      </c>
      <c r="T180" s="8">
        <f t="shared" si="123"/>
        <v>0.17448081162260068</v>
      </c>
      <c r="U180" s="13" t="s">
        <v>22</v>
      </c>
      <c r="V180" s="50">
        <f t="shared" si="125"/>
        <v>1948930</v>
      </c>
      <c r="W180" s="36">
        <v>3.0640000000000001</v>
      </c>
      <c r="X180" s="36">
        <v>3.0640000000000001</v>
      </c>
      <c r="Y180" s="36">
        <v>3.0640000000000001</v>
      </c>
      <c r="Z180" s="36">
        <v>3.0640000000000001</v>
      </c>
      <c r="AA180" s="36">
        <v>3.0640000000000001</v>
      </c>
      <c r="AB180" s="36">
        <v>3.0640000000000001</v>
      </c>
      <c r="AC180" s="36">
        <v>3.0640000000000001</v>
      </c>
      <c r="AD180" s="36">
        <v>3.0640000000000001</v>
      </c>
      <c r="AE180" s="36">
        <v>3.0640000000000001</v>
      </c>
      <c r="AF180" s="36">
        <v>3.0640000000000001</v>
      </c>
      <c r="AG180" s="36">
        <v>3.0640000000000001</v>
      </c>
      <c r="AH180" s="36">
        <v>3.0640000000000001</v>
      </c>
      <c r="AI180" s="39">
        <v>1.33634708931066E-2</v>
      </c>
      <c r="AJ180" s="39">
        <v>1.33634708931066E-2</v>
      </c>
      <c r="AK180" s="39">
        <v>1.33634708931066E-2</v>
      </c>
      <c r="AL180" s="39">
        <v>1.33634708931066E-2</v>
      </c>
      <c r="AM180" s="39">
        <v>1.33634708931066E-2</v>
      </c>
      <c r="AN180" s="39">
        <v>1.33634708931066E-2</v>
      </c>
      <c r="AO180" s="39">
        <v>1.33634708931066E-2</v>
      </c>
      <c r="AP180" s="39">
        <v>1.33634708931066E-2</v>
      </c>
      <c r="AQ180" s="39">
        <v>1.33634708931066E-2</v>
      </c>
      <c r="AR180" s="39">
        <v>1.33634708931066E-2</v>
      </c>
      <c r="AS180" s="39">
        <v>1.33634708931066E-2</v>
      </c>
      <c r="AT180" s="39">
        <v>1.33634708931066E-2</v>
      </c>
      <c r="AU180" s="39">
        <v>1.2392217523121999E-3</v>
      </c>
      <c r="AV180" s="39">
        <v>1.2392217523121999E-3</v>
      </c>
      <c r="AW180" s="39">
        <v>1.2392217523121999E-3</v>
      </c>
      <c r="AX180" s="39">
        <v>1.2392217523121999E-3</v>
      </c>
      <c r="AY180" s="39">
        <v>1.2392217523121999E-3</v>
      </c>
      <c r="AZ180" s="39">
        <v>1.2392217523121999E-3</v>
      </c>
      <c r="BA180" s="39">
        <v>1.2392217523121999E-3</v>
      </c>
      <c r="BB180" s="39">
        <v>1.2392217523121999E-3</v>
      </c>
      <c r="BC180" s="39">
        <v>1.2392217523121999E-3</v>
      </c>
      <c r="BD180" s="39">
        <v>1.2392217523121999E-3</v>
      </c>
      <c r="BE180" s="39">
        <v>1.2392217523121999E-3</v>
      </c>
      <c r="BF180" s="39">
        <v>1.2392217523121999E-3</v>
      </c>
      <c r="BG180" s="1"/>
      <c r="BH180" s="12">
        <f t="shared" si="87"/>
        <v>794.96760000000006</v>
      </c>
      <c r="BI180" s="12">
        <f t="shared" si="88"/>
        <v>794.96760000000006</v>
      </c>
      <c r="BJ180" s="12">
        <f t="shared" si="89"/>
        <v>567.83400000000006</v>
      </c>
      <c r="BK180" s="12">
        <f t="shared" si="90"/>
        <v>276.81100000000004</v>
      </c>
      <c r="BL180" s="12">
        <f t="shared" si="91"/>
        <v>276.81100000000004</v>
      </c>
      <c r="BM180" s="12">
        <f t="shared" si="92"/>
        <v>276.81100000000004</v>
      </c>
      <c r="BN180" s="12">
        <f t="shared" si="93"/>
        <v>264.05250000000001</v>
      </c>
      <c r="BO180" s="12">
        <f t="shared" si="94"/>
        <v>276.81100000000004</v>
      </c>
      <c r="BP180" s="12">
        <f t="shared" si="95"/>
        <v>567.83400000000006</v>
      </c>
      <c r="BQ180" s="12">
        <f t="shared" si="96"/>
        <v>709.79250000000002</v>
      </c>
      <c r="BR180" s="12">
        <f t="shared" si="97"/>
        <v>567.83400000000006</v>
      </c>
      <c r="BS180" s="12">
        <f t="shared" si="98"/>
        <v>511.05059999999997</v>
      </c>
      <c r="BT180" s="1"/>
      <c r="BU180" s="11">
        <f t="shared" si="99"/>
        <v>806.57626752586634</v>
      </c>
      <c r="BV180" s="11">
        <f t="shared" si="100"/>
        <v>806.57626752586634</v>
      </c>
      <c r="BW180" s="11">
        <f t="shared" si="101"/>
        <v>576.1259053756188</v>
      </c>
      <c r="BX180" s="11">
        <f t="shared" si="102"/>
        <v>280.85318595387105</v>
      </c>
      <c r="BY180" s="11">
        <f t="shared" si="103"/>
        <v>280.85318595387105</v>
      </c>
      <c r="BZ180" s="11">
        <f t="shared" si="104"/>
        <v>280.85318595387105</v>
      </c>
      <c r="CA180" s="11">
        <f t="shared" si="105"/>
        <v>267.90837749975447</v>
      </c>
      <c r="CB180" s="11">
        <f t="shared" si="106"/>
        <v>280.85318595387105</v>
      </c>
      <c r="CC180" s="11">
        <f t="shared" si="107"/>
        <v>576.1259053756188</v>
      </c>
      <c r="CD180" s="11">
        <f t="shared" si="108"/>
        <v>720.15738171952341</v>
      </c>
      <c r="CE180" s="11">
        <f t="shared" si="109"/>
        <v>576.1259053756188</v>
      </c>
      <c r="CF180" s="11">
        <f t="shared" si="110"/>
        <v>518.51331483805689</v>
      </c>
      <c r="CG180" s="11"/>
      <c r="CH180" s="41">
        <v>3.23</v>
      </c>
      <c r="CI180" s="1"/>
      <c r="CJ180" s="53">
        <f t="shared" si="111"/>
        <v>263243</v>
      </c>
      <c r="CK180" s="53">
        <f t="shared" si="112"/>
        <v>263243</v>
      </c>
      <c r="CL180" s="53">
        <f t="shared" si="113"/>
        <v>188031</v>
      </c>
      <c r="CM180" s="53">
        <f t="shared" si="114"/>
        <v>91662</v>
      </c>
      <c r="CN180" s="53">
        <f t="shared" si="115"/>
        <v>91662</v>
      </c>
      <c r="CO180" s="53">
        <f t="shared" si="116"/>
        <v>91662</v>
      </c>
      <c r="CP180" s="53">
        <f t="shared" si="117"/>
        <v>87437</v>
      </c>
      <c r="CQ180" s="53">
        <f t="shared" si="118"/>
        <v>91662</v>
      </c>
      <c r="CR180" s="53">
        <f t="shared" si="119"/>
        <v>188031</v>
      </c>
      <c r="CS180" s="53">
        <f t="shared" si="120"/>
        <v>235038</v>
      </c>
      <c r="CT180" s="53">
        <f t="shared" si="121"/>
        <v>188031</v>
      </c>
      <c r="CU180" s="53">
        <f t="shared" si="122"/>
        <v>169228</v>
      </c>
      <c r="CV180" s="53">
        <f t="shared" si="126"/>
        <v>1948930</v>
      </c>
      <c r="CW180" s="1"/>
      <c r="CX180" s="1"/>
      <c r="CY180" s="1"/>
      <c r="CZ180" s="1"/>
      <c r="DA180" s="1"/>
      <c r="DB180" s="1"/>
      <c r="DC180" s="1"/>
      <c r="DD180" s="1"/>
      <c r="DE180" s="1"/>
      <c r="DF180" s="1"/>
      <c r="DG180" s="1"/>
      <c r="DH180" s="1"/>
      <c r="DI180" s="1"/>
      <c r="DJ180" s="1"/>
      <c r="DK180" s="1"/>
      <c r="DL180" s="1"/>
    </row>
    <row r="181" spans="1:116" ht="15.75" hidden="1" x14ac:dyDescent="0.25">
      <c r="A181" s="16"/>
      <c r="B181" s="44"/>
      <c r="C181" s="44"/>
      <c r="D181" s="44"/>
      <c r="E181" s="44"/>
      <c r="F181" s="45" t="s">
        <v>20</v>
      </c>
      <c r="G181" s="65">
        <v>874.71</v>
      </c>
      <c r="H181" s="65">
        <v>801.82</v>
      </c>
      <c r="I181" s="65">
        <v>692.48</v>
      </c>
      <c r="J181" s="65">
        <v>463.6</v>
      </c>
      <c r="K181" s="65">
        <v>463.6</v>
      </c>
      <c r="L181" s="65">
        <v>424.97</v>
      </c>
      <c r="M181" s="65">
        <v>424.97</v>
      </c>
      <c r="N181" s="65">
        <v>656.04</v>
      </c>
      <c r="O181" s="65">
        <v>692.48</v>
      </c>
      <c r="P181" s="65">
        <v>801.82</v>
      </c>
      <c r="Q181" s="65">
        <v>801.82</v>
      </c>
      <c r="R181" s="65">
        <v>583.14</v>
      </c>
      <c r="S181" s="11">
        <f t="shared" si="127"/>
        <v>7681.45</v>
      </c>
      <c r="T181" s="8">
        <f t="shared" si="123"/>
        <v>0.1536913406877283</v>
      </c>
      <c r="U181" s="13" t="s">
        <v>22</v>
      </c>
      <c r="V181" s="50">
        <f t="shared" si="125"/>
        <v>9578917</v>
      </c>
      <c r="W181" s="36">
        <v>2.6280000000000001</v>
      </c>
      <c r="X181" s="36">
        <v>2.6280000000000001</v>
      </c>
      <c r="Y181" s="36">
        <v>2.6280000000000001</v>
      </c>
      <c r="Z181" s="36">
        <v>2.6280000000000001</v>
      </c>
      <c r="AA181" s="36">
        <v>2.6280000000000001</v>
      </c>
      <c r="AB181" s="36">
        <v>2.6280000000000001</v>
      </c>
      <c r="AC181" s="36">
        <v>2.6280000000000001</v>
      </c>
      <c r="AD181" s="36">
        <v>2.6280000000000001</v>
      </c>
      <c r="AE181" s="36">
        <v>2.6280000000000001</v>
      </c>
      <c r="AF181" s="36">
        <v>2.6280000000000001</v>
      </c>
      <c r="AG181" s="36">
        <v>2.6280000000000001</v>
      </c>
      <c r="AH181" s="36">
        <v>2.6280000000000001</v>
      </c>
      <c r="AI181" s="39">
        <v>1.33634708931066E-2</v>
      </c>
      <c r="AJ181" s="39">
        <v>1.33634708931066E-2</v>
      </c>
      <c r="AK181" s="39">
        <v>1.33634708931066E-2</v>
      </c>
      <c r="AL181" s="39">
        <v>1.33634708931066E-2</v>
      </c>
      <c r="AM181" s="39">
        <v>1.33634708931066E-2</v>
      </c>
      <c r="AN181" s="39">
        <v>1.33634708931066E-2</v>
      </c>
      <c r="AO181" s="39">
        <v>1.33634708931066E-2</v>
      </c>
      <c r="AP181" s="39">
        <v>1.33634708931066E-2</v>
      </c>
      <c r="AQ181" s="39">
        <v>1.33634708931066E-2</v>
      </c>
      <c r="AR181" s="39">
        <v>1.33634708931066E-2</v>
      </c>
      <c r="AS181" s="39">
        <v>1.33634708931066E-2</v>
      </c>
      <c r="AT181" s="39">
        <v>1.33634708931066E-2</v>
      </c>
      <c r="AU181" s="39">
        <v>1.2392217523121999E-3</v>
      </c>
      <c r="AV181" s="39">
        <v>1.2392217523121999E-3</v>
      </c>
      <c r="AW181" s="39">
        <v>1.2392217523121999E-3</v>
      </c>
      <c r="AX181" s="39">
        <v>1.2392217523121999E-3</v>
      </c>
      <c r="AY181" s="39">
        <v>1.2392217523121999E-3</v>
      </c>
      <c r="AZ181" s="39">
        <v>1.2392217523121999E-3</v>
      </c>
      <c r="BA181" s="39">
        <v>1.2392217523121999E-3</v>
      </c>
      <c r="BB181" s="39">
        <v>1.2392217523121999E-3</v>
      </c>
      <c r="BC181" s="39">
        <v>1.2392217523121999E-3</v>
      </c>
      <c r="BD181" s="39">
        <v>1.2392217523121999E-3</v>
      </c>
      <c r="BE181" s="39">
        <v>1.2392217523121999E-3</v>
      </c>
      <c r="BF181" s="39">
        <v>1.2392217523121999E-3</v>
      </c>
      <c r="BG181" s="1"/>
      <c r="BH181" s="12">
        <f t="shared" si="87"/>
        <v>2825.3133000000003</v>
      </c>
      <c r="BI181" s="12">
        <f t="shared" si="88"/>
        <v>2589.8786</v>
      </c>
      <c r="BJ181" s="12">
        <f t="shared" si="89"/>
        <v>2236.7103999999999</v>
      </c>
      <c r="BK181" s="12">
        <f t="shared" si="90"/>
        <v>1497.4280000000001</v>
      </c>
      <c r="BL181" s="12">
        <f t="shared" si="91"/>
        <v>1497.4280000000001</v>
      </c>
      <c r="BM181" s="12">
        <f t="shared" si="92"/>
        <v>1372.6531</v>
      </c>
      <c r="BN181" s="12">
        <f t="shared" si="93"/>
        <v>1372.6531</v>
      </c>
      <c r="BO181" s="12">
        <f t="shared" si="94"/>
        <v>2119.0092</v>
      </c>
      <c r="BP181" s="12">
        <f t="shared" si="95"/>
        <v>2236.7103999999999</v>
      </c>
      <c r="BQ181" s="12">
        <f t="shared" si="96"/>
        <v>2589.8786</v>
      </c>
      <c r="BR181" s="12">
        <f t="shared" si="97"/>
        <v>2589.8786</v>
      </c>
      <c r="BS181" s="12">
        <f t="shared" si="98"/>
        <v>1883.5421999999999</v>
      </c>
      <c r="BT181" s="1"/>
      <c r="BU181" s="11">
        <f t="shared" si="99"/>
        <v>2866.5704817469141</v>
      </c>
      <c r="BV181" s="11">
        <f t="shared" si="100"/>
        <v>2627.6978011847477</v>
      </c>
      <c r="BW181" s="11">
        <f t="shared" si="101"/>
        <v>2269.3723945080119</v>
      </c>
      <c r="BX181" s="11">
        <f t="shared" si="102"/>
        <v>1519.2944808426444</v>
      </c>
      <c r="BY181" s="11">
        <f t="shared" si="103"/>
        <v>1519.2944808426444</v>
      </c>
      <c r="BZ181" s="11">
        <f t="shared" si="104"/>
        <v>1392.6975313280814</v>
      </c>
      <c r="CA181" s="11">
        <f t="shared" si="105"/>
        <v>1392.6975313280814</v>
      </c>
      <c r="CB181" s="11">
        <f t="shared" si="106"/>
        <v>2149.9524400604146</v>
      </c>
      <c r="CC181" s="11">
        <f t="shared" si="107"/>
        <v>2269.3723945080119</v>
      </c>
      <c r="CD181" s="11">
        <f t="shared" si="108"/>
        <v>2627.6978011847477</v>
      </c>
      <c r="CE181" s="11">
        <f t="shared" si="109"/>
        <v>2627.6978011847477</v>
      </c>
      <c r="CF181" s="11">
        <f t="shared" si="110"/>
        <v>1911.0469878312758</v>
      </c>
      <c r="CG181" s="11"/>
      <c r="CH181" s="41">
        <v>3.23</v>
      </c>
      <c r="CI181" s="1"/>
      <c r="CJ181" s="53">
        <f t="shared" si="111"/>
        <v>1090780</v>
      </c>
      <c r="CK181" s="53">
        <f t="shared" si="112"/>
        <v>999885</v>
      </c>
      <c r="CL181" s="53">
        <f t="shared" si="113"/>
        <v>863536</v>
      </c>
      <c r="CM181" s="53">
        <f t="shared" si="114"/>
        <v>578118</v>
      </c>
      <c r="CN181" s="53">
        <f t="shared" si="115"/>
        <v>578118</v>
      </c>
      <c r="CO181" s="53">
        <f t="shared" si="116"/>
        <v>529946</v>
      </c>
      <c r="CP181" s="53">
        <f t="shared" si="117"/>
        <v>529946</v>
      </c>
      <c r="CQ181" s="53">
        <f t="shared" si="118"/>
        <v>818095</v>
      </c>
      <c r="CR181" s="53">
        <f t="shared" si="119"/>
        <v>863536</v>
      </c>
      <c r="CS181" s="53">
        <f t="shared" si="120"/>
        <v>999885</v>
      </c>
      <c r="CT181" s="53">
        <f t="shared" si="121"/>
        <v>999885</v>
      </c>
      <c r="CU181" s="53">
        <f t="shared" si="122"/>
        <v>727187</v>
      </c>
      <c r="CV181" s="53">
        <f t="shared" si="126"/>
        <v>9578917</v>
      </c>
      <c r="CW181" s="1"/>
      <c r="CX181" s="1"/>
      <c r="CY181" s="1"/>
      <c r="CZ181" s="1"/>
      <c r="DA181" s="1"/>
      <c r="DB181" s="1"/>
      <c r="DC181" s="1"/>
      <c r="DD181" s="1"/>
      <c r="DE181" s="1"/>
      <c r="DF181" s="1"/>
      <c r="DG181" s="1"/>
      <c r="DH181" s="1"/>
      <c r="DI181" s="1"/>
      <c r="DJ181" s="1"/>
      <c r="DK181" s="1"/>
      <c r="DL181" s="1"/>
    </row>
    <row r="182" spans="1:116" ht="15.75" hidden="1" x14ac:dyDescent="0.25">
      <c r="A182" s="16"/>
      <c r="B182" s="44"/>
      <c r="C182" s="44"/>
      <c r="D182" s="44"/>
      <c r="E182" s="44"/>
      <c r="F182" s="45" t="s">
        <v>20</v>
      </c>
      <c r="G182" s="65">
        <v>23.19</v>
      </c>
      <c r="H182" s="65">
        <v>23.19</v>
      </c>
      <c r="I182" s="65">
        <v>23.19</v>
      </c>
      <c r="J182" s="65">
        <v>23.19</v>
      </c>
      <c r="K182" s="65">
        <v>23.19</v>
      </c>
      <c r="L182" s="65">
        <v>23.19</v>
      </c>
      <c r="M182" s="65">
        <v>23.19</v>
      </c>
      <c r="N182" s="65">
        <v>23.19</v>
      </c>
      <c r="O182" s="65">
        <v>23.19</v>
      </c>
      <c r="P182" s="65">
        <v>23.19</v>
      </c>
      <c r="Q182" s="65">
        <v>23.19</v>
      </c>
      <c r="R182" s="65">
        <v>23.19</v>
      </c>
      <c r="S182" s="11">
        <f t="shared" si="127"/>
        <v>278.28000000000003</v>
      </c>
      <c r="T182" s="8">
        <f t="shared" si="123"/>
        <v>0.3749011857707511</v>
      </c>
      <c r="U182" s="13" t="s">
        <v>22</v>
      </c>
      <c r="V182" s="50">
        <f t="shared" si="125"/>
        <v>178572</v>
      </c>
      <c r="W182" s="36">
        <v>5.1070000000000002</v>
      </c>
      <c r="X182" s="36">
        <v>5.1070000000000002</v>
      </c>
      <c r="Y182" s="36">
        <v>5.1070000000000002</v>
      </c>
      <c r="Z182" s="36">
        <v>5.1070000000000002</v>
      </c>
      <c r="AA182" s="36">
        <v>5.1070000000000002</v>
      </c>
      <c r="AB182" s="36">
        <v>5.1070000000000002</v>
      </c>
      <c r="AC182" s="36">
        <v>5.1070000000000002</v>
      </c>
      <c r="AD182" s="36">
        <v>5.1070000000000002</v>
      </c>
      <c r="AE182" s="36">
        <v>5.1070000000000002</v>
      </c>
      <c r="AF182" s="36">
        <v>5.1070000000000002</v>
      </c>
      <c r="AG182" s="36">
        <v>5.1070000000000002</v>
      </c>
      <c r="AH182" s="36">
        <v>5.1070000000000002</v>
      </c>
      <c r="AI182" s="39">
        <v>1.33634708931066E-2</v>
      </c>
      <c r="AJ182" s="39">
        <v>1.33634708931066E-2</v>
      </c>
      <c r="AK182" s="39">
        <v>1.33634708931066E-2</v>
      </c>
      <c r="AL182" s="39">
        <v>1.33634708931066E-2</v>
      </c>
      <c r="AM182" s="39">
        <v>1.33634708931066E-2</v>
      </c>
      <c r="AN182" s="39">
        <v>1.33634708931066E-2</v>
      </c>
      <c r="AO182" s="39">
        <v>1.33634708931066E-2</v>
      </c>
      <c r="AP182" s="39">
        <v>1.33634708931066E-2</v>
      </c>
      <c r="AQ182" s="39">
        <v>1.33634708931066E-2</v>
      </c>
      <c r="AR182" s="39">
        <v>1.33634708931066E-2</v>
      </c>
      <c r="AS182" s="39">
        <v>1.33634708931066E-2</v>
      </c>
      <c r="AT182" s="39">
        <v>1.33634708931066E-2</v>
      </c>
      <c r="AU182" s="39">
        <v>1.2392217523121999E-3</v>
      </c>
      <c r="AV182" s="39">
        <v>1.2392217523121999E-3</v>
      </c>
      <c r="AW182" s="39">
        <v>1.2392217523121999E-3</v>
      </c>
      <c r="AX182" s="39">
        <v>1.2392217523121999E-3</v>
      </c>
      <c r="AY182" s="39">
        <v>1.2392217523121999E-3</v>
      </c>
      <c r="AZ182" s="39">
        <v>1.2392217523121999E-3</v>
      </c>
      <c r="BA182" s="39">
        <v>1.2392217523121999E-3</v>
      </c>
      <c r="BB182" s="39">
        <v>1.2392217523121999E-3</v>
      </c>
      <c r="BC182" s="39">
        <v>1.2392217523121999E-3</v>
      </c>
      <c r="BD182" s="39">
        <v>1.2392217523121999E-3</v>
      </c>
      <c r="BE182" s="39">
        <v>1.2392217523121999E-3</v>
      </c>
      <c r="BF182" s="39">
        <v>1.2392217523121999E-3</v>
      </c>
      <c r="BG182" s="1"/>
      <c r="BH182" s="12">
        <f t="shared" si="87"/>
        <v>74.903700000000001</v>
      </c>
      <c r="BI182" s="12">
        <f t="shared" si="88"/>
        <v>74.903700000000001</v>
      </c>
      <c r="BJ182" s="12">
        <f t="shared" si="89"/>
        <v>74.903700000000001</v>
      </c>
      <c r="BK182" s="12">
        <f t="shared" si="90"/>
        <v>74.903700000000001</v>
      </c>
      <c r="BL182" s="12">
        <f t="shared" si="91"/>
        <v>74.903700000000001</v>
      </c>
      <c r="BM182" s="12">
        <f t="shared" si="92"/>
        <v>74.903700000000001</v>
      </c>
      <c r="BN182" s="12">
        <f t="shared" si="93"/>
        <v>74.903700000000001</v>
      </c>
      <c r="BO182" s="12">
        <f t="shared" si="94"/>
        <v>74.903700000000001</v>
      </c>
      <c r="BP182" s="12">
        <f t="shared" si="95"/>
        <v>74.903700000000001</v>
      </c>
      <c r="BQ182" s="12">
        <f t="shared" si="96"/>
        <v>74.903700000000001</v>
      </c>
      <c r="BR182" s="12">
        <f t="shared" si="97"/>
        <v>74.903700000000001</v>
      </c>
      <c r="BS182" s="12">
        <f t="shared" si="98"/>
        <v>74.903700000000001</v>
      </c>
      <c r="BT182" s="1"/>
      <c r="BU182" s="11">
        <f t="shared" si="99"/>
        <v>75.997495709104655</v>
      </c>
      <c r="BV182" s="11">
        <f t="shared" si="100"/>
        <v>75.997495709104655</v>
      </c>
      <c r="BW182" s="11">
        <f t="shared" si="101"/>
        <v>75.997495709104655</v>
      </c>
      <c r="BX182" s="11">
        <f t="shared" si="102"/>
        <v>75.997495709104655</v>
      </c>
      <c r="BY182" s="11">
        <f t="shared" si="103"/>
        <v>75.997495709104655</v>
      </c>
      <c r="BZ182" s="11">
        <f t="shared" si="104"/>
        <v>75.997495709104655</v>
      </c>
      <c r="CA182" s="11">
        <f t="shared" si="105"/>
        <v>75.997495709104655</v>
      </c>
      <c r="CB182" s="11">
        <f t="shared" si="106"/>
        <v>75.997495709104655</v>
      </c>
      <c r="CC182" s="11">
        <f t="shared" si="107"/>
        <v>75.997495709104655</v>
      </c>
      <c r="CD182" s="11">
        <f t="shared" si="108"/>
        <v>75.997495709104655</v>
      </c>
      <c r="CE182" s="11">
        <f t="shared" si="109"/>
        <v>75.997495709104655</v>
      </c>
      <c r="CF182" s="11">
        <f t="shared" si="110"/>
        <v>75.997495709104655</v>
      </c>
      <c r="CG182" s="11"/>
      <c r="CH182" s="41">
        <v>3.23</v>
      </c>
      <c r="CI182" s="1"/>
      <c r="CJ182" s="53">
        <f t="shared" si="111"/>
        <v>14881</v>
      </c>
      <c r="CK182" s="53">
        <f t="shared" si="112"/>
        <v>14881</v>
      </c>
      <c r="CL182" s="53">
        <f t="shared" si="113"/>
        <v>14881</v>
      </c>
      <c r="CM182" s="53">
        <f t="shared" si="114"/>
        <v>14881</v>
      </c>
      <c r="CN182" s="53">
        <f t="shared" si="115"/>
        <v>14881</v>
      </c>
      <c r="CO182" s="53">
        <f t="shared" si="116"/>
        <v>14881</v>
      </c>
      <c r="CP182" s="53">
        <f t="shared" si="117"/>
        <v>14881</v>
      </c>
      <c r="CQ182" s="53">
        <f t="shared" si="118"/>
        <v>14881</v>
      </c>
      <c r="CR182" s="53">
        <f t="shared" si="119"/>
        <v>14881</v>
      </c>
      <c r="CS182" s="53">
        <f t="shared" si="120"/>
        <v>14881</v>
      </c>
      <c r="CT182" s="53">
        <f t="shared" si="121"/>
        <v>14881</v>
      </c>
      <c r="CU182" s="53">
        <f t="shared" si="122"/>
        <v>14881</v>
      </c>
      <c r="CV182" s="53">
        <f t="shared" si="126"/>
        <v>178572</v>
      </c>
      <c r="CW182" s="1"/>
      <c r="CX182" s="1"/>
      <c r="CY182" s="1"/>
      <c r="CZ182" s="1"/>
      <c r="DA182" s="1"/>
      <c r="DB182" s="1"/>
      <c r="DC182" s="1"/>
      <c r="DD182" s="1"/>
      <c r="DE182" s="1"/>
      <c r="DF182" s="1"/>
      <c r="DG182" s="1"/>
      <c r="DH182" s="1"/>
      <c r="DI182" s="1"/>
      <c r="DJ182" s="1"/>
      <c r="DK182" s="1"/>
      <c r="DL182" s="1"/>
    </row>
    <row r="183" spans="1:116" ht="15.75" hidden="1" x14ac:dyDescent="0.25">
      <c r="A183" s="16"/>
      <c r="B183" s="44"/>
      <c r="C183" s="44"/>
      <c r="D183" s="44"/>
      <c r="E183" s="44"/>
      <c r="F183" s="45" t="s">
        <v>20</v>
      </c>
      <c r="G183" s="65">
        <v>28.55</v>
      </c>
      <c r="H183" s="65">
        <v>23.79</v>
      </c>
      <c r="I183" s="65">
        <v>23.79</v>
      </c>
      <c r="J183" s="65">
        <v>24.98</v>
      </c>
      <c r="K183" s="65">
        <v>19.98</v>
      </c>
      <c r="L183" s="65">
        <v>4</v>
      </c>
      <c r="M183" s="65">
        <v>4</v>
      </c>
      <c r="N183" s="65">
        <v>3</v>
      </c>
      <c r="O183" s="65">
        <v>11.42</v>
      </c>
      <c r="P183" s="65">
        <v>19.03</v>
      </c>
      <c r="Q183" s="65">
        <v>24.98</v>
      </c>
      <c r="R183" s="65">
        <v>24.98</v>
      </c>
      <c r="S183" s="11">
        <f t="shared" si="127"/>
        <v>212.49999999999997</v>
      </c>
      <c r="T183" s="8">
        <f t="shared" si="123"/>
        <v>6.0008978899585834E-2</v>
      </c>
      <c r="U183" s="13" t="s">
        <v>22</v>
      </c>
      <c r="V183" s="50">
        <f t="shared" si="125"/>
        <v>213882</v>
      </c>
      <c r="W183" s="36">
        <v>3.2559999999999998</v>
      </c>
      <c r="X183" s="36">
        <v>3.2559999999999998</v>
      </c>
      <c r="Y183" s="36">
        <v>3.2559999999999998</v>
      </c>
      <c r="Z183" s="36">
        <v>3.2559999999999998</v>
      </c>
      <c r="AA183" s="36">
        <v>3.2559999999999998</v>
      </c>
      <c r="AB183" s="36">
        <v>3.2559999999999998</v>
      </c>
      <c r="AC183" s="36">
        <v>3.2559999999999998</v>
      </c>
      <c r="AD183" s="36">
        <v>3.2559999999999998</v>
      </c>
      <c r="AE183" s="36">
        <v>3.2559999999999998</v>
      </c>
      <c r="AF183" s="36">
        <v>3.2559999999999998</v>
      </c>
      <c r="AG183" s="36">
        <v>3.2559999999999998</v>
      </c>
      <c r="AH183" s="36">
        <v>3.2559999999999998</v>
      </c>
      <c r="AI183" s="39">
        <v>1.33634708931066E-2</v>
      </c>
      <c r="AJ183" s="39">
        <v>1.33634708931066E-2</v>
      </c>
      <c r="AK183" s="39">
        <v>1.33634708931066E-2</v>
      </c>
      <c r="AL183" s="39">
        <v>1.33634708931066E-2</v>
      </c>
      <c r="AM183" s="39">
        <v>1.33634708931066E-2</v>
      </c>
      <c r="AN183" s="39">
        <v>1.33634708931066E-2</v>
      </c>
      <c r="AO183" s="39">
        <v>1.33634708931066E-2</v>
      </c>
      <c r="AP183" s="39">
        <v>1.33634708931066E-2</v>
      </c>
      <c r="AQ183" s="39">
        <v>1.33634708931066E-2</v>
      </c>
      <c r="AR183" s="39">
        <v>1.33634708931066E-2</v>
      </c>
      <c r="AS183" s="39">
        <v>1.33634708931066E-2</v>
      </c>
      <c r="AT183" s="39">
        <v>1.33634708931066E-2</v>
      </c>
      <c r="AU183" s="39">
        <v>1.2392217523121999E-3</v>
      </c>
      <c r="AV183" s="39">
        <v>1.2392217523121999E-3</v>
      </c>
      <c r="AW183" s="39">
        <v>1.2392217523121999E-3</v>
      </c>
      <c r="AX183" s="39">
        <v>1.2392217523121999E-3</v>
      </c>
      <c r="AY183" s="39">
        <v>1.2392217523121999E-3</v>
      </c>
      <c r="AZ183" s="39">
        <v>1.2392217523121999E-3</v>
      </c>
      <c r="BA183" s="39">
        <v>1.2392217523121999E-3</v>
      </c>
      <c r="BB183" s="39">
        <v>1.2392217523121999E-3</v>
      </c>
      <c r="BC183" s="39">
        <v>1.2392217523121999E-3</v>
      </c>
      <c r="BD183" s="39">
        <v>1.2392217523121999E-3</v>
      </c>
      <c r="BE183" s="39">
        <v>1.2392217523121999E-3</v>
      </c>
      <c r="BF183" s="39">
        <v>1.2392217523121999E-3</v>
      </c>
      <c r="BG183" s="1"/>
      <c r="BH183" s="12">
        <f t="shared" si="87"/>
        <v>92.216499999999996</v>
      </c>
      <c r="BI183" s="12">
        <f t="shared" si="88"/>
        <v>76.841700000000003</v>
      </c>
      <c r="BJ183" s="12">
        <f t="shared" si="89"/>
        <v>76.841700000000003</v>
      </c>
      <c r="BK183" s="12">
        <f t="shared" si="90"/>
        <v>80.685400000000001</v>
      </c>
      <c r="BL183" s="12">
        <f t="shared" si="91"/>
        <v>64.535399999999996</v>
      </c>
      <c r="BM183" s="12">
        <f t="shared" si="92"/>
        <v>12.92</v>
      </c>
      <c r="BN183" s="12">
        <f t="shared" si="93"/>
        <v>12.92</v>
      </c>
      <c r="BO183" s="12">
        <f t="shared" si="94"/>
        <v>9.69</v>
      </c>
      <c r="BP183" s="12">
        <f t="shared" si="95"/>
        <v>36.886600000000001</v>
      </c>
      <c r="BQ183" s="12">
        <f t="shared" si="96"/>
        <v>61.466900000000003</v>
      </c>
      <c r="BR183" s="12">
        <f t="shared" si="97"/>
        <v>80.685400000000001</v>
      </c>
      <c r="BS183" s="12">
        <f t="shared" si="98"/>
        <v>80.685400000000001</v>
      </c>
      <c r="BT183" s="1"/>
      <c r="BU183" s="11">
        <f t="shared" si="99"/>
        <v>93.563109206336264</v>
      </c>
      <c r="BV183" s="11">
        <f t="shared" si="100"/>
        <v>77.963795727451483</v>
      </c>
      <c r="BW183" s="11">
        <f t="shared" si="101"/>
        <v>77.963795727451483</v>
      </c>
      <c r="BX183" s="11">
        <f t="shared" si="102"/>
        <v>81.863624097172675</v>
      </c>
      <c r="BY183" s="11">
        <f t="shared" si="103"/>
        <v>65.477790610949157</v>
      </c>
      <c r="BZ183" s="11">
        <f t="shared" si="104"/>
        <v>13.108666788978811</v>
      </c>
      <c r="CA183" s="11">
        <f t="shared" si="105"/>
        <v>13.108666788978811</v>
      </c>
      <c r="CB183" s="11">
        <f t="shared" si="106"/>
        <v>9.8315000917341084</v>
      </c>
      <c r="CC183" s="11">
        <f t="shared" si="107"/>
        <v>37.425243682534507</v>
      </c>
      <c r="CD183" s="11">
        <f t="shared" si="108"/>
        <v>62.364482248566695</v>
      </c>
      <c r="CE183" s="11">
        <f t="shared" si="109"/>
        <v>81.863624097172675</v>
      </c>
      <c r="CF183" s="11">
        <f t="shared" si="110"/>
        <v>81.863624097172675</v>
      </c>
      <c r="CG183" s="11"/>
      <c r="CH183" s="41">
        <v>3.23</v>
      </c>
      <c r="CI183" s="1"/>
      <c r="CJ183" s="53">
        <f t="shared" si="111"/>
        <v>28736</v>
      </c>
      <c r="CK183" s="53">
        <f t="shared" si="112"/>
        <v>23945</v>
      </c>
      <c r="CL183" s="53">
        <f t="shared" si="113"/>
        <v>23945</v>
      </c>
      <c r="CM183" s="53">
        <f t="shared" si="114"/>
        <v>25142</v>
      </c>
      <c r="CN183" s="53">
        <f t="shared" si="115"/>
        <v>20110</v>
      </c>
      <c r="CO183" s="53">
        <f t="shared" si="116"/>
        <v>4026</v>
      </c>
      <c r="CP183" s="53">
        <f t="shared" si="117"/>
        <v>4026</v>
      </c>
      <c r="CQ183" s="53">
        <f t="shared" si="118"/>
        <v>3020</v>
      </c>
      <c r="CR183" s="53">
        <f t="shared" si="119"/>
        <v>11494</v>
      </c>
      <c r="CS183" s="53">
        <f t="shared" si="120"/>
        <v>19154</v>
      </c>
      <c r="CT183" s="53">
        <f t="shared" si="121"/>
        <v>25142</v>
      </c>
      <c r="CU183" s="53">
        <f t="shared" si="122"/>
        <v>25142</v>
      </c>
      <c r="CV183" s="53">
        <f t="shared" si="126"/>
        <v>213882</v>
      </c>
      <c r="CW183" s="1"/>
      <c r="CX183" s="1"/>
      <c r="CY183" s="1"/>
      <c r="CZ183" s="1"/>
      <c r="DA183" s="1"/>
      <c r="DB183" s="1"/>
      <c r="DC183" s="1"/>
      <c r="DD183" s="1"/>
      <c r="DE183" s="1"/>
      <c r="DF183" s="1"/>
      <c r="DG183" s="1"/>
      <c r="DH183" s="1"/>
      <c r="DI183" s="1"/>
      <c r="DJ183" s="1"/>
      <c r="DK183" s="1"/>
      <c r="DL183" s="1"/>
    </row>
    <row r="184" spans="1:116" ht="15.75" hidden="1" x14ac:dyDescent="0.25">
      <c r="A184" s="16"/>
      <c r="B184" s="44"/>
      <c r="C184" s="44"/>
      <c r="D184" s="44"/>
      <c r="E184" s="44"/>
      <c r="F184" s="45" t="s">
        <v>20</v>
      </c>
      <c r="G184" s="65">
        <v>17.510000000000002</v>
      </c>
      <c r="H184" s="65">
        <v>13.13</v>
      </c>
      <c r="I184" s="65">
        <v>10.07</v>
      </c>
      <c r="J184" s="65">
        <v>7.11</v>
      </c>
      <c r="K184" s="65">
        <v>7.88</v>
      </c>
      <c r="L184" s="65">
        <v>3.68</v>
      </c>
      <c r="M184" s="65">
        <v>3.68</v>
      </c>
      <c r="N184" s="65">
        <v>4.38</v>
      </c>
      <c r="O184" s="65">
        <v>8.76</v>
      </c>
      <c r="P184" s="65">
        <v>13.13</v>
      </c>
      <c r="Q184" s="65">
        <v>13.13</v>
      </c>
      <c r="R184" s="65">
        <v>9.6300000000000008</v>
      </c>
      <c r="S184" s="11">
        <f t="shared" si="127"/>
        <v>112.08999999999999</v>
      </c>
      <c r="T184" s="8">
        <f t="shared" si="123"/>
        <v>4.6885215279723232E-2</v>
      </c>
      <c r="U184" s="13" t="s">
        <v>22</v>
      </c>
      <c r="V184" s="50">
        <f t="shared" si="125"/>
        <v>255985</v>
      </c>
      <c r="W184" s="36">
        <v>1.4350000000000001</v>
      </c>
      <c r="X184" s="36">
        <v>1.4350000000000001</v>
      </c>
      <c r="Y184" s="36">
        <v>1.4350000000000001</v>
      </c>
      <c r="Z184" s="36">
        <v>1.4350000000000001</v>
      </c>
      <c r="AA184" s="36">
        <v>1.4350000000000001</v>
      </c>
      <c r="AB184" s="36">
        <v>1.4350000000000001</v>
      </c>
      <c r="AC184" s="36">
        <v>1.4350000000000001</v>
      </c>
      <c r="AD184" s="36">
        <v>1.4350000000000001</v>
      </c>
      <c r="AE184" s="36">
        <v>1.4350000000000001</v>
      </c>
      <c r="AF184" s="36">
        <v>1.4350000000000001</v>
      </c>
      <c r="AG184" s="36">
        <v>1.4350000000000001</v>
      </c>
      <c r="AH184" s="36">
        <v>1.4350000000000001</v>
      </c>
      <c r="AI184" s="39">
        <v>1.33634708931066E-2</v>
      </c>
      <c r="AJ184" s="39">
        <v>1.33634708931066E-2</v>
      </c>
      <c r="AK184" s="39">
        <v>1.33634708931066E-2</v>
      </c>
      <c r="AL184" s="39">
        <v>1.33634708931066E-2</v>
      </c>
      <c r="AM184" s="39">
        <v>1.33634708931066E-2</v>
      </c>
      <c r="AN184" s="39">
        <v>1.33634708931066E-2</v>
      </c>
      <c r="AO184" s="39">
        <v>1.33634708931066E-2</v>
      </c>
      <c r="AP184" s="39">
        <v>1.33634708931066E-2</v>
      </c>
      <c r="AQ184" s="39">
        <v>1.33634708931066E-2</v>
      </c>
      <c r="AR184" s="39">
        <v>1.33634708931066E-2</v>
      </c>
      <c r="AS184" s="39">
        <v>1.33634708931066E-2</v>
      </c>
      <c r="AT184" s="39">
        <v>1.33634708931066E-2</v>
      </c>
      <c r="AU184" s="39">
        <v>1.2392217523121999E-3</v>
      </c>
      <c r="AV184" s="39">
        <v>1.2392217523121999E-3</v>
      </c>
      <c r="AW184" s="39">
        <v>1.2392217523121999E-3</v>
      </c>
      <c r="AX184" s="39">
        <v>1.2392217523121999E-3</v>
      </c>
      <c r="AY184" s="39">
        <v>1.2392217523121999E-3</v>
      </c>
      <c r="AZ184" s="39">
        <v>1.2392217523121999E-3</v>
      </c>
      <c r="BA184" s="39">
        <v>1.2392217523121999E-3</v>
      </c>
      <c r="BB184" s="39">
        <v>1.2392217523121999E-3</v>
      </c>
      <c r="BC184" s="39">
        <v>1.2392217523121999E-3</v>
      </c>
      <c r="BD184" s="39">
        <v>1.2392217523121999E-3</v>
      </c>
      <c r="BE184" s="39">
        <v>1.2392217523121999E-3</v>
      </c>
      <c r="BF184" s="39">
        <v>1.2392217523121999E-3</v>
      </c>
      <c r="BG184" s="1"/>
      <c r="BH184" s="12">
        <f t="shared" si="87"/>
        <v>56.557300000000005</v>
      </c>
      <c r="BI184" s="12">
        <f t="shared" si="88"/>
        <v>42.4099</v>
      </c>
      <c r="BJ184" s="12">
        <f t="shared" si="89"/>
        <v>32.5261</v>
      </c>
      <c r="BK184" s="12">
        <f t="shared" si="90"/>
        <v>22.965299999999999</v>
      </c>
      <c r="BL184" s="12">
        <f t="shared" si="91"/>
        <v>25.452400000000001</v>
      </c>
      <c r="BM184" s="12">
        <f t="shared" si="92"/>
        <v>11.8864</v>
      </c>
      <c r="BN184" s="12">
        <f t="shared" si="93"/>
        <v>11.8864</v>
      </c>
      <c r="BO184" s="12">
        <f t="shared" si="94"/>
        <v>14.147399999999999</v>
      </c>
      <c r="BP184" s="12">
        <f t="shared" si="95"/>
        <v>28.294799999999999</v>
      </c>
      <c r="BQ184" s="12">
        <f t="shared" si="96"/>
        <v>42.4099</v>
      </c>
      <c r="BR184" s="12">
        <f t="shared" si="97"/>
        <v>42.4099</v>
      </c>
      <c r="BS184" s="12">
        <f t="shared" si="98"/>
        <v>31.104900000000001</v>
      </c>
      <c r="BT184" s="1"/>
      <c r="BU184" s="11">
        <f t="shared" si="99"/>
        <v>57.38318886875475</v>
      </c>
      <c r="BV184" s="11">
        <f t="shared" si="100"/>
        <v>43.029198734822948</v>
      </c>
      <c r="BW184" s="11">
        <f t="shared" si="101"/>
        <v>33.001068641254157</v>
      </c>
      <c r="BX184" s="11">
        <f t="shared" si="102"/>
        <v>23.300655217409837</v>
      </c>
      <c r="BY184" s="11">
        <f t="shared" si="103"/>
        <v>25.82407357428826</v>
      </c>
      <c r="BZ184" s="11">
        <f t="shared" si="104"/>
        <v>12.059973445860507</v>
      </c>
      <c r="CA184" s="11">
        <f t="shared" si="105"/>
        <v>12.059973445860507</v>
      </c>
      <c r="CB184" s="11">
        <f t="shared" si="106"/>
        <v>14.353990133931797</v>
      </c>
      <c r="CC184" s="11">
        <f t="shared" si="107"/>
        <v>28.707980267863594</v>
      </c>
      <c r="CD184" s="11">
        <f t="shared" si="108"/>
        <v>43.029198734822948</v>
      </c>
      <c r="CE184" s="11">
        <f t="shared" si="109"/>
        <v>43.029198734822948</v>
      </c>
      <c r="CF184" s="11">
        <f t="shared" si="110"/>
        <v>31.559115294466487</v>
      </c>
      <c r="CG184" s="11"/>
      <c r="CH184" s="41">
        <v>3.23</v>
      </c>
      <c r="CI184" s="1"/>
      <c r="CJ184" s="53">
        <f t="shared" si="111"/>
        <v>39988</v>
      </c>
      <c r="CK184" s="53">
        <f t="shared" si="112"/>
        <v>29986</v>
      </c>
      <c r="CL184" s="53">
        <f t="shared" si="113"/>
        <v>22997</v>
      </c>
      <c r="CM184" s="53">
        <f t="shared" si="114"/>
        <v>16237</v>
      </c>
      <c r="CN184" s="53">
        <f t="shared" si="115"/>
        <v>17996</v>
      </c>
      <c r="CO184" s="53">
        <f t="shared" si="116"/>
        <v>8404</v>
      </c>
      <c r="CP184" s="53">
        <f t="shared" si="117"/>
        <v>8404</v>
      </c>
      <c r="CQ184" s="53">
        <f t="shared" si="118"/>
        <v>10003</v>
      </c>
      <c r="CR184" s="53">
        <f t="shared" si="119"/>
        <v>20006</v>
      </c>
      <c r="CS184" s="53">
        <f t="shared" si="120"/>
        <v>29986</v>
      </c>
      <c r="CT184" s="53">
        <f t="shared" si="121"/>
        <v>29986</v>
      </c>
      <c r="CU184" s="53">
        <f t="shared" si="122"/>
        <v>21992</v>
      </c>
      <c r="CV184" s="53">
        <f t="shared" si="126"/>
        <v>255985</v>
      </c>
      <c r="CW184" s="1"/>
      <c r="CX184" s="1"/>
      <c r="CY184" s="1"/>
      <c r="CZ184" s="1"/>
      <c r="DA184" s="1"/>
      <c r="DB184" s="1"/>
      <c r="DC184" s="1"/>
      <c r="DD184" s="1"/>
      <c r="DE184" s="1"/>
      <c r="DF184" s="1"/>
      <c r="DG184" s="1"/>
      <c r="DH184" s="1"/>
      <c r="DI184" s="1"/>
      <c r="DJ184" s="1"/>
      <c r="DK184" s="1"/>
      <c r="DL184" s="1"/>
    </row>
    <row r="185" spans="1:116" ht="15.75" hidden="1" x14ac:dyDescent="0.25">
      <c r="A185" s="16"/>
      <c r="B185" s="44"/>
      <c r="C185" s="44"/>
      <c r="D185" s="44"/>
      <c r="E185" s="44"/>
      <c r="F185" s="45" t="s">
        <v>20</v>
      </c>
      <c r="G185" s="65">
        <v>10.82</v>
      </c>
      <c r="H185" s="65">
        <v>7.94</v>
      </c>
      <c r="I185" s="65">
        <v>6.94</v>
      </c>
      <c r="J185" s="65">
        <v>6.94</v>
      </c>
      <c r="K185" s="65">
        <v>6.94</v>
      </c>
      <c r="L185" s="65">
        <v>3.97</v>
      </c>
      <c r="M185" s="65">
        <v>3.97</v>
      </c>
      <c r="N185" s="65">
        <v>11.9</v>
      </c>
      <c r="O185" s="65">
        <v>14.88</v>
      </c>
      <c r="P185" s="65">
        <v>14.88</v>
      </c>
      <c r="Q185" s="65">
        <v>14.88</v>
      </c>
      <c r="R185" s="65">
        <v>14.88</v>
      </c>
      <c r="S185" s="11">
        <f t="shared" si="127"/>
        <v>118.93999999999998</v>
      </c>
      <c r="T185" s="8">
        <f t="shared" si="123"/>
        <v>0.13644181158035501</v>
      </c>
      <c r="U185" s="13" t="s">
        <v>22</v>
      </c>
      <c r="V185" s="50">
        <f t="shared" si="125"/>
        <v>131864</v>
      </c>
      <c r="W185" s="36">
        <v>2.956</v>
      </c>
      <c r="X185" s="36">
        <v>2.956</v>
      </c>
      <c r="Y185" s="36">
        <v>2.956</v>
      </c>
      <c r="Z185" s="36">
        <v>2.956</v>
      </c>
      <c r="AA185" s="36">
        <v>2.956</v>
      </c>
      <c r="AB185" s="36">
        <v>2.956</v>
      </c>
      <c r="AC185" s="36">
        <v>2.956</v>
      </c>
      <c r="AD185" s="36">
        <v>2.956</v>
      </c>
      <c r="AE185" s="36">
        <v>2.956</v>
      </c>
      <c r="AF185" s="36">
        <v>2.956</v>
      </c>
      <c r="AG185" s="36">
        <v>2.956</v>
      </c>
      <c r="AH185" s="36">
        <v>2.956</v>
      </c>
      <c r="AI185" s="39">
        <v>1.33634708931066E-2</v>
      </c>
      <c r="AJ185" s="39">
        <v>1.33634708931066E-2</v>
      </c>
      <c r="AK185" s="39">
        <v>1.33634708931066E-2</v>
      </c>
      <c r="AL185" s="39">
        <v>1.33634708931066E-2</v>
      </c>
      <c r="AM185" s="39">
        <v>1.33634708931066E-2</v>
      </c>
      <c r="AN185" s="39">
        <v>1.33634708931066E-2</v>
      </c>
      <c r="AO185" s="39">
        <v>1.33634708931066E-2</v>
      </c>
      <c r="AP185" s="39">
        <v>1.33634708931066E-2</v>
      </c>
      <c r="AQ185" s="39">
        <v>1.33634708931066E-2</v>
      </c>
      <c r="AR185" s="39">
        <v>1.33634708931066E-2</v>
      </c>
      <c r="AS185" s="39">
        <v>1.33634708931066E-2</v>
      </c>
      <c r="AT185" s="39">
        <v>1.33634708931066E-2</v>
      </c>
      <c r="AU185" s="39">
        <v>1.2392217523121999E-3</v>
      </c>
      <c r="AV185" s="39">
        <v>1.2392217523121999E-3</v>
      </c>
      <c r="AW185" s="39">
        <v>1.2392217523121999E-3</v>
      </c>
      <c r="AX185" s="39">
        <v>1.2392217523121999E-3</v>
      </c>
      <c r="AY185" s="39">
        <v>1.2392217523121999E-3</v>
      </c>
      <c r="AZ185" s="39">
        <v>1.2392217523121999E-3</v>
      </c>
      <c r="BA185" s="39">
        <v>1.2392217523121999E-3</v>
      </c>
      <c r="BB185" s="39">
        <v>1.2392217523121999E-3</v>
      </c>
      <c r="BC185" s="39">
        <v>1.2392217523121999E-3</v>
      </c>
      <c r="BD185" s="39">
        <v>1.2392217523121999E-3</v>
      </c>
      <c r="BE185" s="39">
        <v>1.2392217523121999E-3</v>
      </c>
      <c r="BF185" s="39">
        <v>1.2392217523121999E-3</v>
      </c>
      <c r="BG185" s="1"/>
      <c r="BH185" s="12">
        <f t="shared" si="87"/>
        <v>34.948599999999999</v>
      </c>
      <c r="BI185" s="12">
        <f t="shared" si="88"/>
        <v>25.6462</v>
      </c>
      <c r="BJ185" s="12">
        <f t="shared" si="89"/>
        <v>22.4162</v>
      </c>
      <c r="BK185" s="12">
        <f t="shared" si="90"/>
        <v>22.4162</v>
      </c>
      <c r="BL185" s="12">
        <f t="shared" si="91"/>
        <v>22.4162</v>
      </c>
      <c r="BM185" s="12">
        <f t="shared" si="92"/>
        <v>12.8231</v>
      </c>
      <c r="BN185" s="12">
        <f t="shared" si="93"/>
        <v>12.8231</v>
      </c>
      <c r="BO185" s="12">
        <f t="shared" si="94"/>
        <v>38.436999999999998</v>
      </c>
      <c r="BP185" s="12">
        <f t="shared" si="95"/>
        <v>48.062400000000004</v>
      </c>
      <c r="BQ185" s="12">
        <f t="shared" si="96"/>
        <v>48.062400000000004</v>
      </c>
      <c r="BR185" s="12">
        <f t="shared" si="97"/>
        <v>48.062400000000004</v>
      </c>
      <c r="BS185" s="12">
        <f t="shared" si="98"/>
        <v>48.062400000000004</v>
      </c>
      <c r="BT185" s="1"/>
      <c r="BU185" s="11">
        <f t="shared" si="99"/>
        <v>35.458943664187686</v>
      </c>
      <c r="BV185" s="11">
        <f t="shared" si="100"/>
        <v>26.020703576122941</v>
      </c>
      <c r="BW185" s="11">
        <f t="shared" si="101"/>
        <v>22.743536878878238</v>
      </c>
      <c r="BX185" s="11">
        <f t="shared" si="102"/>
        <v>22.743536878878238</v>
      </c>
      <c r="BY185" s="11">
        <f t="shared" si="103"/>
        <v>22.743536878878238</v>
      </c>
      <c r="BZ185" s="11">
        <f t="shared" si="104"/>
        <v>13.01035178806147</v>
      </c>
      <c r="CA185" s="11">
        <f t="shared" si="105"/>
        <v>13.01035178806147</v>
      </c>
      <c r="CB185" s="11">
        <f t="shared" si="106"/>
        <v>38.99828369721196</v>
      </c>
      <c r="CC185" s="11">
        <f t="shared" si="107"/>
        <v>48.764240455001179</v>
      </c>
      <c r="CD185" s="11">
        <f t="shared" si="108"/>
        <v>48.764240455001179</v>
      </c>
      <c r="CE185" s="11">
        <f t="shared" si="109"/>
        <v>48.764240455001179</v>
      </c>
      <c r="CF185" s="11">
        <f t="shared" si="110"/>
        <v>48.764240455001179</v>
      </c>
      <c r="CG185" s="11"/>
      <c r="CH185" s="41">
        <v>3.23</v>
      </c>
      <c r="CI185" s="1"/>
      <c r="CJ185" s="53">
        <f t="shared" si="111"/>
        <v>11996</v>
      </c>
      <c r="CK185" s="53">
        <f t="shared" si="112"/>
        <v>8803</v>
      </c>
      <c r="CL185" s="53">
        <f t="shared" si="113"/>
        <v>7694</v>
      </c>
      <c r="CM185" s="53">
        <f t="shared" si="114"/>
        <v>7694</v>
      </c>
      <c r="CN185" s="53">
        <f t="shared" si="115"/>
        <v>7694</v>
      </c>
      <c r="CO185" s="53">
        <f t="shared" si="116"/>
        <v>4401</v>
      </c>
      <c r="CP185" s="53">
        <f t="shared" si="117"/>
        <v>4401</v>
      </c>
      <c r="CQ185" s="53">
        <f t="shared" si="118"/>
        <v>13193</v>
      </c>
      <c r="CR185" s="53">
        <f t="shared" si="119"/>
        <v>16497</v>
      </c>
      <c r="CS185" s="53">
        <f t="shared" si="120"/>
        <v>16497</v>
      </c>
      <c r="CT185" s="53">
        <f t="shared" si="121"/>
        <v>16497</v>
      </c>
      <c r="CU185" s="53">
        <f t="shared" si="122"/>
        <v>16497</v>
      </c>
      <c r="CV185" s="53">
        <f t="shared" si="126"/>
        <v>131864</v>
      </c>
      <c r="CW185" s="1"/>
      <c r="CX185" s="1"/>
      <c r="CY185" s="1"/>
      <c r="CZ185" s="1"/>
      <c r="DA185" s="1"/>
      <c r="DB185" s="1"/>
      <c r="DC185" s="1"/>
      <c r="DD185" s="1"/>
      <c r="DE185" s="1"/>
      <c r="DF185" s="1"/>
      <c r="DG185" s="1"/>
      <c r="DH185" s="1"/>
      <c r="DI185" s="1"/>
      <c r="DJ185" s="1"/>
      <c r="DK185" s="1"/>
      <c r="DL185" s="1"/>
    </row>
    <row r="186" spans="1:116" ht="15.75" hidden="1" x14ac:dyDescent="0.25">
      <c r="A186" s="16"/>
      <c r="B186" s="44"/>
      <c r="C186" s="44"/>
      <c r="D186" s="44"/>
      <c r="E186" s="44"/>
      <c r="F186" s="45" t="s">
        <v>20</v>
      </c>
      <c r="G186" s="65">
        <v>100.17</v>
      </c>
      <c r="H186" s="65">
        <v>144.82</v>
      </c>
      <c r="I186" s="65">
        <v>104.67</v>
      </c>
      <c r="J186" s="65">
        <v>62.8</v>
      </c>
      <c r="K186" s="65">
        <v>62.8</v>
      </c>
      <c r="L186" s="65">
        <v>62.8</v>
      </c>
      <c r="M186" s="65">
        <v>62.8</v>
      </c>
      <c r="N186" s="65">
        <v>83.73</v>
      </c>
      <c r="O186" s="65">
        <v>136.07</v>
      </c>
      <c r="P186" s="65">
        <v>146.53</v>
      </c>
      <c r="Q186" s="65">
        <v>146.53</v>
      </c>
      <c r="R186" s="65">
        <v>83.73</v>
      </c>
      <c r="S186" s="11">
        <f t="shared" si="127"/>
        <v>1197.45</v>
      </c>
      <c r="T186" s="8">
        <f t="shared" si="123"/>
        <v>5.2268513229698513E-2</v>
      </c>
      <c r="U186" s="13" t="s">
        <v>22</v>
      </c>
      <c r="V186" s="50">
        <f t="shared" si="125"/>
        <v>1128954</v>
      </c>
      <c r="W186" s="36">
        <v>3.476</v>
      </c>
      <c r="X186" s="36">
        <v>3.476</v>
      </c>
      <c r="Y186" s="36">
        <v>3.476</v>
      </c>
      <c r="Z186" s="36">
        <v>3.476</v>
      </c>
      <c r="AA186" s="36">
        <v>3.476</v>
      </c>
      <c r="AB186" s="36">
        <v>3.476</v>
      </c>
      <c r="AC186" s="36">
        <v>3.476</v>
      </c>
      <c r="AD186" s="36">
        <v>3.476</v>
      </c>
      <c r="AE186" s="36">
        <v>3.476</v>
      </c>
      <c r="AF186" s="36">
        <v>3.476</v>
      </c>
      <c r="AG186" s="36">
        <v>3.476</v>
      </c>
      <c r="AH186" s="36">
        <v>3.476</v>
      </c>
      <c r="AI186" s="39">
        <v>1.33634708931066E-2</v>
      </c>
      <c r="AJ186" s="39">
        <v>1.33634708931066E-2</v>
      </c>
      <c r="AK186" s="39">
        <v>1.33634708931066E-2</v>
      </c>
      <c r="AL186" s="39">
        <v>1.33634708931066E-2</v>
      </c>
      <c r="AM186" s="39">
        <v>1.33634708931066E-2</v>
      </c>
      <c r="AN186" s="39">
        <v>1.33634708931066E-2</v>
      </c>
      <c r="AO186" s="39">
        <v>1.33634708931066E-2</v>
      </c>
      <c r="AP186" s="39">
        <v>1.33634708931066E-2</v>
      </c>
      <c r="AQ186" s="39">
        <v>1.33634708931066E-2</v>
      </c>
      <c r="AR186" s="39">
        <v>1.33634708931066E-2</v>
      </c>
      <c r="AS186" s="39">
        <v>1.33634708931066E-2</v>
      </c>
      <c r="AT186" s="39">
        <v>1.33634708931066E-2</v>
      </c>
      <c r="AU186" s="39">
        <v>1.2392217523121999E-3</v>
      </c>
      <c r="AV186" s="39">
        <v>1.2392217523121999E-3</v>
      </c>
      <c r="AW186" s="39">
        <v>1.2392217523121999E-3</v>
      </c>
      <c r="AX186" s="39">
        <v>1.2392217523121999E-3</v>
      </c>
      <c r="AY186" s="39">
        <v>1.2392217523121999E-3</v>
      </c>
      <c r="AZ186" s="39">
        <v>1.2392217523121999E-3</v>
      </c>
      <c r="BA186" s="39">
        <v>1.2392217523121999E-3</v>
      </c>
      <c r="BB186" s="39">
        <v>1.2392217523121999E-3</v>
      </c>
      <c r="BC186" s="39">
        <v>1.2392217523121999E-3</v>
      </c>
      <c r="BD186" s="39">
        <v>1.2392217523121999E-3</v>
      </c>
      <c r="BE186" s="39">
        <v>1.2392217523121999E-3</v>
      </c>
      <c r="BF186" s="39">
        <v>1.2392217523121999E-3</v>
      </c>
      <c r="BG186" s="1"/>
      <c r="BH186" s="12">
        <f t="shared" si="87"/>
        <v>323.54910000000001</v>
      </c>
      <c r="BI186" s="12">
        <f t="shared" si="88"/>
        <v>467.76859999999999</v>
      </c>
      <c r="BJ186" s="12">
        <f t="shared" si="89"/>
        <v>338.08409999999998</v>
      </c>
      <c r="BK186" s="12">
        <f t="shared" si="90"/>
        <v>202.84399999999999</v>
      </c>
      <c r="BL186" s="12">
        <f t="shared" si="91"/>
        <v>202.84399999999999</v>
      </c>
      <c r="BM186" s="12">
        <f t="shared" si="92"/>
        <v>202.84399999999999</v>
      </c>
      <c r="BN186" s="12">
        <f t="shared" si="93"/>
        <v>202.84399999999999</v>
      </c>
      <c r="BO186" s="12">
        <f t="shared" si="94"/>
        <v>270.4479</v>
      </c>
      <c r="BP186" s="12">
        <f t="shared" si="95"/>
        <v>439.5061</v>
      </c>
      <c r="BQ186" s="12">
        <f t="shared" si="96"/>
        <v>473.2919</v>
      </c>
      <c r="BR186" s="12">
        <f t="shared" si="97"/>
        <v>473.2919</v>
      </c>
      <c r="BS186" s="12">
        <f t="shared" si="98"/>
        <v>270.4479</v>
      </c>
      <c r="BT186" s="1"/>
      <c r="BU186" s="11">
        <f t="shared" si="99"/>
        <v>328.27378806300186</v>
      </c>
      <c r="BV186" s="11">
        <f t="shared" si="100"/>
        <v>474.59928109497787</v>
      </c>
      <c r="BW186" s="11">
        <f t="shared" si="101"/>
        <v>343.02103820060302</v>
      </c>
      <c r="BX186" s="11">
        <f t="shared" si="102"/>
        <v>205.80606858696731</v>
      </c>
      <c r="BY186" s="11">
        <f t="shared" si="103"/>
        <v>205.80606858696731</v>
      </c>
      <c r="BZ186" s="11">
        <f t="shared" si="104"/>
        <v>205.80606858696731</v>
      </c>
      <c r="CA186" s="11">
        <f t="shared" si="105"/>
        <v>205.80606858696731</v>
      </c>
      <c r="CB186" s="11">
        <f t="shared" si="106"/>
        <v>274.39716756029895</v>
      </c>
      <c r="CC186" s="11">
        <f t="shared" si="107"/>
        <v>445.92407249408672</v>
      </c>
      <c r="CD186" s="11">
        <f t="shared" si="108"/>
        <v>480.2032361472663</v>
      </c>
      <c r="CE186" s="11">
        <f t="shared" si="109"/>
        <v>480.2032361472663</v>
      </c>
      <c r="CF186" s="11">
        <f t="shared" si="110"/>
        <v>274.39716756029895</v>
      </c>
      <c r="CG186" s="11"/>
      <c r="CH186" s="41">
        <v>3.23</v>
      </c>
      <c r="CI186" s="1"/>
      <c r="CJ186" s="53">
        <f t="shared" si="111"/>
        <v>94440</v>
      </c>
      <c r="CK186" s="53">
        <f t="shared" si="112"/>
        <v>136536</v>
      </c>
      <c r="CL186" s="53">
        <f t="shared" si="113"/>
        <v>98683</v>
      </c>
      <c r="CM186" s="53">
        <f t="shared" si="114"/>
        <v>59208</v>
      </c>
      <c r="CN186" s="53">
        <f t="shared" si="115"/>
        <v>59208</v>
      </c>
      <c r="CO186" s="53">
        <f t="shared" si="116"/>
        <v>59208</v>
      </c>
      <c r="CP186" s="53">
        <f t="shared" si="117"/>
        <v>59208</v>
      </c>
      <c r="CQ186" s="53">
        <f t="shared" si="118"/>
        <v>78940</v>
      </c>
      <c r="CR186" s="53">
        <f t="shared" si="119"/>
        <v>128287</v>
      </c>
      <c r="CS186" s="53">
        <f t="shared" si="120"/>
        <v>138148</v>
      </c>
      <c r="CT186" s="53">
        <f t="shared" si="121"/>
        <v>138148</v>
      </c>
      <c r="CU186" s="53">
        <f t="shared" si="122"/>
        <v>78940</v>
      </c>
      <c r="CV186" s="53">
        <f t="shared" si="126"/>
        <v>1128954</v>
      </c>
      <c r="CW186" s="1"/>
      <c r="CX186" s="1"/>
      <c r="CY186" s="1"/>
      <c r="CZ186" s="1"/>
      <c r="DA186" s="1"/>
      <c r="DB186" s="1"/>
      <c r="DC186" s="1"/>
      <c r="DD186" s="1"/>
      <c r="DE186" s="1"/>
      <c r="DF186" s="1"/>
      <c r="DG186" s="1"/>
      <c r="DH186" s="1"/>
      <c r="DI186" s="1"/>
      <c r="DJ186" s="1"/>
      <c r="DK186" s="1"/>
      <c r="DL186" s="1"/>
    </row>
    <row r="187" spans="1:116" ht="15.75" hidden="1" x14ac:dyDescent="0.25">
      <c r="A187" s="16"/>
      <c r="B187" s="44"/>
      <c r="C187" s="44"/>
      <c r="D187" s="44"/>
      <c r="E187" s="44"/>
      <c r="F187" s="45" t="s">
        <v>20</v>
      </c>
      <c r="G187" s="65">
        <v>238.88</v>
      </c>
      <c r="H187" s="65">
        <v>214.99</v>
      </c>
      <c r="I187" s="65">
        <v>179.16</v>
      </c>
      <c r="J187" s="65">
        <v>83.61</v>
      </c>
      <c r="K187" s="65">
        <v>86.95</v>
      </c>
      <c r="L187" s="65">
        <v>74.53</v>
      </c>
      <c r="M187" s="65">
        <v>74.53</v>
      </c>
      <c r="N187" s="65">
        <v>74.53</v>
      </c>
      <c r="O187" s="65">
        <v>149.06</v>
      </c>
      <c r="P187" s="65">
        <v>173.9</v>
      </c>
      <c r="Q187" s="65">
        <v>173.9</v>
      </c>
      <c r="R187" s="65">
        <v>124.22</v>
      </c>
      <c r="S187" s="11">
        <f t="shared" si="127"/>
        <v>1648.2600000000002</v>
      </c>
      <c r="T187" s="8">
        <f t="shared" si="123"/>
        <v>5.4407277333179918E-2</v>
      </c>
      <c r="U187" s="13" t="s">
        <v>22</v>
      </c>
      <c r="V187" s="50">
        <f t="shared" si="125"/>
        <v>1379726</v>
      </c>
      <c r="W187" s="36">
        <v>3.915</v>
      </c>
      <c r="X187" s="36">
        <v>3.915</v>
      </c>
      <c r="Y187" s="36">
        <v>3.915</v>
      </c>
      <c r="Z187" s="36">
        <v>3.915</v>
      </c>
      <c r="AA187" s="36">
        <v>3.915</v>
      </c>
      <c r="AB187" s="36">
        <v>3.915</v>
      </c>
      <c r="AC187" s="36">
        <v>3.915</v>
      </c>
      <c r="AD187" s="36">
        <v>3.915</v>
      </c>
      <c r="AE187" s="36">
        <v>3.915</v>
      </c>
      <c r="AF187" s="36">
        <v>3.915</v>
      </c>
      <c r="AG187" s="36">
        <v>3.915</v>
      </c>
      <c r="AH187" s="36">
        <v>3.915</v>
      </c>
      <c r="AI187" s="39">
        <v>1.33634708931066E-2</v>
      </c>
      <c r="AJ187" s="39">
        <v>1.33634708931066E-2</v>
      </c>
      <c r="AK187" s="39">
        <v>1.33634708931066E-2</v>
      </c>
      <c r="AL187" s="39">
        <v>1.33634708931066E-2</v>
      </c>
      <c r="AM187" s="39">
        <v>1.33634708931066E-2</v>
      </c>
      <c r="AN187" s="39">
        <v>1.33634708931066E-2</v>
      </c>
      <c r="AO187" s="39">
        <v>1.33634708931066E-2</v>
      </c>
      <c r="AP187" s="39">
        <v>1.33634708931066E-2</v>
      </c>
      <c r="AQ187" s="39">
        <v>1.33634708931066E-2</v>
      </c>
      <c r="AR187" s="39">
        <v>1.33634708931066E-2</v>
      </c>
      <c r="AS187" s="39">
        <v>1.33634708931066E-2</v>
      </c>
      <c r="AT187" s="39">
        <v>1.33634708931066E-2</v>
      </c>
      <c r="AU187" s="39">
        <v>1.2392217523121999E-3</v>
      </c>
      <c r="AV187" s="39">
        <v>1.2392217523121999E-3</v>
      </c>
      <c r="AW187" s="39">
        <v>1.2392217523121999E-3</v>
      </c>
      <c r="AX187" s="39">
        <v>1.2392217523121999E-3</v>
      </c>
      <c r="AY187" s="39">
        <v>1.2392217523121999E-3</v>
      </c>
      <c r="AZ187" s="39">
        <v>1.2392217523121999E-3</v>
      </c>
      <c r="BA187" s="39">
        <v>1.2392217523121999E-3</v>
      </c>
      <c r="BB187" s="39">
        <v>1.2392217523121999E-3</v>
      </c>
      <c r="BC187" s="39">
        <v>1.2392217523121999E-3</v>
      </c>
      <c r="BD187" s="39">
        <v>1.2392217523121999E-3</v>
      </c>
      <c r="BE187" s="39">
        <v>1.2392217523121999E-3</v>
      </c>
      <c r="BF187" s="39">
        <v>1.2392217523121999E-3</v>
      </c>
      <c r="BG187" s="1"/>
      <c r="BH187" s="12">
        <f t="shared" si="87"/>
        <v>771.58240000000001</v>
      </c>
      <c r="BI187" s="12">
        <f t="shared" si="88"/>
        <v>694.41770000000008</v>
      </c>
      <c r="BJ187" s="12">
        <f t="shared" si="89"/>
        <v>578.68679999999995</v>
      </c>
      <c r="BK187" s="12">
        <f t="shared" si="90"/>
        <v>270.06029999999998</v>
      </c>
      <c r="BL187" s="12">
        <f t="shared" si="91"/>
        <v>280.8485</v>
      </c>
      <c r="BM187" s="12">
        <f t="shared" si="92"/>
        <v>240.7319</v>
      </c>
      <c r="BN187" s="12">
        <f t="shared" si="93"/>
        <v>240.7319</v>
      </c>
      <c r="BO187" s="12">
        <f t="shared" si="94"/>
        <v>240.7319</v>
      </c>
      <c r="BP187" s="12">
        <f t="shared" si="95"/>
        <v>481.46379999999999</v>
      </c>
      <c r="BQ187" s="12">
        <f t="shared" si="96"/>
        <v>561.697</v>
      </c>
      <c r="BR187" s="12">
        <f t="shared" si="97"/>
        <v>561.697</v>
      </c>
      <c r="BS187" s="12">
        <f t="shared" si="98"/>
        <v>401.23059999999998</v>
      </c>
      <c r="BT187" s="1"/>
      <c r="BU187" s="11">
        <f t="shared" si="99"/>
        <v>782.8495806378146</v>
      </c>
      <c r="BV187" s="11">
        <f t="shared" si="100"/>
        <v>704.5580682406387</v>
      </c>
      <c r="BW187" s="11">
        <f t="shared" si="101"/>
        <v>587.13718547836083</v>
      </c>
      <c r="BX187" s="11">
        <f t="shared" si="102"/>
        <v>274.0039075566296</v>
      </c>
      <c r="BY187" s="11">
        <f t="shared" si="103"/>
        <v>284.9496443254269</v>
      </c>
      <c r="BZ187" s="11">
        <f t="shared" si="104"/>
        <v>244.24723394564768</v>
      </c>
      <c r="CA187" s="11">
        <f t="shared" si="105"/>
        <v>244.24723394564768</v>
      </c>
      <c r="CB187" s="11">
        <f t="shared" si="106"/>
        <v>244.24723394564768</v>
      </c>
      <c r="CC187" s="11">
        <f t="shared" si="107"/>
        <v>488.49446789129536</v>
      </c>
      <c r="CD187" s="11">
        <f t="shared" si="108"/>
        <v>569.8992886508538</v>
      </c>
      <c r="CE187" s="11">
        <f t="shared" si="109"/>
        <v>569.8992886508538</v>
      </c>
      <c r="CF187" s="11">
        <f t="shared" si="110"/>
        <v>407.08964713173697</v>
      </c>
      <c r="CG187" s="11"/>
      <c r="CH187" s="41">
        <v>3.23</v>
      </c>
      <c r="CI187" s="1"/>
      <c r="CJ187" s="53">
        <f t="shared" si="111"/>
        <v>199962</v>
      </c>
      <c r="CK187" s="53">
        <f t="shared" si="112"/>
        <v>179964</v>
      </c>
      <c r="CL187" s="53">
        <f t="shared" si="113"/>
        <v>149971</v>
      </c>
      <c r="CM187" s="53">
        <f t="shared" si="114"/>
        <v>69988</v>
      </c>
      <c r="CN187" s="53">
        <f t="shared" si="115"/>
        <v>72784</v>
      </c>
      <c r="CO187" s="53">
        <f t="shared" si="116"/>
        <v>62388</v>
      </c>
      <c r="CP187" s="53">
        <f t="shared" si="117"/>
        <v>62388</v>
      </c>
      <c r="CQ187" s="53">
        <f t="shared" si="118"/>
        <v>62388</v>
      </c>
      <c r="CR187" s="53">
        <f t="shared" si="119"/>
        <v>124775</v>
      </c>
      <c r="CS187" s="53">
        <f t="shared" si="120"/>
        <v>145568</v>
      </c>
      <c r="CT187" s="53">
        <f t="shared" si="121"/>
        <v>145568</v>
      </c>
      <c r="CU187" s="53">
        <f t="shared" si="122"/>
        <v>103982</v>
      </c>
      <c r="CV187" s="53">
        <f t="shared" si="126"/>
        <v>1379726</v>
      </c>
      <c r="CW187" s="1"/>
      <c r="CX187" s="1"/>
      <c r="CY187" s="1"/>
      <c r="CZ187" s="1"/>
      <c r="DA187" s="1"/>
      <c r="DB187" s="1"/>
      <c r="DC187" s="1"/>
      <c r="DD187" s="1"/>
      <c r="DE187" s="1"/>
      <c r="DF187" s="1"/>
      <c r="DG187" s="1"/>
      <c r="DH187" s="1"/>
      <c r="DI187" s="1"/>
      <c r="DJ187" s="1"/>
      <c r="DK187" s="1"/>
      <c r="DL187" s="1"/>
    </row>
    <row r="188" spans="1:116" ht="15.75" hidden="1" x14ac:dyDescent="0.25">
      <c r="A188" s="16"/>
      <c r="B188" s="44"/>
      <c r="C188" s="44"/>
      <c r="D188" s="44"/>
      <c r="E188" s="44"/>
      <c r="F188" s="45" t="s">
        <v>20</v>
      </c>
      <c r="G188" s="65">
        <v>39.14</v>
      </c>
      <c r="H188" s="65">
        <v>0</v>
      </c>
      <c r="I188" s="65">
        <v>78.28</v>
      </c>
      <c r="J188" s="65">
        <v>0</v>
      </c>
      <c r="K188" s="65">
        <v>0</v>
      </c>
      <c r="L188" s="65">
        <v>0</v>
      </c>
      <c r="M188" s="65">
        <v>0</v>
      </c>
      <c r="N188" s="65">
        <v>39.14</v>
      </c>
      <c r="O188" s="65">
        <v>0</v>
      </c>
      <c r="P188" s="65">
        <v>39.14</v>
      </c>
      <c r="Q188" s="65">
        <v>39.14</v>
      </c>
      <c r="R188" s="65">
        <v>39.14</v>
      </c>
      <c r="S188" s="11">
        <f t="shared" si="127"/>
        <v>273.97999999999996</v>
      </c>
      <c r="T188" s="8">
        <f t="shared" si="123"/>
        <v>0.39999999999999991</v>
      </c>
      <c r="U188" s="13" t="s">
        <v>22</v>
      </c>
      <c r="V188" s="50">
        <f t="shared" si="125"/>
        <v>30240</v>
      </c>
      <c r="W188" s="36">
        <v>9.06</v>
      </c>
      <c r="X188" s="36">
        <v>9.06</v>
      </c>
      <c r="Y188" s="36">
        <v>9.06</v>
      </c>
      <c r="Z188" s="36">
        <v>9.06</v>
      </c>
      <c r="AA188" s="36">
        <v>9.06</v>
      </c>
      <c r="AB188" s="36">
        <v>9.06</v>
      </c>
      <c r="AC188" s="36">
        <v>9.06</v>
      </c>
      <c r="AD188" s="36">
        <v>9.06</v>
      </c>
      <c r="AE188" s="36">
        <v>9.06</v>
      </c>
      <c r="AF188" s="36">
        <v>9.06</v>
      </c>
      <c r="AG188" s="36">
        <v>9.06</v>
      </c>
      <c r="AH188" s="36">
        <v>9.06</v>
      </c>
      <c r="AI188" s="39">
        <v>0</v>
      </c>
      <c r="AJ188" s="39">
        <v>0</v>
      </c>
      <c r="AK188" s="39">
        <v>0</v>
      </c>
      <c r="AL188" s="39">
        <v>0</v>
      </c>
      <c r="AM188" s="39">
        <v>0</v>
      </c>
      <c r="AN188" s="39">
        <v>0</v>
      </c>
      <c r="AO188" s="39">
        <v>0</v>
      </c>
      <c r="AP188" s="39">
        <v>0</v>
      </c>
      <c r="AQ188" s="39">
        <v>0</v>
      </c>
      <c r="AR188" s="39">
        <v>0</v>
      </c>
      <c r="AS188" s="39">
        <v>0</v>
      </c>
      <c r="AT188" s="39">
        <v>0</v>
      </c>
      <c r="AU188" s="39">
        <v>0</v>
      </c>
      <c r="AV188" s="39">
        <v>0</v>
      </c>
      <c r="AW188" s="39">
        <v>0</v>
      </c>
      <c r="AX188" s="39">
        <v>0</v>
      </c>
      <c r="AY188" s="39">
        <v>0</v>
      </c>
      <c r="AZ188" s="39">
        <v>0</v>
      </c>
      <c r="BA188" s="39">
        <v>0</v>
      </c>
      <c r="BB188" s="39">
        <v>0</v>
      </c>
      <c r="BC188" s="39">
        <v>0</v>
      </c>
      <c r="BD188" s="39">
        <v>0</v>
      </c>
      <c r="BE188" s="39">
        <v>0</v>
      </c>
      <c r="BF188" s="39">
        <v>0</v>
      </c>
      <c r="BG188" s="1"/>
      <c r="BH188" s="12">
        <f t="shared" si="87"/>
        <v>39.14</v>
      </c>
      <c r="BI188" s="12">
        <f t="shared" si="88"/>
        <v>0</v>
      </c>
      <c r="BJ188" s="12">
        <f t="shared" si="89"/>
        <v>78.28</v>
      </c>
      <c r="BK188" s="12">
        <f t="shared" si="90"/>
        <v>0</v>
      </c>
      <c r="BL188" s="12">
        <f t="shared" si="91"/>
        <v>0</v>
      </c>
      <c r="BM188" s="12">
        <f t="shared" si="92"/>
        <v>0</v>
      </c>
      <c r="BN188" s="12">
        <f t="shared" si="93"/>
        <v>0</v>
      </c>
      <c r="BO188" s="12">
        <f t="shared" si="94"/>
        <v>39.14</v>
      </c>
      <c r="BP188" s="12">
        <f t="shared" si="95"/>
        <v>0</v>
      </c>
      <c r="BQ188" s="12">
        <f t="shared" si="96"/>
        <v>39.14</v>
      </c>
      <c r="BR188" s="12">
        <f t="shared" si="97"/>
        <v>39.14</v>
      </c>
      <c r="BS188" s="12">
        <f t="shared" si="98"/>
        <v>39.14</v>
      </c>
      <c r="BT188" s="1"/>
      <c r="BU188" s="11">
        <f t="shared" si="99"/>
        <v>39.14</v>
      </c>
      <c r="BV188" s="11">
        <f t="shared" si="100"/>
        <v>0</v>
      </c>
      <c r="BW188" s="11">
        <f t="shared" si="101"/>
        <v>78.28</v>
      </c>
      <c r="BX188" s="11">
        <f t="shared" si="102"/>
        <v>0</v>
      </c>
      <c r="BY188" s="11">
        <f t="shared" si="103"/>
        <v>0</v>
      </c>
      <c r="BZ188" s="11">
        <f t="shared" si="104"/>
        <v>0</v>
      </c>
      <c r="CA188" s="11">
        <f t="shared" si="105"/>
        <v>0</v>
      </c>
      <c r="CB188" s="11">
        <f t="shared" si="106"/>
        <v>39.14</v>
      </c>
      <c r="CC188" s="11">
        <f t="shared" si="107"/>
        <v>0</v>
      </c>
      <c r="CD188" s="11">
        <f t="shared" si="108"/>
        <v>39.14</v>
      </c>
      <c r="CE188" s="11">
        <f t="shared" si="109"/>
        <v>39.14</v>
      </c>
      <c r="CF188" s="11">
        <f t="shared" si="110"/>
        <v>39.14</v>
      </c>
      <c r="CG188" s="11"/>
      <c r="CH188" s="41">
        <v>1</v>
      </c>
      <c r="CI188" s="1"/>
      <c r="CJ188" s="53">
        <f t="shared" si="111"/>
        <v>4320</v>
      </c>
      <c r="CK188" s="53">
        <f t="shared" si="112"/>
        <v>0</v>
      </c>
      <c r="CL188" s="53">
        <f t="shared" si="113"/>
        <v>8640</v>
      </c>
      <c r="CM188" s="53">
        <f t="shared" si="114"/>
        <v>0</v>
      </c>
      <c r="CN188" s="53">
        <f t="shared" si="115"/>
        <v>0</v>
      </c>
      <c r="CO188" s="53">
        <f t="shared" si="116"/>
        <v>0</v>
      </c>
      <c r="CP188" s="53">
        <f t="shared" si="117"/>
        <v>0</v>
      </c>
      <c r="CQ188" s="53">
        <f t="shared" si="118"/>
        <v>4320</v>
      </c>
      <c r="CR188" s="53">
        <f t="shared" si="119"/>
        <v>0</v>
      </c>
      <c r="CS188" s="53">
        <f t="shared" si="120"/>
        <v>4320</v>
      </c>
      <c r="CT188" s="53">
        <f t="shared" si="121"/>
        <v>4320</v>
      </c>
      <c r="CU188" s="53">
        <f t="shared" si="122"/>
        <v>4320</v>
      </c>
      <c r="CV188" s="53">
        <f t="shared" si="126"/>
        <v>30240</v>
      </c>
      <c r="CW188" s="1"/>
      <c r="CX188" s="1"/>
      <c r="CY188" s="1"/>
      <c r="CZ188" s="1"/>
      <c r="DA188" s="1"/>
      <c r="DB188" s="1"/>
      <c r="DC188" s="1"/>
      <c r="DD188" s="1"/>
      <c r="DE188" s="1"/>
      <c r="DF188" s="1"/>
      <c r="DG188" s="1"/>
      <c r="DH188" s="1"/>
      <c r="DI188" s="1"/>
      <c r="DJ188" s="1"/>
      <c r="DK188" s="1"/>
      <c r="DL188" s="1"/>
    </row>
    <row r="189" spans="1:116" ht="15.75" hidden="1" x14ac:dyDescent="0.25">
      <c r="A189" s="16"/>
      <c r="B189" s="44"/>
      <c r="C189" s="44"/>
      <c r="D189" s="44"/>
      <c r="E189" s="44"/>
      <c r="F189" s="45" t="s">
        <v>20</v>
      </c>
      <c r="G189" s="65">
        <v>0</v>
      </c>
      <c r="H189" s="65">
        <v>17.579999999999998</v>
      </c>
      <c r="I189" s="65">
        <v>0</v>
      </c>
      <c r="J189" s="65">
        <v>0</v>
      </c>
      <c r="K189" s="65">
        <v>17.579999999999998</v>
      </c>
      <c r="L189" s="65">
        <v>0</v>
      </c>
      <c r="M189" s="65">
        <v>8.7899999999999991</v>
      </c>
      <c r="N189" s="65">
        <v>0</v>
      </c>
      <c r="O189" s="65">
        <v>17.579999999999998</v>
      </c>
      <c r="P189" s="65">
        <v>0</v>
      </c>
      <c r="Q189" s="65">
        <v>17.579999999999998</v>
      </c>
      <c r="R189" s="65">
        <v>0</v>
      </c>
      <c r="S189" s="11">
        <f t="shared" si="127"/>
        <v>79.109999999999985</v>
      </c>
      <c r="T189" s="8">
        <f t="shared" si="123"/>
        <v>8.3995615237051194E-2</v>
      </c>
      <c r="U189" s="13" t="s">
        <v>22</v>
      </c>
      <c r="V189" s="50">
        <f t="shared" si="125"/>
        <v>46809</v>
      </c>
      <c r="W189" s="36">
        <v>1.69</v>
      </c>
      <c r="X189" s="36">
        <v>1.69</v>
      </c>
      <c r="Y189" s="36">
        <v>1.69</v>
      </c>
      <c r="Z189" s="36">
        <v>1.69</v>
      </c>
      <c r="AA189" s="36">
        <v>1.69</v>
      </c>
      <c r="AB189" s="36">
        <v>1.69</v>
      </c>
      <c r="AC189" s="36">
        <v>1.69</v>
      </c>
      <c r="AD189" s="36">
        <v>1.69</v>
      </c>
      <c r="AE189" s="36">
        <v>1.69</v>
      </c>
      <c r="AF189" s="36">
        <v>1.69</v>
      </c>
      <c r="AG189" s="36">
        <v>1.69</v>
      </c>
      <c r="AH189" s="36">
        <v>1.69</v>
      </c>
      <c r="AI189" s="39">
        <v>0</v>
      </c>
      <c r="AJ189" s="39">
        <v>0</v>
      </c>
      <c r="AK189" s="39">
        <v>0</v>
      </c>
      <c r="AL189" s="39">
        <v>0</v>
      </c>
      <c r="AM189" s="39">
        <v>0</v>
      </c>
      <c r="AN189" s="39">
        <v>0</v>
      </c>
      <c r="AO189" s="39">
        <v>0</v>
      </c>
      <c r="AP189" s="39">
        <v>0</v>
      </c>
      <c r="AQ189" s="39">
        <v>0</v>
      </c>
      <c r="AR189" s="39">
        <v>0</v>
      </c>
      <c r="AS189" s="39">
        <v>0</v>
      </c>
      <c r="AT189" s="39">
        <v>0</v>
      </c>
      <c r="AU189" s="39">
        <v>0</v>
      </c>
      <c r="AV189" s="39">
        <v>0</v>
      </c>
      <c r="AW189" s="39">
        <v>0</v>
      </c>
      <c r="AX189" s="39">
        <v>0</v>
      </c>
      <c r="AY189" s="39">
        <v>0</v>
      </c>
      <c r="AZ189" s="39">
        <v>0</v>
      </c>
      <c r="BA189" s="39">
        <v>0</v>
      </c>
      <c r="BB189" s="39">
        <v>0</v>
      </c>
      <c r="BC189" s="39">
        <v>0</v>
      </c>
      <c r="BD189" s="39">
        <v>0</v>
      </c>
      <c r="BE189" s="39">
        <v>0</v>
      </c>
      <c r="BF189" s="39">
        <v>0</v>
      </c>
      <c r="BG189" s="1"/>
      <c r="BH189" s="12">
        <f t="shared" si="87"/>
        <v>0</v>
      </c>
      <c r="BI189" s="12">
        <f t="shared" si="88"/>
        <v>17.579999999999998</v>
      </c>
      <c r="BJ189" s="12">
        <f t="shared" si="89"/>
        <v>0</v>
      </c>
      <c r="BK189" s="12">
        <f t="shared" si="90"/>
        <v>0</v>
      </c>
      <c r="BL189" s="12">
        <f t="shared" si="91"/>
        <v>17.579999999999998</v>
      </c>
      <c r="BM189" s="12">
        <f t="shared" si="92"/>
        <v>0</v>
      </c>
      <c r="BN189" s="12">
        <f t="shared" si="93"/>
        <v>8.7899999999999991</v>
      </c>
      <c r="BO189" s="12">
        <f t="shared" si="94"/>
        <v>0</v>
      </c>
      <c r="BP189" s="12">
        <f t="shared" si="95"/>
        <v>17.579999999999998</v>
      </c>
      <c r="BQ189" s="12">
        <f t="shared" si="96"/>
        <v>0</v>
      </c>
      <c r="BR189" s="12">
        <f t="shared" si="97"/>
        <v>17.579999999999998</v>
      </c>
      <c r="BS189" s="12">
        <f t="shared" si="98"/>
        <v>0</v>
      </c>
      <c r="BT189" s="1"/>
      <c r="BU189" s="11">
        <f t="shared" si="99"/>
        <v>0</v>
      </c>
      <c r="BV189" s="11">
        <f t="shared" si="100"/>
        <v>17.579999999999998</v>
      </c>
      <c r="BW189" s="11">
        <f t="shared" si="101"/>
        <v>0</v>
      </c>
      <c r="BX189" s="11">
        <f t="shared" si="102"/>
        <v>0</v>
      </c>
      <c r="BY189" s="11">
        <f t="shared" si="103"/>
        <v>17.579999999999998</v>
      </c>
      <c r="BZ189" s="11">
        <f t="shared" si="104"/>
        <v>0</v>
      </c>
      <c r="CA189" s="11">
        <f t="shared" si="105"/>
        <v>8.7899999999999991</v>
      </c>
      <c r="CB189" s="11">
        <f t="shared" si="106"/>
        <v>0</v>
      </c>
      <c r="CC189" s="11">
        <f t="shared" si="107"/>
        <v>17.579999999999998</v>
      </c>
      <c r="CD189" s="11">
        <f t="shared" si="108"/>
        <v>0</v>
      </c>
      <c r="CE189" s="11">
        <f t="shared" si="109"/>
        <v>17.579999999999998</v>
      </c>
      <c r="CF189" s="11">
        <f t="shared" si="110"/>
        <v>0</v>
      </c>
      <c r="CG189" s="11"/>
      <c r="CH189" s="41">
        <v>1</v>
      </c>
      <c r="CI189" s="1"/>
      <c r="CJ189" s="53">
        <f t="shared" si="111"/>
        <v>0</v>
      </c>
      <c r="CK189" s="53">
        <f t="shared" si="112"/>
        <v>10402</v>
      </c>
      <c r="CL189" s="53">
        <f t="shared" si="113"/>
        <v>0</v>
      </c>
      <c r="CM189" s="53">
        <f t="shared" si="114"/>
        <v>0</v>
      </c>
      <c r="CN189" s="53">
        <f t="shared" si="115"/>
        <v>10402</v>
      </c>
      <c r="CO189" s="53">
        <f t="shared" si="116"/>
        <v>0</v>
      </c>
      <c r="CP189" s="53">
        <f t="shared" si="117"/>
        <v>5201</v>
      </c>
      <c r="CQ189" s="53">
        <f t="shared" si="118"/>
        <v>0</v>
      </c>
      <c r="CR189" s="53">
        <f t="shared" si="119"/>
        <v>10402</v>
      </c>
      <c r="CS189" s="53">
        <f t="shared" si="120"/>
        <v>0</v>
      </c>
      <c r="CT189" s="53">
        <f t="shared" si="121"/>
        <v>10402</v>
      </c>
      <c r="CU189" s="53">
        <f t="shared" si="122"/>
        <v>0</v>
      </c>
      <c r="CV189" s="53">
        <f t="shared" si="126"/>
        <v>46809</v>
      </c>
      <c r="CW189" s="1"/>
      <c r="CX189" s="1"/>
      <c r="CY189" s="1"/>
      <c r="CZ189" s="1"/>
      <c r="DA189" s="1"/>
      <c r="DB189" s="1"/>
      <c r="DC189" s="1"/>
      <c r="DD189" s="1"/>
      <c r="DE189" s="1"/>
      <c r="DF189" s="1"/>
      <c r="DG189" s="1"/>
      <c r="DH189" s="1"/>
      <c r="DI189" s="1"/>
      <c r="DJ189" s="1"/>
      <c r="DK189" s="1"/>
      <c r="DL189" s="1"/>
    </row>
    <row r="190" spans="1:116" ht="15.75" hidden="1" x14ac:dyDescent="0.25">
      <c r="A190" s="16"/>
      <c r="B190" s="44"/>
      <c r="C190" s="44"/>
      <c r="D190" s="44"/>
      <c r="E190" s="44"/>
      <c r="F190" s="45" t="s">
        <v>20</v>
      </c>
      <c r="G190" s="65">
        <v>19.14</v>
      </c>
      <c r="H190" s="65">
        <v>19.14</v>
      </c>
      <c r="I190" s="65">
        <v>0</v>
      </c>
      <c r="J190" s="65">
        <v>19.14</v>
      </c>
      <c r="K190" s="65">
        <v>0</v>
      </c>
      <c r="L190" s="65">
        <v>19.14</v>
      </c>
      <c r="M190" s="65">
        <v>0</v>
      </c>
      <c r="N190" s="65">
        <v>0</v>
      </c>
      <c r="O190" s="65">
        <v>19.14</v>
      </c>
      <c r="P190" s="65">
        <v>0</v>
      </c>
      <c r="Q190" s="65">
        <v>19.14</v>
      </c>
      <c r="R190" s="65">
        <v>0</v>
      </c>
      <c r="S190" s="11">
        <f t="shared" si="127"/>
        <v>114.84</v>
      </c>
      <c r="T190" s="8">
        <f t="shared" si="123"/>
        <v>3.8805970149253653E-2</v>
      </c>
      <c r="U190" s="13" t="s">
        <v>22</v>
      </c>
      <c r="V190" s="50">
        <f t="shared" si="125"/>
        <v>62412</v>
      </c>
      <c r="W190" s="36">
        <v>1.8400042087542088</v>
      </c>
      <c r="X190" s="36">
        <v>1.8400042087542088</v>
      </c>
      <c r="Y190" s="36">
        <v>1.8400042087542088</v>
      </c>
      <c r="Z190" s="36">
        <v>1.8400042087542088</v>
      </c>
      <c r="AA190" s="36">
        <v>1.8400042087542088</v>
      </c>
      <c r="AB190" s="36">
        <v>1.8400042087542088</v>
      </c>
      <c r="AC190" s="36">
        <v>1.8400042087542088</v>
      </c>
      <c r="AD190" s="36">
        <v>1.8400042087542088</v>
      </c>
      <c r="AE190" s="36">
        <v>1.8400042087542088</v>
      </c>
      <c r="AF190" s="36">
        <v>1.8400042087542088</v>
      </c>
      <c r="AG190" s="36">
        <v>1.8400042087542088</v>
      </c>
      <c r="AH190" s="36">
        <v>1.8400042087542088</v>
      </c>
      <c r="AI190" s="39">
        <v>0</v>
      </c>
      <c r="AJ190" s="39">
        <v>0</v>
      </c>
      <c r="AK190" s="39">
        <v>0</v>
      </c>
      <c r="AL190" s="39">
        <v>0</v>
      </c>
      <c r="AM190" s="39">
        <v>0</v>
      </c>
      <c r="AN190" s="39">
        <v>0</v>
      </c>
      <c r="AO190" s="39">
        <v>0</v>
      </c>
      <c r="AP190" s="39">
        <v>0</v>
      </c>
      <c r="AQ190" s="39">
        <v>0</v>
      </c>
      <c r="AR190" s="39">
        <v>0</v>
      </c>
      <c r="AS190" s="39">
        <v>0</v>
      </c>
      <c r="AT190" s="39">
        <v>0</v>
      </c>
      <c r="AU190" s="39">
        <v>0</v>
      </c>
      <c r="AV190" s="39">
        <v>0</v>
      </c>
      <c r="AW190" s="39">
        <v>0</v>
      </c>
      <c r="AX190" s="39">
        <v>0</v>
      </c>
      <c r="AY190" s="39">
        <v>0</v>
      </c>
      <c r="AZ190" s="39">
        <v>0</v>
      </c>
      <c r="BA190" s="39">
        <v>0</v>
      </c>
      <c r="BB190" s="39">
        <v>0</v>
      </c>
      <c r="BC190" s="39">
        <v>0</v>
      </c>
      <c r="BD190" s="39">
        <v>0</v>
      </c>
      <c r="BE190" s="39">
        <v>0</v>
      </c>
      <c r="BF190" s="39">
        <v>0</v>
      </c>
      <c r="BG190" s="1"/>
      <c r="BH190" s="12">
        <f t="shared" si="87"/>
        <v>19.14</v>
      </c>
      <c r="BI190" s="12">
        <f t="shared" si="88"/>
        <v>19.14</v>
      </c>
      <c r="BJ190" s="12">
        <f t="shared" si="89"/>
        <v>0</v>
      </c>
      <c r="BK190" s="12">
        <f t="shared" si="90"/>
        <v>19.14</v>
      </c>
      <c r="BL190" s="12">
        <f t="shared" si="91"/>
        <v>0</v>
      </c>
      <c r="BM190" s="12">
        <f t="shared" si="92"/>
        <v>19.14</v>
      </c>
      <c r="BN190" s="12">
        <f t="shared" si="93"/>
        <v>0</v>
      </c>
      <c r="BO190" s="12">
        <f t="shared" si="94"/>
        <v>0</v>
      </c>
      <c r="BP190" s="12">
        <f t="shared" si="95"/>
        <v>19.14</v>
      </c>
      <c r="BQ190" s="12">
        <f t="shared" si="96"/>
        <v>0</v>
      </c>
      <c r="BR190" s="12">
        <f t="shared" si="97"/>
        <v>19.14</v>
      </c>
      <c r="BS190" s="12">
        <f t="shared" si="98"/>
        <v>0</v>
      </c>
      <c r="BT190" s="1"/>
      <c r="BU190" s="11">
        <f t="shared" si="99"/>
        <v>19.14</v>
      </c>
      <c r="BV190" s="11">
        <f t="shared" si="100"/>
        <v>19.14</v>
      </c>
      <c r="BW190" s="11">
        <f t="shared" si="101"/>
        <v>0</v>
      </c>
      <c r="BX190" s="11">
        <f t="shared" si="102"/>
        <v>19.14</v>
      </c>
      <c r="BY190" s="11">
        <f t="shared" si="103"/>
        <v>0</v>
      </c>
      <c r="BZ190" s="11">
        <f t="shared" si="104"/>
        <v>19.14</v>
      </c>
      <c r="CA190" s="11">
        <f t="shared" si="105"/>
        <v>0</v>
      </c>
      <c r="CB190" s="11">
        <f t="shared" si="106"/>
        <v>0</v>
      </c>
      <c r="CC190" s="11">
        <f t="shared" si="107"/>
        <v>19.14</v>
      </c>
      <c r="CD190" s="11">
        <f t="shared" si="108"/>
        <v>0</v>
      </c>
      <c r="CE190" s="11">
        <f t="shared" si="109"/>
        <v>19.14</v>
      </c>
      <c r="CF190" s="11">
        <f t="shared" si="110"/>
        <v>0</v>
      </c>
      <c r="CG190" s="11"/>
      <c r="CH190" s="41">
        <v>1</v>
      </c>
      <c r="CI190" s="1"/>
      <c r="CJ190" s="53">
        <f t="shared" si="111"/>
        <v>10402</v>
      </c>
      <c r="CK190" s="53">
        <f t="shared" si="112"/>
        <v>10402</v>
      </c>
      <c r="CL190" s="53">
        <f t="shared" si="113"/>
        <v>0</v>
      </c>
      <c r="CM190" s="53">
        <f t="shared" si="114"/>
        <v>10402</v>
      </c>
      <c r="CN190" s="53">
        <f t="shared" si="115"/>
        <v>0</v>
      </c>
      <c r="CO190" s="53">
        <f t="shared" si="116"/>
        <v>10402</v>
      </c>
      <c r="CP190" s="53">
        <f t="shared" si="117"/>
        <v>0</v>
      </c>
      <c r="CQ190" s="53">
        <f t="shared" si="118"/>
        <v>0</v>
      </c>
      <c r="CR190" s="53">
        <f t="shared" si="119"/>
        <v>10402</v>
      </c>
      <c r="CS190" s="53">
        <f t="shared" si="120"/>
        <v>0</v>
      </c>
      <c r="CT190" s="53">
        <f t="shared" si="121"/>
        <v>10402</v>
      </c>
      <c r="CU190" s="53">
        <f t="shared" si="122"/>
        <v>0</v>
      </c>
      <c r="CV190" s="53">
        <f t="shared" si="126"/>
        <v>62412</v>
      </c>
      <c r="CW190" s="1"/>
      <c r="CX190" s="1"/>
      <c r="CY190" s="1"/>
      <c r="CZ190" s="1"/>
      <c r="DA190" s="1"/>
      <c r="DB190" s="1"/>
      <c r="DC190" s="1"/>
      <c r="DD190" s="1"/>
      <c r="DE190" s="1"/>
      <c r="DF190" s="1"/>
      <c r="DG190" s="1"/>
      <c r="DH190" s="1"/>
      <c r="DI190" s="1"/>
      <c r="DJ190" s="1"/>
      <c r="DK190" s="1"/>
      <c r="DL190" s="1"/>
    </row>
    <row r="191" spans="1:116" ht="15.75" hidden="1" x14ac:dyDescent="0.25">
      <c r="A191" s="16"/>
      <c r="B191" s="44"/>
      <c r="C191" s="44"/>
      <c r="D191" s="44"/>
      <c r="E191" s="44"/>
      <c r="F191" s="45" t="s">
        <v>20</v>
      </c>
      <c r="G191" s="65">
        <v>0</v>
      </c>
      <c r="H191" s="63">
        <v>0</v>
      </c>
      <c r="I191" s="63">
        <v>0</v>
      </c>
      <c r="J191" s="63">
        <v>0</v>
      </c>
      <c r="K191" s="63">
        <v>0</v>
      </c>
      <c r="L191" s="63">
        <v>0</v>
      </c>
      <c r="M191" s="63">
        <v>0</v>
      </c>
      <c r="N191" s="63">
        <v>0</v>
      </c>
      <c r="O191" s="63">
        <v>0</v>
      </c>
      <c r="P191" s="63">
        <v>0</v>
      </c>
      <c r="Q191" s="63">
        <v>0</v>
      </c>
      <c r="R191" s="63">
        <v>0</v>
      </c>
      <c r="S191" s="11">
        <f>SUM(G191:R191)</f>
        <v>0</v>
      </c>
      <c r="T191" s="8">
        <f t="shared" si="123"/>
        <v>0</v>
      </c>
      <c r="U191" s="13" t="s">
        <v>22</v>
      </c>
      <c r="V191" s="50">
        <f t="shared" si="125"/>
        <v>0</v>
      </c>
      <c r="W191" s="36">
        <v>11.423999999999999</v>
      </c>
      <c r="X191" s="36">
        <v>11.423999999999999</v>
      </c>
      <c r="Y191" s="36">
        <v>11.423999999999999</v>
      </c>
      <c r="Z191" s="36">
        <v>11.423999999999999</v>
      </c>
      <c r="AA191" s="36">
        <v>11.423999999999999</v>
      </c>
      <c r="AB191" s="36">
        <v>11.423999999999999</v>
      </c>
      <c r="AC191" s="36">
        <v>11.423999999999999</v>
      </c>
      <c r="AD191" s="36">
        <v>11.423999999999999</v>
      </c>
      <c r="AE191" s="36">
        <v>11.423999999999999</v>
      </c>
      <c r="AF191" s="36">
        <v>11.423999999999999</v>
      </c>
      <c r="AG191" s="36">
        <v>11.423999999999999</v>
      </c>
      <c r="AH191" s="36">
        <v>11.423999999999999</v>
      </c>
      <c r="AI191" s="39">
        <v>0.22999999999999998</v>
      </c>
      <c r="AJ191" s="39">
        <v>0.22999999999999998</v>
      </c>
      <c r="AK191" s="39">
        <v>0.22999999999999998</v>
      </c>
      <c r="AL191" s="39">
        <v>0.22999999999999998</v>
      </c>
      <c r="AM191" s="39">
        <v>0.22999999999999998</v>
      </c>
      <c r="AN191" s="39">
        <v>0.22999999999999998</v>
      </c>
      <c r="AO191" s="39">
        <v>0.22999999999999998</v>
      </c>
      <c r="AP191" s="39">
        <v>0.22999999999999998</v>
      </c>
      <c r="AQ191" s="39">
        <v>0.22999999999999998</v>
      </c>
      <c r="AR191" s="39">
        <v>0.22999999999999998</v>
      </c>
      <c r="AS191" s="39">
        <v>0.22999999999999998</v>
      </c>
      <c r="AT191" s="39">
        <v>0.22999999999999998</v>
      </c>
      <c r="AU191" s="39">
        <v>0</v>
      </c>
      <c r="AV191" s="39">
        <v>0</v>
      </c>
      <c r="AW191" s="39">
        <v>0</v>
      </c>
      <c r="AX191" s="39">
        <v>0</v>
      </c>
      <c r="AY191" s="39">
        <v>0</v>
      </c>
      <c r="AZ191" s="39">
        <v>0</v>
      </c>
      <c r="BA191" s="39">
        <v>0</v>
      </c>
      <c r="BB191" s="39">
        <v>0</v>
      </c>
      <c r="BC191" s="39">
        <v>0</v>
      </c>
      <c r="BD191" s="39">
        <v>0</v>
      </c>
      <c r="BE191" s="39">
        <v>0</v>
      </c>
      <c r="BF191" s="39">
        <v>0</v>
      </c>
      <c r="BG191" s="1"/>
      <c r="BH191" s="12">
        <f t="shared" si="87"/>
        <v>0</v>
      </c>
      <c r="BI191" s="12">
        <f t="shared" si="88"/>
        <v>0</v>
      </c>
      <c r="BJ191" s="12">
        <f t="shared" si="89"/>
        <v>0</v>
      </c>
      <c r="BK191" s="12">
        <f t="shared" si="90"/>
        <v>0</v>
      </c>
      <c r="BL191" s="12">
        <f t="shared" si="91"/>
        <v>0</v>
      </c>
      <c r="BM191" s="12">
        <f t="shared" si="92"/>
        <v>0</v>
      </c>
      <c r="BN191" s="12">
        <f t="shared" si="93"/>
        <v>0</v>
      </c>
      <c r="BO191" s="12">
        <f t="shared" si="94"/>
        <v>0</v>
      </c>
      <c r="BP191" s="12">
        <f t="shared" si="95"/>
        <v>0</v>
      </c>
      <c r="BQ191" s="12">
        <f t="shared" si="96"/>
        <v>0</v>
      </c>
      <c r="BR191" s="12">
        <f t="shared" si="97"/>
        <v>0</v>
      </c>
      <c r="BS191" s="12">
        <f t="shared" si="98"/>
        <v>0</v>
      </c>
      <c r="BT191" s="1"/>
      <c r="BU191" s="11">
        <f t="shared" si="99"/>
        <v>0</v>
      </c>
      <c r="BV191" s="11">
        <f t="shared" si="100"/>
        <v>0</v>
      </c>
      <c r="BW191" s="11">
        <f t="shared" si="101"/>
        <v>0</v>
      </c>
      <c r="BX191" s="11">
        <f t="shared" si="102"/>
        <v>0</v>
      </c>
      <c r="BY191" s="11">
        <f t="shared" si="103"/>
        <v>0</v>
      </c>
      <c r="BZ191" s="11">
        <f t="shared" si="104"/>
        <v>0</v>
      </c>
      <c r="CA191" s="11">
        <f t="shared" si="105"/>
        <v>0</v>
      </c>
      <c r="CB191" s="11">
        <f t="shared" si="106"/>
        <v>0</v>
      </c>
      <c r="CC191" s="11">
        <f t="shared" si="107"/>
        <v>0</v>
      </c>
      <c r="CD191" s="11">
        <f t="shared" si="108"/>
        <v>0</v>
      </c>
      <c r="CE191" s="11">
        <f t="shared" si="109"/>
        <v>0</v>
      </c>
      <c r="CF191" s="11">
        <f t="shared" si="110"/>
        <v>0</v>
      </c>
      <c r="CG191" s="11"/>
      <c r="CH191" s="41">
        <v>1</v>
      </c>
      <c r="CI191" s="1"/>
      <c r="CJ191" s="53">
        <f t="shared" si="111"/>
        <v>0</v>
      </c>
      <c r="CK191" s="53">
        <f t="shared" si="112"/>
        <v>0</v>
      </c>
      <c r="CL191" s="53">
        <f t="shared" si="113"/>
        <v>0</v>
      </c>
      <c r="CM191" s="53">
        <f t="shared" si="114"/>
        <v>0</v>
      </c>
      <c r="CN191" s="53">
        <f t="shared" si="115"/>
        <v>0</v>
      </c>
      <c r="CO191" s="53">
        <f t="shared" si="116"/>
        <v>0</v>
      </c>
      <c r="CP191" s="53">
        <f t="shared" si="117"/>
        <v>0</v>
      </c>
      <c r="CQ191" s="53">
        <f t="shared" si="118"/>
        <v>0</v>
      </c>
      <c r="CR191" s="53">
        <f t="shared" si="119"/>
        <v>0</v>
      </c>
      <c r="CS191" s="53">
        <f t="shared" si="120"/>
        <v>0</v>
      </c>
      <c r="CT191" s="53">
        <f t="shared" si="121"/>
        <v>0</v>
      </c>
      <c r="CU191" s="53">
        <f t="shared" si="122"/>
        <v>0</v>
      </c>
      <c r="CV191" s="53">
        <f t="shared" si="126"/>
        <v>0</v>
      </c>
      <c r="CW191" s="1"/>
      <c r="CX191" s="1"/>
      <c r="CY191" s="1"/>
      <c r="CZ191" s="1"/>
      <c r="DA191" s="1"/>
      <c r="DB191" s="1"/>
      <c r="DC191" s="1"/>
      <c r="DD191" s="1"/>
      <c r="DE191" s="1"/>
      <c r="DF191" s="1"/>
      <c r="DG191" s="1"/>
      <c r="DH191" s="1"/>
      <c r="DI191" s="1"/>
      <c r="DJ191" s="1"/>
      <c r="DK191" s="1"/>
      <c r="DL191" s="1"/>
    </row>
    <row r="192" spans="1:116" ht="15.75" hidden="1" x14ac:dyDescent="0.25">
      <c r="A192" s="17"/>
      <c r="B192" s="17"/>
      <c r="C192" s="17"/>
      <c r="D192" s="17"/>
      <c r="E192" s="17"/>
      <c r="F192" s="31" t="s">
        <v>21</v>
      </c>
      <c r="G192" s="64">
        <v>30.63</v>
      </c>
      <c r="H192" s="64">
        <v>30.63</v>
      </c>
      <c r="I192" s="64">
        <v>25.53</v>
      </c>
      <c r="J192" s="64">
        <v>15.05</v>
      </c>
      <c r="K192" s="64">
        <v>16.93</v>
      </c>
      <c r="L192" s="64">
        <v>25.69</v>
      </c>
      <c r="M192" s="64">
        <v>24.63</v>
      </c>
      <c r="N192" s="64">
        <v>38.26</v>
      </c>
      <c r="O192" s="64">
        <v>37.979999999999997</v>
      </c>
      <c r="P192" s="64">
        <v>40.85</v>
      </c>
      <c r="Q192" s="64">
        <v>51.63</v>
      </c>
      <c r="R192" s="64">
        <v>22.95</v>
      </c>
      <c r="S192" s="11">
        <f t="shared" si="127"/>
        <v>360.75999999999993</v>
      </c>
      <c r="T192" s="9"/>
      <c r="U192" s="1"/>
      <c r="V192" s="50">
        <f t="shared" si="125"/>
        <v>313931</v>
      </c>
      <c r="W192" s="36">
        <v>3.766</v>
      </c>
      <c r="X192" s="36">
        <v>3.766</v>
      </c>
      <c r="Y192" s="36">
        <v>3.766</v>
      </c>
      <c r="Z192" s="36">
        <v>3.766</v>
      </c>
      <c r="AA192" s="36">
        <v>3.766</v>
      </c>
      <c r="AB192" s="36">
        <v>3.766</v>
      </c>
      <c r="AC192" s="36">
        <v>3.766</v>
      </c>
      <c r="AD192" s="36">
        <v>3.766</v>
      </c>
      <c r="AE192" s="36">
        <v>3.766</v>
      </c>
      <c r="AF192" s="36">
        <v>3.766</v>
      </c>
      <c r="AG192" s="36">
        <v>3.766</v>
      </c>
      <c r="AH192" s="36">
        <v>3.766</v>
      </c>
      <c r="AI192" s="39">
        <v>1.33634708931066E-2</v>
      </c>
      <c r="AJ192" s="39">
        <v>1.33634708931066E-2</v>
      </c>
      <c r="AK192" s="39">
        <v>1.33634708931066E-2</v>
      </c>
      <c r="AL192" s="39">
        <v>1.33634708931066E-2</v>
      </c>
      <c r="AM192" s="39">
        <v>1.33634708931066E-2</v>
      </c>
      <c r="AN192" s="39">
        <v>1.33634708931066E-2</v>
      </c>
      <c r="AO192" s="39">
        <v>1.33634708931066E-2</v>
      </c>
      <c r="AP192" s="39">
        <v>1.33634708931066E-2</v>
      </c>
      <c r="AQ192" s="39">
        <v>1.33634708931066E-2</v>
      </c>
      <c r="AR192" s="39">
        <v>1.33634708931066E-2</v>
      </c>
      <c r="AS192" s="39">
        <v>1.33634708931066E-2</v>
      </c>
      <c r="AT192" s="39">
        <v>1.33634708931066E-2</v>
      </c>
      <c r="AU192" s="39">
        <v>1.2392217523121999E-3</v>
      </c>
      <c r="AV192" s="39">
        <v>1.2392217523121999E-3</v>
      </c>
      <c r="AW192" s="39">
        <v>1.2392217523121999E-3</v>
      </c>
      <c r="AX192" s="39">
        <v>1.2392217523121999E-3</v>
      </c>
      <c r="AY192" s="39">
        <v>1.2392217523121999E-3</v>
      </c>
      <c r="AZ192" s="39">
        <v>1.2392217523121999E-3</v>
      </c>
      <c r="BA192" s="39">
        <v>1.2392217523121999E-3</v>
      </c>
      <c r="BB192" s="39">
        <v>1.2392217523121999E-3</v>
      </c>
      <c r="BC192" s="39">
        <v>1.2392217523121999E-3</v>
      </c>
      <c r="BD192" s="39">
        <v>1.2392217523121999E-3</v>
      </c>
      <c r="BE192" s="39">
        <v>1.2392217523121999E-3</v>
      </c>
      <c r="BF192" s="39">
        <v>1.2392217523121999E-3</v>
      </c>
      <c r="BG192" s="1"/>
      <c r="BH192" s="12">
        <f t="shared" si="87"/>
        <v>98.934899999999999</v>
      </c>
      <c r="BI192" s="12">
        <f t="shared" si="88"/>
        <v>98.934899999999999</v>
      </c>
      <c r="BJ192" s="12">
        <f t="shared" si="89"/>
        <v>82.4619</v>
      </c>
      <c r="BK192" s="12">
        <f t="shared" si="90"/>
        <v>48.611499999999999</v>
      </c>
      <c r="BL192" s="12">
        <f t="shared" si="91"/>
        <v>54.683900000000001</v>
      </c>
      <c r="BM192" s="12">
        <f t="shared" si="92"/>
        <v>82.978700000000003</v>
      </c>
      <c r="BN192" s="12">
        <f t="shared" si="93"/>
        <v>79.554899999999989</v>
      </c>
      <c r="BO192" s="12">
        <f t="shared" si="94"/>
        <v>123.57979999999999</v>
      </c>
      <c r="BP192" s="12">
        <f t="shared" si="95"/>
        <v>122.6754</v>
      </c>
      <c r="BQ192" s="12">
        <f t="shared" si="96"/>
        <v>131.94550000000001</v>
      </c>
      <c r="BR192" s="12">
        <f t="shared" si="97"/>
        <v>166.76490000000001</v>
      </c>
      <c r="BS192" s="12">
        <f t="shared" si="98"/>
        <v>74.128500000000003</v>
      </c>
      <c r="BT192" s="1"/>
      <c r="BU192" s="11">
        <f t="shared" si="99"/>
        <v>100.37961593660525</v>
      </c>
      <c r="BV192" s="11">
        <f t="shared" si="100"/>
        <v>100.37961593660525</v>
      </c>
      <c r="BW192" s="11">
        <f t="shared" si="101"/>
        <v>83.666065780657263</v>
      </c>
      <c r="BX192" s="11">
        <f t="shared" si="102"/>
        <v>49.321358793532774</v>
      </c>
      <c r="BY192" s="11">
        <f t="shared" si="103"/>
        <v>55.482432184352817</v>
      </c>
      <c r="BZ192" s="11">
        <f t="shared" si="104"/>
        <v>84.190412452216421</v>
      </c>
      <c r="CA192" s="11">
        <f t="shared" si="105"/>
        <v>80.71661575313702</v>
      </c>
      <c r="CB192" s="11">
        <f t="shared" si="106"/>
        <v>125.38439783658232</v>
      </c>
      <c r="CC192" s="11">
        <f t="shared" si="107"/>
        <v>124.46679116135381</v>
      </c>
      <c r="CD192" s="11">
        <f t="shared" si="108"/>
        <v>133.87225958244611</v>
      </c>
      <c r="CE192" s="11">
        <f t="shared" si="109"/>
        <v>169.200116578744</v>
      </c>
      <c r="CF192" s="11">
        <f t="shared" si="110"/>
        <v>75.210975701765932</v>
      </c>
      <c r="CG192" s="11"/>
      <c r="CH192" s="41">
        <v>3.23</v>
      </c>
      <c r="CI192" s="1"/>
      <c r="CJ192" s="53">
        <f t="shared" si="111"/>
        <v>26654</v>
      </c>
      <c r="CK192" s="53">
        <f t="shared" si="112"/>
        <v>26654</v>
      </c>
      <c r="CL192" s="53">
        <f t="shared" si="113"/>
        <v>22216</v>
      </c>
      <c r="CM192" s="53">
        <f t="shared" si="114"/>
        <v>13096</v>
      </c>
      <c r="CN192" s="53">
        <f t="shared" si="115"/>
        <v>14732</v>
      </c>
      <c r="CO192" s="53">
        <f t="shared" si="116"/>
        <v>22355</v>
      </c>
      <c r="CP192" s="53">
        <f t="shared" si="117"/>
        <v>21433</v>
      </c>
      <c r="CQ192" s="53">
        <f t="shared" si="118"/>
        <v>33294</v>
      </c>
      <c r="CR192" s="53">
        <f t="shared" si="119"/>
        <v>33050</v>
      </c>
      <c r="CS192" s="53">
        <f t="shared" si="120"/>
        <v>35548</v>
      </c>
      <c r="CT192" s="53">
        <f t="shared" si="121"/>
        <v>44928</v>
      </c>
      <c r="CU192" s="53">
        <f t="shared" si="122"/>
        <v>19971</v>
      </c>
      <c r="CV192" s="53">
        <f t="shared" si="126"/>
        <v>313931</v>
      </c>
      <c r="CW192" s="1"/>
      <c r="CX192" s="1"/>
      <c r="CY192" s="1"/>
      <c r="CZ192" s="1"/>
      <c r="DA192" s="1"/>
      <c r="DB192" s="1"/>
      <c r="DC192" s="1"/>
      <c r="DD192" s="1"/>
      <c r="DE192" s="1"/>
      <c r="DF192" s="1"/>
      <c r="DG192" s="1"/>
      <c r="DH192" s="1"/>
      <c r="DI192" s="1"/>
      <c r="DJ192" s="1"/>
      <c r="DK192" s="1"/>
      <c r="DL192" s="1"/>
    </row>
    <row r="193" spans="1:116" ht="15.75" hidden="1" x14ac:dyDescent="0.25">
      <c r="A193" s="17"/>
      <c r="B193" s="17"/>
      <c r="C193" s="17"/>
      <c r="D193" s="17"/>
      <c r="E193" s="17"/>
      <c r="F193" s="31" t="s">
        <v>21</v>
      </c>
      <c r="G193" s="64">
        <v>0</v>
      </c>
      <c r="H193" s="64">
        <v>0</v>
      </c>
      <c r="I193" s="64">
        <v>0</v>
      </c>
      <c r="J193" s="64">
        <v>0</v>
      </c>
      <c r="K193" s="64">
        <v>0</v>
      </c>
      <c r="L193" s="64">
        <v>0</v>
      </c>
      <c r="M193" s="64">
        <v>0</v>
      </c>
      <c r="N193" s="64">
        <v>0</v>
      </c>
      <c r="O193" s="64">
        <v>0</v>
      </c>
      <c r="P193" s="64">
        <v>0</v>
      </c>
      <c r="Q193" s="64">
        <v>0</v>
      </c>
      <c r="R193" s="64">
        <v>0</v>
      </c>
      <c r="S193" s="11">
        <f t="shared" si="127"/>
        <v>0</v>
      </c>
      <c r="T193" s="9"/>
      <c r="U193" s="1"/>
      <c r="V193" s="50">
        <f t="shared" si="125"/>
        <v>0</v>
      </c>
      <c r="W193" s="36">
        <v>0.94</v>
      </c>
      <c r="X193" s="36">
        <v>0.94</v>
      </c>
      <c r="Y193" s="36">
        <v>0.94</v>
      </c>
      <c r="Z193" s="36">
        <v>0.94</v>
      </c>
      <c r="AA193" s="36">
        <v>0.94</v>
      </c>
      <c r="AB193" s="36">
        <v>0.94</v>
      </c>
      <c r="AC193" s="36">
        <v>0.94</v>
      </c>
      <c r="AD193" s="36">
        <v>0.94</v>
      </c>
      <c r="AE193" s="36">
        <v>0.94</v>
      </c>
      <c r="AF193" s="36">
        <v>0.94</v>
      </c>
      <c r="AG193" s="36">
        <v>0.94</v>
      </c>
      <c r="AH193" s="36">
        <v>0.94</v>
      </c>
      <c r="AI193" s="39">
        <v>1.33634708931066E-2</v>
      </c>
      <c r="AJ193" s="39">
        <v>1.33634708931066E-2</v>
      </c>
      <c r="AK193" s="39">
        <v>1.33634708931066E-2</v>
      </c>
      <c r="AL193" s="39">
        <v>1.33634708931066E-2</v>
      </c>
      <c r="AM193" s="39">
        <v>1.33634708931066E-2</v>
      </c>
      <c r="AN193" s="39">
        <v>1.33634708931066E-2</v>
      </c>
      <c r="AO193" s="39">
        <v>1.33634708931066E-2</v>
      </c>
      <c r="AP193" s="39">
        <v>1.33634708931066E-2</v>
      </c>
      <c r="AQ193" s="39">
        <v>1.33634708931066E-2</v>
      </c>
      <c r="AR193" s="39">
        <v>1.33634708931066E-2</v>
      </c>
      <c r="AS193" s="39">
        <v>1.33634708931066E-2</v>
      </c>
      <c r="AT193" s="39">
        <v>1.33634708931066E-2</v>
      </c>
      <c r="AU193" s="39">
        <v>1.2392217523121999E-3</v>
      </c>
      <c r="AV193" s="39">
        <v>1.2392217523121999E-3</v>
      </c>
      <c r="AW193" s="39">
        <v>1.2392217523121999E-3</v>
      </c>
      <c r="AX193" s="39">
        <v>1.2392217523121999E-3</v>
      </c>
      <c r="AY193" s="39">
        <v>1.2392217523121999E-3</v>
      </c>
      <c r="AZ193" s="39">
        <v>1.2392217523121999E-3</v>
      </c>
      <c r="BA193" s="39">
        <v>1.2392217523121999E-3</v>
      </c>
      <c r="BB193" s="39">
        <v>1.2392217523121999E-3</v>
      </c>
      <c r="BC193" s="39">
        <v>1.2392217523121999E-3</v>
      </c>
      <c r="BD193" s="39">
        <v>1.2392217523121999E-3</v>
      </c>
      <c r="BE193" s="39">
        <v>1.2392217523121999E-3</v>
      </c>
      <c r="BF193" s="39">
        <v>1.2392217523121999E-3</v>
      </c>
      <c r="BG193" s="1"/>
      <c r="BH193" s="12">
        <f t="shared" si="87"/>
        <v>0</v>
      </c>
      <c r="BI193" s="12">
        <f t="shared" si="88"/>
        <v>0</v>
      </c>
      <c r="BJ193" s="12">
        <f t="shared" si="89"/>
        <v>0</v>
      </c>
      <c r="BK193" s="12">
        <f t="shared" si="90"/>
        <v>0</v>
      </c>
      <c r="BL193" s="12">
        <f t="shared" si="91"/>
        <v>0</v>
      </c>
      <c r="BM193" s="12">
        <f t="shared" si="92"/>
        <v>0</v>
      </c>
      <c r="BN193" s="12">
        <f t="shared" si="93"/>
        <v>0</v>
      </c>
      <c r="BO193" s="12">
        <f t="shared" si="94"/>
        <v>0</v>
      </c>
      <c r="BP193" s="12">
        <f t="shared" si="95"/>
        <v>0</v>
      </c>
      <c r="BQ193" s="12">
        <f t="shared" si="96"/>
        <v>0</v>
      </c>
      <c r="BR193" s="12">
        <f t="shared" si="97"/>
        <v>0</v>
      </c>
      <c r="BS193" s="12">
        <f t="shared" si="98"/>
        <v>0</v>
      </c>
      <c r="BT193" s="1"/>
      <c r="BU193" s="11">
        <f t="shared" si="99"/>
        <v>0</v>
      </c>
      <c r="BV193" s="11">
        <f t="shared" si="100"/>
        <v>0</v>
      </c>
      <c r="BW193" s="11">
        <f t="shared" si="101"/>
        <v>0</v>
      </c>
      <c r="BX193" s="11">
        <f t="shared" si="102"/>
        <v>0</v>
      </c>
      <c r="BY193" s="11">
        <f t="shared" si="103"/>
        <v>0</v>
      </c>
      <c r="BZ193" s="11">
        <f t="shared" si="104"/>
        <v>0</v>
      </c>
      <c r="CA193" s="11">
        <f t="shared" si="105"/>
        <v>0</v>
      </c>
      <c r="CB193" s="11">
        <f t="shared" si="106"/>
        <v>0</v>
      </c>
      <c r="CC193" s="11">
        <f t="shared" si="107"/>
        <v>0</v>
      </c>
      <c r="CD193" s="11">
        <f t="shared" si="108"/>
        <v>0</v>
      </c>
      <c r="CE193" s="11">
        <f t="shared" si="109"/>
        <v>0</v>
      </c>
      <c r="CF193" s="11">
        <f t="shared" si="110"/>
        <v>0</v>
      </c>
      <c r="CG193" s="11"/>
      <c r="CH193" s="41">
        <v>3.23</v>
      </c>
      <c r="CI193" s="1"/>
      <c r="CJ193" s="53">
        <f t="shared" si="111"/>
        <v>0</v>
      </c>
      <c r="CK193" s="53">
        <f t="shared" si="112"/>
        <v>0</v>
      </c>
      <c r="CL193" s="53">
        <f t="shared" si="113"/>
        <v>0</v>
      </c>
      <c r="CM193" s="53">
        <f t="shared" si="114"/>
        <v>0</v>
      </c>
      <c r="CN193" s="53">
        <f t="shared" si="115"/>
        <v>0</v>
      </c>
      <c r="CO193" s="53">
        <f t="shared" si="116"/>
        <v>0</v>
      </c>
      <c r="CP193" s="53">
        <f t="shared" si="117"/>
        <v>0</v>
      </c>
      <c r="CQ193" s="53">
        <f t="shared" si="118"/>
        <v>0</v>
      </c>
      <c r="CR193" s="53">
        <f t="shared" si="119"/>
        <v>0</v>
      </c>
      <c r="CS193" s="53">
        <f t="shared" si="120"/>
        <v>0</v>
      </c>
      <c r="CT193" s="53">
        <f t="shared" si="121"/>
        <v>0</v>
      </c>
      <c r="CU193" s="53">
        <f t="shared" si="122"/>
        <v>0</v>
      </c>
      <c r="CV193" s="53">
        <f t="shared" si="126"/>
        <v>0</v>
      </c>
      <c r="CW193" s="1"/>
      <c r="CX193" s="1"/>
      <c r="CY193" s="1"/>
      <c r="CZ193" s="1"/>
      <c r="DA193" s="1"/>
      <c r="DB193" s="1"/>
      <c r="DC193" s="1"/>
      <c r="DD193" s="1"/>
      <c r="DE193" s="1"/>
      <c r="DF193" s="1"/>
      <c r="DG193" s="1"/>
      <c r="DH193" s="1"/>
      <c r="DI193" s="1"/>
      <c r="DJ193" s="1"/>
      <c r="DK193" s="1"/>
      <c r="DL193" s="1"/>
    </row>
    <row r="194" spans="1:116" ht="15.75" hidden="1" x14ac:dyDescent="0.25">
      <c r="A194" s="17"/>
      <c r="B194" s="17"/>
      <c r="C194" s="17"/>
      <c r="D194" s="17"/>
      <c r="E194" s="17"/>
      <c r="F194" s="31" t="s">
        <v>21</v>
      </c>
      <c r="G194" s="64">
        <v>0</v>
      </c>
      <c r="H194" s="64">
        <v>0</v>
      </c>
      <c r="I194" s="64">
        <v>0</v>
      </c>
      <c r="J194" s="64">
        <v>0</v>
      </c>
      <c r="K194" s="64">
        <v>0</v>
      </c>
      <c r="L194" s="64">
        <v>0</v>
      </c>
      <c r="M194" s="64">
        <v>0</v>
      </c>
      <c r="N194" s="64">
        <v>0</v>
      </c>
      <c r="O194" s="64">
        <v>0</v>
      </c>
      <c r="P194" s="64">
        <v>0</v>
      </c>
      <c r="Q194" s="64">
        <v>0</v>
      </c>
      <c r="R194" s="64">
        <v>0</v>
      </c>
      <c r="S194" s="11">
        <f t="shared" si="127"/>
        <v>0</v>
      </c>
      <c r="T194" s="9"/>
      <c r="U194" s="1"/>
      <c r="V194" s="50">
        <f t="shared" si="125"/>
        <v>0</v>
      </c>
      <c r="W194" s="36">
        <v>1.75</v>
      </c>
      <c r="X194" s="36">
        <v>1.75</v>
      </c>
      <c r="Y194" s="36">
        <v>1.75</v>
      </c>
      <c r="Z194" s="36">
        <v>1.75</v>
      </c>
      <c r="AA194" s="36">
        <v>1.75</v>
      </c>
      <c r="AB194" s="36">
        <v>1.75</v>
      </c>
      <c r="AC194" s="36">
        <v>1.75</v>
      </c>
      <c r="AD194" s="36">
        <v>1.75</v>
      </c>
      <c r="AE194" s="36">
        <v>1.75</v>
      </c>
      <c r="AF194" s="36">
        <v>1.75</v>
      </c>
      <c r="AG194" s="36">
        <v>1.75</v>
      </c>
      <c r="AH194" s="36">
        <v>1.75</v>
      </c>
      <c r="AI194" s="39">
        <v>1.33634708931066E-2</v>
      </c>
      <c r="AJ194" s="39">
        <v>1.33634708931066E-2</v>
      </c>
      <c r="AK194" s="39">
        <v>1.33634708931066E-2</v>
      </c>
      <c r="AL194" s="39">
        <v>1.33634708931066E-2</v>
      </c>
      <c r="AM194" s="39">
        <v>1.33634708931066E-2</v>
      </c>
      <c r="AN194" s="39">
        <v>1.33634708931066E-2</v>
      </c>
      <c r="AO194" s="39">
        <v>1.33634708931066E-2</v>
      </c>
      <c r="AP194" s="39">
        <v>1.33634708931066E-2</v>
      </c>
      <c r="AQ194" s="39">
        <v>1.33634708931066E-2</v>
      </c>
      <c r="AR194" s="39">
        <v>1.33634708931066E-2</v>
      </c>
      <c r="AS194" s="39">
        <v>1.33634708931066E-2</v>
      </c>
      <c r="AT194" s="39">
        <v>1.33634708931066E-2</v>
      </c>
      <c r="AU194" s="39">
        <v>1.2392217523121999E-3</v>
      </c>
      <c r="AV194" s="39">
        <v>1.2392217523121999E-3</v>
      </c>
      <c r="AW194" s="39">
        <v>1.2392217523121999E-3</v>
      </c>
      <c r="AX194" s="39">
        <v>1.2392217523121999E-3</v>
      </c>
      <c r="AY194" s="39">
        <v>1.2392217523121999E-3</v>
      </c>
      <c r="AZ194" s="39">
        <v>1.2392217523121999E-3</v>
      </c>
      <c r="BA194" s="39">
        <v>1.2392217523121999E-3</v>
      </c>
      <c r="BB194" s="39">
        <v>1.2392217523121999E-3</v>
      </c>
      <c r="BC194" s="39">
        <v>1.2392217523121999E-3</v>
      </c>
      <c r="BD194" s="39">
        <v>1.2392217523121999E-3</v>
      </c>
      <c r="BE194" s="39">
        <v>1.2392217523121999E-3</v>
      </c>
      <c r="BF194" s="39">
        <v>1.2392217523121999E-3</v>
      </c>
      <c r="BG194" s="1"/>
      <c r="BH194" s="12">
        <f t="shared" si="87"/>
        <v>0</v>
      </c>
      <c r="BI194" s="12">
        <f t="shared" si="88"/>
        <v>0</v>
      </c>
      <c r="BJ194" s="12">
        <f t="shared" si="89"/>
        <v>0</v>
      </c>
      <c r="BK194" s="12">
        <f t="shared" si="90"/>
        <v>0</v>
      </c>
      <c r="BL194" s="12">
        <f t="shared" si="91"/>
        <v>0</v>
      </c>
      <c r="BM194" s="12">
        <f t="shared" si="92"/>
        <v>0</v>
      </c>
      <c r="BN194" s="12">
        <f t="shared" si="93"/>
        <v>0</v>
      </c>
      <c r="BO194" s="12">
        <f t="shared" si="94"/>
        <v>0</v>
      </c>
      <c r="BP194" s="12">
        <f t="shared" si="95"/>
        <v>0</v>
      </c>
      <c r="BQ194" s="12">
        <f t="shared" si="96"/>
        <v>0</v>
      </c>
      <c r="BR194" s="12">
        <f t="shared" si="97"/>
        <v>0</v>
      </c>
      <c r="BS194" s="12">
        <f t="shared" si="98"/>
        <v>0</v>
      </c>
      <c r="BT194" s="1"/>
      <c r="BU194" s="11">
        <f t="shared" si="99"/>
        <v>0</v>
      </c>
      <c r="BV194" s="11">
        <f t="shared" si="100"/>
        <v>0</v>
      </c>
      <c r="BW194" s="11">
        <f t="shared" si="101"/>
        <v>0</v>
      </c>
      <c r="BX194" s="11">
        <f t="shared" si="102"/>
        <v>0</v>
      </c>
      <c r="BY194" s="11">
        <f t="shared" si="103"/>
        <v>0</v>
      </c>
      <c r="BZ194" s="11">
        <f t="shared" si="104"/>
        <v>0</v>
      </c>
      <c r="CA194" s="11">
        <f t="shared" si="105"/>
        <v>0</v>
      </c>
      <c r="CB194" s="11">
        <f t="shared" si="106"/>
        <v>0</v>
      </c>
      <c r="CC194" s="11">
        <f t="shared" si="107"/>
        <v>0</v>
      </c>
      <c r="CD194" s="11">
        <f t="shared" si="108"/>
        <v>0</v>
      </c>
      <c r="CE194" s="11">
        <f t="shared" si="109"/>
        <v>0</v>
      </c>
      <c r="CF194" s="11">
        <f t="shared" si="110"/>
        <v>0</v>
      </c>
      <c r="CG194" s="11"/>
      <c r="CH194" s="41">
        <v>3.23</v>
      </c>
      <c r="CI194" s="1"/>
      <c r="CJ194" s="53">
        <f t="shared" si="111"/>
        <v>0</v>
      </c>
      <c r="CK194" s="53">
        <f t="shared" si="112"/>
        <v>0</v>
      </c>
      <c r="CL194" s="53">
        <f t="shared" si="113"/>
        <v>0</v>
      </c>
      <c r="CM194" s="53">
        <f t="shared" si="114"/>
        <v>0</v>
      </c>
      <c r="CN194" s="53">
        <f t="shared" si="115"/>
        <v>0</v>
      </c>
      <c r="CO194" s="53">
        <f t="shared" si="116"/>
        <v>0</v>
      </c>
      <c r="CP194" s="53">
        <f t="shared" si="117"/>
        <v>0</v>
      </c>
      <c r="CQ194" s="53">
        <f t="shared" si="118"/>
        <v>0</v>
      </c>
      <c r="CR194" s="53">
        <f t="shared" si="119"/>
        <v>0</v>
      </c>
      <c r="CS194" s="53">
        <f t="shared" si="120"/>
        <v>0</v>
      </c>
      <c r="CT194" s="53">
        <f t="shared" si="121"/>
        <v>0</v>
      </c>
      <c r="CU194" s="53">
        <f t="shared" si="122"/>
        <v>0</v>
      </c>
      <c r="CV194" s="53">
        <f t="shared" si="126"/>
        <v>0</v>
      </c>
      <c r="CW194" s="1"/>
      <c r="CX194" s="1"/>
      <c r="CY194" s="1"/>
      <c r="CZ194" s="1"/>
      <c r="DA194" s="1"/>
      <c r="DB194" s="1"/>
      <c r="DC194" s="1"/>
      <c r="DD194" s="1"/>
      <c r="DE194" s="1"/>
      <c r="DF194" s="1"/>
      <c r="DG194" s="1"/>
      <c r="DH194" s="1"/>
      <c r="DI194" s="1"/>
      <c r="DJ194" s="1"/>
      <c r="DK194" s="1"/>
      <c r="DL194" s="1"/>
    </row>
    <row r="195" spans="1:116" ht="15.75" hidden="1" x14ac:dyDescent="0.25">
      <c r="A195" s="17"/>
      <c r="B195" s="17"/>
      <c r="C195" s="17"/>
      <c r="D195" s="17"/>
      <c r="E195" s="17"/>
      <c r="F195" s="31" t="s">
        <v>21</v>
      </c>
      <c r="G195" s="64">
        <v>0</v>
      </c>
      <c r="H195" s="64">
        <v>0</v>
      </c>
      <c r="I195" s="64">
        <v>0</v>
      </c>
      <c r="J195" s="64">
        <v>0</v>
      </c>
      <c r="K195" s="64">
        <v>0</v>
      </c>
      <c r="L195" s="64">
        <v>0</v>
      </c>
      <c r="M195" s="64">
        <v>0</v>
      </c>
      <c r="N195" s="64">
        <v>0</v>
      </c>
      <c r="O195" s="64">
        <v>0</v>
      </c>
      <c r="P195" s="64">
        <v>0</v>
      </c>
      <c r="Q195" s="64">
        <v>0</v>
      </c>
      <c r="R195" s="64">
        <v>0</v>
      </c>
      <c r="S195" s="11">
        <f t="shared" si="127"/>
        <v>0</v>
      </c>
      <c r="T195" s="9"/>
      <c r="U195" s="1"/>
      <c r="V195" s="50">
        <f t="shared" si="125"/>
        <v>0</v>
      </c>
      <c r="W195" s="36">
        <v>2.367</v>
      </c>
      <c r="X195" s="36">
        <v>2.367</v>
      </c>
      <c r="Y195" s="36">
        <v>2.367</v>
      </c>
      <c r="Z195" s="36">
        <v>2.367</v>
      </c>
      <c r="AA195" s="36">
        <v>2.367</v>
      </c>
      <c r="AB195" s="36">
        <v>2.367</v>
      </c>
      <c r="AC195" s="36">
        <v>2.367</v>
      </c>
      <c r="AD195" s="36">
        <v>2.367</v>
      </c>
      <c r="AE195" s="36">
        <v>2.367</v>
      </c>
      <c r="AF195" s="36">
        <v>2.367</v>
      </c>
      <c r="AG195" s="36">
        <v>2.367</v>
      </c>
      <c r="AH195" s="36">
        <v>2.367</v>
      </c>
      <c r="AI195" s="39">
        <v>1.33634708931066E-2</v>
      </c>
      <c r="AJ195" s="39">
        <v>1.33634708931066E-2</v>
      </c>
      <c r="AK195" s="39">
        <v>1.33634708931066E-2</v>
      </c>
      <c r="AL195" s="39">
        <v>1.33634708931066E-2</v>
      </c>
      <c r="AM195" s="39">
        <v>1.33634708931066E-2</v>
      </c>
      <c r="AN195" s="39">
        <v>1.33634708931066E-2</v>
      </c>
      <c r="AO195" s="39">
        <v>1.33634708931066E-2</v>
      </c>
      <c r="AP195" s="39">
        <v>1.33634708931066E-2</v>
      </c>
      <c r="AQ195" s="39">
        <v>1.33634708931066E-2</v>
      </c>
      <c r="AR195" s="39">
        <v>1.33634708931066E-2</v>
      </c>
      <c r="AS195" s="39">
        <v>1.33634708931066E-2</v>
      </c>
      <c r="AT195" s="39">
        <v>1.33634708931066E-2</v>
      </c>
      <c r="AU195" s="39">
        <v>1.2392217523121999E-3</v>
      </c>
      <c r="AV195" s="39">
        <v>1.2392217523121999E-3</v>
      </c>
      <c r="AW195" s="39">
        <v>1.2392217523121999E-3</v>
      </c>
      <c r="AX195" s="39">
        <v>1.2392217523121999E-3</v>
      </c>
      <c r="AY195" s="39">
        <v>1.2392217523121999E-3</v>
      </c>
      <c r="AZ195" s="39">
        <v>1.2392217523121999E-3</v>
      </c>
      <c r="BA195" s="39">
        <v>1.2392217523121999E-3</v>
      </c>
      <c r="BB195" s="39">
        <v>1.2392217523121999E-3</v>
      </c>
      <c r="BC195" s="39">
        <v>1.2392217523121999E-3</v>
      </c>
      <c r="BD195" s="39">
        <v>1.2392217523121999E-3</v>
      </c>
      <c r="BE195" s="39">
        <v>1.2392217523121999E-3</v>
      </c>
      <c r="BF195" s="39">
        <v>1.2392217523121999E-3</v>
      </c>
      <c r="BG195" s="1"/>
      <c r="BH195" s="12">
        <f t="shared" si="87"/>
        <v>0</v>
      </c>
      <c r="BI195" s="12">
        <f t="shared" si="88"/>
        <v>0</v>
      </c>
      <c r="BJ195" s="12">
        <f t="shared" si="89"/>
        <v>0</v>
      </c>
      <c r="BK195" s="12">
        <f t="shared" si="90"/>
        <v>0</v>
      </c>
      <c r="BL195" s="12">
        <f t="shared" si="91"/>
        <v>0</v>
      </c>
      <c r="BM195" s="12">
        <f t="shared" si="92"/>
        <v>0</v>
      </c>
      <c r="BN195" s="12">
        <f t="shared" si="93"/>
        <v>0</v>
      </c>
      <c r="BO195" s="12">
        <f t="shared" si="94"/>
        <v>0</v>
      </c>
      <c r="BP195" s="12">
        <f t="shared" si="95"/>
        <v>0</v>
      </c>
      <c r="BQ195" s="12">
        <f t="shared" si="96"/>
        <v>0</v>
      </c>
      <c r="BR195" s="12">
        <f t="shared" si="97"/>
        <v>0</v>
      </c>
      <c r="BS195" s="12">
        <f t="shared" si="98"/>
        <v>0</v>
      </c>
      <c r="BT195" s="1"/>
      <c r="BU195" s="11">
        <f t="shared" si="99"/>
        <v>0</v>
      </c>
      <c r="BV195" s="11">
        <f t="shared" si="100"/>
        <v>0</v>
      </c>
      <c r="BW195" s="11">
        <f t="shared" si="101"/>
        <v>0</v>
      </c>
      <c r="BX195" s="11">
        <f t="shared" si="102"/>
        <v>0</v>
      </c>
      <c r="BY195" s="11">
        <f t="shared" si="103"/>
        <v>0</v>
      </c>
      <c r="BZ195" s="11">
        <f t="shared" si="104"/>
        <v>0</v>
      </c>
      <c r="CA195" s="11">
        <f t="shared" si="105"/>
        <v>0</v>
      </c>
      <c r="CB195" s="11">
        <f t="shared" si="106"/>
        <v>0</v>
      </c>
      <c r="CC195" s="11">
        <f t="shared" si="107"/>
        <v>0</v>
      </c>
      <c r="CD195" s="11">
        <f t="shared" si="108"/>
        <v>0</v>
      </c>
      <c r="CE195" s="11">
        <f t="shared" si="109"/>
        <v>0</v>
      </c>
      <c r="CF195" s="11">
        <f t="shared" si="110"/>
        <v>0</v>
      </c>
      <c r="CG195" s="11"/>
      <c r="CH195" s="41">
        <v>3.23</v>
      </c>
      <c r="CI195" s="1"/>
      <c r="CJ195" s="53">
        <f t="shared" si="111"/>
        <v>0</v>
      </c>
      <c r="CK195" s="53">
        <f t="shared" si="112"/>
        <v>0</v>
      </c>
      <c r="CL195" s="53">
        <f t="shared" si="113"/>
        <v>0</v>
      </c>
      <c r="CM195" s="53">
        <f t="shared" si="114"/>
        <v>0</v>
      </c>
      <c r="CN195" s="53">
        <f t="shared" si="115"/>
        <v>0</v>
      </c>
      <c r="CO195" s="53">
        <f t="shared" si="116"/>
        <v>0</v>
      </c>
      <c r="CP195" s="53">
        <f t="shared" si="117"/>
        <v>0</v>
      </c>
      <c r="CQ195" s="53">
        <f t="shared" si="118"/>
        <v>0</v>
      </c>
      <c r="CR195" s="53">
        <f t="shared" si="119"/>
        <v>0</v>
      </c>
      <c r="CS195" s="53">
        <f t="shared" si="120"/>
        <v>0</v>
      </c>
      <c r="CT195" s="53">
        <f t="shared" si="121"/>
        <v>0</v>
      </c>
      <c r="CU195" s="53">
        <f t="shared" si="122"/>
        <v>0</v>
      </c>
      <c r="CV195" s="53">
        <f t="shared" si="126"/>
        <v>0</v>
      </c>
      <c r="CW195" s="1"/>
      <c r="CX195" s="1"/>
      <c r="CY195" s="1"/>
      <c r="CZ195" s="1"/>
      <c r="DA195" s="1"/>
      <c r="DB195" s="1"/>
      <c r="DC195" s="1"/>
      <c r="DD195" s="1"/>
      <c r="DE195" s="1"/>
      <c r="DF195" s="1"/>
      <c r="DG195" s="1"/>
      <c r="DH195" s="1"/>
      <c r="DI195" s="1"/>
      <c r="DJ195" s="1"/>
      <c r="DK195" s="1"/>
      <c r="DL195" s="1"/>
    </row>
    <row r="196" spans="1:116" ht="15.75" hidden="1" x14ac:dyDescent="0.25">
      <c r="A196" s="17"/>
      <c r="B196" s="17"/>
      <c r="C196" s="17"/>
      <c r="D196" s="17"/>
      <c r="E196" s="17"/>
      <c r="F196" s="31" t="s">
        <v>21</v>
      </c>
      <c r="G196" s="64">
        <v>0</v>
      </c>
      <c r="H196" s="64">
        <v>0</v>
      </c>
      <c r="I196" s="64">
        <v>0</v>
      </c>
      <c r="J196" s="64">
        <v>0</v>
      </c>
      <c r="K196" s="64">
        <v>0</v>
      </c>
      <c r="L196" s="64">
        <v>0</v>
      </c>
      <c r="M196" s="64">
        <v>0</v>
      </c>
      <c r="N196" s="64">
        <v>0</v>
      </c>
      <c r="O196" s="64">
        <v>0</v>
      </c>
      <c r="P196" s="64">
        <v>0</v>
      </c>
      <c r="Q196" s="64">
        <v>0</v>
      </c>
      <c r="R196" s="64">
        <v>0</v>
      </c>
      <c r="S196" s="11">
        <f t="shared" si="127"/>
        <v>0</v>
      </c>
      <c r="T196" s="9"/>
      <c r="U196" s="1"/>
      <c r="V196" s="50">
        <f t="shared" si="125"/>
        <v>0</v>
      </c>
      <c r="W196" s="36">
        <v>1.9370000000000001</v>
      </c>
      <c r="X196" s="36">
        <v>1.9370000000000001</v>
      </c>
      <c r="Y196" s="36">
        <v>1.9370000000000001</v>
      </c>
      <c r="Z196" s="36">
        <v>1.9370000000000001</v>
      </c>
      <c r="AA196" s="36">
        <v>1.9370000000000001</v>
      </c>
      <c r="AB196" s="36">
        <v>1.9370000000000001</v>
      </c>
      <c r="AC196" s="36">
        <v>1.9370000000000001</v>
      </c>
      <c r="AD196" s="36">
        <v>1.9370000000000001</v>
      </c>
      <c r="AE196" s="36">
        <v>1.9370000000000001</v>
      </c>
      <c r="AF196" s="36">
        <v>1.9370000000000001</v>
      </c>
      <c r="AG196" s="36">
        <v>1.9370000000000001</v>
      </c>
      <c r="AH196" s="36">
        <v>1.9370000000000001</v>
      </c>
      <c r="AI196" s="39">
        <v>1.33634708931066E-2</v>
      </c>
      <c r="AJ196" s="39">
        <v>1.33634708931066E-2</v>
      </c>
      <c r="AK196" s="39">
        <v>1.33634708931066E-2</v>
      </c>
      <c r="AL196" s="39">
        <v>1.33634708931066E-2</v>
      </c>
      <c r="AM196" s="39">
        <v>1.33634708931066E-2</v>
      </c>
      <c r="AN196" s="39">
        <v>1.33634708931066E-2</v>
      </c>
      <c r="AO196" s="39">
        <v>1.33634708931066E-2</v>
      </c>
      <c r="AP196" s="39">
        <v>1.33634708931066E-2</v>
      </c>
      <c r="AQ196" s="39">
        <v>1.33634708931066E-2</v>
      </c>
      <c r="AR196" s="39">
        <v>1.33634708931066E-2</v>
      </c>
      <c r="AS196" s="39">
        <v>1.33634708931066E-2</v>
      </c>
      <c r="AT196" s="39">
        <v>1.33634708931066E-2</v>
      </c>
      <c r="AU196" s="39">
        <v>1.2392217523121999E-3</v>
      </c>
      <c r="AV196" s="39">
        <v>1.2392217523121999E-3</v>
      </c>
      <c r="AW196" s="39">
        <v>1.2392217523121999E-3</v>
      </c>
      <c r="AX196" s="39">
        <v>1.2392217523121999E-3</v>
      </c>
      <c r="AY196" s="39">
        <v>1.2392217523121999E-3</v>
      </c>
      <c r="AZ196" s="39">
        <v>1.2392217523121999E-3</v>
      </c>
      <c r="BA196" s="39">
        <v>1.2392217523121999E-3</v>
      </c>
      <c r="BB196" s="39">
        <v>1.2392217523121999E-3</v>
      </c>
      <c r="BC196" s="39">
        <v>1.2392217523121999E-3</v>
      </c>
      <c r="BD196" s="39">
        <v>1.2392217523121999E-3</v>
      </c>
      <c r="BE196" s="39">
        <v>1.2392217523121999E-3</v>
      </c>
      <c r="BF196" s="39">
        <v>1.2392217523121999E-3</v>
      </c>
      <c r="BG196" s="1"/>
      <c r="BH196" s="12">
        <f t="shared" si="87"/>
        <v>0</v>
      </c>
      <c r="BI196" s="12">
        <f t="shared" si="88"/>
        <v>0</v>
      </c>
      <c r="BJ196" s="12">
        <f t="shared" si="89"/>
        <v>0</v>
      </c>
      <c r="BK196" s="12">
        <f t="shared" si="90"/>
        <v>0</v>
      </c>
      <c r="BL196" s="12">
        <f t="shared" si="91"/>
        <v>0</v>
      </c>
      <c r="BM196" s="12">
        <f t="shared" si="92"/>
        <v>0</v>
      </c>
      <c r="BN196" s="12">
        <f t="shared" si="93"/>
        <v>0</v>
      </c>
      <c r="BO196" s="12">
        <f t="shared" si="94"/>
        <v>0</v>
      </c>
      <c r="BP196" s="12">
        <f t="shared" si="95"/>
        <v>0</v>
      </c>
      <c r="BQ196" s="12">
        <f t="shared" si="96"/>
        <v>0</v>
      </c>
      <c r="BR196" s="12">
        <f t="shared" si="97"/>
        <v>0</v>
      </c>
      <c r="BS196" s="12">
        <f t="shared" si="98"/>
        <v>0</v>
      </c>
      <c r="BT196" s="1"/>
      <c r="BU196" s="11">
        <f t="shared" si="99"/>
        <v>0</v>
      </c>
      <c r="BV196" s="11">
        <f t="shared" si="100"/>
        <v>0</v>
      </c>
      <c r="BW196" s="11">
        <f t="shared" si="101"/>
        <v>0</v>
      </c>
      <c r="BX196" s="11">
        <f t="shared" si="102"/>
        <v>0</v>
      </c>
      <c r="BY196" s="11">
        <f t="shared" si="103"/>
        <v>0</v>
      </c>
      <c r="BZ196" s="11">
        <f t="shared" si="104"/>
        <v>0</v>
      </c>
      <c r="CA196" s="11">
        <f t="shared" si="105"/>
        <v>0</v>
      </c>
      <c r="CB196" s="11">
        <f t="shared" si="106"/>
        <v>0</v>
      </c>
      <c r="CC196" s="11">
        <f t="shared" si="107"/>
        <v>0</v>
      </c>
      <c r="CD196" s="11">
        <f t="shared" si="108"/>
        <v>0</v>
      </c>
      <c r="CE196" s="11">
        <f t="shared" si="109"/>
        <v>0</v>
      </c>
      <c r="CF196" s="11">
        <f t="shared" si="110"/>
        <v>0</v>
      </c>
      <c r="CG196" s="11"/>
      <c r="CH196" s="41">
        <v>3.23</v>
      </c>
      <c r="CI196" s="1"/>
      <c r="CJ196" s="53">
        <f t="shared" si="111"/>
        <v>0</v>
      </c>
      <c r="CK196" s="53">
        <f t="shared" si="112"/>
        <v>0</v>
      </c>
      <c r="CL196" s="53">
        <f t="shared" si="113"/>
        <v>0</v>
      </c>
      <c r="CM196" s="53">
        <f t="shared" si="114"/>
        <v>0</v>
      </c>
      <c r="CN196" s="53">
        <f t="shared" si="115"/>
        <v>0</v>
      </c>
      <c r="CO196" s="53">
        <f t="shared" si="116"/>
        <v>0</v>
      </c>
      <c r="CP196" s="53">
        <f t="shared" si="117"/>
        <v>0</v>
      </c>
      <c r="CQ196" s="53">
        <f t="shared" si="118"/>
        <v>0</v>
      </c>
      <c r="CR196" s="53">
        <f t="shared" si="119"/>
        <v>0</v>
      </c>
      <c r="CS196" s="53">
        <f t="shared" si="120"/>
        <v>0</v>
      </c>
      <c r="CT196" s="53">
        <f t="shared" si="121"/>
        <v>0</v>
      </c>
      <c r="CU196" s="53">
        <f t="shared" si="122"/>
        <v>0</v>
      </c>
      <c r="CV196" s="53">
        <f t="shared" si="126"/>
        <v>0</v>
      </c>
      <c r="CW196" s="1"/>
      <c r="CX196" s="1"/>
      <c r="CY196" s="1"/>
      <c r="CZ196" s="1"/>
      <c r="DA196" s="1"/>
      <c r="DB196" s="1"/>
      <c r="DC196" s="1"/>
      <c r="DD196" s="1"/>
      <c r="DE196" s="1"/>
      <c r="DF196" s="1"/>
      <c r="DG196" s="1"/>
      <c r="DH196" s="1"/>
      <c r="DI196" s="1"/>
      <c r="DJ196" s="1"/>
      <c r="DK196" s="1"/>
      <c r="DL196" s="1"/>
    </row>
    <row r="197" spans="1:116" ht="15.75" hidden="1" x14ac:dyDescent="0.25">
      <c r="A197" s="17"/>
      <c r="B197" s="17"/>
      <c r="C197" s="17"/>
      <c r="D197" s="17"/>
      <c r="E197" s="17"/>
      <c r="F197" s="31" t="s">
        <v>21</v>
      </c>
      <c r="G197" s="64">
        <v>129.79</v>
      </c>
      <c r="H197" s="64">
        <v>129.79</v>
      </c>
      <c r="I197" s="64">
        <v>129.79</v>
      </c>
      <c r="J197" s="64">
        <v>77.39</v>
      </c>
      <c r="K197" s="64">
        <v>77.39</v>
      </c>
      <c r="L197" s="64">
        <v>77.39</v>
      </c>
      <c r="M197" s="64">
        <v>77.39</v>
      </c>
      <c r="N197" s="64">
        <v>105.46</v>
      </c>
      <c r="O197" s="64">
        <v>105.46</v>
      </c>
      <c r="P197" s="64">
        <v>89.23</v>
      </c>
      <c r="Q197" s="64">
        <v>89.23</v>
      </c>
      <c r="R197" s="64">
        <v>81.12</v>
      </c>
      <c r="S197" s="11">
        <f t="shared" si="127"/>
        <v>1169.4299999999998</v>
      </c>
      <c r="T197" s="9"/>
      <c r="U197" s="1"/>
      <c r="V197" s="50">
        <f t="shared" si="125"/>
        <v>1441301</v>
      </c>
      <c r="W197" s="36">
        <v>2.6589999999999998</v>
      </c>
      <c r="X197" s="36">
        <v>2.6589999999999998</v>
      </c>
      <c r="Y197" s="36">
        <v>2.6589999999999998</v>
      </c>
      <c r="Z197" s="36">
        <v>2.6589999999999998</v>
      </c>
      <c r="AA197" s="36">
        <v>2.6589999999999998</v>
      </c>
      <c r="AB197" s="36">
        <v>2.6589999999999998</v>
      </c>
      <c r="AC197" s="36">
        <v>2.6589999999999998</v>
      </c>
      <c r="AD197" s="36">
        <v>2.6589999999999998</v>
      </c>
      <c r="AE197" s="36">
        <v>2.6589999999999998</v>
      </c>
      <c r="AF197" s="36">
        <v>2.6589999999999998</v>
      </c>
      <c r="AG197" s="36">
        <v>2.6589999999999998</v>
      </c>
      <c r="AH197" s="36">
        <v>2.6589999999999998</v>
      </c>
      <c r="AI197" s="39">
        <v>1.33634708931066E-2</v>
      </c>
      <c r="AJ197" s="39">
        <v>1.33634708931066E-2</v>
      </c>
      <c r="AK197" s="39">
        <v>1.33634708931066E-2</v>
      </c>
      <c r="AL197" s="39">
        <v>1.33634708931066E-2</v>
      </c>
      <c r="AM197" s="39">
        <v>1.33634708931066E-2</v>
      </c>
      <c r="AN197" s="39">
        <v>1.33634708931066E-2</v>
      </c>
      <c r="AO197" s="39">
        <v>1.33634708931066E-2</v>
      </c>
      <c r="AP197" s="39">
        <v>1.33634708931066E-2</v>
      </c>
      <c r="AQ197" s="39">
        <v>1.33634708931066E-2</v>
      </c>
      <c r="AR197" s="39">
        <v>1.33634708931066E-2</v>
      </c>
      <c r="AS197" s="39">
        <v>1.33634708931066E-2</v>
      </c>
      <c r="AT197" s="39">
        <v>1.33634708931066E-2</v>
      </c>
      <c r="AU197" s="39">
        <v>1.2392217523121999E-3</v>
      </c>
      <c r="AV197" s="39">
        <v>1.2392217523121999E-3</v>
      </c>
      <c r="AW197" s="39">
        <v>1.2392217523121999E-3</v>
      </c>
      <c r="AX197" s="39">
        <v>1.2392217523121999E-3</v>
      </c>
      <c r="AY197" s="39">
        <v>1.2392217523121999E-3</v>
      </c>
      <c r="AZ197" s="39">
        <v>1.2392217523121999E-3</v>
      </c>
      <c r="BA197" s="39">
        <v>1.2392217523121999E-3</v>
      </c>
      <c r="BB197" s="39">
        <v>1.2392217523121999E-3</v>
      </c>
      <c r="BC197" s="39">
        <v>1.2392217523121999E-3</v>
      </c>
      <c r="BD197" s="39">
        <v>1.2392217523121999E-3</v>
      </c>
      <c r="BE197" s="39">
        <v>1.2392217523121999E-3</v>
      </c>
      <c r="BF197" s="39">
        <v>1.2392217523121999E-3</v>
      </c>
      <c r="BG197" s="1"/>
      <c r="BH197" s="12">
        <f t="shared" si="87"/>
        <v>419.2217</v>
      </c>
      <c r="BI197" s="12">
        <f t="shared" si="88"/>
        <v>419.2217</v>
      </c>
      <c r="BJ197" s="12">
        <f t="shared" si="89"/>
        <v>419.2217</v>
      </c>
      <c r="BK197" s="12">
        <f t="shared" si="90"/>
        <v>249.96969999999999</v>
      </c>
      <c r="BL197" s="12">
        <f t="shared" si="91"/>
        <v>249.96969999999999</v>
      </c>
      <c r="BM197" s="12">
        <f t="shared" si="92"/>
        <v>249.96969999999999</v>
      </c>
      <c r="BN197" s="12">
        <f t="shared" si="93"/>
        <v>249.96969999999999</v>
      </c>
      <c r="BO197" s="12">
        <f t="shared" si="94"/>
        <v>340.63579999999996</v>
      </c>
      <c r="BP197" s="12">
        <f t="shared" si="95"/>
        <v>340.63579999999996</v>
      </c>
      <c r="BQ197" s="12">
        <f t="shared" si="96"/>
        <v>288.21289999999999</v>
      </c>
      <c r="BR197" s="12">
        <f t="shared" si="97"/>
        <v>288.21289999999999</v>
      </c>
      <c r="BS197" s="12">
        <f t="shared" si="98"/>
        <v>262.01760000000002</v>
      </c>
      <c r="BT197" s="1"/>
      <c r="BU197" s="11">
        <f t="shared" si="99"/>
        <v>425.34346563538998</v>
      </c>
      <c r="BV197" s="11">
        <f t="shared" si="100"/>
        <v>425.34346563538998</v>
      </c>
      <c r="BW197" s="11">
        <f t="shared" si="101"/>
        <v>425.34346563538998</v>
      </c>
      <c r="BX197" s="11">
        <f t="shared" si="102"/>
        <v>253.61993069976754</v>
      </c>
      <c r="BY197" s="11">
        <f t="shared" si="103"/>
        <v>253.61993069976754</v>
      </c>
      <c r="BZ197" s="11">
        <f t="shared" si="104"/>
        <v>253.61993069976754</v>
      </c>
      <c r="CA197" s="11">
        <f t="shared" si="105"/>
        <v>253.61993069976754</v>
      </c>
      <c r="CB197" s="11">
        <f t="shared" si="106"/>
        <v>345.6099998914263</v>
      </c>
      <c r="CC197" s="11">
        <f t="shared" si="107"/>
        <v>345.6099998914263</v>
      </c>
      <c r="CD197" s="11">
        <f t="shared" si="108"/>
        <v>292.42158439514481</v>
      </c>
      <c r="CE197" s="11">
        <f t="shared" si="109"/>
        <v>292.42158439514481</v>
      </c>
      <c r="CF197" s="11">
        <f t="shared" si="110"/>
        <v>265.84376248049028</v>
      </c>
      <c r="CG197" s="11"/>
      <c r="CH197" s="41">
        <v>3.23</v>
      </c>
      <c r="CI197" s="1"/>
      <c r="CJ197" s="53">
        <f t="shared" si="111"/>
        <v>159964</v>
      </c>
      <c r="CK197" s="53">
        <f t="shared" si="112"/>
        <v>159964</v>
      </c>
      <c r="CL197" s="53">
        <f t="shared" si="113"/>
        <v>159964</v>
      </c>
      <c r="CM197" s="53">
        <f t="shared" si="114"/>
        <v>95382</v>
      </c>
      <c r="CN197" s="53">
        <f t="shared" si="115"/>
        <v>95382</v>
      </c>
      <c r="CO197" s="53">
        <f t="shared" si="116"/>
        <v>95382</v>
      </c>
      <c r="CP197" s="53">
        <f t="shared" si="117"/>
        <v>95382</v>
      </c>
      <c r="CQ197" s="53">
        <f t="shared" si="118"/>
        <v>129977</v>
      </c>
      <c r="CR197" s="53">
        <f t="shared" si="119"/>
        <v>129977</v>
      </c>
      <c r="CS197" s="53">
        <f t="shared" si="120"/>
        <v>109974</v>
      </c>
      <c r="CT197" s="53">
        <f t="shared" si="121"/>
        <v>109974</v>
      </c>
      <c r="CU197" s="53">
        <f t="shared" si="122"/>
        <v>99979</v>
      </c>
      <c r="CV197" s="53">
        <f t="shared" si="126"/>
        <v>1441301</v>
      </c>
      <c r="CW197" s="1"/>
      <c r="CX197" s="1"/>
      <c r="CY197" s="1"/>
      <c r="CZ197" s="1"/>
      <c r="DA197" s="1"/>
      <c r="DB197" s="1"/>
      <c r="DC197" s="1"/>
      <c r="DD197" s="1"/>
      <c r="DE197" s="1"/>
      <c r="DF197" s="1"/>
      <c r="DG197" s="1"/>
      <c r="DH197" s="1"/>
      <c r="DI197" s="1"/>
      <c r="DJ197" s="1"/>
      <c r="DK197" s="1"/>
      <c r="DL197" s="1"/>
    </row>
    <row r="198" spans="1:116" ht="15.75" hidden="1" x14ac:dyDescent="0.25">
      <c r="A198" s="17"/>
      <c r="B198" s="17"/>
      <c r="C198" s="17"/>
      <c r="D198" s="17"/>
      <c r="E198" s="17"/>
      <c r="F198" s="31" t="s">
        <v>21</v>
      </c>
      <c r="G198" s="64">
        <v>147.76</v>
      </c>
      <c r="H198" s="64">
        <v>121.16</v>
      </c>
      <c r="I198" s="64">
        <v>121.16</v>
      </c>
      <c r="J198" s="64">
        <v>74.39</v>
      </c>
      <c r="K198" s="64">
        <v>164.7</v>
      </c>
      <c r="L198" s="64">
        <v>178.75</v>
      </c>
      <c r="M198" s="64">
        <v>56.83</v>
      </c>
      <c r="N198" s="64">
        <v>157.82</v>
      </c>
      <c r="O198" s="64">
        <v>73.849999999999994</v>
      </c>
      <c r="P198" s="64">
        <v>185</v>
      </c>
      <c r="Q198" s="64">
        <v>405.34</v>
      </c>
      <c r="R198" s="64">
        <v>95.13</v>
      </c>
      <c r="S198" s="11">
        <f t="shared" si="127"/>
        <v>1781.8899999999999</v>
      </c>
      <c r="T198" s="9"/>
      <c r="U198" s="1"/>
      <c r="V198" s="50">
        <f t="shared" si="125"/>
        <v>963185</v>
      </c>
      <c r="W198" s="36">
        <v>1.8500010816189674</v>
      </c>
      <c r="X198" s="36">
        <v>1.8500010816189674</v>
      </c>
      <c r="Y198" s="36">
        <v>1.8500010816189674</v>
      </c>
      <c r="Z198" s="36">
        <v>1.8500010816189674</v>
      </c>
      <c r="AA198" s="36">
        <v>1.8500010816189674</v>
      </c>
      <c r="AB198" s="36">
        <v>1.8500010816189674</v>
      </c>
      <c r="AC198" s="36">
        <v>1.8500010816189674</v>
      </c>
      <c r="AD198" s="36">
        <v>1.8500010816189674</v>
      </c>
      <c r="AE198" s="36">
        <v>1.8500010816189674</v>
      </c>
      <c r="AF198" s="36">
        <v>1.8500010816189674</v>
      </c>
      <c r="AG198" s="36">
        <v>1.8500010816189674</v>
      </c>
      <c r="AH198" s="36">
        <v>1.8500010816189674</v>
      </c>
      <c r="AI198" s="39">
        <v>0</v>
      </c>
      <c r="AJ198" s="39">
        <v>0</v>
      </c>
      <c r="AK198" s="39">
        <v>0</v>
      </c>
      <c r="AL198" s="39">
        <v>0</v>
      </c>
      <c r="AM198" s="39">
        <v>0</v>
      </c>
      <c r="AN198" s="39">
        <v>0</v>
      </c>
      <c r="AO198" s="39">
        <v>0</v>
      </c>
      <c r="AP198" s="39">
        <v>0</v>
      </c>
      <c r="AQ198" s="39">
        <v>0</v>
      </c>
      <c r="AR198" s="39">
        <v>0</v>
      </c>
      <c r="AS198" s="39">
        <v>0</v>
      </c>
      <c r="AT198" s="39">
        <v>0</v>
      </c>
      <c r="AU198" s="39">
        <v>0</v>
      </c>
      <c r="AV198" s="39">
        <v>0</v>
      </c>
      <c r="AW198" s="39">
        <v>0</v>
      </c>
      <c r="AX198" s="39">
        <v>0</v>
      </c>
      <c r="AY198" s="39">
        <v>0</v>
      </c>
      <c r="AZ198" s="39">
        <v>0</v>
      </c>
      <c r="BA198" s="39">
        <v>0</v>
      </c>
      <c r="BB198" s="39">
        <v>0</v>
      </c>
      <c r="BC198" s="39">
        <v>0</v>
      </c>
      <c r="BD198" s="39">
        <v>0</v>
      </c>
      <c r="BE198" s="39">
        <v>0</v>
      </c>
      <c r="BF198" s="39">
        <v>0</v>
      </c>
      <c r="BG198" s="1"/>
      <c r="BH198" s="12">
        <f t="shared" si="87"/>
        <v>147.76</v>
      </c>
      <c r="BI198" s="12">
        <f t="shared" si="88"/>
        <v>121.16</v>
      </c>
      <c r="BJ198" s="12">
        <f t="shared" si="89"/>
        <v>121.16</v>
      </c>
      <c r="BK198" s="12">
        <f t="shared" si="90"/>
        <v>74.39</v>
      </c>
      <c r="BL198" s="12">
        <f t="shared" si="91"/>
        <v>164.7</v>
      </c>
      <c r="BM198" s="12">
        <f t="shared" si="92"/>
        <v>178.75</v>
      </c>
      <c r="BN198" s="12">
        <f t="shared" si="93"/>
        <v>56.83</v>
      </c>
      <c r="BO198" s="12">
        <f t="shared" si="94"/>
        <v>157.82</v>
      </c>
      <c r="BP198" s="12">
        <f t="shared" si="95"/>
        <v>73.849999999999994</v>
      </c>
      <c r="BQ198" s="12">
        <f t="shared" si="96"/>
        <v>185</v>
      </c>
      <c r="BR198" s="12">
        <f t="shared" si="97"/>
        <v>405.34</v>
      </c>
      <c r="BS198" s="12">
        <f t="shared" si="98"/>
        <v>95.13</v>
      </c>
      <c r="BT198" s="1"/>
      <c r="BU198" s="11">
        <f t="shared" si="99"/>
        <v>147.76</v>
      </c>
      <c r="BV198" s="11">
        <f t="shared" si="100"/>
        <v>121.16</v>
      </c>
      <c r="BW198" s="11">
        <f t="shared" si="101"/>
        <v>121.16</v>
      </c>
      <c r="BX198" s="11">
        <f t="shared" si="102"/>
        <v>74.39</v>
      </c>
      <c r="BY198" s="11">
        <f t="shared" si="103"/>
        <v>164.7</v>
      </c>
      <c r="BZ198" s="11">
        <f t="shared" si="104"/>
        <v>178.75</v>
      </c>
      <c r="CA198" s="11">
        <f t="shared" si="105"/>
        <v>56.83</v>
      </c>
      <c r="CB198" s="11">
        <f t="shared" si="106"/>
        <v>157.82</v>
      </c>
      <c r="CC198" s="11">
        <f t="shared" si="107"/>
        <v>73.849999999999994</v>
      </c>
      <c r="CD198" s="11">
        <f t="shared" si="108"/>
        <v>185</v>
      </c>
      <c r="CE198" s="11">
        <f t="shared" si="109"/>
        <v>405.34</v>
      </c>
      <c r="CF198" s="11">
        <f t="shared" si="110"/>
        <v>95.13</v>
      </c>
      <c r="CG198" s="11"/>
      <c r="CH198" s="41">
        <v>1</v>
      </c>
      <c r="CI198" s="1"/>
      <c r="CJ198" s="53">
        <f t="shared" si="111"/>
        <v>79870</v>
      </c>
      <c r="CK198" s="53">
        <f t="shared" si="112"/>
        <v>65492</v>
      </c>
      <c r="CL198" s="53">
        <f t="shared" si="113"/>
        <v>65492</v>
      </c>
      <c r="CM198" s="53">
        <f t="shared" si="114"/>
        <v>40211</v>
      </c>
      <c r="CN198" s="53">
        <f t="shared" si="115"/>
        <v>89027</v>
      </c>
      <c r="CO198" s="53">
        <f t="shared" si="116"/>
        <v>96622</v>
      </c>
      <c r="CP198" s="53">
        <f t="shared" si="117"/>
        <v>30719</v>
      </c>
      <c r="CQ198" s="53">
        <f t="shared" si="118"/>
        <v>85308</v>
      </c>
      <c r="CR198" s="53">
        <f t="shared" si="119"/>
        <v>39919</v>
      </c>
      <c r="CS198" s="53">
        <f t="shared" si="120"/>
        <v>100000</v>
      </c>
      <c r="CT198" s="53">
        <f t="shared" si="121"/>
        <v>219103</v>
      </c>
      <c r="CU198" s="53">
        <f t="shared" si="122"/>
        <v>51422</v>
      </c>
      <c r="CV198" s="53">
        <f t="shared" si="126"/>
        <v>963185</v>
      </c>
      <c r="CW198" s="1"/>
      <c r="CX198" s="1"/>
      <c r="CY198" s="1"/>
      <c r="CZ198" s="1"/>
      <c r="DA198" s="1"/>
      <c r="DB198" s="1"/>
      <c r="DC198" s="1"/>
      <c r="DD198" s="1"/>
      <c r="DE198" s="1"/>
      <c r="DF198" s="1"/>
      <c r="DG198" s="1"/>
      <c r="DH198" s="1"/>
      <c r="DI198" s="1"/>
      <c r="DJ198" s="1"/>
      <c r="DK198" s="1"/>
      <c r="DL198" s="1"/>
    </row>
    <row r="199" spans="1:116" ht="15.75" hidden="1" x14ac:dyDescent="0.25">
      <c r="A199" s="17"/>
      <c r="B199" s="17"/>
      <c r="C199" s="17"/>
      <c r="D199" s="17"/>
      <c r="E199" s="17"/>
      <c r="F199" s="31" t="s">
        <v>21</v>
      </c>
      <c r="G199" s="64">
        <v>25.36</v>
      </c>
      <c r="H199" s="64">
        <v>25.36</v>
      </c>
      <c r="I199" s="64">
        <v>25.36</v>
      </c>
      <c r="J199" s="64">
        <v>25.36</v>
      </c>
      <c r="K199" s="64">
        <v>25.36</v>
      </c>
      <c r="L199" s="64">
        <v>25.36</v>
      </c>
      <c r="M199" s="64">
        <v>25.36</v>
      </c>
      <c r="N199" s="64">
        <v>25.36</v>
      </c>
      <c r="O199" s="64">
        <v>31.7</v>
      </c>
      <c r="P199" s="64">
        <v>31.7</v>
      </c>
      <c r="Q199" s="64">
        <v>31.7</v>
      </c>
      <c r="R199" s="64">
        <v>31.7</v>
      </c>
      <c r="S199" s="11">
        <f t="shared" si="127"/>
        <v>329.67999999999995</v>
      </c>
      <c r="T199" s="9"/>
      <c r="U199" s="1"/>
      <c r="V199" s="50">
        <f t="shared" si="125"/>
        <v>104000</v>
      </c>
      <c r="W199" s="36">
        <v>3.17</v>
      </c>
      <c r="X199" s="36">
        <v>3.17</v>
      </c>
      <c r="Y199" s="36">
        <v>3.17</v>
      </c>
      <c r="Z199" s="36">
        <v>3.17</v>
      </c>
      <c r="AA199" s="36">
        <v>3.17</v>
      </c>
      <c r="AB199" s="36">
        <v>3.17</v>
      </c>
      <c r="AC199" s="36">
        <v>3.17</v>
      </c>
      <c r="AD199" s="36">
        <v>3.17</v>
      </c>
      <c r="AE199" s="36">
        <v>3.17</v>
      </c>
      <c r="AF199" s="36">
        <v>3.17</v>
      </c>
      <c r="AG199" s="36">
        <v>3.17</v>
      </c>
      <c r="AH199" s="36">
        <v>3.17</v>
      </c>
      <c r="AI199" s="39">
        <v>0</v>
      </c>
      <c r="AJ199" s="39">
        <v>0</v>
      </c>
      <c r="AK199" s="39">
        <v>0</v>
      </c>
      <c r="AL199" s="39">
        <v>0</v>
      </c>
      <c r="AM199" s="39">
        <v>0</v>
      </c>
      <c r="AN199" s="39">
        <v>0</v>
      </c>
      <c r="AO199" s="39">
        <v>0</v>
      </c>
      <c r="AP199" s="39">
        <v>0</v>
      </c>
      <c r="AQ199" s="39">
        <v>0</v>
      </c>
      <c r="AR199" s="39">
        <v>0</v>
      </c>
      <c r="AS199" s="39">
        <v>0</v>
      </c>
      <c r="AT199" s="39">
        <v>0</v>
      </c>
      <c r="AU199" s="39">
        <v>0</v>
      </c>
      <c r="AV199" s="39">
        <v>0</v>
      </c>
      <c r="AW199" s="39">
        <v>0</v>
      </c>
      <c r="AX199" s="39">
        <v>0</v>
      </c>
      <c r="AY199" s="39">
        <v>0</v>
      </c>
      <c r="AZ199" s="39">
        <v>0</v>
      </c>
      <c r="BA199" s="39">
        <v>0</v>
      </c>
      <c r="BB199" s="39">
        <v>0</v>
      </c>
      <c r="BC199" s="39">
        <v>0</v>
      </c>
      <c r="BD199" s="39">
        <v>0</v>
      </c>
      <c r="BE199" s="39">
        <v>0</v>
      </c>
      <c r="BF199" s="39">
        <v>0</v>
      </c>
      <c r="BG199" s="1"/>
      <c r="BH199" s="12">
        <f t="shared" si="87"/>
        <v>25.36</v>
      </c>
      <c r="BI199" s="12">
        <f t="shared" si="88"/>
        <v>25.36</v>
      </c>
      <c r="BJ199" s="12">
        <f t="shared" si="89"/>
        <v>25.36</v>
      </c>
      <c r="BK199" s="12">
        <f t="shared" si="90"/>
        <v>25.36</v>
      </c>
      <c r="BL199" s="12">
        <f t="shared" si="91"/>
        <v>25.36</v>
      </c>
      <c r="BM199" s="12">
        <f t="shared" si="92"/>
        <v>25.36</v>
      </c>
      <c r="BN199" s="12">
        <f t="shared" si="93"/>
        <v>25.36</v>
      </c>
      <c r="BO199" s="12">
        <f t="shared" si="94"/>
        <v>25.36</v>
      </c>
      <c r="BP199" s="12">
        <f t="shared" si="95"/>
        <v>31.7</v>
      </c>
      <c r="BQ199" s="12">
        <f t="shared" si="96"/>
        <v>31.7</v>
      </c>
      <c r="BR199" s="12">
        <f t="shared" si="97"/>
        <v>31.7</v>
      </c>
      <c r="BS199" s="12">
        <f t="shared" si="98"/>
        <v>31.7</v>
      </c>
      <c r="BT199" s="1"/>
      <c r="BU199" s="11">
        <f t="shared" si="99"/>
        <v>25.36</v>
      </c>
      <c r="BV199" s="11">
        <f t="shared" si="100"/>
        <v>25.36</v>
      </c>
      <c r="BW199" s="11">
        <f t="shared" si="101"/>
        <v>25.36</v>
      </c>
      <c r="BX199" s="11">
        <f t="shared" si="102"/>
        <v>25.36</v>
      </c>
      <c r="BY199" s="11">
        <f t="shared" si="103"/>
        <v>25.36</v>
      </c>
      <c r="BZ199" s="11">
        <f t="shared" si="104"/>
        <v>25.36</v>
      </c>
      <c r="CA199" s="11">
        <f t="shared" si="105"/>
        <v>25.36</v>
      </c>
      <c r="CB199" s="11">
        <f t="shared" si="106"/>
        <v>25.36</v>
      </c>
      <c r="CC199" s="11">
        <f t="shared" si="107"/>
        <v>31.7</v>
      </c>
      <c r="CD199" s="11">
        <f t="shared" si="108"/>
        <v>31.7</v>
      </c>
      <c r="CE199" s="11">
        <f t="shared" si="109"/>
        <v>31.7</v>
      </c>
      <c r="CF199" s="11">
        <f t="shared" si="110"/>
        <v>31.7</v>
      </c>
      <c r="CG199" s="11"/>
      <c r="CH199" s="41">
        <v>1</v>
      </c>
      <c r="CI199" s="1"/>
      <c r="CJ199" s="53">
        <f t="shared" si="111"/>
        <v>8000</v>
      </c>
      <c r="CK199" s="53">
        <f t="shared" si="112"/>
        <v>8000</v>
      </c>
      <c r="CL199" s="53">
        <f t="shared" si="113"/>
        <v>8000</v>
      </c>
      <c r="CM199" s="53">
        <f t="shared" si="114"/>
        <v>8000</v>
      </c>
      <c r="CN199" s="53">
        <f t="shared" si="115"/>
        <v>8000</v>
      </c>
      <c r="CO199" s="53">
        <f t="shared" si="116"/>
        <v>8000</v>
      </c>
      <c r="CP199" s="53">
        <f t="shared" si="117"/>
        <v>8000</v>
      </c>
      <c r="CQ199" s="53">
        <f t="shared" si="118"/>
        <v>8000</v>
      </c>
      <c r="CR199" s="53">
        <f t="shared" si="119"/>
        <v>10000</v>
      </c>
      <c r="CS199" s="53">
        <f t="shared" si="120"/>
        <v>10000</v>
      </c>
      <c r="CT199" s="53">
        <f t="shared" si="121"/>
        <v>10000</v>
      </c>
      <c r="CU199" s="53">
        <f t="shared" si="122"/>
        <v>10000</v>
      </c>
      <c r="CV199" s="53">
        <f t="shared" si="126"/>
        <v>104000</v>
      </c>
      <c r="CW199" s="1"/>
      <c r="CX199" s="1"/>
      <c r="CY199" s="1"/>
      <c r="CZ199" s="1"/>
      <c r="DA199" s="1"/>
      <c r="DB199" s="1"/>
      <c r="DC199" s="1"/>
      <c r="DD199" s="1"/>
      <c r="DE199" s="1"/>
      <c r="DF199" s="1"/>
      <c r="DG199" s="1"/>
      <c r="DH199" s="1"/>
      <c r="DI199" s="1"/>
      <c r="DJ199" s="1"/>
      <c r="DK199" s="1"/>
      <c r="DL199" s="1"/>
    </row>
    <row r="200" spans="1:116" ht="15.75" hidden="1" x14ac:dyDescent="0.25">
      <c r="A200" s="17"/>
      <c r="B200" s="17"/>
      <c r="C200" s="17"/>
      <c r="D200" s="17"/>
      <c r="E200" s="17"/>
      <c r="F200" s="31" t="s">
        <v>21</v>
      </c>
      <c r="G200" s="64">
        <v>0</v>
      </c>
      <c r="H200" s="64">
        <v>0</v>
      </c>
      <c r="I200" s="64">
        <v>0</v>
      </c>
      <c r="J200" s="64">
        <v>0</v>
      </c>
      <c r="K200" s="64">
        <v>0</v>
      </c>
      <c r="L200" s="64">
        <v>0</v>
      </c>
      <c r="M200" s="64">
        <v>0</v>
      </c>
      <c r="N200" s="64">
        <v>0</v>
      </c>
      <c r="O200" s="64">
        <v>0</v>
      </c>
      <c r="P200" s="64">
        <v>0</v>
      </c>
      <c r="Q200" s="64">
        <v>0</v>
      </c>
      <c r="R200" s="64">
        <v>0</v>
      </c>
      <c r="S200" s="11">
        <f t="shared" si="127"/>
        <v>0</v>
      </c>
      <c r="T200" s="9"/>
      <c r="U200" s="1"/>
      <c r="V200" s="50">
        <f t="shared" si="125"/>
        <v>0</v>
      </c>
      <c r="W200" s="36">
        <v>3.149</v>
      </c>
      <c r="X200" s="36">
        <v>3.149</v>
      </c>
      <c r="Y200" s="36">
        <v>3.149</v>
      </c>
      <c r="Z200" s="36">
        <v>3.149</v>
      </c>
      <c r="AA200" s="36">
        <v>3.149</v>
      </c>
      <c r="AB200" s="36">
        <v>3.149</v>
      </c>
      <c r="AC200" s="36">
        <v>3.149</v>
      </c>
      <c r="AD200" s="36">
        <v>3.149</v>
      </c>
      <c r="AE200" s="36">
        <v>3.149</v>
      </c>
      <c r="AF200" s="36">
        <v>3.149</v>
      </c>
      <c r="AG200" s="36">
        <v>3.149</v>
      </c>
      <c r="AH200" s="36">
        <v>3.149</v>
      </c>
      <c r="AI200" s="39">
        <v>1.33634708931066E-2</v>
      </c>
      <c r="AJ200" s="39">
        <v>1.33634708931066E-2</v>
      </c>
      <c r="AK200" s="39">
        <v>1.33634708931066E-2</v>
      </c>
      <c r="AL200" s="39">
        <v>1.33634708931066E-2</v>
      </c>
      <c r="AM200" s="39">
        <v>1.33634708931066E-2</v>
      </c>
      <c r="AN200" s="39">
        <v>1.33634708931066E-2</v>
      </c>
      <c r="AO200" s="39">
        <v>1.33634708931066E-2</v>
      </c>
      <c r="AP200" s="39">
        <v>1.33634708931066E-2</v>
      </c>
      <c r="AQ200" s="39">
        <v>1.33634708931066E-2</v>
      </c>
      <c r="AR200" s="39">
        <v>1.33634708931066E-2</v>
      </c>
      <c r="AS200" s="39">
        <v>1.33634708931066E-2</v>
      </c>
      <c r="AT200" s="39">
        <v>1.33634708931066E-2</v>
      </c>
      <c r="AU200" s="39">
        <v>1.2392217523121999E-3</v>
      </c>
      <c r="AV200" s="39">
        <v>1.2392217523121999E-3</v>
      </c>
      <c r="AW200" s="39">
        <v>1.2392217523121999E-3</v>
      </c>
      <c r="AX200" s="39">
        <v>1.2392217523121999E-3</v>
      </c>
      <c r="AY200" s="39">
        <v>1.2392217523121999E-3</v>
      </c>
      <c r="AZ200" s="39">
        <v>1.2392217523121999E-3</v>
      </c>
      <c r="BA200" s="39">
        <v>1.2392217523121999E-3</v>
      </c>
      <c r="BB200" s="39">
        <v>1.2392217523121999E-3</v>
      </c>
      <c r="BC200" s="39">
        <v>1.2392217523121999E-3</v>
      </c>
      <c r="BD200" s="39">
        <v>1.2392217523121999E-3</v>
      </c>
      <c r="BE200" s="39">
        <v>1.2392217523121999E-3</v>
      </c>
      <c r="BF200" s="39">
        <v>1.2392217523121999E-3</v>
      </c>
      <c r="BG200" s="1"/>
      <c r="BH200" s="12">
        <f t="shared" si="87"/>
        <v>0</v>
      </c>
      <c r="BI200" s="12">
        <f t="shared" si="88"/>
        <v>0</v>
      </c>
      <c r="BJ200" s="12">
        <f t="shared" si="89"/>
        <v>0</v>
      </c>
      <c r="BK200" s="12">
        <f t="shared" si="90"/>
        <v>0</v>
      </c>
      <c r="BL200" s="12">
        <f t="shared" si="91"/>
        <v>0</v>
      </c>
      <c r="BM200" s="12">
        <f t="shared" si="92"/>
        <v>0</v>
      </c>
      <c r="BN200" s="12">
        <f t="shared" si="93"/>
        <v>0</v>
      </c>
      <c r="BO200" s="12">
        <f t="shared" si="94"/>
        <v>0</v>
      </c>
      <c r="BP200" s="12">
        <f t="shared" si="95"/>
        <v>0</v>
      </c>
      <c r="BQ200" s="12">
        <f t="shared" si="96"/>
        <v>0</v>
      </c>
      <c r="BR200" s="12">
        <f t="shared" si="97"/>
        <v>0</v>
      </c>
      <c r="BS200" s="12">
        <f t="shared" si="98"/>
        <v>0</v>
      </c>
      <c r="BT200" s="1"/>
      <c r="BU200" s="11">
        <f t="shared" si="99"/>
        <v>0</v>
      </c>
      <c r="BV200" s="11">
        <f t="shared" si="100"/>
        <v>0</v>
      </c>
      <c r="BW200" s="11">
        <f t="shared" si="101"/>
        <v>0</v>
      </c>
      <c r="BX200" s="11">
        <f t="shared" si="102"/>
        <v>0</v>
      </c>
      <c r="BY200" s="11">
        <f t="shared" si="103"/>
        <v>0</v>
      </c>
      <c r="BZ200" s="11">
        <f t="shared" si="104"/>
        <v>0</v>
      </c>
      <c r="CA200" s="11">
        <f t="shared" si="105"/>
        <v>0</v>
      </c>
      <c r="CB200" s="11">
        <f t="shared" si="106"/>
        <v>0</v>
      </c>
      <c r="CC200" s="11">
        <f t="shared" si="107"/>
        <v>0</v>
      </c>
      <c r="CD200" s="11">
        <f t="shared" si="108"/>
        <v>0</v>
      </c>
      <c r="CE200" s="11">
        <f t="shared" si="109"/>
        <v>0</v>
      </c>
      <c r="CF200" s="11">
        <f t="shared" si="110"/>
        <v>0</v>
      </c>
      <c r="CG200" s="11"/>
      <c r="CH200" s="41">
        <v>3.23</v>
      </c>
      <c r="CI200" s="1"/>
      <c r="CJ200" s="53">
        <f t="shared" si="111"/>
        <v>0</v>
      </c>
      <c r="CK200" s="53">
        <f t="shared" si="112"/>
        <v>0</v>
      </c>
      <c r="CL200" s="53">
        <f t="shared" si="113"/>
        <v>0</v>
      </c>
      <c r="CM200" s="53">
        <f t="shared" si="114"/>
        <v>0</v>
      </c>
      <c r="CN200" s="53">
        <f t="shared" si="115"/>
        <v>0</v>
      </c>
      <c r="CO200" s="53">
        <f t="shared" si="116"/>
        <v>0</v>
      </c>
      <c r="CP200" s="53">
        <f t="shared" si="117"/>
        <v>0</v>
      </c>
      <c r="CQ200" s="53">
        <f t="shared" si="118"/>
        <v>0</v>
      </c>
      <c r="CR200" s="53">
        <f t="shared" si="119"/>
        <v>0</v>
      </c>
      <c r="CS200" s="53">
        <f t="shared" si="120"/>
        <v>0</v>
      </c>
      <c r="CT200" s="53">
        <f t="shared" si="121"/>
        <v>0</v>
      </c>
      <c r="CU200" s="53">
        <f t="shared" si="122"/>
        <v>0</v>
      </c>
      <c r="CV200" s="53">
        <f t="shared" si="126"/>
        <v>0</v>
      </c>
      <c r="CW200" s="1"/>
      <c r="CX200" s="1"/>
      <c r="CY200" s="1"/>
      <c r="CZ200" s="1"/>
      <c r="DA200" s="1"/>
      <c r="DB200" s="1"/>
      <c r="DC200" s="1"/>
      <c r="DD200" s="1"/>
      <c r="DE200" s="1"/>
      <c r="DF200" s="1"/>
      <c r="DG200" s="1"/>
      <c r="DH200" s="1"/>
      <c r="DI200" s="1"/>
      <c r="DJ200" s="1"/>
      <c r="DK200" s="1"/>
      <c r="DL200" s="1"/>
    </row>
    <row r="201" spans="1:116" ht="15.75" hidden="1" x14ac:dyDescent="0.25">
      <c r="A201" s="17"/>
      <c r="B201" s="17"/>
      <c r="C201" s="17"/>
      <c r="D201" s="17"/>
      <c r="E201" s="17"/>
      <c r="F201" s="31" t="s">
        <v>21</v>
      </c>
      <c r="G201" s="64">
        <v>0</v>
      </c>
      <c r="H201" s="64">
        <v>0</v>
      </c>
      <c r="I201" s="64">
        <v>0</v>
      </c>
      <c r="J201" s="64">
        <v>0</v>
      </c>
      <c r="K201" s="64">
        <v>0</v>
      </c>
      <c r="L201" s="64">
        <v>0</v>
      </c>
      <c r="M201" s="64">
        <v>0</v>
      </c>
      <c r="N201" s="64">
        <v>0</v>
      </c>
      <c r="O201" s="64">
        <v>0</v>
      </c>
      <c r="P201" s="64">
        <v>0</v>
      </c>
      <c r="Q201" s="64">
        <v>0</v>
      </c>
      <c r="R201" s="64">
        <v>0</v>
      </c>
      <c r="S201" s="11">
        <f t="shared" si="127"/>
        <v>0</v>
      </c>
      <c r="T201" s="9"/>
      <c r="U201" s="1"/>
      <c r="V201" s="50">
        <f t="shared" si="125"/>
        <v>0</v>
      </c>
      <c r="W201" s="36">
        <v>1.4379999999999999</v>
      </c>
      <c r="X201" s="36">
        <v>1.4379999999999999</v>
      </c>
      <c r="Y201" s="36">
        <v>1.4379999999999999</v>
      </c>
      <c r="Z201" s="36">
        <v>1.4379999999999999</v>
      </c>
      <c r="AA201" s="36">
        <v>1.4379999999999999</v>
      </c>
      <c r="AB201" s="36">
        <v>1.4379999999999999</v>
      </c>
      <c r="AC201" s="36">
        <v>1.4379999999999999</v>
      </c>
      <c r="AD201" s="36">
        <v>1.4379999999999999</v>
      </c>
      <c r="AE201" s="36">
        <v>1.4379999999999999</v>
      </c>
      <c r="AF201" s="36">
        <v>1.4379999999999999</v>
      </c>
      <c r="AG201" s="36">
        <v>1.4379999999999999</v>
      </c>
      <c r="AH201" s="36">
        <v>1.4379999999999999</v>
      </c>
      <c r="AI201" s="39">
        <v>1.33634708931066E-2</v>
      </c>
      <c r="AJ201" s="39">
        <v>1.33634708931066E-2</v>
      </c>
      <c r="AK201" s="39">
        <v>1.33634708931066E-2</v>
      </c>
      <c r="AL201" s="39">
        <v>1.33634708931066E-2</v>
      </c>
      <c r="AM201" s="39">
        <v>1.33634708931066E-2</v>
      </c>
      <c r="AN201" s="39">
        <v>1.33634708931066E-2</v>
      </c>
      <c r="AO201" s="39">
        <v>1.33634708931066E-2</v>
      </c>
      <c r="AP201" s="39">
        <v>1.33634708931066E-2</v>
      </c>
      <c r="AQ201" s="39">
        <v>1.33634708931066E-2</v>
      </c>
      <c r="AR201" s="39">
        <v>1.33634708931066E-2</v>
      </c>
      <c r="AS201" s="39">
        <v>1.33634708931066E-2</v>
      </c>
      <c r="AT201" s="39">
        <v>1.33634708931066E-2</v>
      </c>
      <c r="AU201" s="39">
        <v>1.2392217523121999E-3</v>
      </c>
      <c r="AV201" s="39">
        <v>1.2392217523121999E-3</v>
      </c>
      <c r="AW201" s="39">
        <v>1.2392217523121999E-3</v>
      </c>
      <c r="AX201" s="39">
        <v>1.2392217523121999E-3</v>
      </c>
      <c r="AY201" s="39">
        <v>1.2392217523121999E-3</v>
      </c>
      <c r="AZ201" s="39">
        <v>1.2392217523121999E-3</v>
      </c>
      <c r="BA201" s="39">
        <v>1.2392217523121999E-3</v>
      </c>
      <c r="BB201" s="39">
        <v>1.2392217523121999E-3</v>
      </c>
      <c r="BC201" s="39">
        <v>1.2392217523121999E-3</v>
      </c>
      <c r="BD201" s="39">
        <v>1.2392217523121999E-3</v>
      </c>
      <c r="BE201" s="39">
        <v>1.2392217523121999E-3</v>
      </c>
      <c r="BF201" s="39">
        <v>1.2392217523121999E-3</v>
      </c>
      <c r="BG201" s="1"/>
      <c r="BH201" s="12">
        <f t="shared" si="87"/>
        <v>0</v>
      </c>
      <c r="BI201" s="12">
        <f t="shared" si="88"/>
        <v>0</v>
      </c>
      <c r="BJ201" s="12">
        <f t="shared" si="89"/>
        <v>0</v>
      </c>
      <c r="BK201" s="12">
        <f t="shared" si="90"/>
        <v>0</v>
      </c>
      <c r="BL201" s="12">
        <f t="shared" si="91"/>
        <v>0</v>
      </c>
      <c r="BM201" s="12">
        <f t="shared" si="92"/>
        <v>0</v>
      </c>
      <c r="BN201" s="12">
        <f t="shared" si="93"/>
        <v>0</v>
      </c>
      <c r="BO201" s="12">
        <f t="shared" si="94"/>
        <v>0</v>
      </c>
      <c r="BP201" s="12">
        <f t="shared" si="95"/>
        <v>0</v>
      </c>
      <c r="BQ201" s="12">
        <f t="shared" si="96"/>
        <v>0</v>
      </c>
      <c r="BR201" s="12">
        <f t="shared" si="97"/>
        <v>0</v>
      </c>
      <c r="BS201" s="12">
        <f t="shared" si="98"/>
        <v>0</v>
      </c>
      <c r="BT201" s="1"/>
      <c r="BU201" s="11">
        <f t="shared" si="99"/>
        <v>0</v>
      </c>
      <c r="BV201" s="11">
        <f t="shared" si="100"/>
        <v>0</v>
      </c>
      <c r="BW201" s="11">
        <f t="shared" si="101"/>
        <v>0</v>
      </c>
      <c r="BX201" s="11">
        <f t="shared" si="102"/>
        <v>0</v>
      </c>
      <c r="BY201" s="11">
        <f t="shared" si="103"/>
        <v>0</v>
      </c>
      <c r="BZ201" s="11">
        <f t="shared" si="104"/>
        <v>0</v>
      </c>
      <c r="CA201" s="11">
        <f t="shared" si="105"/>
        <v>0</v>
      </c>
      <c r="CB201" s="11">
        <f t="shared" si="106"/>
        <v>0</v>
      </c>
      <c r="CC201" s="11">
        <f t="shared" si="107"/>
        <v>0</v>
      </c>
      <c r="CD201" s="11">
        <f t="shared" si="108"/>
        <v>0</v>
      </c>
      <c r="CE201" s="11">
        <f t="shared" si="109"/>
        <v>0</v>
      </c>
      <c r="CF201" s="11">
        <f t="shared" si="110"/>
        <v>0</v>
      </c>
      <c r="CG201" s="11"/>
      <c r="CH201" s="41">
        <v>3.23</v>
      </c>
      <c r="CI201" s="1"/>
      <c r="CJ201" s="53">
        <f t="shared" si="111"/>
        <v>0</v>
      </c>
      <c r="CK201" s="53">
        <f t="shared" si="112"/>
        <v>0</v>
      </c>
      <c r="CL201" s="53">
        <f t="shared" si="113"/>
        <v>0</v>
      </c>
      <c r="CM201" s="53">
        <f t="shared" si="114"/>
        <v>0</v>
      </c>
      <c r="CN201" s="53">
        <f t="shared" si="115"/>
        <v>0</v>
      </c>
      <c r="CO201" s="53">
        <f t="shared" si="116"/>
        <v>0</v>
      </c>
      <c r="CP201" s="53">
        <f t="shared" si="117"/>
        <v>0</v>
      </c>
      <c r="CQ201" s="53">
        <f t="shared" si="118"/>
        <v>0</v>
      </c>
      <c r="CR201" s="53">
        <f t="shared" si="119"/>
        <v>0</v>
      </c>
      <c r="CS201" s="53">
        <f t="shared" si="120"/>
        <v>0</v>
      </c>
      <c r="CT201" s="53">
        <f t="shared" si="121"/>
        <v>0</v>
      </c>
      <c r="CU201" s="53">
        <f t="shared" si="122"/>
        <v>0</v>
      </c>
      <c r="CV201" s="53">
        <f t="shared" si="126"/>
        <v>0</v>
      </c>
      <c r="CW201" s="1"/>
      <c r="CX201" s="1"/>
      <c r="CY201" s="1"/>
      <c r="CZ201" s="1"/>
      <c r="DA201" s="1"/>
      <c r="DB201" s="1"/>
      <c r="DC201" s="1"/>
      <c r="DD201" s="1"/>
      <c r="DE201" s="1"/>
      <c r="DF201" s="1"/>
      <c r="DG201" s="1"/>
      <c r="DH201" s="1"/>
      <c r="DI201" s="1"/>
      <c r="DJ201" s="1"/>
      <c r="DK201" s="1"/>
      <c r="DL201" s="1"/>
    </row>
    <row r="202" spans="1:116" ht="15.75" hidden="1" x14ac:dyDescent="0.25">
      <c r="A202" s="17"/>
      <c r="B202" s="17"/>
      <c r="C202" s="17"/>
      <c r="D202" s="17"/>
      <c r="E202" s="17"/>
      <c r="F202" s="31" t="s">
        <v>21</v>
      </c>
      <c r="G202" s="64">
        <v>99.7</v>
      </c>
      <c r="H202" s="64">
        <v>104.56</v>
      </c>
      <c r="I202" s="64">
        <v>69.790000000000006</v>
      </c>
      <c r="J202" s="64">
        <v>66.92</v>
      </c>
      <c r="K202" s="64">
        <v>54.37</v>
      </c>
      <c r="L202" s="64">
        <v>41.82</v>
      </c>
      <c r="M202" s="64">
        <v>41.82</v>
      </c>
      <c r="N202" s="64">
        <v>41.82</v>
      </c>
      <c r="O202" s="64">
        <v>75.28</v>
      </c>
      <c r="P202" s="64">
        <v>75.28</v>
      </c>
      <c r="Q202" s="64">
        <v>74.77</v>
      </c>
      <c r="R202" s="64">
        <v>49.85</v>
      </c>
      <c r="S202" s="11">
        <f t="shared" si="127"/>
        <v>795.98</v>
      </c>
      <c r="T202" s="9"/>
      <c r="U202" s="1"/>
      <c r="V202" s="50">
        <f t="shared" si="125"/>
        <v>1596426</v>
      </c>
      <c r="W202" s="36">
        <v>1.6339999999999999</v>
      </c>
      <c r="X202" s="36">
        <v>1.6339999999999999</v>
      </c>
      <c r="Y202" s="36">
        <v>1.6339999999999999</v>
      </c>
      <c r="Z202" s="36">
        <v>1.6339999999999999</v>
      </c>
      <c r="AA202" s="36">
        <v>1.6339999999999999</v>
      </c>
      <c r="AB202" s="36">
        <v>1.6339999999999999</v>
      </c>
      <c r="AC202" s="36">
        <v>1.6339999999999999</v>
      </c>
      <c r="AD202" s="36">
        <v>1.6339999999999999</v>
      </c>
      <c r="AE202" s="36">
        <v>1.6339999999999999</v>
      </c>
      <c r="AF202" s="36">
        <v>1.6339999999999999</v>
      </c>
      <c r="AG202" s="36">
        <v>1.6339999999999999</v>
      </c>
      <c r="AH202" s="36">
        <v>1.6339999999999999</v>
      </c>
      <c r="AI202" s="39">
        <v>1.33634708931066E-2</v>
      </c>
      <c r="AJ202" s="39">
        <v>1.33634708931066E-2</v>
      </c>
      <c r="AK202" s="39">
        <v>1.33634708931066E-2</v>
      </c>
      <c r="AL202" s="39">
        <v>1.33634708931066E-2</v>
      </c>
      <c r="AM202" s="39">
        <v>1.33634708931066E-2</v>
      </c>
      <c r="AN202" s="39">
        <v>1.33634708931066E-2</v>
      </c>
      <c r="AO202" s="39">
        <v>1.33634708931066E-2</v>
      </c>
      <c r="AP202" s="39">
        <v>1.33634708931066E-2</v>
      </c>
      <c r="AQ202" s="39">
        <v>1.33634708931066E-2</v>
      </c>
      <c r="AR202" s="39">
        <v>1.33634708931066E-2</v>
      </c>
      <c r="AS202" s="39">
        <v>1.33634708931066E-2</v>
      </c>
      <c r="AT202" s="39">
        <v>1.33634708931066E-2</v>
      </c>
      <c r="AU202" s="39">
        <v>1.2392217523121999E-3</v>
      </c>
      <c r="AV202" s="39">
        <v>1.2392217523121999E-3</v>
      </c>
      <c r="AW202" s="39">
        <v>1.2392217523121999E-3</v>
      </c>
      <c r="AX202" s="39">
        <v>1.2392217523121999E-3</v>
      </c>
      <c r="AY202" s="39">
        <v>1.2392217523121999E-3</v>
      </c>
      <c r="AZ202" s="39">
        <v>1.2392217523121999E-3</v>
      </c>
      <c r="BA202" s="39">
        <v>1.2392217523121999E-3</v>
      </c>
      <c r="BB202" s="39">
        <v>1.2392217523121999E-3</v>
      </c>
      <c r="BC202" s="39">
        <v>1.2392217523121999E-3</v>
      </c>
      <c r="BD202" s="39">
        <v>1.2392217523121999E-3</v>
      </c>
      <c r="BE202" s="39">
        <v>1.2392217523121999E-3</v>
      </c>
      <c r="BF202" s="39">
        <v>1.2392217523121999E-3</v>
      </c>
      <c r="BG202" s="1"/>
      <c r="BH202" s="12">
        <f t="shared" si="87"/>
        <v>322.03100000000001</v>
      </c>
      <c r="BI202" s="12">
        <f t="shared" si="88"/>
        <v>337.72879999999998</v>
      </c>
      <c r="BJ202" s="12">
        <f t="shared" si="89"/>
        <v>225.42170000000002</v>
      </c>
      <c r="BK202" s="12">
        <f t="shared" si="90"/>
        <v>216.1516</v>
      </c>
      <c r="BL202" s="12">
        <f t="shared" si="91"/>
        <v>175.61509999999998</v>
      </c>
      <c r="BM202" s="12">
        <f t="shared" si="92"/>
        <v>135.07859999999999</v>
      </c>
      <c r="BN202" s="12">
        <f t="shared" si="93"/>
        <v>135.07859999999999</v>
      </c>
      <c r="BO202" s="12">
        <f t="shared" si="94"/>
        <v>135.07859999999999</v>
      </c>
      <c r="BP202" s="12">
        <f t="shared" si="95"/>
        <v>243.15440000000001</v>
      </c>
      <c r="BQ202" s="12">
        <f t="shared" si="96"/>
        <v>243.15440000000001</v>
      </c>
      <c r="BR202" s="12">
        <f t="shared" si="97"/>
        <v>241.50709999999998</v>
      </c>
      <c r="BS202" s="12">
        <f t="shared" si="98"/>
        <v>161.0155</v>
      </c>
      <c r="BT202" s="1"/>
      <c r="BU202" s="11">
        <f t="shared" si="99"/>
        <v>326.73351971529689</v>
      </c>
      <c r="BV202" s="11">
        <f t="shared" si="100"/>
        <v>342.66054986390611</v>
      </c>
      <c r="BW202" s="11">
        <f t="shared" si="101"/>
        <v>228.71346380070781</v>
      </c>
      <c r="BX202" s="11">
        <f t="shared" si="102"/>
        <v>219.30799537961551</v>
      </c>
      <c r="BY202" s="11">
        <f t="shared" si="103"/>
        <v>178.17955332919448</v>
      </c>
      <c r="BZ202" s="11">
        <f t="shared" si="104"/>
        <v>137.05111127877348</v>
      </c>
      <c r="CA202" s="11">
        <f t="shared" si="105"/>
        <v>137.05111127877348</v>
      </c>
      <c r="CB202" s="11">
        <f t="shared" si="106"/>
        <v>137.05111127877348</v>
      </c>
      <c r="CC202" s="11">
        <f t="shared" si="107"/>
        <v>246.70510896858124</v>
      </c>
      <c r="CD202" s="11">
        <f t="shared" si="108"/>
        <v>246.70510896858124</v>
      </c>
      <c r="CE202" s="11">
        <f t="shared" si="109"/>
        <v>245.03375395298642</v>
      </c>
      <c r="CF202" s="11">
        <f t="shared" si="110"/>
        <v>163.36675985764845</v>
      </c>
      <c r="CG202" s="11"/>
      <c r="CH202" s="41">
        <v>3.23</v>
      </c>
      <c r="CI202" s="1"/>
      <c r="CJ202" s="53">
        <f t="shared" si="111"/>
        <v>199959</v>
      </c>
      <c r="CK202" s="53">
        <f t="shared" si="112"/>
        <v>209707</v>
      </c>
      <c r="CL202" s="53">
        <f t="shared" si="113"/>
        <v>139972</v>
      </c>
      <c r="CM202" s="53">
        <f t="shared" si="114"/>
        <v>134215</v>
      </c>
      <c r="CN202" s="53">
        <f t="shared" si="115"/>
        <v>109045</v>
      </c>
      <c r="CO202" s="53">
        <f t="shared" si="116"/>
        <v>83875</v>
      </c>
      <c r="CP202" s="53">
        <f t="shared" si="117"/>
        <v>83875</v>
      </c>
      <c r="CQ202" s="53">
        <f t="shared" si="118"/>
        <v>83875</v>
      </c>
      <c r="CR202" s="53">
        <f t="shared" si="119"/>
        <v>150982</v>
      </c>
      <c r="CS202" s="53">
        <f t="shared" si="120"/>
        <v>150982</v>
      </c>
      <c r="CT202" s="53">
        <f t="shared" si="121"/>
        <v>149959</v>
      </c>
      <c r="CU202" s="53">
        <f t="shared" si="122"/>
        <v>99980</v>
      </c>
      <c r="CV202" s="53">
        <f t="shared" si="126"/>
        <v>1596426</v>
      </c>
      <c r="CW202" s="1"/>
      <c r="CX202" s="1"/>
      <c r="CY202" s="1"/>
      <c r="CZ202" s="1"/>
      <c r="DA202" s="1"/>
      <c r="DB202" s="1"/>
      <c r="DC202" s="1"/>
      <c r="DD202" s="1"/>
      <c r="DE202" s="1"/>
      <c r="DF202" s="1"/>
      <c r="DG202" s="1"/>
      <c r="DH202" s="1"/>
      <c r="DI202" s="1"/>
      <c r="DJ202" s="1"/>
      <c r="DK202" s="1"/>
      <c r="DL202" s="1"/>
    </row>
    <row r="203" spans="1:116" ht="15.75" hidden="1" x14ac:dyDescent="0.25">
      <c r="A203" s="17"/>
      <c r="B203" s="17"/>
      <c r="C203" s="17"/>
      <c r="D203" s="17"/>
      <c r="E203" s="17"/>
      <c r="F203" s="31" t="s">
        <v>21</v>
      </c>
      <c r="G203" s="64">
        <v>65.040000000000006</v>
      </c>
      <c r="H203" s="64">
        <v>65.040000000000006</v>
      </c>
      <c r="I203" s="64">
        <v>65.040000000000006</v>
      </c>
      <c r="J203" s="64">
        <v>49.78</v>
      </c>
      <c r="K203" s="64">
        <v>35.56</v>
      </c>
      <c r="L203" s="64">
        <v>35.56</v>
      </c>
      <c r="M203" s="64">
        <v>35.56</v>
      </c>
      <c r="N203" s="64">
        <v>47.36</v>
      </c>
      <c r="O203" s="64">
        <v>55.25</v>
      </c>
      <c r="P203" s="64">
        <v>63.15</v>
      </c>
      <c r="Q203" s="64">
        <v>63.15</v>
      </c>
      <c r="R203" s="64">
        <v>55.25</v>
      </c>
      <c r="S203" s="11">
        <f t="shared" si="127"/>
        <v>635.74</v>
      </c>
      <c r="T203" s="9"/>
      <c r="U203" s="1"/>
      <c r="V203" s="50">
        <f t="shared" si="125"/>
        <v>787385</v>
      </c>
      <c r="W203" s="36">
        <v>2.6459999999999999</v>
      </c>
      <c r="X203" s="36">
        <v>2.6459999999999999</v>
      </c>
      <c r="Y203" s="36">
        <v>2.6459999999999999</v>
      </c>
      <c r="Z203" s="36">
        <v>2.6459999999999999</v>
      </c>
      <c r="AA203" s="36">
        <v>2.6459999999999999</v>
      </c>
      <c r="AB203" s="36">
        <v>2.6459999999999999</v>
      </c>
      <c r="AC203" s="36">
        <v>2.6459999999999999</v>
      </c>
      <c r="AD203" s="36">
        <v>2.6459999999999999</v>
      </c>
      <c r="AE203" s="36">
        <v>2.6459999999999999</v>
      </c>
      <c r="AF203" s="36">
        <v>2.6459999999999999</v>
      </c>
      <c r="AG203" s="36">
        <v>2.6459999999999999</v>
      </c>
      <c r="AH203" s="36">
        <v>2.6459999999999999</v>
      </c>
      <c r="AI203" s="39">
        <v>1.33634708931066E-2</v>
      </c>
      <c r="AJ203" s="39">
        <v>1.33634708931066E-2</v>
      </c>
      <c r="AK203" s="39">
        <v>1.33634708931066E-2</v>
      </c>
      <c r="AL203" s="39">
        <v>1.33634708931066E-2</v>
      </c>
      <c r="AM203" s="39">
        <v>1.33634708931066E-2</v>
      </c>
      <c r="AN203" s="39">
        <v>1.33634708931066E-2</v>
      </c>
      <c r="AO203" s="39">
        <v>1.33634708931066E-2</v>
      </c>
      <c r="AP203" s="39">
        <v>1.33634708931066E-2</v>
      </c>
      <c r="AQ203" s="39">
        <v>1.33634708931066E-2</v>
      </c>
      <c r="AR203" s="39">
        <v>1.33634708931066E-2</v>
      </c>
      <c r="AS203" s="39">
        <v>1.33634708931066E-2</v>
      </c>
      <c r="AT203" s="39">
        <v>1.33634708931066E-2</v>
      </c>
      <c r="AU203" s="39">
        <v>1.2392217523121999E-3</v>
      </c>
      <c r="AV203" s="39">
        <v>1.2392217523121999E-3</v>
      </c>
      <c r="AW203" s="39">
        <v>1.2392217523121999E-3</v>
      </c>
      <c r="AX203" s="39">
        <v>1.2392217523121999E-3</v>
      </c>
      <c r="AY203" s="39">
        <v>1.2392217523121999E-3</v>
      </c>
      <c r="AZ203" s="39">
        <v>1.2392217523121999E-3</v>
      </c>
      <c r="BA203" s="39">
        <v>1.2392217523121999E-3</v>
      </c>
      <c r="BB203" s="39">
        <v>1.2392217523121999E-3</v>
      </c>
      <c r="BC203" s="39">
        <v>1.2392217523121999E-3</v>
      </c>
      <c r="BD203" s="39">
        <v>1.2392217523121999E-3</v>
      </c>
      <c r="BE203" s="39">
        <v>1.2392217523121999E-3</v>
      </c>
      <c r="BF203" s="39">
        <v>1.2392217523121999E-3</v>
      </c>
      <c r="BG203" s="1"/>
      <c r="BH203" s="12">
        <f t="shared" si="87"/>
        <v>210.07920000000001</v>
      </c>
      <c r="BI203" s="12">
        <f t="shared" si="88"/>
        <v>210.07920000000001</v>
      </c>
      <c r="BJ203" s="12">
        <f t="shared" si="89"/>
        <v>210.07920000000001</v>
      </c>
      <c r="BK203" s="12">
        <f t="shared" si="90"/>
        <v>160.7894</v>
      </c>
      <c r="BL203" s="12">
        <f t="shared" si="91"/>
        <v>114.8588</v>
      </c>
      <c r="BM203" s="12">
        <f t="shared" si="92"/>
        <v>114.8588</v>
      </c>
      <c r="BN203" s="12">
        <f t="shared" si="93"/>
        <v>114.8588</v>
      </c>
      <c r="BO203" s="12">
        <f t="shared" si="94"/>
        <v>152.97280000000001</v>
      </c>
      <c r="BP203" s="12">
        <f t="shared" si="95"/>
        <v>178.45750000000001</v>
      </c>
      <c r="BQ203" s="12">
        <f t="shared" si="96"/>
        <v>203.97450000000001</v>
      </c>
      <c r="BR203" s="12">
        <f t="shared" si="97"/>
        <v>203.97450000000001</v>
      </c>
      <c r="BS203" s="12">
        <f t="shared" si="98"/>
        <v>178.45750000000001</v>
      </c>
      <c r="BT203" s="1"/>
      <c r="BU203" s="11">
        <f t="shared" si="99"/>
        <v>213.14692198879547</v>
      </c>
      <c r="BV203" s="11">
        <f t="shared" si="100"/>
        <v>213.14692198879547</v>
      </c>
      <c r="BW203" s="11">
        <f t="shared" si="101"/>
        <v>213.14692198879547</v>
      </c>
      <c r="BX203" s="11">
        <f t="shared" si="102"/>
        <v>163.13735818884129</v>
      </c>
      <c r="BY203" s="11">
        <f t="shared" si="103"/>
        <v>116.53604775402164</v>
      </c>
      <c r="BZ203" s="11">
        <f t="shared" si="104"/>
        <v>116.53604775402164</v>
      </c>
      <c r="CA203" s="11">
        <f t="shared" si="105"/>
        <v>116.53604775402164</v>
      </c>
      <c r="CB203" s="11">
        <f t="shared" si="106"/>
        <v>155.20661478150913</v>
      </c>
      <c r="CC203" s="11">
        <f t="shared" si="107"/>
        <v>181.06346002276985</v>
      </c>
      <c r="CD203" s="11">
        <f t="shared" si="108"/>
        <v>206.95307693100298</v>
      </c>
      <c r="CE203" s="11">
        <f t="shared" si="109"/>
        <v>206.95307693100298</v>
      </c>
      <c r="CF203" s="11">
        <f t="shared" si="110"/>
        <v>181.06346002276985</v>
      </c>
      <c r="CG203" s="11"/>
      <c r="CH203" s="41">
        <v>3.23</v>
      </c>
      <c r="CI203" s="1"/>
      <c r="CJ203" s="53">
        <f t="shared" si="111"/>
        <v>80554</v>
      </c>
      <c r="CK203" s="53">
        <f t="shared" si="112"/>
        <v>80554</v>
      </c>
      <c r="CL203" s="53">
        <f t="shared" si="113"/>
        <v>80554</v>
      </c>
      <c r="CM203" s="53">
        <f t="shared" si="114"/>
        <v>61654</v>
      </c>
      <c r="CN203" s="53">
        <f t="shared" si="115"/>
        <v>44042</v>
      </c>
      <c r="CO203" s="53">
        <f t="shared" si="116"/>
        <v>44042</v>
      </c>
      <c r="CP203" s="53">
        <f t="shared" si="117"/>
        <v>44042</v>
      </c>
      <c r="CQ203" s="53">
        <f t="shared" si="118"/>
        <v>58657</v>
      </c>
      <c r="CR203" s="53">
        <f t="shared" si="119"/>
        <v>68429</v>
      </c>
      <c r="CS203" s="53">
        <f t="shared" si="120"/>
        <v>78214</v>
      </c>
      <c r="CT203" s="53">
        <f t="shared" si="121"/>
        <v>78214</v>
      </c>
      <c r="CU203" s="53">
        <f t="shared" si="122"/>
        <v>68429</v>
      </c>
      <c r="CV203" s="53">
        <f t="shared" si="126"/>
        <v>787385</v>
      </c>
      <c r="CW203" s="1"/>
      <c r="CX203" s="1"/>
      <c r="CY203" s="1"/>
      <c r="CZ203" s="1"/>
      <c r="DA203" s="1"/>
      <c r="DB203" s="1"/>
      <c r="DC203" s="1"/>
      <c r="DD203" s="1"/>
      <c r="DE203" s="1"/>
      <c r="DF203" s="1"/>
      <c r="DG203" s="1"/>
      <c r="DH203" s="1"/>
      <c r="DI203" s="1"/>
      <c r="DJ203" s="1"/>
      <c r="DK203" s="1"/>
      <c r="DL203" s="1"/>
    </row>
    <row r="204" spans="1:116" ht="15.75" hidden="1" x14ac:dyDescent="0.25">
      <c r="A204" s="17"/>
      <c r="B204" s="17"/>
      <c r="C204" s="17"/>
      <c r="D204" s="17"/>
      <c r="E204" s="17"/>
      <c r="F204" s="31" t="s">
        <v>21</v>
      </c>
      <c r="G204" s="64">
        <v>44.78</v>
      </c>
      <c r="H204" s="64">
        <v>44.78</v>
      </c>
      <c r="I204" s="64">
        <v>37.89</v>
      </c>
      <c r="J204" s="64">
        <v>24.11</v>
      </c>
      <c r="K204" s="64">
        <v>24.11</v>
      </c>
      <c r="L204" s="64">
        <v>20.67</v>
      </c>
      <c r="M204" s="64">
        <v>20.67</v>
      </c>
      <c r="N204" s="64">
        <v>20.67</v>
      </c>
      <c r="O204" s="64">
        <v>28.88</v>
      </c>
      <c r="P204" s="64">
        <v>28.88</v>
      </c>
      <c r="Q204" s="64">
        <v>28.88</v>
      </c>
      <c r="R204" s="64">
        <v>28.88</v>
      </c>
      <c r="S204" s="11">
        <f t="shared" si="127"/>
        <v>353.20000000000005</v>
      </c>
      <c r="T204" s="9"/>
      <c r="U204" s="1"/>
      <c r="V204" s="50">
        <f t="shared" si="125"/>
        <v>489014</v>
      </c>
      <c r="W204" s="36">
        <v>2.367</v>
      </c>
      <c r="X204" s="36">
        <v>2.367</v>
      </c>
      <c r="Y204" s="36">
        <v>2.367</v>
      </c>
      <c r="Z204" s="36">
        <v>2.367</v>
      </c>
      <c r="AA204" s="36">
        <v>2.367</v>
      </c>
      <c r="AB204" s="36">
        <v>2.367</v>
      </c>
      <c r="AC204" s="36">
        <v>2.367</v>
      </c>
      <c r="AD204" s="36">
        <v>2.367</v>
      </c>
      <c r="AE204" s="36">
        <v>2.367</v>
      </c>
      <c r="AF204" s="36">
        <v>2.367</v>
      </c>
      <c r="AG204" s="36">
        <v>2.367</v>
      </c>
      <c r="AH204" s="36">
        <v>2.367</v>
      </c>
      <c r="AI204" s="39">
        <v>1.33634708931066E-2</v>
      </c>
      <c r="AJ204" s="39">
        <v>1.33634708931066E-2</v>
      </c>
      <c r="AK204" s="39">
        <v>1.33634708931066E-2</v>
      </c>
      <c r="AL204" s="39">
        <v>1.33634708931066E-2</v>
      </c>
      <c r="AM204" s="39">
        <v>1.33634708931066E-2</v>
      </c>
      <c r="AN204" s="39">
        <v>1.33634708931066E-2</v>
      </c>
      <c r="AO204" s="39">
        <v>1.33634708931066E-2</v>
      </c>
      <c r="AP204" s="39">
        <v>1.33634708931066E-2</v>
      </c>
      <c r="AQ204" s="39">
        <v>1.33634708931066E-2</v>
      </c>
      <c r="AR204" s="39">
        <v>1.33634708931066E-2</v>
      </c>
      <c r="AS204" s="39">
        <v>1.33634708931066E-2</v>
      </c>
      <c r="AT204" s="39">
        <v>1.33634708931066E-2</v>
      </c>
      <c r="AU204" s="39">
        <v>1.2392217523121999E-3</v>
      </c>
      <c r="AV204" s="39">
        <v>1.2392217523121999E-3</v>
      </c>
      <c r="AW204" s="39">
        <v>1.2392217523121999E-3</v>
      </c>
      <c r="AX204" s="39">
        <v>1.2392217523121999E-3</v>
      </c>
      <c r="AY204" s="39">
        <v>1.2392217523121999E-3</v>
      </c>
      <c r="AZ204" s="39">
        <v>1.2392217523121999E-3</v>
      </c>
      <c r="BA204" s="39">
        <v>1.2392217523121999E-3</v>
      </c>
      <c r="BB204" s="39">
        <v>1.2392217523121999E-3</v>
      </c>
      <c r="BC204" s="39">
        <v>1.2392217523121999E-3</v>
      </c>
      <c r="BD204" s="39">
        <v>1.2392217523121999E-3</v>
      </c>
      <c r="BE204" s="39">
        <v>1.2392217523121999E-3</v>
      </c>
      <c r="BF204" s="39">
        <v>1.2392217523121999E-3</v>
      </c>
      <c r="BG204" s="1"/>
      <c r="BH204" s="12">
        <f t="shared" si="87"/>
        <v>144.63939999999999</v>
      </c>
      <c r="BI204" s="12">
        <f t="shared" si="88"/>
        <v>144.63939999999999</v>
      </c>
      <c r="BJ204" s="12">
        <f t="shared" si="89"/>
        <v>122.3847</v>
      </c>
      <c r="BK204" s="12">
        <f t="shared" si="90"/>
        <v>77.875299999999996</v>
      </c>
      <c r="BL204" s="12">
        <f t="shared" si="91"/>
        <v>77.875299999999996</v>
      </c>
      <c r="BM204" s="12">
        <f t="shared" si="92"/>
        <v>66.764099999999999</v>
      </c>
      <c r="BN204" s="12">
        <f t="shared" si="93"/>
        <v>66.764099999999999</v>
      </c>
      <c r="BO204" s="12">
        <f t="shared" si="94"/>
        <v>66.764099999999999</v>
      </c>
      <c r="BP204" s="12">
        <f t="shared" si="95"/>
        <v>93.282399999999996</v>
      </c>
      <c r="BQ204" s="12">
        <f t="shared" si="96"/>
        <v>93.282399999999996</v>
      </c>
      <c r="BR204" s="12">
        <f t="shared" si="97"/>
        <v>93.282399999999996</v>
      </c>
      <c r="BS204" s="12">
        <f t="shared" si="98"/>
        <v>93.282399999999996</v>
      </c>
      <c r="BT204" s="1"/>
      <c r="BU204" s="11">
        <f t="shared" si="99"/>
        <v>146.75152470261779</v>
      </c>
      <c r="BV204" s="11">
        <f t="shared" si="100"/>
        <v>146.75152470261779</v>
      </c>
      <c r="BW204" s="11">
        <f t="shared" si="101"/>
        <v>124.17184615860178</v>
      </c>
      <c r="BX204" s="11">
        <f t="shared" si="102"/>
        <v>79.012489070569785</v>
      </c>
      <c r="BY204" s="11">
        <f t="shared" si="103"/>
        <v>79.012489070569785</v>
      </c>
      <c r="BZ204" s="11">
        <f t="shared" si="104"/>
        <v>67.739035632048001</v>
      </c>
      <c r="CA204" s="11">
        <f t="shared" si="105"/>
        <v>67.739035632048001</v>
      </c>
      <c r="CB204" s="11">
        <f t="shared" si="106"/>
        <v>67.739035632048001</v>
      </c>
      <c r="CC204" s="11">
        <f t="shared" si="107"/>
        <v>94.644574216427017</v>
      </c>
      <c r="CD204" s="11">
        <f t="shared" si="108"/>
        <v>94.644574216427017</v>
      </c>
      <c r="CE204" s="11">
        <f t="shared" si="109"/>
        <v>94.644574216427017</v>
      </c>
      <c r="CF204" s="11">
        <f t="shared" si="110"/>
        <v>94.644574216427017</v>
      </c>
      <c r="CG204" s="11"/>
      <c r="CH204" s="41">
        <v>3.23</v>
      </c>
      <c r="CI204" s="1"/>
      <c r="CJ204" s="53">
        <f t="shared" si="111"/>
        <v>61999</v>
      </c>
      <c r="CK204" s="53">
        <f t="shared" si="112"/>
        <v>61999</v>
      </c>
      <c r="CL204" s="53">
        <f t="shared" si="113"/>
        <v>52460</v>
      </c>
      <c r="CM204" s="53">
        <f t="shared" si="114"/>
        <v>33381</v>
      </c>
      <c r="CN204" s="53">
        <f t="shared" si="115"/>
        <v>33381</v>
      </c>
      <c r="CO204" s="53">
        <f t="shared" si="116"/>
        <v>28618</v>
      </c>
      <c r="CP204" s="53">
        <f t="shared" si="117"/>
        <v>28618</v>
      </c>
      <c r="CQ204" s="53">
        <f t="shared" si="118"/>
        <v>28618</v>
      </c>
      <c r="CR204" s="53">
        <f t="shared" si="119"/>
        <v>39985</v>
      </c>
      <c r="CS204" s="53">
        <f t="shared" si="120"/>
        <v>39985</v>
      </c>
      <c r="CT204" s="53">
        <f t="shared" si="121"/>
        <v>39985</v>
      </c>
      <c r="CU204" s="53">
        <f t="shared" si="122"/>
        <v>39985</v>
      </c>
      <c r="CV204" s="53">
        <f t="shared" si="126"/>
        <v>489014</v>
      </c>
      <c r="CW204" s="1"/>
      <c r="CX204" s="1"/>
      <c r="CY204" s="1"/>
      <c r="CZ204" s="1"/>
      <c r="DA204" s="1"/>
      <c r="DB204" s="1"/>
      <c r="DC204" s="1"/>
      <c r="DD204" s="1"/>
      <c r="DE204" s="1"/>
      <c r="DF204" s="1"/>
      <c r="DG204" s="1"/>
      <c r="DH204" s="1"/>
      <c r="DI204" s="1"/>
      <c r="DJ204" s="1"/>
      <c r="DK204" s="1"/>
      <c r="DL204" s="1"/>
    </row>
    <row r="205" spans="1:116" ht="15.75" hidden="1" x14ac:dyDescent="0.25">
      <c r="A205" s="17"/>
      <c r="B205" s="17"/>
      <c r="C205" s="17"/>
      <c r="D205" s="17"/>
      <c r="E205" s="17"/>
      <c r="F205" s="31" t="s">
        <v>21</v>
      </c>
      <c r="G205" s="64">
        <v>246.12</v>
      </c>
      <c r="H205" s="64">
        <v>246.12</v>
      </c>
      <c r="I205" s="64">
        <v>175.8</v>
      </c>
      <c r="J205" s="64">
        <v>85.7</v>
      </c>
      <c r="K205" s="64">
        <v>85.7</v>
      </c>
      <c r="L205" s="64">
        <v>85.7</v>
      </c>
      <c r="M205" s="64">
        <v>81.75</v>
      </c>
      <c r="N205" s="64">
        <v>85.7</v>
      </c>
      <c r="O205" s="64">
        <v>175.8</v>
      </c>
      <c r="P205" s="64">
        <v>219.75</v>
      </c>
      <c r="Q205" s="64">
        <v>175.8</v>
      </c>
      <c r="R205" s="64">
        <v>158.22</v>
      </c>
      <c r="S205" s="11">
        <f t="shared" si="127"/>
        <v>1822.16</v>
      </c>
      <c r="T205" s="9"/>
      <c r="U205" s="1"/>
      <c r="V205" s="50">
        <f t="shared" si="125"/>
        <v>1948930</v>
      </c>
      <c r="W205" s="36">
        <v>3.0640000000000001</v>
      </c>
      <c r="X205" s="36">
        <v>3.0640000000000001</v>
      </c>
      <c r="Y205" s="36">
        <v>3.0640000000000001</v>
      </c>
      <c r="Z205" s="36">
        <v>3.0640000000000001</v>
      </c>
      <c r="AA205" s="36">
        <v>3.0640000000000001</v>
      </c>
      <c r="AB205" s="36">
        <v>3.0640000000000001</v>
      </c>
      <c r="AC205" s="36">
        <v>3.0640000000000001</v>
      </c>
      <c r="AD205" s="36">
        <v>3.0640000000000001</v>
      </c>
      <c r="AE205" s="36">
        <v>3.0640000000000001</v>
      </c>
      <c r="AF205" s="36">
        <v>3.0640000000000001</v>
      </c>
      <c r="AG205" s="36">
        <v>3.0640000000000001</v>
      </c>
      <c r="AH205" s="36">
        <v>3.0640000000000001</v>
      </c>
      <c r="AI205" s="39">
        <v>1.33634708931066E-2</v>
      </c>
      <c r="AJ205" s="39">
        <v>1.33634708931066E-2</v>
      </c>
      <c r="AK205" s="39">
        <v>1.33634708931066E-2</v>
      </c>
      <c r="AL205" s="39">
        <v>1.33634708931066E-2</v>
      </c>
      <c r="AM205" s="39">
        <v>1.33634708931066E-2</v>
      </c>
      <c r="AN205" s="39">
        <v>1.33634708931066E-2</v>
      </c>
      <c r="AO205" s="39">
        <v>1.33634708931066E-2</v>
      </c>
      <c r="AP205" s="39">
        <v>1.33634708931066E-2</v>
      </c>
      <c r="AQ205" s="39">
        <v>1.33634708931066E-2</v>
      </c>
      <c r="AR205" s="39">
        <v>1.33634708931066E-2</v>
      </c>
      <c r="AS205" s="39">
        <v>1.33634708931066E-2</v>
      </c>
      <c r="AT205" s="39">
        <v>1.33634708931066E-2</v>
      </c>
      <c r="AU205" s="39">
        <v>1.2392217523121999E-3</v>
      </c>
      <c r="AV205" s="39">
        <v>1.2392217523121999E-3</v>
      </c>
      <c r="AW205" s="39">
        <v>1.2392217523121999E-3</v>
      </c>
      <c r="AX205" s="39">
        <v>1.2392217523121999E-3</v>
      </c>
      <c r="AY205" s="39">
        <v>1.2392217523121999E-3</v>
      </c>
      <c r="AZ205" s="39">
        <v>1.2392217523121999E-3</v>
      </c>
      <c r="BA205" s="39">
        <v>1.2392217523121999E-3</v>
      </c>
      <c r="BB205" s="39">
        <v>1.2392217523121999E-3</v>
      </c>
      <c r="BC205" s="39">
        <v>1.2392217523121999E-3</v>
      </c>
      <c r="BD205" s="39">
        <v>1.2392217523121999E-3</v>
      </c>
      <c r="BE205" s="39">
        <v>1.2392217523121999E-3</v>
      </c>
      <c r="BF205" s="39">
        <v>1.2392217523121999E-3</v>
      </c>
      <c r="BG205" s="1"/>
      <c r="BH205" s="12">
        <f t="shared" si="87"/>
        <v>794.96760000000006</v>
      </c>
      <c r="BI205" s="12">
        <f t="shared" si="88"/>
        <v>794.96760000000006</v>
      </c>
      <c r="BJ205" s="12">
        <f t="shared" si="89"/>
        <v>567.83400000000006</v>
      </c>
      <c r="BK205" s="12">
        <f t="shared" si="90"/>
        <v>276.81100000000004</v>
      </c>
      <c r="BL205" s="12">
        <f t="shared" si="91"/>
        <v>276.81100000000004</v>
      </c>
      <c r="BM205" s="12">
        <f t="shared" si="92"/>
        <v>276.81100000000004</v>
      </c>
      <c r="BN205" s="12">
        <f t="shared" si="93"/>
        <v>264.05250000000001</v>
      </c>
      <c r="BO205" s="12">
        <f t="shared" si="94"/>
        <v>276.81100000000004</v>
      </c>
      <c r="BP205" s="12">
        <f t="shared" si="95"/>
        <v>567.83400000000006</v>
      </c>
      <c r="BQ205" s="12">
        <f t="shared" si="96"/>
        <v>709.79250000000002</v>
      </c>
      <c r="BR205" s="12">
        <f t="shared" si="97"/>
        <v>567.83400000000006</v>
      </c>
      <c r="BS205" s="12">
        <f t="shared" si="98"/>
        <v>511.05059999999997</v>
      </c>
      <c r="BT205" s="1"/>
      <c r="BU205" s="11">
        <f t="shared" si="99"/>
        <v>806.57626752586634</v>
      </c>
      <c r="BV205" s="11">
        <f t="shared" si="100"/>
        <v>806.57626752586634</v>
      </c>
      <c r="BW205" s="11">
        <f t="shared" si="101"/>
        <v>576.1259053756188</v>
      </c>
      <c r="BX205" s="11">
        <f t="shared" si="102"/>
        <v>280.85318595387105</v>
      </c>
      <c r="BY205" s="11">
        <f t="shared" si="103"/>
        <v>280.85318595387105</v>
      </c>
      <c r="BZ205" s="11">
        <f t="shared" si="104"/>
        <v>280.85318595387105</v>
      </c>
      <c r="CA205" s="11">
        <f t="shared" si="105"/>
        <v>267.90837749975447</v>
      </c>
      <c r="CB205" s="11">
        <f t="shared" si="106"/>
        <v>280.85318595387105</v>
      </c>
      <c r="CC205" s="11">
        <f t="shared" si="107"/>
        <v>576.1259053756188</v>
      </c>
      <c r="CD205" s="11">
        <f t="shared" si="108"/>
        <v>720.15738171952341</v>
      </c>
      <c r="CE205" s="11">
        <f t="shared" si="109"/>
        <v>576.1259053756188</v>
      </c>
      <c r="CF205" s="11">
        <f t="shared" si="110"/>
        <v>518.51331483805689</v>
      </c>
      <c r="CG205" s="11"/>
      <c r="CH205" s="41">
        <v>3.23</v>
      </c>
      <c r="CI205" s="1"/>
      <c r="CJ205" s="53">
        <f t="shared" si="111"/>
        <v>263243</v>
      </c>
      <c r="CK205" s="53">
        <f t="shared" si="112"/>
        <v>263243</v>
      </c>
      <c r="CL205" s="53">
        <f t="shared" si="113"/>
        <v>188031</v>
      </c>
      <c r="CM205" s="53">
        <f t="shared" si="114"/>
        <v>91662</v>
      </c>
      <c r="CN205" s="53">
        <f t="shared" si="115"/>
        <v>91662</v>
      </c>
      <c r="CO205" s="53">
        <f t="shared" si="116"/>
        <v>91662</v>
      </c>
      <c r="CP205" s="53">
        <f t="shared" si="117"/>
        <v>87437</v>
      </c>
      <c r="CQ205" s="53">
        <f t="shared" si="118"/>
        <v>91662</v>
      </c>
      <c r="CR205" s="53">
        <f t="shared" si="119"/>
        <v>188031</v>
      </c>
      <c r="CS205" s="53">
        <f t="shared" si="120"/>
        <v>235038</v>
      </c>
      <c r="CT205" s="53">
        <f t="shared" si="121"/>
        <v>188031</v>
      </c>
      <c r="CU205" s="53">
        <f t="shared" si="122"/>
        <v>169228</v>
      </c>
      <c r="CV205" s="53">
        <f t="shared" si="126"/>
        <v>1948930</v>
      </c>
      <c r="CW205" s="1"/>
      <c r="CX205" s="1"/>
      <c r="CY205" s="1"/>
      <c r="CZ205" s="1"/>
      <c r="DA205" s="1"/>
      <c r="DB205" s="1"/>
      <c r="DC205" s="1"/>
      <c r="DD205" s="1"/>
      <c r="DE205" s="1"/>
      <c r="DF205" s="1"/>
      <c r="DG205" s="1"/>
      <c r="DH205" s="1"/>
      <c r="DI205" s="1"/>
      <c r="DJ205" s="1"/>
      <c r="DK205" s="1"/>
      <c r="DL205" s="1"/>
    </row>
    <row r="206" spans="1:116" ht="15.75" hidden="1" x14ac:dyDescent="0.25">
      <c r="A206" s="17"/>
      <c r="B206" s="17"/>
      <c r="C206" s="17"/>
      <c r="D206" s="17"/>
      <c r="E206" s="17"/>
      <c r="F206" s="31" t="s">
        <v>21</v>
      </c>
      <c r="G206" s="64">
        <v>849.24</v>
      </c>
      <c r="H206" s="64">
        <v>778.47</v>
      </c>
      <c r="I206" s="64">
        <v>672.31</v>
      </c>
      <c r="J206" s="64">
        <v>450.1</v>
      </c>
      <c r="K206" s="64">
        <v>450.1</v>
      </c>
      <c r="L206" s="64">
        <v>412.59</v>
      </c>
      <c r="M206" s="64">
        <v>412.59</v>
      </c>
      <c r="N206" s="64">
        <v>636.92999999999995</v>
      </c>
      <c r="O206" s="64">
        <v>681.48</v>
      </c>
      <c r="P206" s="64">
        <v>681.48</v>
      </c>
      <c r="Q206" s="64">
        <v>657.43</v>
      </c>
      <c r="R206" s="64">
        <v>328.71</v>
      </c>
      <c r="S206" s="11">
        <f t="shared" si="127"/>
        <v>7011.4299999999994</v>
      </c>
      <c r="T206" s="9"/>
      <c r="U206" s="1"/>
      <c r="V206" s="50">
        <f t="shared" si="125"/>
        <v>8743390</v>
      </c>
      <c r="W206" s="36">
        <v>2.6280000000000001</v>
      </c>
      <c r="X206" s="36">
        <v>2.6280000000000001</v>
      </c>
      <c r="Y206" s="36">
        <v>2.6280000000000001</v>
      </c>
      <c r="Z206" s="36">
        <v>2.6280000000000001</v>
      </c>
      <c r="AA206" s="36">
        <v>2.6280000000000001</v>
      </c>
      <c r="AB206" s="36">
        <v>2.6280000000000001</v>
      </c>
      <c r="AC206" s="36">
        <v>2.6280000000000001</v>
      </c>
      <c r="AD206" s="36">
        <v>2.6280000000000001</v>
      </c>
      <c r="AE206" s="36">
        <v>2.6280000000000001</v>
      </c>
      <c r="AF206" s="36">
        <v>2.6280000000000001</v>
      </c>
      <c r="AG206" s="36">
        <v>2.6280000000000001</v>
      </c>
      <c r="AH206" s="36">
        <v>2.6280000000000001</v>
      </c>
      <c r="AI206" s="39">
        <v>1.33634708931066E-2</v>
      </c>
      <c r="AJ206" s="39">
        <v>1.33634708931066E-2</v>
      </c>
      <c r="AK206" s="39">
        <v>1.33634708931066E-2</v>
      </c>
      <c r="AL206" s="39">
        <v>1.33634708931066E-2</v>
      </c>
      <c r="AM206" s="39">
        <v>1.33634708931066E-2</v>
      </c>
      <c r="AN206" s="39">
        <v>1.33634708931066E-2</v>
      </c>
      <c r="AO206" s="39">
        <v>1.33634708931066E-2</v>
      </c>
      <c r="AP206" s="39">
        <v>1.33634708931066E-2</v>
      </c>
      <c r="AQ206" s="39">
        <v>1.33634708931066E-2</v>
      </c>
      <c r="AR206" s="39">
        <v>1.33634708931066E-2</v>
      </c>
      <c r="AS206" s="39">
        <v>1.33634708931066E-2</v>
      </c>
      <c r="AT206" s="39">
        <v>1.33634708931066E-2</v>
      </c>
      <c r="AU206" s="39">
        <v>1.2392217523121999E-3</v>
      </c>
      <c r="AV206" s="39">
        <v>1.2392217523121999E-3</v>
      </c>
      <c r="AW206" s="39">
        <v>1.2392217523121999E-3</v>
      </c>
      <c r="AX206" s="39">
        <v>1.2392217523121999E-3</v>
      </c>
      <c r="AY206" s="39">
        <v>1.2392217523121999E-3</v>
      </c>
      <c r="AZ206" s="39">
        <v>1.2392217523121999E-3</v>
      </c>
      <c r="BA206" s="39">
        <v>1.2392217523121999E-3</v>
      </c>
      <c r="BB206" s="39">
        <v>1.2392217523121999E-3</v>
      </c>
      <c r="BC206" s="39">
        <v>1.2392217523121999E-3</v>
      </c>
      <c r="BD206" s="39">
        <v>1.2392217523121999E-3</v>
      </c>
      <c r="BE206" s="39">
        <v>1.2392217523121999E-3</v>
      </c>
      <c r="BF206" s="39">
        <v>1.2392217523121999E-3</v>
      </c>
      <c r="BG206" s="1"/>
      <c r="BH206" s="12">
        <f t="shared" si="87"/>
        <v>2743.0452</v>
      </c>
      <c r="BI206" s="12">
        <f t="shared" si="88"/>
        <v>2514.4581000000003</v>
      </c>
      <c r="BJ206" s="12">
        <f t="shared" si="89"/>
        <v>2171.5612999999998</v>
      </c>
      <c r="BK206" s="12">
        <f t="shared" si="90"/>
        <v>1453.8230000000001</v>
      </c>
      <c r="BL206" s="12">
        <f t="shared" si="91"/>
        <v>1453.8230000000001</v>
      </c>
      <c r="BM206" s="12">
        <f t="shared" si="92"/>
        <v>1332.6657</v>
      </c>
      <c r="BN206" s="12">
        <f t="shared" si="93"/>
        <v>1332.6657</v>
      </c>
      <c r="BO206" s="12">
        <f t="shared" si="94"/>
        <v>2057.2838999999999</v>
      </c>
      <c r="BP206" s="12">
        <f t="shared" si="95"/>
        <v>2201.1804000000002</v>
      </c>
      <c r="BQ206" s="12">
        <f t="shared" si="96"/>
        <v>2201.1804000000002</v>
      </c>
      <c r="BR206" s="12">
        <f t="shared" si="97"/>
        <v>2123.4989</v>
      </c>
      <c r="BS206" s="12">
        <f t="shared" si="98"/>
        <v>1061.7332999999999</v>
      </c>
      <c r="BT206" s="1"/>
      <c r="BU206" s="11">
        <f t="shared" si="99"/>
        <v>2783.1010459680915</v>
      </c>
      <c r="BV206" s="11">
        <f t="shared" si="100"/>
        <v>2551.1759588040841</v>
      </c>
      <c r="BW206" s="11">
        <f t="shared" si="101"/>
        <v>2203.2719422245859</v>
      </c>
      <c r="BX206" s="11">
        <f t="shared" si="102"/>
        <v>1475.0527304298407</v>
      </c>
      <c r="BY206" s="11">
        <f t="shared" si="103"/>
        <v>1475.0527304298407</v>
      </c>
      <c r="BZ206" s="11">
        <f t="shared" si="104"/>
        <v>1352.126207616192</v>
      </c>
      <c r="CA206" s="11">
        <f t="shared" si="105"/>
        <v>1352.126207616192</v>
      </c>
      <c r="CB206" s="11">
        <f t="shared" si="106"/>
        <v>2087.3257844760683</v>
      </c>
      <c r="CC206" s="11">
        <f t="shared" si="107"/>
        <v>2233.3235608383202</v>
      </c>
      <c r="CD206" s="11">
        <f t="shared" si="108"/>
        <v>2233.3235608383202</v>
      </c>
      <c r="CE206" s="11">
        <f t="shared" si="109"/>
        <v>2154.5077017695849</v>
      </c>
      <c r="CF206" s="11">
        <f t="shared" si="110"/>
        <v>1077.2374650513061</v>
      </c>
      <c r="CG206" s="11"/>
      <c r="CH206" s="41">
        <v>3.23</v>
      </c>
      <c r="CI206" s="1"/>
      <c r="CJ206" s="53">
        <f t="shared" si="111"/>
        <v>1059019</v>
      </c>
      <c r="CK206" s="53">
        <f t="shared" si="112"/>
        <v>970767</v>
      </c>
      <c r="CL206" s="53">
        <f t="shared" si="113"/>
        <v>838384</v>
      </c>
      <c r="CM206" s="53">
        <f t="shared" si="114"/>
        <v>561283</v>
      </c>
      <c r="CN206" s="53">
        <f t="shared" si="115"/>
        <v>561283</v>
      </c>
      <c r="CO206" s="53">
        <f t="shared" si="116"/>
        <v>514508</v>
      </c>
      <c r="CP206" s="53">
        <f t="shared" si="117"/>
        <v>514508</v>
      </c>
      <c r="CQ206" s="53">
        <f t="shared" si="118"/>
        <v>794264</v>
      </c>
      <c r="CR206" s="53">
        <f t="shared" si="119"/>
        <v>849819</v>
      </c>
      <c r="CS206" s="53">
        <f t="shared" si="120"/>
        <v>849819</v>
      </c>
      <c r="CT206" s="53">
        <f t="shared" si="121"/>
        <v>819828</v>
      </c>
      <c r="CU206" s="53">
        <f t="shared" si="122"/>
        <v>409908</v>
      </c>
      <c r="CV206" s="53">
        <f t="shared" si="126"/>
        <v>8743390</v>
      </c>
      <c r="CW206" s="1"/>
      <c r="CX206" s="1"/>
      <c r="CY206" s="1"/>
      <c r="CZ206" s="1"/>
      <c r="DA206" s="1"/>
      <c r="DB206" s="1"/>
      <c r="DC206" s="1"/>
      <c r="DD206" s="1"/>
      <c r="DE206" s="1"/>
      <c r="DF206" s="1"/>
      <c r="DG206" s="1"/>
      <c r="DH206" s="1"/>
      <c r="DI206" s="1"/>
      <c r="DJ206" s="1"/>
      <c r="DK206" s="1"/>
      <c r="DL206" s="1"/>
    </row>
    <row r="207" spans="1:116" ht="15.75" hidden="1" x14ac:dyDescent="0.25">
      <c r="A207" s="17"/>
      <c r="B207" s="17"/>
      <c r="C207" s="17"/>
      <c r="D207" s="17"/>
      <c r="E207" s="17"/>
      <c r="F207" s="31" t="s">
        <v>21</v>
      </c>
      <c r="G207" s="64">
        <v>23.19</v>
      </c>
      <c r="H207" s="64">
        <v>23.19</v>
      </c>
      <c r="I207" s="64">
        <v>23.19</v>
      </c>
      <c r="J207" s="64">
        <v>23.19</v>
      </c>
      <c r="K207" s="64">
        <v>23.19</v>
      </c>
      <c r="L207" s="64">
        <v>23.19</v>
      </c>
      <c r="M207" s="64">
        <v>23.19</v>
      </c>
      <c r="N207" s="64">
        <v>23.19</v>
      </c>
      <c r="O207" s="64">
        <v>23.19</v>
      </c>
      <c r="P207" s="64">
        <v>23.19</v>
      </c>
      <c r="Q207" s="64">
        <v>23.19</v>
      </c>
      <c r="R207" s="64">
        <v>23.19</v>
      </c>
      <c r="S207" s="11">
        <f t="shared" si="127"/>
        <v>278.28000000000003</v>
      </c>
      <c r="T207" s="9"/>
      <c r="U207" s="1"/>
      <c r="V207" s="50">
        <f t="shared" si="125"/>
        <v>178572</v>
      </c>
      <c r="W207" s="36">
        <v>5.1070000000000002</v>
      </c>
      <c r="X207" s="36">
        <v>5.1070000000000002</v>
      </c>
      <c r="Y207" s="36">
        <v>5.1070000000000002</v>
      </c>
      <c r="Z207" s="36">
        <v>5.1070000000000002</v>
      </c>
      <c r="AA207" s="36">
        <v>5.1070000000000002</v>
      </c>
      <c r="AB207" s="36">
        <v>5.1070000000000002</v>
      </c>
      <c r="AC207" s="36">
        <v>5.1070000000000002</v>
      </c>
      <c r="AD207" s="36">
        <v>5.1070000000000002</v>
      </c>
      <c r="AE207" s="36">
        <v>5.1070000000000002</v>
      </c>
      <c r="AF207" s="36">
        <v>5.1070000000000002</v>
      </c>
      <c r="AG207" s="36">
        <v>5.1070000000000002</v>
      </c>
      <c r="AH207" s="36">
        <v>5.1070000000000002</v>
      </c>
      <c r="AI207" s="39">
        <v>1.33634708931066E-2</v>
      </c>
      <c r="AJ207" s="39">
        <v>1.33634708931066E-2</v>
      </c>
      <c r="AK207" s="39">
        <v>1.33634708931066E-2</v>
      </c>
      <c r="AL207" s="39">
        <v>1.33634708931066E-2</v>
      </c>
      <c r="AM207" s="39">
        <v>1.33634708931066E-2</v>
      </c>
      <c r="AN207" s="39">
        <v>1.33634708931066E-2</v>
      </c>
      <c r="AO207" s="39">
        <v>1.33634708931066E-2</v>
      </c>
      <c r="AP207" s="39">
        <v>1.33634708931066E-2</v>
      </c>
      <c r="AQ207" s="39">
        <v>1.33634708931066E-2</v>
      </c>
      <c r="AR207" s="39">
        <v>1.33634708931066E-2</v>
      </c>
      <c r="AS207" s="39">
        <v>1.33634708931066E-2</v>
      </c>
      <c r="AT207" s="39">
        <v>1.33634708931066E-2</v>
      </c>
      <c r="AU207" s="39">
        <v>1.2392217523121999E-3</v>
      </c>
      <c r="AV207" s="39">
        <v>1.2392217523121999E-3</v>
      </c>
      <c r="AW207" s="39">
        <v>1.2392217523121999E-3</v>
      </c>
      <c r="AX207" s="39">
        <v>1.2392217523121999E-3</v>
      </c>
      <c r="AY207" s="39">
        <v>1.2392217523121999E-3</v>
      </c>
      <c r="AZ207" s="39">
        <v>1.2392217523121999E-3</v>
      </c>
      <c r="BA207" s="39">
        <v>1.2392217523121999E-3</v>
      </c>
      <c r="BB207" s="39">
        <v>1.2392217523121999E-3</v>
      </c>
      <c r="BC207" s="39">
        <v>1.2392217523121999E-3</v>
      </c>
      <c r="BD207" s="39">
        <v>1.2392217523121999E-3</v>
      </c>
      <c r="BE207" s="39">
        <v>1.2392217523121999E-3</v>
      </c>
      <c r="BF207" s="39">
        <v>1.2392217523121999E-3</v>
      </c>
      <c r="BG207" s="1"/>
      <c r="BH207" s="12">
        <f t="shared" si="87"/>
        <v>74.903700000000001</v>
      </c>
      <c r="BI207" s="12">
        <f t="shared" si="88"/>
        <v>74.903700000000001</v>
      </c>
      <c r="BJ207" s="12">
        <f t="shared" si="89"/>
        <v>74.903700000000001</v>
      </c>
      <c r="BK207" s="12">
        <f t="shared" si="90"/>
        <v>74.903700000000001</v>
      </c>
      <c r="BL207" s="12">
        <f t="shared" si="91"/>
        <v>74.903700000000001</v>
      </c>
      <c r="BM207" s="12">
        <f t="shared" si="92"/>
        <v>74.903700000000001</v>
      </c>
      <c r="BN207" s="12">
        <f t="shared" si="93"/>
        <v>74.903700000000001</v>
      </c>
      <c r="BO207" s="12">
        <f t="shared" si="94"/>
        <v>74.903700000000001</v>
      </c>
      <c r="BP207" s="12">
        <f t="shared" si="95"/>
        <v>74.903700000000001</v>
      </c>
      <c r="BQ207" s="12">
        <f t="shared" si="96"/>
        <v>74.903700000000001</v>
      </c>
      <c r="BR207" s="12">
        <f t="shared" si="97"/>
        <v>74.903700000000001</v>
      </c>
      <c r="BS207" s="12">
        <f t="shared" si="98"/>
        <v>74.903700000000001</v>
      </c>
      <c r="BT207" s="1"/>
      <c r="BU207" s="11">
        <f t="shared" si="99"/>
        <v>75.997495709104655</v>
      </c>
      <c r="BV207" s="11">
        <f t="shared" si="100"/>
        <v>75.997495709104655</v>
      </c>
      <c r="BW207" s="11">
        <f t="shared" si="101"/>
        <v>75.997495709104655</v>
      </c>
      <c r="BX207" s="11">
        <f t="shared" si="102"/>
        <v>75.997495709104655</v>
      </c>
      <c r="BY207" s="11">
        <f t="shared" si="103"/>
        <v>75.997495709104655</v>
      </c>
      <c r="BZ207" s="11">
        <f t="shared" si="104"/>
        <v>75.997495709104655</v>
      </c>
      <c r="CA207" s="11">
        <f t="shared" si="105"/>
        <v>75.997495709104655</v>
      </c>
      <c r="CB207" s="11">
        <f t="shared" si="106"/>
        <v>75.997495709104655</v>
      </c>
      <c r="CC207" s="11">
        <f t="shared" si="107"/>
        <v>75.997495709104655</v>
      </c>
      <c r="CD207" s="11">
        <f t="shared" si="108"/>
        <v>75.997495709104655</v>
      </c>
      <c r="CE207" s="11">
        <f t="shared" si="109"/>
        <v>75.997495709104655</v>
      </c>
      <c r="CF207" s="11">
        <f t="shared" si="110"/>
        <v>75.997495709104655</v>
      </c>
      <c r="CG207" s="11"/>
      <c r="CH207" s="41">
        <v>3.23</v>
      </c>
      <c r="CI207" s="1"/>
      <c r="CJ207" s="53">
        <f t="shared" si="111"/>
        <v>14881</v>
      </c>
      <c r="CK207" s="53">
        <f t="shared" si="112"/>
        <v>14881</v>
      </c>
      <c r="CL207" s="53">
        <f t="shared" si="113"/>
        <v>14881</v>
      </c>
      <c r="CM207" s="53">
        <f t="shared" si="114"/>
        <v>14881</v>
      </c>
      <c r="CN207" s="53">
        <f t="shared" si="115"/>
        <v>14881</v>
      </c>
      <c r="CO207" s="53">
        <f t="shared" si="116"/>
        <v>14881</v>
      </c>
      <c r="CP207" s="53">
        <f t="shared" si="117"/>
        <v>14881</v>
      </c>
      <c r="CQ207" s="53">
        <f t="shared" si="118"/>
        <v>14881</v>
      </c>
      <c r="CR207" s="53">
        <f t="shared" si="119"/>
        <v>14881</v>
      </c>
      <c r="CS207" s="53">
        <f t="shared" si="120"/>
        <v>14881</v>
      </c>
      <c r="CT207" s="53">
        <f t="shared" si="121"/>
        <v>14881</v>
      </c>
      <c r="CU207" s="53">
        <f t="shared" si="122"/>
        <v>14881</v>
      </c>
      <c r="CV207" s="53">
        <f t="shared" si="126"/>
        <v>178572</v>
      </c>
      <c r="CW207" s="1"/>
      <c r="CX207" s="1"/>
      <c r="CY207" s="1"/>
      <c r="CZ207" s="1"/>
      <c r="DA207" s="1"/>
      <c r="DB207" s="1"/>
      <c r="DC207" s="1"/>
      <c r="DD207" s="1"/>
      <c r="DE207" s="1"/>
      <c r="DF207" s="1"/>
      <c r="DG207" s="1"/>
      <c r="DH207" s="1"/>
      <c r="DI207" s="1"/>
      <c r="DJ207" s="1"/>
      <c r="DK207" s="1"/>
      <c r="DL207" s="1"/>
    </row>
    <row r="208" spans="1:116" ht="15.75" hidden="1" x14ac:dyDescent="0.25">
      <c r="A208" s="17"/>
      <c r="B208" s="17"/>
      <c r="C208" s="17"/>
      <c r="D208" s="17"/>
      <c r="E208" s="17"/>
      <c r="F208" s="31" t="s">
        <v>21</v>
      </c>
      <c r="G208" s="64">
        <v>30.69</v>
      </c>
      <c r="H208" s="64">
        <v>25.58</v>
      </c>
      <c r="I208" s="64">
        <v>25.58</v>
      </c>
      <c r="J208" s="64">
        <v>26.86</v>
      </c>
      <c r="K208" s="64">
        <v>21.49</v>
      </c>
      <c r="L208" s="64">
        <v>4.3</v>
      </c>
      <c r="M208" s="64">
        <v>4.3</v>
      </c>
      <c r="N208" s="64">
        <v>3.22</v>
      </c>
      <c r="O208" s="64">
        <v>12.28</v>
      </c>
      <c r="P208" s="64">
        <v>20.46</v>
      </c>
      <c r="Q208" s="64">
        <v>26.86</v>
      </c>
      <c r="R208" s="64">
        <v>26.86</v>
      </c>
      <c r="S208" s="11">
        <f t="shared" si="127"/>
        <v>228.48000000000002</v>
      </c>
      <c r="T208" s="9"/>
      <c r="U208" s="1"/>
      <c r="V208" s="50">
        <f t="shared" si="125"/>
        <v>229967</v>
      </c>
      <c r="W208" s="36">
        <v>3.2559999999999998</v>
      </c>
      <c r="X208" s="36">
        <v>3.2559999999999998</v>
      </c>
      <c r="Y208" s="36">
        <v>3.2559999999999998</v>
      </c>
      <c r="Z208" s="36">
        <v>3.2559999999999998</v>
      </c>
      <c r="AA208" s="36">
        <v>3.2559999999999998</v>
      </c>
      <c r="AB208" s="36">
        <v>3.2559999999999998</v>
      </c>
      <c r="AC208" s="36">
        <v>3.2559999999999998</v>
      </c>
      <c r="AD208" s="36">
        <v>3.2559999999999998</v>
      </c>
      <c r="AE208" s="36">
        <v>3.2559999999999998</v>
      </c>
      <c r="AF208" s="36">
        <v>3.2559999999999998</v>
      </c>
      <c r="AG208" s="36">
        <v>3.2559999999999998</v>
      </c>
      <c r="AH208" s="36">
        <v>3.2559999999999998</v>
      </c>
      <c r="AI208" s="39">
        <v>1.33634708931066E-2</v>
      </c>
      <c r="AJ208" s="39">
        <v>1.33634708931066E-2</v>
      </c>
      <c r="AK208" s="39">
        <v>1.33634708931066E-2</v>
      </c>
      <c r="AL208" s="39">
        <v>1.33634708931066E-2</v>
      </c>
      <c r="AM208" s="39">
        <v>1.33634708931066E-2</v>
      </c>
      <c r="AN208" s="39">
        <v>1.33634708931066E-2</v>
      </c>
      <c r="AO208" s="39">
        <v>1.33634708931066E-2</v>
      </c>
      <c r="AP208" s="39">
        <v>1.33634708931066E-2</v>
      </c>
      <c r="AQ208" s="39">
        <v>1.33634708931066E-2</v>
      </c>
      <c r="AR208" s="39">
        <v>1.33634708931066E-2</v>
      </c>
      <c r="AS208" s="39">
        <v>1.33634708931066E-2</v>
      </c>
      <c r="AT208" s="39">
        <v>1.33634708931066E-2</v>
      </c>
      <c r="AU208" s="39">
        <v>1.2392217523121999E-3</v>
      </c>
      <c r="AV208" s="39">
        <v>1.2392217523121999E-3</v>
      </c>
      <c r="AW208" s="39">
        <v>1.2392217523121999E-3</v>
      </c>
      <c r="AX208" s="39">
        <v>1.2392217523121999E-3</v>
      </c>
      <c r="AY208" s="39">
        <v>1.2392217523121999E-3</v>
      </c>
      <c r="AZ208" s="39">
        <v>1.2392217523121999E-3</v>
      </c>
      <c r="BA208" s="39">
        <v>1.2392217523121999E-3</v>
      </c>
      <c r="BB208" s="39">
        <v>1.2392217523121999E-3</v>
      </c>
      <c r="BC208" s="39">
        <v>1.2392217523121999E-3</v>
      </c>
      <c r="BD208" s="39">
        <v>1.2392217523121999E-3</v>
      </c>
      <c r="BE208" s="39">
        <v>1.2392217523121999E-3</v>
      </c>
      <c r="BF208" s="39">
        <v>1.2392217523121999E-3</v>
      </c>
      <c r="BG208" s="1"/>
      <c r="BH208" s="12">
        <f t="shared" si="87"/>
        <v>99.128700000000009</v>
      </c>
      <c r="BI208" s="12">
        <f t="shared" si="88"/>
        <v>82.62339999999999</v>
      </c>
      <c r="BJ208" s="12">
        <f t="shared" si="89"/>
        <v>82.62339999999999</v>
      </c>
      <c r="BK208" s="12">
        <f t="shared" si="90"/>
        <v>86.757800000000003</v>
      </c>
      <c r="BL208" s="12">
        <f t="shared" si="91"/>
        <v>69.412700000000001</v>
      </c>
      <c r="BM208" s="12">
        <f t="shared" si="92"/>
        <v>13.888999999999999</v>
      </c>
      <c r="BN208" s="12">
        <f t="shared" si="93"/>
        <v>13.888999999999999</v>
      </c>
      <c r="BO208" s="12">
        <f t="shared" si="94"/>
        <v>10.400600000000001</v>
      </c>
      <c r="BP208" s="12">
        <f t="shared" si="95"/>
        <v>39.664400000000001</v>
      </c>
      <c r="BQ208" s="12">
        <f t="shared" si="96"/>
        <v>66.085800000000006</v>
      </c>
      <c r="BR208" s="12">
        <f t="shared" si="97"/>
        <v>86.757800000000003</v>
      </c>
      <c r="BS208" s="12">
        <f t="shared" si="98"/>
        <v>86.757800000000003</v>
      </c>
      <c r="BT208" s="1"/>
      <c r="BU208" s="11">
        <f t="shared" si="99"/>
        <v>100.57624593843994</v>
      </c>
      <c r="BV208" s="11">
        <f t="shared" si="100"/>
        <v>83.829924115519489</v>
      </c>
      <c r="BW208" s="11">
        <f t="shared" si="101"/>
        <v>83.829924115519489</v>
      </c>
      <c r="BX208" s="11">
        <f t="shared" si="102"/>
        <v>88.024697487992725</v>
      </c>
      <c r="BY208" s="11">
        <f t="shared" si="103"/>
        <v>70.426312323788665</v>
      </c>
      <c r="BZ208" s="11">
        <f t="shared" si="104"/>
        <v>14.091816798152221</v>
      </c>
      <c r="CA208" s="11">
        <f t="shared" si="105"/>
        <v>14.091816798152221</v>
      </c>
      <c r="CB208" s="11">
        <f t="shared" si="106"/>
        <v>10.552476765127944</v>
      </c>
      <c r="CC208" s="11">
        <f t="shared" si="107"/>
        <v>40.243607042164953</v>
      </c>
      <c r="CD208" s="11">
        <f t="shared" si="108"/>
        <v>67.050830625626631</v>
      </c>
      <c r="CE208" s="11">
        <f t="shared" si="109"/>
        <v>88.024697487992725</v>
      </c>
      <c r="CF208" s="11">
        <f t="shared" si="110"/>
        <v>88.024697487992725</v>
      </c>
      <c r="CG208" s="11"/>
      <c r="CH208" s="41">
        <v>3.23</v>
      </c>
      <c r="CI208" s="1"/>
      <c r="CJ208" s="53">
        <f t="shared" si="111"/>
        <v>30890</v>
      </c>
      <c r="CK208" s="53">
        <f t="shared" si="112"/>
        <v>25746</v>
      </c>
      <c r="CL208" s="53">
        <f t="shared" si="113"/>
        <v>25746</v>
      </c>
      <c r="CM208" s="53">
        <f t="shared" si="114"/>
        <v>27035</v>
      </c>
      <c r="CN208" s="53">
        <f t="shared" si="115"/>
        <v>21630</v>
      </c>
      <c r="CO208" s="53">
        <f t="shared" si="116"/>
        <v>4328</v>
      </c>
      <c r="CP208" s="53">
        <f t="shared" si="117"/>
        <v>4328</v>
      </c>
      <c r="CQ208" s="53">
        <f t="shared" si="118"/>
        <v>3241</v>
      </c>
      <c r="CR208" s="53">
        <f t="shared" si="119"/>
        <v>12360</v>
      </c>
      <c r="CS208" s="53">
        <f t="shared" si="120"/>
        <v>20593</v>
      </c>
      <c r="CT208" s="53">
        <f t="shared" si="121"/>
        <v>27035</v>
      </c>
      <c r="CU208" s="53">
        <f t="shared" si="122"/>
        <v>27035</v>
      </c>
      <c r="CV208" s="53">
        <f t="shared" si="126"/>
        <v>229967</v>
      </c>
      <c r="CW208" s="1"/>
      <c r="CX208" s="1"/>
      <c r="CY208" s="1"/>
      <c r="CZ208" s="1"/>
      <c r="DA208" s="1"/>
      <c r="DB208" s="1"/>
      <c r="DC208" s="1"/>
      <c r="DD208" s="1"/>
      <c r="DE208" s="1"/>
      <c r="DF208" s="1"/>
      <c r="DG208" s="1"/>
      <c r="DH208" s="1"/>
      <c r="DI208" s="1"/>
      <c r="DJ208" s="1"/>
      <c r="DK208" s="1"/>
      <c r="DL208" s="1"/>
    </row>
    <row r="209" spans="1:116" ht="15.75" hidden="1" x14ac:dyDescent="0.25">
      <c r="A209" s="17"/>
      <c r="B209" s="17"/>
      <c r="C209" s="17"/>
      <c r="D209" s="17"/>
      <c r="E209" s="17"/>
      <c r="F209" s="31" t="s">
        <v>21</v>
      </c>
      <c r="G209" s="64">
        <v>17.510000000000002</v>
      </c>
      <c r="H209" s="64">
        <v>13.13</v>
      </c>
      <c r="I209" s="64">
        <v>10.07</v>
      </c>
      <c r="J209" s="64">
        <v>7.11</v>
      </c>
      <c r="K209" s="64">
        <v>7.88</v>
      </c>
      <c r="L209" s="64">
        <v>3.68</v>
      </c>
      <c r="M209" s="64">
        <v>3.68</v>
      </c>
      <c r="N209" s="64">
        <v>4.38</v>
      </c>
      <c r="O209" s="64">
        <v>8.76</v>
      </c>
      <c r="P209" s="64">
        <v>13.13</v>
      </c>
      <c r="Q209" s="64">
        <v>13.13</v>
      </c>
      <c r="R209" s="64">
        <v>9.6300000000000008</v>
      </c>
      <c r="S209" s="11">
        <f t="shared" si="127"/>
        <v>112.08999999999999</v>
      </c>
      <c r="T209" s="9"/>
      <c r="U209" s="1"/>
      <c r="V209" s="50">
        <f t="shared" si="125"/>
        <v>255985</v>
      </c>
      <c r="W209" s="36">
        <v>1.4350000000000001</v>
      </c>
      <c r="X209" s="36">
        <v>1.4350000000000001</v>
      </c>
      <c r="Y209" s="36">
        <v>1.4350000000000001</v>
      </c>
      <c r="Z209" s="36">
        <v>1.4350000000000001</v>
      </c>
      <c r="AA209" s="36">
        <v>1.4350000000000001</v>
      </c>
      <c r="AB209" s="36">
        <v>1.4350000000000001</v>
      </c>
      <c r="AC209" s="36">
        <v>1.4350000000000001</v>
      </c>
      <c r="AD209" s="36">
        <v>1.4350000000000001</v>
      </c>
      <c r="AE209" s="36">
        <v>1.4350000000000001</v>
      </c>
      <c r="AF209" s="36">
        <v>1.4350000000000001</v>
      </c>
      <c r="AG209" s="36">
        <v>1.4350000000000001</v>
      </c>
      <c r="AH209" s="36">
        <v>1.4350000000000001</v>
      </c>
      <c r="AI209" s="39">
        <v>1.33634708931066E-2</v>
      </c>
      <c r="AJ209" s="39">
        <v>1.33634708931066E-2</v>
      </c>
      <c r="AK209" s="39">
        <v>1.33634708931066E-2</v>
      </c>
      <c r="AL209" s="39">
        <v>1.33634708931066E-2</v>
      </c>
      <c r="AM209" s="39">
        <v>1.33634708931066E-2</v>
      </c>
      <c r="AN209" s="39">
        <v>1.33634708931066E-2</v>
      </c>
      <c r="AO209" s="39">
        <v>1.33634708931066E-2</v>
      </c>
      <c r="AP209" s="39">
        <v>1.33634708931066E-2</v>
      </c>
      <c r="AQ209" s="39">
        <v>1.33634708931066E-2</v>
      </c>
      <c r="AR209" s="39">
        <v>1.33634708931066E-2</v>
      </c>
      <c r="AS209" s="39">
        <v>1.33634708931066E-2</v>
      </c>
      <c r="AT209" s="39">
        <v>1.33634708931066E-2</v>
      </c>
      <c r="AU209" s="39">
        <v>1.2392217523121999E-3</v>
      </c>
      <c r="AV209" s="39">
        <v>1.2392217523121999E-3</v>
      </c>
      <c r="AW209" s="39">
        <v>1.2392217523121999E-3</v>
      </c>
      <c r="AX209" s="39">
        <v>1.2392217523121999E-3</v>
      </c>
      <c r="AY209" s="39">
        <v>1.2392217523121999E-3</v>
      </c>
      <c r="AZ209" s="39">
        <v>1.2392217523121999E-3</v>
      </c>
      <c r="BA209" s="39">
        <v>1.2392217523121999E-3</v>
      </c>
      <c r="BB209" s="39">
        <v>1.2392217523121999E-3</v>
      </c>
      <c r="BC209" s="39">
        <v>1.2392217523121999E-3</v>
      </c>
      <c r="BD209" s="39">
        <v>1.2392217523121999E-3</v>
      </c>
      <c r="BE209" s="39">
        <v>1.2392217523121999E-3</v>
      </c>
      <c r="BF209" s="39">
        <v>1.2392217523121999E-3</v>
      </c>
      <c r="BG209" s="1"/>
      <c r="BH209" s="12">
        <f t="shared" si="87"/>
        <v>56.557300000000005</v>
      </c>
      <c r="BI209" s="12">
        <f t="shared" si="88"/>
        <v>42.4099</v>
      </c>
      <c r="BJ209" s="12">
        <f t="shared" si="89"/>
        <v>32.5261</v>
      </c>
      <c r="BK209" s="12">
        <f t="shared" si="90"/>
        <v>22.965299999999999</v>
      </c>
      <c r="BL209" s="12">
        <f t="shared" si="91"/>
        <v>25.452400000000001</v>
      </c>
      <c r="BM209" s="12">
        <f t="shared" si="92"/>
        <v>11.8864</v>
      </c>
      <c r="BN209" s="12">
        <f t="shared" si="93"/>
        <v>11.8864</v>
      </c>
      <c r="BO209" s="12">
        <f t="shared" si="94"/>
        <v>14.147399999999999</v>
      </c>
      <c r="BP209" s="12">
        <f t="shared" si="95"/>
        <v>28.294799999999999</v>
      </c>
      <c r="BQ209" s="12">
        <f t="shared" si="96"/>
        <v>42.4099</v>
      </c>
      <c r="BR209" s="12">
        <f t="shared" si="97"/>
        <v>42.4099</v>
      </c>
      <c r="BS209" s="12">
        <f t="shared" si="98"/>
        <v>31.104900000000001</v>
      </c>
      <c r="BT209" s="1"/>
      <c r="BU209" s="11">
        <f t="shared" si="99"/>
        <v>57.38318886875475</v>
      </c>
      <c r="BV209" s="11">
        <f t="shared" si="100"/>
        <v>43.029198734822948</v>
      </c>
      <c r="BW209" s="11">
        <f t="shared" si="101"/>
        <v>33.001068641254157</v>
      </c>
      <c r="BX209" s="11">
        <f t="shared" si="102"/>
        <v>23.300655217409837</v>
      </c>
      <c r="BY209" s="11">
        <f t="shared" si="103"/>
        <v>25.82407357428826</v>
      </c>
      <c r="BZ209" s="11">
        <f t="shared" si="104"/>
        <v>12.059973445860507</v>
      </c>
      <c r="CA209" s="11">
        <f t="shared" si="105"/>
        <v>12.059973445860507</v>
      </c>
      <c r="CB209" s="11">
        <f t="shared" si="106"/>
        <v>14.353990133931797</v>
      </c>
      <c r="CC209" s="11">
        <f t="shared" si="107"/>
        <v>28.707980267863594</v>
      </c>
      <c r="CD209" s="11">
        <f t="shared" si="108"/>
        <v>43.029198734822948</v>
      </c>
      <c r="CE209" s="11">
        <f t="shared" si="109"/>
        <v>43.029198734822948</v>
      </c>
      <c r="CF209" s="11">
        <f t="shared" si="110"/>
        <v>31.559115294466487</v>
      </c>
      <c r="CG209" s="11"/>
      <c r="CH209" s="41">
        <v>3.23</v>
      </c>
      <c r="CI209" s="1"/>
      <c r="CJ209" s="53">
        <f t="shared" si="111"/>
        <v>39988</v>
      </c>
      <c r="CK209" s="53">
        <f t="shared" si="112"/>
        <v>29986</v>
      </c>
      <c r="CL209" s="53">
        <f t="shared" si="113"/>
        <v>22997</v>
      </c>
      <c r="CM209" s="53">
        <f t="shared" si="114"/>
        <v>16237</v>
      </c>
      <c r="CN209" s="53">
        <f t="shared" si="115"/>
        <v>17996</v>
      </c>
      <c r="CO209" s="53">
        <f t="shared" si="116"/>
        <v>8404</v>
      </c>
      <c r="CP209" s="53">
        <f t="shared" si="117"/>
        <v>8404</v>
      </c>
      <c r="CQ209" s="53">
        <f t="shared" si="118"/>
        <v>10003</v>
      </c>
      <c r="CR209" s="53">
        <f t="shared" si="119"/>
        <v>20006</v>
      </c>
      <c r="CS209" s="53">
        <f t="shared" si="120"/>
        <v>29986</v>
      </c>
      <c r="CT209" s="53">
        <f t="shared" si="121"/>
        <v>29986</v>
      </c>
      <c r="CU209" s="53">
        <f t="shared" si="122"/>
        <v>21992</v>
      </c>
      <c r="CV209" s="53">
        <f t="shared" si="126"/>
        <v>255985</v>
      </c>
      <c r="CW209" s="1"/>
      <c r="CX209" s="1"/>
      <c r="CY209" s="1"/>
      <c r="CZ209" s="1"/>
      <c r="DA209" s="1"/>
      <c r="DB209" s="1"/>
      <c r="DC209" s="1"/>
      <c r="DD209" s="1"/>
      <c r="DE209" s="1"/>
      <c r="DF209" s="1"/>
      <c r="DG209" s="1"/>
      <c r="DH209" s="1"/>
      <c r="DI209" s="1"/>
      <c r="DJ209" s="1"/>
      <c r="DK209" s="1"/>
      <c r="DL209" s="1"/>
    </row>
    <row r="210" spans="1:116" ht="15.75" hidden="1" x14ac:dyDescent="0.25">
      <c r="A210" s="17"/>
      <c r="B210" s="17"/>
      <c r="C210" s="17"/>
      <c r="D210" s="17"/>
      <c r="E210" s="17"/>
      <c r="F210" s="31" t="s">
        <v>21</v>
      </c>
      <c r="G210" s="64">
        <v>10.82</v>
      </c>
      <c r="H210" s="64">
        <v>7.94</v>
      </c>
      <c r="I210" s="64">
        <v>6.94</v>
      </c>
      <c r="J210" s="64">
        <v>6.94</v>
      </c>
      <c r="K210" s="64">
        <v>6.94</v>
      </c>
      <c r="L210" s="64">
        <v>3.97</v>
      </c>
      <c r="M210" s="64">
        <v>3.97</v>
      </c>
      <c r="N210" s="64">
        <v>11.9</v>
      </c>
      <c r="O210" s="64">
        <v>14.88</v>
      </c>
      <c r="P210" s="64">
        <v>14.88</v>
      </c>
      <c r="Q210" s="64">
        <v>14.88</v>
      </c>
      <c r="R210" s="64">
        <v>14.88</v>
      </c>
      <c r="S210" s="11">
        <f t="shared" si="127"/>
        <v>118.93999999999998</v>
      </c>
      <c r="T210" s="9"/>
      <c r="U210" s="1"/>
      <c r="V210" s="50">
        <f t="shared" si="125"/>
        <v>131864</v>
      </c>
      <c r="W210" s="36">
        <v>2.956</v>
      </c>
      <c r="X210" s="36">
        <v>2.956</v>
      </c>
      <c r="Y210" s="36">
        <v>2.956</v>
      </c>
      <c r="Z210" s="36">
        <v>2.956</v>
      </c>
      <c r="AA210" s="36">
        <v>2.956</v>
      </c>
      <c r="AB210" s="36">
        <v>2.956</v>
      </c>
      <c r="AC210" s="36">
        <v>2.956</v>
      </c>
      <c r="AD210" s="36">
        <v>2.956</v>
      </c>
      <c r="AE210" s="36">
        <v>2.956</v>
      </c>
      <c r="AF210" s="36">
        <v>2.956</v>
      </c>
      <c r="AG210" s="36">
        <v>2.956</v>
      </c>
      <c r="AH210" s="36">
        <v>2.956</v>
      </c>
      <c r="AI210" s="39">
        <v>1.33634708931066E-2</v>
      </c>
      <c r="AJ210" s="39">
        <v>1.33634708931066E-2</v>
      </c>
      <c r="AK210" s="39">
        <v>1.33634708931066E-2</v>
      </c>
      <c r="AL210" s="39">
        <v>1.33634708931066E-2</v>
      </c>
      <c r="AM210" s="39">
        <v>1.33634708931066E-2</v>
      </c>
      <c r="AN210" s="39">
        <v>1.33634708931066E-2</v>
      </c>
      <c r="AO210" s="39">
        <v>1.33634708931066E-2</v>
      </c>
      <c r="AP210" s="39">
        <v>1.33634708931066E-2</v>
      </c>
      <c r="AQ210" s="39">
        <v>1.33634708931066E-2</v>
      </c>
      <c r="AR210" s="39">
        <v>1.33634708931066E-2</v>
      </c>
      <c r="AS210" s="39">
        <v>1.33634708931066E-2</v>
      </c>
      <c r="AT210" s="39">
        <v>1.33634708931066E-2</v>
      </c>
      <c r="AU210" s="39">
        <v>1.2392217523121999E-3</v>
      </c>
      <c r="AV210" s="39">
        <v>1.2392217523121999E-3</v>
      </c>
      <c r="AW210" s="39">
        <v>1.2392217523121999E-3</v>
      </c>
      <c r="AX210" s="39">
        <v>1.2392217523121999E-3</v>
      </c>
      <c r="AY210" s="39">
        <v>1.2392217523121999E-3</v>
      </c>
      <c r="AZ210" s="39">
        <v>1.2392217523121999E-3</v>
      </c>
      <c r="BA210" s="39">
        <v>1.2392217523121999E-3</v>
      </c>
      <c r="BB210" s="39">
        <v>1.2392217523121999E-3</v>
      </c>
      <c r="BC210" s="39">
        <v>1.2392217523121999E-3</v>
      </c>
      <c r="BD210" s="39">
        <v>1.2392217523121999E-3</v>
      </c>
      <c r="BE210" s="39">
        <v>1.2392217523121999E-3</v>
      </c>
      <c r="BF210" s="39">
        <v>1.2392217523121999E-3</v>
      </c>
      <c r="BG210" s="1"/>
      <c r="BH210" s="12">
        <f t="shared" ref="BH210:BH273" si="128">G210*$CH210</f>
        <v>34.948599999999999</v>
      </c>
      <c r="BI210" s="12">
        <f t="shared" ref="BI210:BI273" si="129">H210*$CH210</f>
        <v>25.6462</v>
      </c>
      <c r="BJ210" s="12">
        <f t="shared" ref="BJ210:BJ273" si="130">I210*$CH210</f>
        <v>22.4162</v>
      </c>
      <c r="BK210" s="12">
        <f t="shared" ref="BK210:BK273" si="131">J210*$CH210</f>
        <v>22.4162</v>
      </c>
      <c r="BL210" s="12">
        <f t="shared" ref="BL210:BL273" si="132">K210*$CH210</f>
        <v>22.4162</v>
      </c>
      <c r="BM210" s="12">
        <f t="shared" ref="BM210:BM273" si="133">L210*$CH210</f>
        <v>12.8231</v>
      </c>
      <c r="BN210" s="12">
        <f t="shared" ref="BN210:BN273" si="134">M210*$CH210</f>
        <v>12.8231</v>
      </c>
      <c r="BO210" s="12">
        <f t="shared" ref="BO210:BO273" si="135">N210*$CH210</f>
        <v>38.436999999999998</v>
      </c>
      <c r="BP210" s="12">
        <f t="shared" ref="BP210:BP273" si="136">O210*$CH210</f>
        <v>48.062400000000004</v>
      </c>
      <c r="BQ210" s="12">
        <f t="shared" ref="BQ210:BQ273" si="137">P210*$CH210</f>
        <v>48.062400000000004</v>
      </c>
      <c r="BR210" s="12">
        <f t="shared" ref="BR210:BR273" si="138">Q210*$CH210</f>
        <v>48.062400000000004</v>
      </c>
      <c r="BS210" s="12">
        <f t="shared" ref="BS210:BS273" si="139">R210*$CH210</f>
        <v>48.062400000000004</v>
      </c>
      <c r="BT210" s="1"/>
      <c r="BU210" s="11">
        <f t="shared" ref="BU210:BU273" si="140">BH210*(1+(AI210+AU210))</f>
        <v>35.458943664187686</v>
      </c>
      <c r="BV210" s="11">
        <f t="shared" ref="BV210:BV273" si="141">BI210*(1+(AJ210+AV210))</f>
        <v>26.020703576122941</v>
      </c>
      <c r="BW210" s="11">
        <f t="shared" ref="BW210:BW273" si="142">BJ210*(1+(AK210+AW210))</f>
        <v>22.743536878878238</v>
      </c>
      <c r="BX210" s="11">
        <f t="shared" ref="BX210:BX273" si="143">BK210*(1+(AL210+AX210))</f>
        <v>22.743536878878238</v>
      </c>
      <c r="BY210" s="11">
        <f t="shared" ref="BY210:BY273" si="144">BL210*(1+(AM210+AY210))</f>
        <v>22.743536878878238</v>
      </c>
      <c r="BZ210" s="11">
        <f t="shared" ref="BZ210:BZ273" si="145">BM210*(1+(AN210+AZ210))</f>
        <v>13.01035178806147</v>
      </c>
      <c r="CA210" s="11">
        <f t="shared" ref="CA210:CA273" si="146">BN210*(1+(AO210+BA210))</f>
        <v>13.01035178806147</v>
      </c>
      <c r="CB210" s="11">
        <f t="shared" ref="CB210:CB273" si="147">BO210*(1+(AP210+BB210))</f>
        <v>38.99828369721196</v>
      </c>
      <c r="CC210" s="11">
        <f t="shared" ref="CC210:CC273" si="148">BP210*(1+(AQ210+BC210))</f>
        <v>48.764240455001179</v>
      </c>
      <c r="CD210" s="11">
        <f t="shared" ref="CD210:CD273" si="149">BQ210*(1+(AR210+BD210))</f>
        <v>48.764240455001179</v>
      </c>
      <c r="CE210" s="11">
        <f t="shared" ref="CE210:CE273" si="150">BR210*(1+(AS210+BE210))</f>
        <v>48.764240455001179</v>
      </c>
      <c r="CF210" s="11">
        <f t="shared" ref="CF210:CF273" si="151">BS210*(1+(AT210+BF210))</f>
        <v>48.764240455001179</v>
      </c>
      <c r="CG210" s="11"/>
      <c r="CH210" s="41">
        <v>3.23</v>
      </c>
      <c r="CI210" s="1"/>
      <c r="CJ210" s="53">
        <f t="shared" ref="CJ210:CJ273" si="152">IFERROR(ROUND((BU210*1000)/W210,),0)</f>
        <v>11996</v>
      </c>
      <c r="CK210" s="53">
        <f t="shared" ref="CK210:CK273" si="153">IFERROR(ROUND((BV210*1000)/X210,),0)</f>
        <v>8803</v>
      </c>
      <c r="CL210" s="53">
        <f t="shared" ref="CL210:CL273" si="154">IFERROR(ROUND((BW210*1000)/Y210,),0)</f>
        <v>7694</v>
      </c>
      <c r="CM210" s="53">
        <f t="shared" ref="CM210:CM273" si="155">IFERROR(ROUND((BX210*1000)/Z210,),0)</f>
        <v>7694</v>
      </c>
      <c r="CN210" s="53">
        <f t="shared" ref="CN210:CN273" si="156">IFERROR(ROUND((BY210*1000)/AA210,),0)</f>
        <v>7694</v>
      </c>
      <c r="CO210" s="53">
        <f t="shared" ref="CO210:CO273" si="157">IFERROR(ROUND((BZ210*1000)/AB210,),0)</f>
        <v>4401</v>
      </c>
      <c r="CP210" s="53">
        <f t="shared" ref="CP210:CP273" si="158">IFERROR(ROUND((CA210*1000)/AC210,),0)</f>
        <v>4401</v>
      </c>
      <c r="CQ210" s="53">
        <f t="shared" ref="CQ210:CQ273" si="159">IFERROR(ROUND((CB210*1000)/AD210,),0)</f>
        <v>13193</v>
      </c>
      <c r="CR210" s="53">
        <f t="shared" ref="CR210:CR273" si="160">IFERROR(ROUND((CC210*1000)/AE210,),0)</f>
        <v>16497</v>
      </c>
      <c r="CS210" s="53">
        <f t="shared" ref="CS210:CS273" si="161">IFERROR(ROUND((CD210*1000)/AF210,),0)</f>
        <v>16497</v>
      </c>
      <c r="CT210" s="53">
        <f t="shared" ref="CT210:CT273" si="162">IFERROR(ROUND((CE210*1000)/AG210,),0)</f>
        <v>16497</v>
      </c>
      <c r="CU210" s="53">
        <f t="shared" ref="CU210:CU273" si="163">IFERROR(ROUND((CF210*1000)/AH210,),0)</f>
        <v>16497</v>
      </c>
      <c r="CV210" s="53">
        <f t="shared" si="126"/>
        <v>131864</v>
      </c>
      <c r="CW210" s="1"/>
      <c r="CX210" s="1"/>
      <c r="CY210" s="1"/>
      <c r="CZ210" s="1"/>
      <c r="DA210" s="1"/>
      <c r="DB210" s="1"/>
      <c r="DC210" s="1"/>
      <c r="DD210" s="1"/>
      <c r="DE210" s="1"/>
      <c r="DF210" s="1"/>
      <c r="DG210" s="1"/>
      <c r="DH210" s="1"/>
      <c r="DI210" s="1"/>
      <c r="DJ210" s="1"/>
      <c r="DK210" s="1"/>
      <c r="DL210" s="1"/>
    </row>
    <row r="211" spans="1:116" ht="15.75" hidden="1" x14ac:dyDescent="0.25">
      <c r="A211" s="17"/>
      <c r="B211" s="17"/>
      <c r="C211" s="17"/>
      <c r="D211" s="17"/>
      <c r="E211" s="17"/>
      <c r="F211" s="31" t="s">
        <v>21</v>
      </c>
      <c r="G211" s="64">
        <v>178.16</v>
      </c>
      <c r="H211" s="64">
        <v>178.16</v>
      </c>
      <c r="I211" s="64">
        <v>167.02</v>
      </c>
      <c r="J211" s="64">
        <v>76.16</v>
      </c>
      <c r="K211" s="64">
        <v>57.12</v>
      </c>
      <c r="L211" s="64">
        <v>57.12</v>
      </c>
      <c r="M211" s="64">
        <v>66.81</v>
      </c>
      <c r="N211" s="64">
        <v>89.08</v>
      </c>
      <c r="O211" s="64">
        <v>167.02</v>
      </c>
      <c r="P211" s="64">
        <v>167.02</v>
      </c>
      <c r="Q211" s="64">
        <v>150.32</v>
      </c>
      <c r="R211" s="64">
        <v>120.25</v>
      </c>
      <c r="S211" s="11">
        <f t="shared" si="127"/>
        <v>1474.24</v>
      </c>
      <c r="T211" s="9"/>
      <c r="U211" s="1"/>
      <c r="V211" s="50">
        <f t="shared" si="125"/>
        <v>1389910</v>
      </c>
      <c r="W211" s="36">
        <v>3.476</v>
      </c>
      <c r="X211" s="36">
        <v>3.476</v>
      </c>
      <c r="Y211" s="36">
        <v>3.476</v>
      </c>
      <c r="Z211" s="36">
        <v>3.476</v>
      </c>
      <c r="AA211" s="36">
        <v>3.476</v>
      </c>
      <c r="AB211" s="36">
        <v>3.476</v>
      </c>
      <c r="AC211" s="36">
        <v>3.476</v>
      </c>
      <c r="AD211" s="36">
        <v>3.476</v>
      </c>
      <c r="AE211" s="36">
        <v>3.476</v>
      </c>
      <c r="AF211" s="36">
        <v>3.476</v>
      </c>
      <c r="AG211" s="36">
        <v>3.476</v>
      </c>
      <c r="AH211" s="36">
        <v>3.476</v>
      </c>
      <c r="AI211" s="39">
        <v>1.33634708931066E-2</v>
      </c>
      <c r="AJ211" s="39">
        <v>1.33634708931066E-2</v>
      </c>
      <c r="AK211" s="39">
        <v>1.33634708931066E-2</v>
      </c>
      <c r="AL211" s="39">
        <v>1.33634708931066E-2</v>
      </c>
      <c r="AM211" s="39">
        <v>1.33634708931066E-2</v>
      </c>
      <c r="AN211" s="39">
        <v>1.33634708931066E-2</v>
      </c>
      <c r="AO211" s="39">
        <v>1.33634708931066E-2</v>
      </c>
      <c r="AP211" s="39">
        <v>1.33634708931066E-2</v>
      </c>
      <c r="AQ211" s="39">
        <v>1.33634708931066E-2</v>
      </c>
      <c r="AR211" s="39">
        <v>1.33634708931066E-2</v>
      </c>
      <c r="AS211" s="39">
        <v>1.33634708931066E-2</v>
      </c>
      <c r="AT211" s="39">
        <v>1.33634708931066E-2</v>
      </c>
      <c r="AU211" s="39">
        <v>1.2392217523121999E-3</v>
      </c>
      <c r="AV211" s="39">
        <v>1.2392217523121999E-3</v>
      </c>
      <c r="AW211" s="39">
        <v>1.2392217523121999E-3</v>
      </c>
      <c r="AX211" s="39">
        <v>1.2392217523121999E-3</v>
      </c>
      <c r="AY211" s="39">
        <v>1.2392217523121999E-3</v>
      </c>
      <c r="AZ211" s="39">
        <v>1.2392217523121999E-3</v>
      </c>
      <c r="BA211" s="39">
        <v>1.2392217523121999E-3</v>
      </c>
      <c r="BB211" s="39">
        <v>1.2392217523121999E-3</v>
      </c>
      <c r="BC211" s="39">
        <v>1.2392217523121999E-3</v>
      </c>
      <c r="BD211" s="39">
        <v>1.2392217523121999E-3</v>
      </c>
      <c r="BE211" s="39">
        <v>1.2392217523121999E-3</v>
      </c>
      <c r="BF211" s="39">
        <v>1.2392217523121999E-3</v>
      </c>
      <c r="BG211" s="1"/>
      <c r="BH211" s="12">
        <f t="shared" si="128"/>
        <v>575.45679999999993</v>
      </c>
      <c r="BI211" s="12">
        <f t="shared" si="129"/>
        <v>575.45679999999993</v>
      </c>
      <c r="BJ211" s="12">
        <f t="shared" si="130"/>
        <v>539.47460000000001</v>
      </c>
      <c r="BK211" s="12">
        <f t="shared" si="131"/>
        <v>245.99679999999998</v>
      </c>
      <c r="BL211" s="12">
        <f t="shared" si="132"/>
        <v>184.49759999999998</v>
      </c>
      <c r="BM211" s="12">
        <f t="shared" si="133"/>
        <v>184.49759999999998</v>
      </c>
      <c r="BN211" s="12">
        <f t="shared" si="134"/>
        <v>215.7963</v>
      </c>
      <c r="BO211" s="12">
        <f t="shared" si="135"/>
        <v>287.72839999999997</v>
      </c>
      <c r="BP211" s="12">
        <f t="shared" si="136"/>
        <v>539.47460000000001</v>
      </c>
      <c r="BQ211" s="12">
        <f t="shared" si="137"/>
        <v>539.47460000000001</v>
      </c>
      <c r="BR211" s="12">
        <f t="shared" si="138"/>
        <v>485.53359999999998</v>
      </c>
      <c r="BS211" s="12">
        <f t="shared" si="139"/>
        <v>388.40749999999997</v>
      </c>
      <c r="BT211" s="1"/>
      <c r="BU211" s="11">
        <f t="shared" si="140"/>
        <v>583.8600187811162</v>
      </c>
      <c r="BV211" s="11">
        <f t="shared" si="141"/>
        <v>583.8600187811162</v>
      </c>
      <c r="BW211" s="11">
        <f t="shared" si="142"/>
        <v>547.35238177381029</v>
      </c>
      <c r="BX211" s="11">
        <f t="shared" si="143"/>
        <v>249.58901566215653</v>
      </c>
      <c r="BY211" s="11">
        <f t="shared" si="144"/>
        <v>187.1917617466174</v>
      </c>
      <c r="BZ211" s="11">
        <f t="shared" si="145"/>
        <v>187.1917617466174</v>
      </c>
      <c r="CA211" s="11">
        <f t="shared" si="146"/>
        <v>218.9475070429186</v>
      </c>
      <c r="CB211" s="11">
        <f t="shared" si="147"/>
        <v>291.9300093905581</v>
      </c>
      <c r="CC211" s="11">
        <f t="shared" si="148"/>
        <v>547.35238177381029</v>
      </c>
      <c r="CD211" s="11">
        <f t="shared" si="149"/>
        <v>547.35238177381029</v>
      </c>
      <c r="CE211" s="11">
        <f t="shared" si="150"/>
        <v>492.62369792982372</v>
      </c>
      <c r="CF211" s="11">
        <f t="shared" si="151"/>
        <v>394.07929534367548</v>
      </c>
      <c r="CG211" s="11"/>
      <c r="CH211" s="41">
        <v>3.23</v>
      </c>
      <c r="CI211" s="1"/>
      <c r="CJ211" s="53">
        <f t="shared" si="152"/>
        <v>167969</v>
      </c>
      <c r="CK211" s="53">
        <f t="shared" si="153"/>
        <v>167969</v>
      </c>
      <c r="CL211" s="53">
        <f t="shared" si="154"/>
        <v>157466</v>
      </c>
      <c r="CM211" s="53">
        <f t="shared" si="155"/>
        <v>71804</v>
      </c>
      <c r="CN211" s="53">
        <f t="shared" si="156"/>
        <v>53853</v>
      </c>
      <c r="CO211" s="53">
        <f t="shared" si="157"/>
        <v>53853</v>
      </c>
      <c r="CP211" s="53">
        <f t="shared" si="158"/>
        <v>62988</v>
      </c>
      <c r="CQ211" s="53">
        <f t="shared" si="159"/>
        <v>83984</v>
      </c>
      <c r="CR211" s="53">
        <f t="shared" si="160"/>
        <v>157466</v>
      </c>
      <c r="CS211" s="53">
        <f t="shared" si="161"/>
        <v>157466</v>
      </c>
      <c r="CT211" s="53">
        <f t="shared" si="162"/>
        <v>141721</v>
      </c>
      <c r="CU211" s="53">
        <f t="shared" si="163"/>
        <v>113371</v>
      </c>
      <c r="CV211" s="53">
        <f t="shared" si="126"/>
        <v>1389910</v>
      </c>
      <c r="CW211" s="1"/>
      <c r="CX211" s="1"/>
      <c r="CY211" s="1"/>
      <c r="CZ211" s="1"/>
      <c r="DA211" s="1"/>
      <c r="DB211" s="1"/>
      <c r="DC211" s="1"/>
      <c r="DD211" s="1"/>
      <c r="DE211" s="1"/>
      <c r="DF211" s="1"/>
      <c r="DG211" s="1"/>
      <c r="DH211" s="1"/>
      <c r="DI211" s="1"/>
      <c r="DJ211" s="1"/>
      <c r="DK211" s="1"/>
      <c r="DL211" s="1"/>
    </row>
    <row r="212" spans="1:116" ht="15.75" hidden="1" x14ac:dyDescent="0.25">
      <c r="A212" s="17"/>
      <c r="B212" s="17"/>
      <c r="C212" s="17"/>
      <c r="D212" s="17"/>
      <c r="E212" s="17"/>
      <c r="F212" s="31" t="s">
        <v>21</v>
      </c>
      <c r="G212" s="64">
        <v>262.76</v>
      </c>
      <c r="H212" s="64">
        <v>232.28</v>
      </c>
      <c r="I212" s="64">
        <v>186.32</v>
      </c>
      <c r="J212" s="64">
        <v>86.95</v>
      </c>
      <c r="K212" s="64">
        <v>86.95</v>
      </c>
      <c r="L212" s="64">
        <v>74.53</v>
      </c>
      <c r="M212" s="64">
        <v>74.53</v>
      </c>
      <c r="N212" s="64">
        <v>74.53</v>
      </c>
      <c r="O212" s="64">
        <v>149.06</v>
      </c>
      <c r="P212" s="64">
        <v>173.9</v>
      </c>
      <c r="Q212" s="64">
        <v>173.9</v>
      </c>
      <c r="R212" s="64">
        <v>124.22</v>
      </c>
      <c r="S212" s="11">
        <f t="shared" si="127"/>
        <v>1699.93</v>
      </c>
      <c r="T212" s="9"/>
      <c r="U212" s="1"/>
      <c r="V212" s="50">
        <f t="shared" si="125"/>
        <v>1422978</v>
      </c>
      <c r="W212" s="36">
        <v>3.915</v>
      </c>
      <c r="X212" s="36">
        <v>3.915</v>
      </c>
      <c r="Y212" s="36">
        <v>3.915</v>
      </c>
      <c r="Z212" s="36">
        <v>3.915</v>
      </c>
      <c r="AA212" s="36">
        <v>3.915</v>
      </c>
      <c r="AB212" s="36">
        <v>3.915</v>
      </c>
      <c r="AC212" s="36">
        <v>3.915</v>
      </c>
      <c r="AD212" s="36">
        <v>3.915</v>
      </c>
      <c r="AE212" s="36">
        <v>3.915</v>
      </c>
      <c r="AF212" s="36">
        <v>3.915</v>
      </c>
      <c r="AG212" s="36">
        <v>3.915</v>
      </c>
      <c r="AH212" s="36">
        <v>3.915</v>
      </c>
      <c r="AI212" s="39">
        <v>1.33634708931066E-2</v>
      </c>
      <c r="AJ212" s="39">
        <v>1.33634708931066E-2</v>
      </c>
      <c r="AK212" s="39">
        <v>1.33634708931066E-2</v>
      </c>
      <c r="AL212" s="39">
        <v>1.33634708931066E-2</v>
      </c>
      <c r="AM212" s="39">
        <v>1.33634708931066E-2</v>
      </c>
      <c r="AN212" s="39">
        <v>1.33634708931066E-2</v>
      </c>
      <c r="AO212" s="39">
        <v>1.33634708931066E-2</v>
      </c>
      <c r="AP212" s="39">
        <v>1.33634708931066E-2</v>
      </c>
      <c r="AQ212" s="39">
        <v>1.33634708931066E-2</v>
      </c>
      <c r="AR212" s="39">
        <v>1.33634708931066E-2</v>
      </c>
      <c r="AS212" s="39">
        <v>1.33634708931066E-2</v>
      </c>
      <c r="AT212" s="39">
        <v>1.33634708931066E-2</v>
      </c>
      <c r="AU212" s="39">
        <v>1.2392217523121999E-3</v>
      </c>
      <c r="AV212" s="39">
        <v>1.2392217523121999E-3</v>
      </c>
      <c r="AW212" s="39">
        <v>1.2392217523121999E-3</v>
      </c>
      <c r="AX212" s="39">
        <v>1.2392217523121999E-3</v>
      </c>
      <c r="AY212" s="39">
        <v>1.2392217523121999E-3</v>
      </c>
      <c r="AZ212" s="39">
        <v>1.2392217523121999E-3</v>
      </c>
      <c r="BA212" s="39">
        <v>1.2392217523121999E-3</v>
      </c>
      <c r="BB212" s="39">
        <v>1.2392217523121999E-3</v>
      </c>
      <c r="BC212" s="39">
        <v>1.2392217523121999E-3</v>
      </c>
      <c r="BD212" s="39">
        <v>1.2392217523121999E-3</v>
      </c>
      <c r="BE212" s="39">
        <v>1.2392217523121999E-3</v>
      </c>
      <c r="BF212" s="39">
        <v>1.2392217523121999E-3</v>
      </c>
      <c r="BG212" s="1"/>
      <c r="BH212" s="12">
        <f t="shared" si="128"/>
        <v>848.71479999999997</v>
      </c>
      <c r="BI212" s="12">
        <f t="shared" si="129"/>
        <v>750.26440000000002</v>
      </c>
      <c r="BJ212" s="12">
        <f t="shared" si="130"/>
        <v>601.81359999999995</v>
      </c>
      <c r="BK212" s="12">
        <f t="shared" si="131"/>
        <v>280.8485</v>
      </c>
      <c r="BL212" s="12">
        <f t="shared" si="132"/>
        <v>280.8485</v>
      </c>
      <c r="BM212" s="12">
        <f t="shared" si="133"/>
        <v>240.7319</v>
      </c>
      <c r="BN212" s="12">
        <f t="shared" si="134"/>
        <v>240.7319</v>
      </c>
      <c r="BO212" s="12">
        <f t="shared" si="135"/>
        <v>240.7319</v>
      </c>
      <c r="BP212" s="12">
        <f t="shared" si="136"/>
        <v>481.46379999999999</v>
      </c>
      <c r="BQ212" s="12">
        <f t="shared" si="137"/>
        <v>561.697</v>
      </c>
      <c r="BR212" s="12">
        <f t="shared" si="138"/>
        <v>561.697</v>
      </c>
      <c r="BS212" s="12">
        <f t="shared" si="139"/>
        <v>401.23059999999998</v>
      </c>
      <c r="BT212" s="1"/>
      <c r="BU212" s="11">
        <f t="shared" si="140"/>
        <v>861.1083213680181</v>
      </c>
      <c r="BV212" s="11">
        <f t="shared" si="141"/>
        <v>761.2202804359996</v>
      </c>
      <c r="BW212" s="11">
        <f t="shared" si="142"/>
        <v>610.60169903063297</v>
      </c>
      <c r="BX212" s="11">
        <f t="shared" si="143"/>
        <v>284.9496443254269</v>
      </c>
      <c r="BY212" s="11">
        <f t="shared" si="144"/>
        <v>284.9496443254269</v>
      </c>
      <c r="BZ212" s="11">
        <f t="shared" si="145"/>
        <v>244.24723394564768</v>
      </c>
      <c r="CA212" s="11">
        <f t="shared" si="146"/>
        <v>244.24723394564768</v>
      </c>
      <c r="CB212" s="11">
        <f t="shared" si="147"/>
        <v>244.24723394564768</v>
      </c>
      <c r="CC212" s="11">
        <f t="shared" si="148"/>
        <v>488.49446789129536</v>
      </c>
      <c r="CD212" s="11">
        <f t="shared" si="149"/>
        <v>569.8992886508538</v>
      </c>
      <c r="CE212" s="11">
        <f t="shared" si="150"/>
        <v>569.8992886508538</v>
      </c>
      <c r="CF212" s="11">
        <f t="shared" si="151"/>
        <v>407.08964713173697</v>
      </c>
      <c r="CG212" s="11"/>
      <c r="CH212" s="41">
        <v>3.23</v>
      </c>
      <c r="CI212" s="1"/>
      <c r="CJ212" s="53">
        <f t="shared" si="152"/>
        <v>219951</v>
      </c>
      <c r="CK212" s="53">
        <f t="shared" si="153"/>
        <v>194437</v>
      </c>
      <c r="CL212" s="53">
        <f t="shared" si="154"/>
        <v>155965</v>
      </c>
      <c r="CM212" s="53">
        <f t="shared" si="155"/>
        <v>72784</v>
      </c>
      <c r="CN212" s="53">
        <f t="shared" si="156"/>
        <v>72784</v>
      </c>
      <c r="CO212" s="53">
        <f t="shared" si="157"/>
        <v>62388</v>
      </c>
      <c r="CP212" s="53">
        <f t="shared" si="158"/>
        <v>62388</v>
      </c>
      <c r="CQ212" s="53">
        <f t="shared" si="159"/>
        <v>62388</v>
      </c>
      <c r="CR212" s="53">
        <f t="shared" si="160"/>
        <v>124775</v>
      </c>
      <c r="CS212" s="53">
        <f t="shared" si="161"/>
        <v>145568</v>
      </c>
      <c r="CT212" s="53">
        <f t="shared" si="162"/>
        <v>145568</v>
      </c>
      <c r="CU212" s="53">
        <f t="shared" si="163"/>
        <v>103982</v>
      </c>
      <c r="CV212" s="53">
        <f t="shared" si="126"/>
        <v>1422978</v>
      </c>
      <c r="CW212" s="1"/>
      <c r="CX212" s="1"/>
      <c r="CY212" s="1"/>
      <c r="CZ212" s="1"/>
      <c r="DA212" s="1"/>
      <c r="DB212" s="1"/>
      <c r="DC212" s="1"/>
      <c r="DD212" s="1"/>
      <c r="DE212" s="1"/>
      <c r="DF212" s="1"/>
      <c r="DG212" s="1"/>
      <c r="DH212" s="1"/>
      <c r="DI212" s="1"/>
      <c r="DJ212" s="1"/>
      <c r="DK212" s="1"/>
      <c r="DL212" s="1"/>
    </row>
    <row r="213" spans="1:116" ht="15.75" hidden="1" x14ac:dyDescent="0.25">
      <c r="A213" s="17"/>
      <c r="B213" s="17"/>
      <c r="C213" s="17"/>
      <c r="D213" s="17"/>
      <c r="E213" s="17"/>
      <c r="F213" s="31" t="s">
        <v>21</v>
      </c>
      <c r="G213" s="64">
        <v>39.14</v>
      </c>
      <c r="H213" s="64">
        <v>0</v>
      </c>
      <c r="I213" s="64">
        <v>78.28</v>
      </c>
      <c r="J213" s="64">
        <v>0</v>
      </c>
      <c r="K213" s="64">
        <v>0</v>
      </c>
      <c r="L213" s="64">
        <v>0</v>
      </c>
      <c r="M213" s="64">
        <v>0</v>
      </c>
      <c r="N213" s="64">
        <v>39.14</v>
      </c>
      <c r="O213" s="64">
        <v>0</v>
      </c>
      <c r="P213" s="64">
        <v>39.14</v>
      </c>
      <c r="Q213" s="64">
        <v>39.14</v>
      </c>
      <c r="R213" s="64">
        <v>39.14</v>
      </c>
      <c r="S213" s="11">
        <f t="shared" si="127"/>
        <v>273.97999999999996</v>
      </c>
      <c r="T213" s="9"/>
      <c r="U213" s="1"/>
      <c r="V213" s="50">
        <f t="shared" si="125"/>
        <v>30240</v>
      </c>
      <c r="W213" s="36">
        <v>9.06</v>
      </c>
      <c r="X213" s="36">
        <v>9.06</v>
      </c>
      <c r="Y213" s="36">
        <v>9.06</v>
      </c>
      <c r="Z213" s="36">
        <v>9.06</v>
      </c>
      <c r="AA213" s="36">
        <v>9.06</v>
      </c>
      <c r="AB213" s="36">
        <v>9.06</v>
      </c>
      <c r="AC213" s="36">
        <v>9.06</v>
      </c>
      <c r="AD213" s="36">
        <v>9.06</v>
      </c>
      <c r="AE213" s="36">
        <v>9.06</v>
      </c>
      <c r="AF213" s="36">
        <v>9.06</v>
      </c>
      <c r="AG213" s="36">
        <v>9.06</v>
      </c>
      <c r="AH213" s="36">
        <v>9.06</v>
      </c>
      <c r="AI213" s="39">
        <v>0</v>
      </c>
      <c r="AJ213" s="39">
        <v>0</v>
      </c>
      <c r="AK213" s="39">
        <v>0</v>
      </c>
      <c r="AL213" s="39">
        <v>0</v>
      </c>
      <c r="AM213" s="39">
        <v>0</v>
      </c>
      <c r="AN213" s="39">
        <v>0</v>
      </c>
      <c r="AO213" s="39">
        <v>0</v>
      </c>
      <c r="AP213" s="39">
        <v>0</v>
      </c>
      <c r="AQ213" s="39">
        <v>0</v>
      </c>
      <c r="AR213" s="39">
        <v>0</v>
      </c>
      <c r="AS213" s="39">
        <v>0</v>
      </c>
      <c r="AT213" s="39">
        <v>0</v>
      </c>
      <c r="AU213" s="39">
        <v>0</v>
      </c>
      <c r="AV213" s="39">
        <v>0</v>
      </c>
      <c r="AW213" s="39">
        <v>0</v>
      </c>
      <c r="AX213" s="39">
        <v>0</v>
      </c>
      <c r="AY213" s="39">
        <v>0</v>
      </c>
      <c r="AZ213" s="39">
        <v>0</v>
      </c>
      <c r="BA213" s="39">
        <v>0</v>
      </c>
      <c r="BB213" s="39">
        <v>0</v>
      </c>
      <c r="BC213" s="39">
        <v>0</v>
      </c>
      <c r="BD213" s="39">
        <v>0</v>
      </c>
      <c r="BE213" s="39">
        <v>0</v>
      </c>
      <c r="BF213" s="39">
        <v>0</v>
      </c>
      <c r="BG213" s="1"/>
      <c r="BH213" s="12">
        <f t="shared" si="128"/>
        <v>39.14</v>
      </c>
      <c r="BI213" s="12">
        <f t="shared" si="129"/>
        <v>0</v>
      </c>
      <c r="BJ213" s="12">
        <f t="shared" si="130"/>
        <v>78.28</v>
      </c>
      <c r="BK213" s="12">
        <f t="shared" si="131"/>
        <v>0</v>
      </c>
      <c r="BL213" s="12">
        <f t="shared" si="132"/>
        <v>0</v>
      </c>
      <c r="BM213" s="12">
        <f t="shared" si="133"/>
        <v>0</v>
      </c>
      <c r="BN213" s="12">
        <f t="shared" si="134"/>
        <v>0</v>
      </c>
      <c r="BO213" s="12">
        <f t="shared" si="135"/>
        <v>39.14</v>
      </c>
      <c r="BP213" s="12">
        <f t="shared" si="136"/>
        <v>0</v>
      </c>
      <c r="BQ213" s="12">
        <f t="shared" si="137"/>
        <v>39.14</v>
      </c>
      <c r="BR213" s="12">
        <f t="shared" si="138"/>
        <v>39.14</v>
      </c>
      <c r="BS213" s="12">
        <f t="shared" si="139"/>
        <v>39.14</v>
      </c>
      <c r="BT213" s="1"/>
      <c r="BU213" s="11">
        <f t="shared" si="140"/>
        <v>39.14</v>
      </c>
      <c r="BV213" s="11">
        <f t="shared" si="141"/>
        <v>0</v>
      </c>
      <c r="BW213" s="11">
        <f t="shared" si="142"/>
        <v>78.28</v>
      </c>
      <c r="BX213" s="11">
        <f t="shared" si="143"/>
        <v>0</v>
      </c>
      <c r="BY213" s="11">
        <f t="shared" si="144"/>
        <v>0</v>
      </c>
      <c r="BZ213" s="11">
        <f t="shared" si="145"/>
        <v>0</v>
      </c>
      <c r="CA213" s="11">
        <f t="shared" si="146"/>
        <v>0</v>
      </c>
      <c r="CB213" s="11">
        <f t="shared" si="147"/>
        <v>39.14</v>
      </c>
      <c r="CC213" s="11">
        <f t="shared" si="148"/>
        <v>0</v>
      </c>
      <c r="CD213" s="11">
        <f t="shared" si="149"/>
        <v>39.14</v>
      </c>
      <c r="CE213" s="11">
        <f t="shared" si="150"/>
        <v>39.14</v>
      </c>
      <c r="CF213" s="11">
        <f t="shared" si="151"/>
        <v>39.14</v>
      </c>
      <c r="CG213" s="11"/>
      <c r="CH213" s="41">
        <v>1</v>
      </c>
      <c r="CI213" s="1"/>
      <c r="CJ213" s="53">
        <f t="shared" si="152"/>
        <v>4320</v>
      </c>
      <c r="CK213" s="53">
        <f t="shared" si="153"/>
        <v>0</v>
      </c>
      <c r="CL213" s="53">
        <f t="shared" si="154"/>
        <v>8640</v>
      </c>
      <c r="CM213" s="53">
        <f t="shared" si="155"/>
        <v>0</v>
      </c>
      <c r="CN213" s="53">
        <f t="shared" si="156"/>
        <v>0</v>
      </c>
      <c r="CO213" s="53">
        <f t="shared" si="157"/>
        <v>0</v>
      </c>
      <c r="CP213" s="53">
        <f t="shared" si="158"/>
        <v>0</v>
      </c>
      <c r="CQ213" s="53">
        <f t="shared" si="159"/>
        <v>4320</v>
      </c>
      <c r="CR213" s="53">
        <f t="shared" si="160"/>
        <v>0</v>
      </c>
      <c r="CS213" s="53">
        <f t="shared" si="161"/>
        <v>4320</v>
      </c>
      <c r="CT213" s="53">
        <f t="shared" si="162"/>
        <v>4320</v>
      </c>
      <c r="CU213" s="53">
        <f t="shared" si="163"/>
        <v>4320</v>
      </c>
      <c r="CV213" s="53">
        <f t="shared" si="126"/>
        <v>30240</v>
      </c>
      <c r="CW213" s="1"/>
      <c r="CX213" s="1"/>
      <c r="CY213" s="1"/>
      <c r="CZ213" s="1"/>
      <c r="DA213" s="1"/>
      <c r="DB213" s="1"/>
      <c r="DC213" s="1"/>
      <c r="DD213" s="1"/>
      <c r="DE213" s="1"/>
      <c r="DF213" s="1"/>
      <c r="DG213" s="1"/>
      <c r="DH213" s="1"/>
      <c r="DI213" s="1"/>
      <c r="DJ213" s="1"/>
      <c r="DK213" s="1"/>
      <c r="DL213" s="1"/>
    </row>
    <row r="214" spans="1:116" ht="15.75" hidden="1" x14ac:dyDescent="0.25">
      <c r="A214" s="17"/>
      <c r="B214" s="17"/>
      <c r="C214" s="17"/>
      <c r="D214" s="17"/>
      <c r="E214" s="17"/>
      <c r="F214" s="31" t="s">
        <v>21</v>
      </c>
      <c r="G214" s="64">
        <v>0</v>
      </c>
      <c r="H214" s="64">
        <v>17.579999999999998</v>
      </c>
      <c r="I214" s="64">
        <v>0</v>
      </c>
      <c r="J214" s="64">
        <v>0</v>
      </c>
      <c r="K214" s="64">
        <v>17.579999999999998</v>
      </c>
      <c r="L214" s="64">
        <v>0</v>
      </c>
      <c r="M214" s="64">
        <v>8.7899999999999991</v>
      </c>
      <c r="N214" s="64">
        <v>0</v>
      </c>
      <c r="O214" s="64">
        <v>17.579999999999998</v>
      </c>
      <c r="P214" s="64">
        <v>0</v>
      </c>
      <c r="Q214" s="64">
        <v>17.579999999999998</v>
      </c>
      <c r="R214" s="64">
        <v>0</v>
      </c>
      <c r="S214" s="11">
        <f t="shared" si="127"/>
        <v>79.109999999999985</v>
      </c>
      <c r="T214" s="9"/>
      <c r="U214" s="1"/>
      <c r="V214" s="50">
        <f t="shared" si="125"/>
        <v>46809</v>
      </c>
      <c r="W214" s="36">
        <v>1.69</v>
      </c>
      <c r="X214" s="36">
        <v>1.69</v>
      </c>
      <c r="Y214" s="36">
        <v>1.69</v>
      </c>
      <c r="Z214" s="36">
        <v>1.69</v>
      </c>
      <c r="AA214" s="36">
        <v>1.69</v>
      </c>
      <c r="AB214" s="36">
        <v>1.69</v>
      </c>
      <c r="AC214" s="36">
        <v>1.69</v>
      </c>
      <c r="AD214" s="36">
        <v>1.69</v>
      </c>
      <c r="AE214" s="36">
        <v>1.69</v>
      </c>
      <c r="AF214" s="36">
        <v>1.69</v>
      </c>
      <c r="AG214" s="36">
        <v>1.69</v>
      </c>
      <c r="AH214" s="36">
        <v>1.69</v>
      </c>
      <c r="AI214" s="39">
        <v>0</v>
      </c>
      <c r="AJ214" s="39">
        <v>0</v>
      </c>
      <c r="AK214" s="39">
        <v>0</v>
      </c>
      <c r="AL214" s="39">
        <v>0</v>
      </c>
      <c r="AM214" s="39">
        <v>0</v>
      </c>
      <c r="AN214" s="39">
        <v>0</v>
      </c>
      <c r="AO214" s="39">
        <v>0</v>
      </c>
      <c r="AP214" s="39">
        <v>0</v>
      </c>
      <c r="AQ214" s="39">
        <v>0</v>
      </c>
      <c r="AR214" s="39">
        <v>0</v>
      </c>
      <c r="AS214" s="39">
        <v>0</v>
      </c>
      <c r="AT214" s="39">
        <v>0</v>
      </c>
      <c r="AU214" s="39">
        <v>0</v>
      </c>
      <c r="AV214" s="39">
        <v>0</v>
      </c>
      <c r="AW214" s="39">
        <v>0</v>
      </c>
      <c r="AX214" s="39">
        <v>0</v>
      </c>
      <c r="AY214" s="39">
        <v>0</v>
      </c>
      <c r="AZ214" s="39">
        <v>0</v>
      </c>
      <c r="BA214" s="39">
        <v>0</v>
      </c>
      <c r="BB214" s="39">
        <v>0</v>
      </c>
      <c r="BC214" s="39">
        <v>0</v>
      </c>
      <c r="BD214" s="39">
        <v>0</v>
      </c>
      <c r="BE214" s="39">
        <v>0</v>
      </c>
      <c r="BF214" s="39">
        <v>0</v>
      </c>
      <c r="BG214" s="1"/>
      <c r="BH214" s="12">
        <f t="shared" si="128"/>
        <v>0</v>
      </c>
      <c r="BI214" s="12">
        <f t="shared" si="129"/>
        <v>17.579999999999998</v>
      </c>
      <c r="BJ214" s="12">
        <f t="shared" si="130"/>
        <v>0</v>
      </c>
      <c r="BK214" s="12">
        <f t="shared" si="131"/>
        <v>0</v>
      </c>
      <c r="BL214" s="12">
        <f t="shared" si="132"/>
        <v>17.579999999999998</v>
      </c>
      <c r="BM214" s="12">
        <f t="shared" si="133"/>
        <v>0</v>
      </c>
      <c r="BN214" s="12">
        <f t="shared" si="134"/>
        <v>8.7899999999999991</v>
      </c>
      <c r="BO214" s="12">
        <f t="shared" si="135"/>
        <v>0</v>
      </c>
      <c r="BP214" s="12">
        <f t="shared" si="136"/>
        <v>17.579999999999998</v>
      </c>
      <c r="BQ214" s="12">
        <f t="shared" si="137"/>
        <v>0</v>
      </c>
      <c r="BR214" s="12">
        <f t="shared" si="138"/>
        <v>17.579999999999998</v>
      </c>
      <c r="BS214" s="12">
        <f t="shared" si="139"/>
        <v>0</v>
      </c>
      <c r="BT214" s="1"/>
      <c r="BU214" s="11">
        <f t="shared" si="140"/>
        <v>0</v>
      </c>
      <c r="BV214" s="11">
        <f t="shared" si="141"/>
        <v>17.579999999999998</v>
      </c>
      <c r="BW214" s="11">
        <f t="shared" si="142"/>
        <v>0</v>
      </c>
      <c r="BX214" s="11">
        <f t="shared" si="143"/>
        <v>0</v>
      </c>
      <c r="BY214" s="11">
        <f t="shared" si="144"/>
        <v>17.579999999999998</v>
      </c>
      <c r="BZ214" s="11">
        <f t="shared" si="145"/>
        <v>0</v>
      </c>
      <c r="CA214" s="11">
        <f t="shared" si="146"/>
        <v>8.7899999999999991</v>
      </c>
      <c r="CB214" s="11">
        <f t="shared" si="147"/>
        <v>0</v>
      </c>
      <c r="CC214" s="11">
        <f t="shared" si="148"/>
        <v>17.579999999999998</v>
      </c>
      <c r="CD214" s="11">
        <f t="shared" si="149"/>
        <v>0</v>
      </c>
      <c r="CE214" s="11">
        <f t="shared" si="150"/>
        <v>17.579999999999998</v>
      </c>
      <c r="CF214" s="11">
        <f t="shared" si="151"/>
        <v>0</v>
      </c>
      <c r="CG214" s="11"/>
      <c r="CH214" s="41">
        <v>1</v>
      </c>
      <c r="CI214" s="1"/>
      <c r="CJ214" s="53">
        <f t="shared" si="152"/>
        <v>0</v>
      </c>
      <c r="CK214" s="53">
        <f t="shared" si="153"/>
        <v>10402</v>
      </c>
      <c r="CL214" s="53">
        <f t="shared" si="154"/>
        <v>0</v>
      </c>
      <c r="CM214" s="53">
        <f t="shared" si="155"/>
        <v>0</v>
      </c>
      <c r="CN214" s="53">
        <f t="shared" si="156"/>
        <v>10402</v>
      </c>
      <c r="CO214" s="53">
        <f t="shared" si="157"/>
        <v>0</v>
      </c>
      <c r="CP214" s="53">
        <f t="shared" si="158"/>
        <v>5201</v>
      </c>
      <c r="CQ214" s="53">
        <f t="shared" si="159"/>
        <v>0</v>
      </c>
      <c r="CR214" s="53">
        <f t="shared" si="160"/>
        <v>10402</v>
      </c>
      <c r="CS214" s="53">
        <f t="shared" si="161"/>
        <v>0</v>
      </c>
      <c r="CT214" s="53">
        <f t="shared" si="162"/>
        <v>10402</v>
      </c>
      <c r="CU214" s="53">
        <f t="shared" si="163"/>
        <v>0</v>
      </c>
      <c r="CV214" s="53">
        <f t="shared" si="126"/>
        <v>46809</v>
      </c>
      <c r="CW214" s="1"/>
      <c r="CX214" s="1"/>
      <c r="CY214" s="1"/>
      <c r="CZ214" s="1"/>
      <c r="DA214" s="1"/>
      <c r="DB214" s="1"/>
      <c r="DC214" s="1"/>
      <c r="DD214" s="1"/>
      <c r="DE214" s="1"/>
      <c r="DF214" s="1"/>
      <c r="DG214" s="1"/>
      <c r="DH214" s="1"/>
      <c r="DI214" s="1"/>
      <c r="DJ214" s="1"/>
      <c r="DK214" s="1"/>
      <c r="DL214" s="1"/>
    </row>
    <row r="215" spans="1:116" ht="15.75" hidden="1" x14ac:dyDescent="0.25">
      <c r="A215" s="17"/>
      <c r="B215" s="17"/>
      <c r="C215" s="17"/>
      <c r="D215" s="17"/>
      <c r="E215" s="17"/>
      <c r="F215" s="31" t="s">
        <v>21</v>
      </c>
      <c r="G215" s="64">
        <v>19.14</v>
      </c>
      <c r="H215" s="64">
        <v>19.14</v>
      </c>
      <c r="I215" s="64">
        <v>0</v>
      </c>
      <c r="J215" s="64">
        <v>19.14</v>
      </c>
      <c r="K215" s="64">
        <v>0</v>
      </c>
      <c r="L215" s="64">
        <v>19.14</v>
      </c>
      <c r="M215" s="64">
        <v>0</v>
      </c>
      <c r="N215" s="64">
        <v>0</v>
      </c>
      <c r="O215" s="64">
        <v>19.14</v>
      </c>
      <c r="P215" s="64">
        <v>0</v>
      </c>
      <c r="Q215" s="64">
        <v>19.14</v>
      </c>
      <c r="R215" s="64">
        <v>0</v>
      </c>
      <c r="S215" s="11">
        <f t="shared" si="127"/>
        <v>114.84</v>
      </c>
      <c r="T215" s="9"/>
      <c r="U215" s="1"/>
      <c r="V215" s="50">
        <f t="shared" si="125"/>
        <v>62412</v>
      </c>
      <c r="W215" s="36">
        <v>1.8400042087542088</v>
      </c>
      <c r="X215" s="36">
        <v>1.8400042087542088</v>
      </c>
      <c r="Y215" s="36">
        <v>1.8400042087542088</v>
      </c>
      <c r="Z215" s="36">
        <v>1.8400042087542088</v>
      </c>
      <c r="AA215" s="36">
        <v>1.8400042087542088</v>
      </c>
      <c r="AB215" s="36">
        <v>1.8400042087542088</v>
      </c>
      <c r="AC215" s="36">
        <v>1.8400042087542088</v>
      </c>
      <c r="AD215" s="36">
        <v>1.8400042087542088</v>
      </c>
      <c r="AE215" s="36">
        <v>1.8400042087542088</v>
      </c>
      <c r="AF215" s="36">
        <v>1.8400042087542088</v>
      </c>
      <c r="AG215" s="36">
        <v>1.8400042087542088</v>
      </c>
      <c r="AH215" s="36">
        <v>1.8400042087542088</v>
      </c>
      <c r="AI215" s="39">
        <v>0</v>
      </c>
      <c r="AJ215" s="39">
        <v>0</v>
      </c>
      <c r="AK215" s="39">
        <v>0</v>
      </c>
      <c r="AL215" s="39">
        <v>0</v>
      </c>
      <c r="AM215" s="39">
        <v>0</v>
      </c>
      <c r="AN215" s="39">
        <v>0</v>
      </c>
      <c r="AO215" s="39">
        <v>0</v>
      </c>
      <c r="AP215" s="39">
        <v>0</v>
      </c>
      <c r="AQ215" s="39">
        <v>0</v>
      </c>
      <c r="AR215" s="39">
        <v>0</v>
      </c>
      <c r="AS215" s="39">
        <v>0</v>
      </c>
      <c r="AT215" s="39">
        <v>0</v>
      </c>
      <c r="AU215" s="39">
        <v>0</v>
      </c>
      <c r="AV215" s="39">
        <v>0</v>
      </c>
      <c r="AW215" s="39">
        <v>0</v>
      </c>
      <c r="AX215" s="39">
        <v>0</v>
      </c>
      <c r="AY215" s="39">
        <v>0</v>
      </c>
      <c r="AZ215" s="39">
        <v>0</v>
      </c>
      <c r="BA215" s="39">
        <v>0</v>
      </c>
      <c r="BB215" s="39">
        <v>0</v>
      </c>
      <c r="BC215" s="39">
        <v>0</v>
      </c>
      <c r="BD215" s="39">
        <v>0</v>
      </c>
      <c r="BE215" s="39">
        <v>0</v>
      </c>
      <c r="BF215" s="39">
        <v>0</v>
      </c>
      <c r="BG215" s="1"/>
      <c r="BH215" s="12">
        <f t="shared" si="128"/>
        <v>19.14</v>
      </c>
      <c r="BI215" s="12">
        <f t="shared" si="129"/>
        <v>19.14</v>
      </c>
      <c r="BJ215" s="12">
        <f t="shared" si="130"/>
        <v>0</v>
      </c>
      <c r="BK215" s="12">
        <f t="shared" si="131"/>
        <v>19.14</v>
      </c>
      <c r="BL215" s="12">
        <f t="shared" si="132"/>
        <v>0</v>
      </c>
      <c r="BM215" s="12">
        <f t="shared" si="133"/>
        <v>19.14</v>
      </c>
      <c r="BN215" s="12">
        <f t="shared" si="134"/>
        <v>0</v>
      </c>
      <c r="BO215" s="12">
        <f t="shared" si="135"/>
        <v>0</v>
      </c>
      <c r="BP215" s="12">
        <f t="shared" si="136"/>
        <v>19.14</v>
      </c>
      <c r="BQ215" s="12">
        <f t="shared" si="137"/>
        <v>0</v>
      </c>
      <c r="BR215" s="12">
        <f t="shared" si="138"/>
        <v>19.14</v>
      </c>
      <c r="BS215" s="12">
        <f t="shared" si="139"/>
        <v>0</v>
      </c>
      <c r="BT215" s="1"/>
      <c r="BU215" s="11">
        <f t="shared" si="140"/>
        <v>19.14</v>
      </c>
      <c r="BV215" s="11">
        <f t="shared" si="141"/>
        <v>19.14</v>
      </c>
      <c r="BW215" s="11">
        <f t="shared" si="142"/>
        <v>0</v>
      </c>
      <c r="BX215" s="11">
        <f t="shared" si="143"/>
        <v>19.14</v>
      </c>
      <c r="BY215" s="11">
        <f t="shared" si="144"/>
        <v>0</v>
      </c>
      <c r="BZ215" s="11">
        <f t="shared" si="145"/>
        <v>19.14</v>
      </c>
      <c r="CA215" s="11">
        <f t="shared" si="146"/>
        <v>0</v>
      </c>
      <c r="CB215" s="11">
        <f t="shared" si="147"/>
        <v>0</v>
      </c>
      <c r="CC215" s="11">
        <f t="shared" si="148"/>
        <v>19.14</v>
      </c>
      <c r="CD215" s="11">
        <f t="shared" si="149"/>
        <v>0</v>
      </c>
      <c r="CE215" s="11">
        <f t="shared" si="150"/>
        <v>19.14</v>
      </c>
      <c r="CF215" s="11">
        <f t="shared" si="151"/>
        <v>0</v>
      </c>
      <c r="CG215" s="11"/>
      <c r="CH215" s="41">
        <v>1</v>
      </c>
      <c r="CI215" s="1"/>
      <c r="CJ215" s="53">
        <f t="shared" si="152"/>
        <v>10402</v>
      </c>
      <c r="CK215" s="53">
        <f t="shared" si="153"/>
        <v>10402</v>
      </c>
      <c r="CL215" s="53">
        <f t="shared" si="154"/>
        <v>0</v>
      </c>
      <c r="CM215" s="53">
        <f t="shared" si="155"/>
        <v>10402</v>
      </c>
      <c r="CN215" s="53">
        <f t="shared" si="156"/>
        <v>0</v>
      </c>
      <c r="CO215" s="53">
        <f t="shared" si="157"/>
        <v>10402</v>
      </c>
      <c r="CP215" s="53">
        <f t="shared" si="158"/>
        <v>0</v>
      </c>
      <c r="CQ215" s="53">
        <f t="shared" si="159"/>
        <v>0</v>
      </c>
      <c r="CR215" s="53">
        <f t="shared" si="160"/>
        <v>10402</v>
      </c>
      <c r="CS215" s="53">
        <f t="shared" si="161"/>
        <v>0</v>
      </c>
      <c r="CT215" s="53">
        <f t="shared" si="162"/>
        <v>10402</v>
      </c>
      <c r="CU215" s="53">
        <f t="shared" si="163"/>
        <v>0</v>
      </c>
      <c r="CV215" s="53">
        <f t="shared" si="126"/>
        <v>62412</v>
      </c>
      <c r="CW215" s="1"/>
      <c r="CX215" s="1"/>
      <c r="CY215" s="1"/>
      <c r="CZ215" s="1"/>
      <c r="DA215" s="1"/>
      <c r="DB215" s="1"/>
      <c r="DC215" s="1"/>
      <c r="DD215" s="1"/>
      <c r="DE215" s="1"/>
      <c r="DF215" s="1"/>
      <c r="DG215" s="1"/>
      <c r="DH215" s="1"/>
      <c r="DI215" s="1"/>
      <c r="DJ215" s="1"/>
      <c r="DK215" s="1"/>
      <c r="DL215" s="1"/>
    </row>
    <row r="216" spans="1:116" ht="15.75" hidden="1" x14ac:dyDescent="0.25">
      <c r="A216" s="17"/>
      <c r="B216" s="17"/>
      <c r="C216" s="17"/>
      <c r="D216" s="17"/>
      <c r="E216" s="17"/>
      <c r="F216" s="31" t="s">
        <v>21</v>
      </c>
      <c r="G216" s="64">
        <v>0</v>
      </c>
      <c r="H216" s="64">
        <v>0</v>
      </c>
      <c r="I216" s="64">
        <v>0</v>
      </c>
      <c r="J216" s="64">
        <v>0</v>
      </c>
      <c r="K216" s="64">
        <v>0</v>
      </c>
      <c r="L216" s="64">
        <v>0</v>
      </c>
      <c r="M216" s="64">
        <v>0</v>
      </c>
      <c r="N216" s="64">
        <v>0</v>
      </c>
      <c r="O216" s="64">
        <v>0</v>
      </c>
      <c r="P216" s="64">
        <v>0</v>
      </c>
      <c r="Q216" s="64">
        <v>0</v>
      </c>
      <c r="R216" s="64">
        <v>0</v>
      </c>
      <c r="S216" s="11">
        <f>SUM(G216:R216)</f>
        <v>0</v>
      </c>
      <c r="T216" s="9"/>
      <c r="U216" s="1"/>
      <c r="V216" s="50">
        <f t="shared" si="125"/>
        <v>0</v>
      </c>
      <c r="W216" s="36">
        <v>11.423999999999999</v>
      </c>
      <c r="X216" s="36">
        <v>11.423999999999999</v>
      </c>
      <c r="Y216" s="36">
        <v>11.423999999999999</v>
      </c>
      <c r="Z216" s="36">
        <v>11.423999999999999</v>
      </c>
      <c r="AA216" s="36">
        <v>11.423999999999999</v>
      </c>
      <c r="AB216" s="36">
        <v>11.423999999999999</v>
      </c>
      <c r="AC216" s="36">
        <v>11.423999999999999</v>
      </c>
      <c r="AD216" s="36">
        <v>11.423999999999999</v>
      </c>
      <c r="AE216" s="36">
        <v>11.423999999999999</v>
      </c>
      <c r="AF216" s="36">
        <v>11.423999999999999</v>
      </c>
      <c r="AG216" s="36">
        <v>11.423999999999999</v>
      </c>
      <c r="AH216" s="36">
        <v>11.423999999999999</v>
      </c>
      <c r="AI216" s="39">
        <v>0.22999999999999998</v>
      </c>
      <c r="AJ216" s="39">
        <v>0.22999999999999998</v>
      </c>
      <c r="AK216" s="39">
        <v>0.22999999999999998</v>
      </c>
      <c r="AL216" s="39">
        <v>0.22999999999999998</v>
      </c>
      <c r="AM216" s="39">
        <v>0.22999999999999998</v>
      </c>
      <c r="AN216" s="39">
        <v>0.22999999999999998</v>
      </c>
      <c r="AO216" s="39">
        <v>0.22999999999999998</v>
      </c>
      <c r="AP216" s="39">
        <v>0.22999999999999998</v>
      </c>
      <c r="AQ216" s="39">
        <v>0.22999999999999998</v>
      </c>
      <c r="AR216" s="39">
        <v>0.22999999999999998</v>
      </c>
      <c r="AS216" s="39">
        <v>0.22999999999999998</v>
      </c>
      <c r="AT216" s="39">
        <v>0.22999999999999998</v>
      </c>
      <c r="AU216" s="39">
        <v>0</v>
      </c>
      <c r="AV216" s="39">
        <v>0</v>
      </c>
      <c r="AW216" s="39">
        <v>0</v>
      </c>
      <c r="AX216" s="39">
        <v>0</v>
      </c>
      <c r="AY216" s="39">
        <v>0</v>
      </c>
      <c r="AZ216" s="39">
        <v>0</v>
      </c>
      <c r="BA216" s="39">
        <v>0</v>
      </c>
      <c r="BB216" s="39">
        <v>0</v>
      </c>
      <c r="BC216" s="39">
        <v>0</v>
      </c>
      <c r="BD216" s="39">
        <v>0</v>
      </c>
      <c r="BE216" s="39">
        <v>0</v>
      </c>
      <c r="BF216" s="39">
        <v>0</v>
      </c>
      <c r="BG216" s="1"/>
      <c r="BH216" s="12">
        <f t="shared" si="128"/>
        <v>0</v>
      </c>
      <c r="BI216" s="12">
        <f t="shared" si="129"/>
        <v>0</v>
      </c>
      <c r="BJ216" s="12">
        <f t="shared" si="130"/>
        <v>0</v>
      </c>
      <c r="BK216" s="12">
        <f t="shared" si="131"/>
        <v>0</v>
      </c>
      <c r="BL216" s="12">
        <f t="shared" si="132"/>
        <v>0</v>
      </c>
      <c r="BM216" s="12">
        <f t="shared" si="133"/>
        <v>0</v>
      </c>
      <c r="BN216" s="12">
        <f t="shared" si="134"/>
        <v>0</v>
      </c>
      <c r="BO216" s="12">
        <f t="shared" si="135"/>
        <v>0</v>
      </c>
      <c r="BP216" s="12">
        <f t="shared" si="136"/>
        <v>0</v>
      </c>
      <c r="BQ216" s="12">
        <f t="shared" si="137"/>
        <v>0</v>
      </c>
      <c r="BR216" s="12">
        <f t="shared" si="138"/>
        <v>0</v>
      </c>
      <c r="BS216" s="12">
        <f t="shared" si="139"/>
        <v>0</v>
      </c>
      <c r="BT216" s="1"/>
      <c r="BU216" s="11">
        <f t="shared" si="140"/>
        <v>0</v>
      </c>
      <c r="BV216" s="11">
        <f t="shared" si="141"/>
        <v>0</v>
      </c>
      <c r="BW216" s="11">
        <f t="shared" si="142"/>
        <v>0</v>
      </c>
      <c r="BX216" s="11">
        <f t="shared" si="143"/>
        <v>0</v>
      </c>
      <c r="BY216" s="11">
        <f t="shared" si="144"/>
        <v>0</v>
      </c>
      <c r="BZ216" s="11">
        <f t="shared" si="145"/>
        <v>0</v>
      </c>
      <c r="CA216" s="11">
        <f t="shared" si="146"/>
        <v>0</v>
      </c>
      <c r="CB216" s="11">
        <f t="shared" si="147"/>
        <v>0</v>
      </c>
      <c r="CC216" s="11">
        <f t="shared" si="148"/>
        <v>0</v>
      </c>
      <c r="CD216" s="11">
        <f t="shared" si="149"/>
        <v>0</v>
      </c>
      <c r="CE216" s="11">
        <f t="shared" si="150"/>
        <v>0</v>
      </c>
      <c r="CF216" s="11">
        <f t="shared" si="151"/>
        <v>0</v>
      </c>
      <c r="CG216" s="11"/>
      <c r="CH216" s="41">
        <v>1</v>
      </c>
      <c r="CI216" s="1"/>
      <c r="CJ216" s="53">
        <f t="shared" si="152"/>
        <v>0</v>
      </c>
      <c r="CK216" s="53">
        <f t="shared" si="153"/>
        <v>0</v>
      </c>
      <c r="CL216" s="53">
        <f t="shared" si="154"/>
        <v>0</v>
      </c>
      <c r="CM216" s="53">
        <f t="shared" si="155"/>
        <v>0</v>
      </c>
      <c r="CN216" s="53">
        <f t="shared" si="156"/>
        <v>0</v>
      </c>
      <c r="CO216" s="53">
        <f t="shared" si="157"/>
        <v>0</v>
      </c>
      <c r="CP216" s="53">
        <f t="shared" si="158"/>
        <v>0</v>
      </c>
      <c r="CQ216" s="53">
        <f t="shared" si="159"/>
        <v>0</v>
      </c>
      <c r="CR216" s="53">
        <f t="shared" si="160"/>
        <v>0</v>
      </c>
      <c r="CS216" s="53">
        <f t="shared" si="161"/>
        <v>0</v>
      </c>
      <c r="CT216" s="53">
        <f t="shared" si="162"/>
        <v>0</v>
      </c>
      <c r="CU216" s="53">
        <f t="shared" si="163"/>
        <v>0</v>
      </c>
      <c r="CV216" s="53">
        <f t="shared" si="126"/>
        <v>0</v>
      </c>
      <c r="CW216" s="1"/>
      <c r="CX216" s="1"/>
      <c r="CY216" s="1"/>
      <c r="CZ216" s="1"/>
      <c r="DA216" s="1"/>
      <c r="DB216" s="1"/>
      <c r="DC216" s="1"/>
      <c r="DD216" s="1"/>
      <c r="DE216" s="1"/>
      <c r="DF216" s="1"/>
      <c r="DG216" s="1"/>
      <c r="DH216" s="1"/>
      <c r="DI216" s="1"/>
      <c r="DJ216" s="1"/>
      <c r="DK216" s="1"/>
      <c r="DL216" s="1"/>
    </row>
    <row r="217" spans="1:116" ht="15.75" hidden="1" x14ac:dyDescent="0.25">
      <c r="A217" s="17"/>
      <c r="B217" s="17"/>
      <c r="C217" s="17"/>
      <c r="D217" s="17"/>
      <c r="E217" s="17"/>
      <c r="F217" s="32" t="s">
        <v>2947</v>
      </c>
      <c r="G217" s="55">
        <v>55.19</v>
      </c>
      <c r="H217" s="55">
        <v>55.19</v>
      </c>
      <c r="I217" s="55">
        <v>26.47</v>
      </c>
      <c r="J217" s="55">
        <v>26.47</v>
      </c>
      <c r="K217" s="55">
        <v>26.47</v>
      </c>
      <c r="L217" s="55">
        <v>26.47</v>
      </c>
      <c r="M217" s="55">
        <v>26.47</v>
      </c>
      <c r="N217" s="55">
        <v>26.47</v>
      </c>
      <c r="O217" s="55">
        <v>51.76</v>
      </c>
      <c r="P217" s="55">
        <v>56.15</v>
      </c>
      <c r="Q217" s="55">
        <v>46.14</v>
      </c>
      <c r="R217" s="55">
        <v>37.950000000000003</v>
      </c>
      <c r="S217" s="11">
        <f t="shared" si="127"/>
        <v>461.19999999999993</v>
      </c>
      <c r="T217" s="102"/>
      <c r="U217" s="1"/>
      <c r="V217" s="50">
        <f t="shared" si="125"/>
        <v>401334</v>
      </c>
      <c r="W217" s="36">
        <v>3.766</v>
      </c>
      <c r="X217" s="36">
        <v>3.766</v>
      </c>
      <c r="Y217" s="36">
        <v>3.766</v>
      </c>
      <c r="Z217" s="36">
        <v>3.766</v>
      </c>
      <c r="AA217" s="36">
        <v>3.766</v>
      </c>
      <c r="AB217" s="36">
        <v>3.766</v>
      </c>
      <c r="AC217" s="36">
        <v>3.766</v>
      </c>
      <c r="AD217" s="36">
        <v>3.766</v>
      </c>
      <c r="AE217" s="36">
        <v>3.766</v>
      </c>
      <c r="AF217" s="36">
        <v>3.766</v>
      </c>
      <c r="AG217" s="36">
        <v>3.766</v>
      </c>
      <c r="AH217" s="36">
        <v>3.766</v>
      </c>
      <c r="AI217" s="39">
        <v>1.33634708931066E-2</v>
      </c>
      <c r="AJ217" s="39">
        <v>1.33634708931066E-2</v>
      </c>
      <c r="AK217" s="39">
        <v>1.33634708931066E-2</v>
      </c>
      <c r="AL217" s="39">
        <v>1.33634708931066E-2</v>
      </c>
      <c r="AM217" s="39">
        <v>1.33634708931066E-2</v>
      </c>
      <c r="AN217" s="39">
        <v>1.33634708931066E-2</v>
      </c>
      <c r="AO217" s="39">
        <v>1.33634708931066E-2</v>
      </c>
      <c r="AP217" s="39">
        <v>1.33634708931066E-2</v>
      </c>
      <c r="AQ217" s="39">
        <v>1.33634708931066E-2</v>
      </c>
      <c r="AR217" s="39">
        <v>1.33634708931066E-2</v>
      </c>
      <c r="AS217" s="39">
        <v>1.33634708931066E-2</v>
      </c>
      <c r="AT217" s="39">
        <v>1.33634708931066E-2</v>
      </c>
      <c r="AU217" s="39">
        <v>1.2392217523121999E-3</v>
      </c>
      <c r="AV217" s="39">
        <v>1.2392217523121999E-3</v>
      </c>
      <c r="AW217" s="39">
        <v>1.2392217523121999E-3</v>
      </c>
      <c r="AX217" s="39">
        <v>1.2392217523121999E-3</v>
      </c>
      <c r="AY217" s="39">
        <v>1.2392217523121999E-3</v>
      </c>
      <c r="AZ217" s="39">
        <v>1.2392217523121999E-3</v>
      </c>
      <c r="BA217" s="39">
        <v>1.2392217523121999E-3</v>
      </c>
      <c r="BB217" s="39">
        <v>1.2392217523121999E-3</v>
      </c>
      <c r="BC217" s="39">
        <v>1.2392217523121999E-3</v>
      </c>
      <c r="BD217" s="39">
        <v>1.2392217523121999E-3</v>
      </c>
      <c r="BE217" s="39">
        <v>1.2392217523121999E-3</v>
      </c>
      <c r="BF217" s="39">
        <v>1.2392217523121999E-3</v>
      </c>
      <c r="BG217" s="1"/>
      <c r="BH217" s="12">
        <f t="shared" si="128"/>
        <v>178.2637</v>
      </c>
      <c r="BI217" s="12">
        <f t="shared" si="129"/>
        <v>178.2637</v>
      </c>
      <c r="BJ217" s="12">
        <f t="shared" si="130"/>
        <v>85.498099999999994</v>
      </c>
      <c r="BK217" s="12">
        <f t="shared" si="131"/>
        <v>85.498099999999994</v>
      </c>
      <c r="BL217" s="12">
        <f t="shared" si="132"/>
        <v>85.498099999999994</v>
      </c>
      <c r="BM217" s="12">
        <f t="shared" si="133"/>
        <v>85.498099999999994</v>
      </c>
      <c r="BN217" s="12">
        <f t="shared" si="134"/>
        <v>85.498099999999994</v>
      </c>
      <c r="BO217" s="12">
        <f t="shared" si="135"/>
        <v>85.498099999999994</v>
      </c>
      <c r="BP217" s="12">
        <f t="shared" si="136"/>
        <v>167.1848</v>
      </c>
      <c r="BQ217" s="12">
        <f t="shared" si="137"/>
        <v>181.36449999999999</v>
      </c>
      <c r="BR217" s="12">
        <f t="shared" si="138"/>
        <v>149.03219999999999</v>
      </c>
      <c r="BS217" s="12">
        <f t="shared" si="139"/>
        <v>122.57850000000001</v>
      </c>
      <c r="BT217" s="1"/>
      <c r="BU217" s="11">
        <f t="shared" si="140"/>
        <v>180.86683002093514</v>
      </c>
      <c r="BV217" s="11">
        <f t="shared" si="141"/>
        <v>180.86683002093514</v>
      </c>
      <c r="BW217" s="11">
        <f t="shared" si="142"/>
        <v>86.746602476067281</v>
      </c>
      <c r="BX217" s="11">
        <f t="shared" si="143"/>
        <v>86.746602476067281</v>
      </c>
      <c r="BY217" s="11">
        <f t="shared" si="144"/>
        <v>86.746602476067281</v>
      </c>
      <c r="BZ217" s="11">
        <f t="shared" si="145"/>
        <v>86.746602476067281</v>
      </c>
      <c r="CA217" s="11">
        <f t="shared" si="146"/>
        <v>86.746602476067281</v>
      </c>
      <c r="CB217" s="11">
        <f t="shared" si="147"/>
        <v>86.746602476067281</v>
      </c>
      <c r="CC217" s="11">
        <f t="shared" si="148"/>
        <v>169.62614824938581</v>
      </c>
      <c r="CD217" s="11">
        <f t="shared" si="149"/>
        <v>184.01291005029006</v>
      </c>
      <c r="CE217" s="11">
        <f t="shared" si="150"/>
        <v>151.20847141087057</v>
      </c>
      <c r="CF217" s="11">
        <f t="shared" si="151"/>
        <v>124.36847616043647</v>
      </c>
      <c r="CG217" s="11"/>
      <c r="CH217" s="41">
        <v>3.23</v>
      </c>
      <c r="CI217" s="1"/>
      <c r="CJ217" s="53">
        <f t="shared" si="152"/>
        <v>48026</v>
      </c>
      <c r="CK217" s="53">
        <f t="shared" si="153"/>
        <v>48026</v>
      </c>
      <c r="CL217" s="53">
        <f t="shared" si="154"/>
        <v>23034</v>
      </c>
      <c r="CM217" s="53">
        <f t="shared" si="155"/>
        <v>23034</v>
      </c>
      <c r="CN217" s="53">
        <f t="shared" si="156"/>
        <v>23034</v>
      </c>
      <c r="CO217" s="53">
        <f t="shared" si="157"/>
        <v>23034</v>
      </c>
      <c r="CP217" s="53">
        <f t="shared" si="158"/>
        <v>23034</v>
      </c>
      <c r="CQ217" s="53">
        <f t="shared" si="159"/>
        <v>23034</v>
      </c>
      <c r="CR217" s="53">
        <f t="shared" si="160"/>
        <v>45041</v>
      </c>
      <c r="CS217" s="53">
        <f t="shared" si="161"/>
        <v>48862</v>
      </c>
      <c r="CT217" s="53">
        <f t="shared" si="162"/>
        <v>40151</v>
      </c>
      <c r="CU217" s="53">
        <f t="shared" si="163"/>
        <v>33024</v>
      </c>
      <c r="CV217" s="53">
        <f t="shared" si="126"/>
        <v>401334</v>
      </c>
      <c r="CW217" s="1"/>
      <c r="CX217" s="1"/>
      <c r="CY217" s="1"/>
      <c r="CZ217" s="1"/>
      <c r="DA217" s="1"/>
      <c r="DB217" s="1"/>
      <c r="DC217" s="1"/>
      <c r="DD217" s="1"/>
      <c r="DE217" s="1"/>
      <c r="DF217" s="1"/>
      <c r="DG217" s="1"/>
      <c r="DH217" s="1"/>
      <c r="DI217" s="1"/>
      <c r="DJ217" s="1"/>
      <c r="DK217" s="1"/>
      <c r="DL217" s="1"/>
    </row>
    <row r="218" spans="1:116" ht="15.75" hidden="1" x14ac:dyDescent="0.25">
      <c r="A218" s="17"/>
      <c r="B218" s="17"/>
      <c r="C218" s="17"/>
      <c r="D218" s="17"/>
      <c r="E218" s="17"/>
      <c r="F218" s="32" t="s">
        <v>2947</v>
      </c>
      <c r="G218" s="55">
        <v>0</v>
      </c>
      <c r="H218" s="55">
        <v>0</v>
      </c>
      <c r="I218" s="55">
        <v>0</v>
      </c>
      <c r="J218" s="55">
        <v>0</v>
      </c>
      <c r="K218" s="55">
        <v>0</v>
      </c>
      <c r="L218" s="55">
        <v>0</v>
      </c>
      <c r="M218" s="55">
        <v>0</v>
      </c>
      <c r="N218" s="55">
        <v>0</v>
      </c>
      <c r="O218" s="55">
        <v>0</v>
      </c>
      <c r="P218" s="55">
        <v>0</v>
      </c>
      <c r="Q218" s="55">
        <v>0</v>
      </c>
      <c r="R218" s="55">
        <v>0</v>
      </c>
      <c r="S218" s="11">
        <f t="shared" si="127"/>
        <v>0</v>
      </c>
      <c r="T218" s="102"/>
      <c r="U218" s="1"/>
      <c r="V218" s="50">
        <f t="shared" si="125"/>
        <v>0</v>
      </c>
      <c r="W218" s="36">
        <v>0.94</v>
      </c>
      <c r="X218" s="36">
        <v>0.94</v>
      </c>
      <c r="Y218" s="36">
        <v>0.94</v>
      </c>
      <c r="Z218" s="36">
        <v>0.94</v>
      </c>
      <c r="AA218" s="36">
        <v>0.94</v>
      </c>
      <c r="AB218" s="36">
        <v>0.94</v>
      </c>
      <c r="AC218" s="36">
        <v>0.94</v>
      </c>
      <c r="AD218" s="36">
        <v>0.94</v>
      </c>
      <c r="AE218" s="36">
        <v>0.94</v>
      </c>
      <c r="AF218" s="36">
        <v>0.94</v>
      </c>
      <c r="AG218" s="36">
        <v>0.94</v>
      </c>
      <c r="AH218" s="36">
        <v>0.94</v>
      </c>
      <c r="AI218" s="39">
        <v>1.33634708931066E-2</v>
      </c>
      <c r="AJ218" s="39">
        <v>1.33634708931066E-2</v>
      </c>
      <c r="AK218" s="39">
        <v>1.33634708931066E-2</v>
      </c>
      <c r="AL218" s="39">
        <v>1.33634708931066E-2</v>
      </c>
      <c r="AM218" s="39">
        <v>1.33634708931066E-2</v>
      </c>
      <c r="AN218" s="39">
        <v>1.33634708931066E-2</v>
      </c>
      <c r="AO218" s="39">
        <v>1.33634708931066E-2</v>
      </c>
      <c r="AP218" s="39">
        <v>1.33634708931066E-2</v>
      </c>
      <c r="AQ218" s="39">
        <v>1.33634708931066E-2</v>
      </c>
      <c r="AR218" s="39">
        <v>1.33634708931066E-2</v>
      </c>
      <c r="AS218" s="39">
        <v>1.33634708931066E-2</v>
      </c>
      <c r="AT218" s="39">
        <v>1.33634708931066E-2</v>
      </c>
      <c r="AU218" s="39">
        <v>1.2392217523121999E-3</v>
      </c>
      <c r="AV218" s="39">
        <v>1.2392217523121999E-3</v>
      </c>
      <c r="AW218" s="39">
        <v>1.2392217523121999E-3</v>
      </c>
      <c r="AX218" s="39">
        <v>1.2392217523121999E-3</v>
      </c>
      <c r="AY218" s="39">
        <v>1.2392217523121999E-3</v>
      </c>
      <c r="AZ218" s="39">
        <v>1.2392217523121999E-3</v>
      </c>
      <c r="BA218" s="39">
        <v>1.2392217523121999E-3</v>
      </c>
      <c r="BB218" s="39">
        <v>1.2392217523121999E-3</v>
      </c>
      <c r="BC218" s="39">
        <v>1.2392217523121999E-3</v>
      </c>
      <c r="BD218" s="39">
        <v>1.2392217523121999E-3</v>
      </c>
      <c r="BE218" s="39">
        <v>1.2392217523121999E-3</v>
      </c>
      <c r="BF218" s="39">
        <v>1.2392217523121999E-3</v>
      </c>
      <c r="BG218" s="1"/>
      <c r="BH218" s="12">
        <f t="shared" si="128"/>
        <v>0</v>
      </c>
      <c r="BI218" s="12">
        <f t="shared" si="129"/>
        <v>0</v>
      </c>
      <c r="BJ218" s="12">
        <f t="shared" si="130"/>
        <v>0</v>
      </c>
      <c r="BK218" s="12">
        <f t="shared" si="131"/>
        <v>0</v>
      </c>
      <c r="BL218" s="12">
        <f t="shared" si="132"/>
        <v>0</v>
      </c>
      <c r="BM218" s="12">
        <f t="shared" si="133"/>
        <v>0</v>
      </c>
      <c r="BN218" s="12">
        <f t="shared" si="134"/>
        <v>0</v>
      </c>
      <c r="BO218" s="12">
        <f t="shared" si="135"/>
        <v>0</v>
      </c>
      <c r="BP218" s="12">
        <f t="shared" si="136"/>
        <v>0</v>
      </c>
      <c r="BQ218" s="12">
        <f t="shared" si="137"/>
        <v>0</v>
      </c>
      <c r="BR218" s="12">
        <f t="shared" si="138"/>
        <v>0</v>
      </c>
      <c r="BS218" s="12">
        <f t="shared" si="139"/>
        <v>0</v>
      </c>
      <c r="BT218" s="1"/>
      <c r="BU218" s="11">
        <f t="shared" si="140"/>
        <v>0</v>
      </c>
      <c r="BV218" s="11">
        <f t="shared" si="141"/>
        <v>0</v>
      </c>
      <c r="BW218" s="11">
        <f t="shared" si="142"/>
        <v>0</v>
      </c>
      <c r="BX218" s="11">
        <f t="shared" si="143"/>
        <v>0</v>
      </c>
      <c r="BY218" s="11">
        <f t="shared" si="144"/>
        <v>0</v>
      </c>
      <c r="BZ218" s="11">
        <f t="shared" si="145"/>
        <v>0</v>
      </c>
      <c r="CA218" s="11">
        <f t="shared" si="146"/>
        <v>0</v>
      </c>
      <c r="CB218" s="11">
        <f t="shared" si="147"/>
        <v>0</v>
      </c>
      <c r="CC218" s="11">
        <f t="shared" si="148"/>
        <v>0</v>
      </c>
      <c r="CD218" s="11">
        <f t="shared" si="149"/>
        <v>0</v>
      </c>
      <c r="CE218" s="11">
        <f t="shared" si="150"/>
        <v>0</v>
      </c>
      <c r="CF218" s="11">
        <f t="shared" si="151"/>
        <v>0</v>
      </c>
      <c r="CG218" s="11"/>
      <c r="CH218" s="41">
        <v>3.23</v>
      </c>
      <c r="CI218" s="1"/>
      <c r="CJ218" s="53">
        <f t="shared" si="152"/>
        <v>0</v>
      </c>
      <c r="CK218" s="53">
        <f t="shared" si="153"/>
        <v>0</v>
      </c>
      <c r="CL218" s="53">
        <f t="shared" si="154"/>
        <v>0</v>
      </c>
      <c r="CM218" s="53">
        <f t="shared" si="155"/>
        <v>0</v>
      </c>
      <c r="CN218" s="53">
        <f t="shared" si="156"/>
        <v>0</v>
      </c>
      <c r="CO218" s="53">
        <f t="shared" si="157"/>
        <v>0</v>
      </c>
      <c r="CP218" s="53">
        <f t="shared" si="158"/>
        <v>0</v>
      </c>
      <c r="CQ218" s="53">
        <f t="shared" si="159"/>
        <v>0</v>
      </c>
      <c r="CR218" s="53">
        <f t="shared" si="160"/>
        <v>0</v>
      </c>
      <c r="CS218" s="53">
        <f t="shared" si="161"/>
        <v>0</v>
      </c>
      <c r="CT218" s="53">
        <f t="shared" si="162"/>
        <v>0</v>
      </c>
      <c r="CU218" s="53">
        <f t="shared" si="163"/>
        <v>0</v>
      </c>
      <c r="CV218" s="53">
        <f t="shared" si="126"/>
        <v>0</v>
      </c>
      <c r="CW218" s="1"/>
      <c r="CX218" s="1"/>
      <c r="CY218" s="1"/>
      <c r="CZ218" s="1"/>
      <c r="DA218" s="1"/>
      <c r="DB218" s="1"/>
      <c r="DC218" s="1"/>
      <c r="DD218" s="1"/>
      <c r="DE218" s="1"/>
      <c r="DF218" s="1"/>
      <c r="DG218" s="1"/>
      <c r="DH218" s="1"/>
      <c r="DI218" s="1"/>
      <c r="DJ218" s="1"/>
      <c r="DK218" s="1"/>
      <c r="DL218" s="1"/>
    </row>
    <row r="219" spans="1:116" ht="15.75" hidden="1" x14ac:dyDescent="0.25">
      <c r="A219" s="17"/>
      <c r="B219" s="17"/>
      <c r="C219" s="17"/>
      <c r="D219" s="17"/>
      <c r="E219" s="17"/>
      <c r="F219" s="32" t="s">
        <v>2947</v>
      </c>
      <c r="G219" s="55">
        <v>0</v>
      </c>
      <c r="H219" s="55">
        <v>0</v>
      </c>
      <c r="I219" s="55">
        <v>0</v>
      </c>
      <c r="J219" s="55">
        <v>0</v>
      </c>
      <c r="K219" s="55">
        <v>0</v>
      </c>
      <c r="L219" s="55">
        <v>0</v>
      </c>
      <c r="M219" s="55">
        <v>0</v>
      </c>
      <c r="N219" s="55">
        <v>0</v>
      </c>
      <c r="O219" s="55">
        <v>0</v>
      </c>
      <c r="P219" s="55">
        <v>0</v>
      </c>
      <c r="Q219" s="55">
        <v>0</v>
      </c>
      <c r="R219" s="55">
        <v>0</v>
      </c>
      <c r="S219" s="11">
        <f t="shared" si="127"/>
        <v>0</v>
      </c>
      <c r="T219" s="102"/>
      <c r="U219" s="1"/>
      <c r="V219" s="50">
        <f t="shared" si="125"/>
        <v>0</v>
      </c>
      <c r="W219" s="36">
        <v>1.75</v>
      </c>
      <c r="X219" s="36">
        <v>1.75</v>
      </c>
      <c r="Y219" s="36">
        <v>1.75</v>
      </c>
      <c r="Z219" s="36">
        <v>1.75</v>
      </c>
      <c r="AA219" s="36">
        <v>1.75</v>
      </c>
      <c r="AB219" s="36">
        <v>1.75</v>
      </c>
      <c r="AC219" s="36">
        <v>1.75</v>
      </c>
      <c r="AD219" s="36">
        <v>1.75</v>
      </c>
      <c r="AE219" s="36">
        <v>1.75</v>
      </c>
      <c r="AF219" s="36">
        <v>1.75</v>
      </c>
      <c r="AG219" s="36">
        <v>1.75</v>
      </c>
      <c r="AH219" s="36">
        <v>1.75</v>
      </c>
      <c r="AI219" s="39">
        <v>1.33634708931066E-2</v>
      </c>
      <c r="AJ219" s="39">
        <v>1.33634708931066E-2</v>
      </c>
      <c r="AK219" s="39">
        <v>1.33634708931066E-2</v>
      </c>
      <c r="AL219" s="39">
        <v>1.33634708931066E-2</v>
      </c>
      <c r="AM219" s="39">
        <v>1.33634708931066E-2</v>
      </c>
      <c r="AN219" s="39">
        <v>1.33634708931066E-2</v>
      </c>
      <c r="AO219" s="39">
        <v>1.33634708931066E-2</v>
      </c>
      <c r="AP219" s="39">
        <v>1.33634708931066E-2</v>
      </c>
      <c r="AQ219" s="39">
        <v>1.33634708931066E-2</v>
      </c>
      <c r="AR219" s="39">
        <v>1.33634708931066E-2</v>
      </c>
      <c r="AS219" s="39">
        <v>1.33634708931066E-2</v>
      </c>
      <c r="AT219" s="39">
        <v>1.33634708931066E-2</v>
      </c>
      <c r="AU219" s="39">
        <v>1.2392217523121999E-3</v>
      </c>
      <c r="AV219" s="39">
        <v>1.2392217523121999E-3</v>
      </c>
      <c r="AW219" s="39">
        <v>1.2392217523121999E-3</v>
      </c>
      <c r="AX219" s="39">
        <v>1.2392217523121999E-3</v>
      </c>
      <c r="AY219" s="39">
        <v>1.2392217523121999E-3</v>
      </c>
      <c r="AZ219" s="39">
        <v>1.2392217523121999E-3</v>
      </c>
      <c r="BA219" s="39">
        <v>1.2392217523121999E-3</v>
      </c>
      <c r="BB219" s="39">
        <v>1.2392217523121999E-3</v>
      </c>
      <c r="BC219" s="39">
        <v>1.2392217523121999E-3</v>
      </c>
      <c r="BD219" s="39">
        <v>1.2392217523121999E-3</v>
      </c>
      <c r="BE219" s="39">
        <v>1.2392217523121999E-3</v>
      </c>
      <c r="BF219" s="39">
        <v>1.2392217523121999E-3</v>
      </c>
      <c r="BG219" s="1"/>
      <c r="BH219" s="12">
        <f t="shared" si="128"/>
        <v>0</v>
      </c>
      <c r="BI219" s="12">
        <f t="shared" si="129"/>
        <v>0</v>
      </c>
      <c r="BJ219" s="12">
        <f t="shared" si="130"/>
        <v>0</v>
      </c>
      <c r="BK219" s="12">
        <f t="shared" si="131"/>
        <v>0</v>
      </c>
      <c r="BL219" s="12">
        <f t="shared" si="132"/>
        <v>0</v>
      </c>
      <c r="BM219" s="12">
        <f t="shared" si="133"/>
        <v>0</v>
      </c>
      <c r="BN219" s="12">
        <f t="shared" si="134"/>
        <v>0</v>
      </c>
      <c r="BO219" s="12">
        <f t="shared" si="135"/>
        <v>0</v>
      </c>
      <c r="BP219" s="12">
        <f t="shared" si="136"/>
        <v>0</v>
      </c>
      <c r="BQ219" s="12">
        <f t="shared" si="137"/>
        <v>0</v>
      </c>
      <c r="BR219" s="12">
        <f t="shared" si="138"/>
        <v>0</v>
      </c>
      <c r="BS219" s="12">
        <f t="shared" si="139"/>
        <v>0</v>
      </c>
      <c r="BT219" s="1"/>
      <c r="BU219" s="11">
        <f t="shared" si="140"/>
        <v>0</v>
      </c>
      <c r="BV219" s="11">
        <f t="shared" si="141"/>
        <v>0</v>
      </c>
      <c r="BW219" s="11">
        <f t="shared" si="142"/>
        <v>0</v>
      </c>
      <c r="BX219" s="11">
        <f t="shared" si="143"/>
        <v>0</v>
      </c>
      <c r="BY219" s="11">
        <f t="shared" si="144"/>
        <v>0</v>
      </c>
      <c r="BZ219" s="11">
        <f t="shared" si="145"/>
        <v>0</v>
      </c>
      <c r="CA219" s="11">
        <f t="shared" si="146"/>
        <v>0</v>
      </c>
      <c r="CB219" s="11">
        <f t="shared" si="147"/>
        <v>0</v>
      </c>
      <c r="CC219" s="11">
        <f t="shared" si="148"/>
        <v>0</v>
      </c>
      <c r="CD219" s="11">
        <f t="shared" si="149"/>
        <v>0</v>
      </c>
      <c r="CE219" s="11">
        <f t="shared" si="150"/>
        <v>0</v>
      </c>
      <c r="CF219" s="11">
        <f t="shared" si="151"/>
        <v>0</v>
      </c>
      <c r="CG219" s="11"/>
      <c r="CH219" s="41">
        <v>3.23</v>
      </c>
      <c r="CI219" s="1"/>
      <c r="CJ219" s="53">
        <f t="shared" si="152"/>
        <v>0</v>
      </c>
      <c r="CK219" s="53">
        <f t="shared" si="153"/>
        <v>0</v>
      </c>
      <c r="CL219" s="53">
        <f t="shared" si="154"/>
        <v>0</v>
      </c>
      <c r="CM219" s="53">
        <f t="shared" si="155"/>
        <v>0</v>
      </c>
      <c r="CN219" s="53">
        <f t="shared" si="156"/>
        <v>0</v>
      </c>
      <c r="CO219" s="53">
        <f t="shared" si="157"/>
        <v>0</v>
      </c>
      <c r="CP219" s="53">
        <f t="shared" si="158"/>
        <v>0</v>
      </c>
      <c r="CQ219" s="53">
        <f t="shared" si="159"/>
        <v>0</v>
      </c>
      <c r="CR219" s="53">
        <f t="shared" si="160"/>
        <v>0</v>
      </c>
      <c r="CS219" s="53">
        <f t="shared" si="161"/>
        <v>0</v>
      </c>
      <c r="CT219" s="53">
        <f t="shared" si="162"/>
        <v>0</v>
      </c>
      <c r="CU219" s="53">
        <f t="shared" si="163"/>
        <v>0</v>
      </c>
      <c r="CV219" s="53">
        <f t="shared" si="126"/>
        <v>0</v>
      </c>
      <c r="CW219" s="1"/>
      <c r="CX219" s="1"/>
      <c r="CY219" s="1"/>
      <c r="CZ219" s="1"/>
      <c r="DA219" s="1"/>
      <c r="DB219" s="1"/>
      <c r="DC219" s="1"/>
      <c r="DD219" s="1"/>
      <c r="DE219" s="1"/>
      <c r="DF219" s="1"/>
      <c r="DG219" s="1"/>
      <c r="DH219" s="1"/>
      <c r="DI219" s="1"/>
      <c r="DJ219" s="1"/>
      <c r="DK219" s="1"/>
      <c r="DL219" s="1"/>
    </row>
    <row r="220" spans="1:116" ht="15.75" hidden="1" x14ac:dyDescent="0.25">
      <c r="A220" s="17"/>
      <c r="B220" s="17"/>
      <c r="C220" s="17"/>
      <c r="D220" s="17"/>
      <c r="E220" s="17"/>
      <c r="F220" s="32" t="s">
        <v>2947</v>
      </c>
      <c r="G220" s="55">
        <v>0</v>
      </c>
      <c r="H220" s="55">
        <v>0</v>
      </c>
      <c r="I220" s="55">
        <v>0</v>
      </c>
      <c r="J220" s="55">
        <v>0</v>
      </c>
      <c r="K220" s="55">
        <v>0</v>
      </c>
      <c r="L220" s="55">
        <v>0</v>
      </c>
      <c r="M220" s="55">
        <v>0</v>
      </c>
      <c r="N220" s="55">
        <v>0</v>
      </c>
      <c r="O220" s="55">
        <v>0</v>
      </c>
      <c r="P220" s="55">
        <v>0</v>
      </c>
      <c r="Q220" s="55">
        <v>0</v>
      </c>
      <c r="R220" s="55">
        <v>0</v>
      </c>
      <c r="S220" s="11">
        <f t="shared" si="127"/>
        <v>0</v>
      </c>
      <c r="T220" s="102"/>
      <c r="U220" s="1"/>
      <c r="V220" s="50">
        <f t="shared" si="125"/>
        <v>0</v>
      </c>
      <c r="W220" s="36">
        <v>2.367</v>
      </c>
      <c r="X220" s="36">
        <v>2.367</v>
      </c>
      <c r="Y220" s="36">
        <v>2.367</v>
      </c>
      <c r="Z220" s="36">
        <v>2.367</v>
      </c>
      <c r="AA220" s="36">
        <v>2.367</v>
      </c>
      <c r="AB220" s="36">
        <v>2.367</v>
      </c>
      <c r="AC220" s="36">
        <v>2.367</v>
      </c>
      <c r="AD220" s="36">
        <v>2.367</v>
      </c>
      <c r="AE220" s="36">
        <v>2.367</v>
      </c>
      <c r="AF220" s="36">
        <v>2.367</v>
      </c>
      <c r="AG220" s="36">
        <v>2.367</v>
      </c>
      <c r="AH220" s="36">
        <v>2.367</v>
      </c>
      <c r="AI220" s="39">
        <v>1.33634708931066E-2</v>
      </c>
      <c r="AJ220" s="39">
        <v>1.33634708931066E-2</v>
      </c>
      <c r="AK220" s="39">
        <v>1.33634708931066E-2</v>
      </c>
      <c r="AL220" s="39">
        <v>1.33634708931066E-2</v>
      </c>
      <c r="AM220" s="39">
        <v>1.33634708931066E-2</v>
      </c>
      <c r="AN220" s="39">
        <v>1.33634708931066E-2</v>
      </c>
      <c r="AO220" s="39">
        <v>1.33634708931066E-2</v>
      </c>
      <c r="AP220" s="39">
        <v>1.33634708931066E-2</v>
      </c>
      <c r="AQ220" s="39">
        <v>1.33634708931066E-2</v>
      </c>
      <c r="AR220" s="39">
        <v>1.33634708931066E-2</v>
      </c>
      <c r="AS220" s="39">
        <v>1.33634708931066E-2</v>
      </c>
      <c r="AT220" s="39">
        <v>1.33634708931066E-2</v>
      </c>
      <c r="AU220" s="39">
        <v>1.2392217523121999E-3</v>
      </c>
      <c r="AV220" s="39">
        <v>1.2392217523121999E-3</v>
      </c>
      <c r="AW220" s="39">
        <v>1.2392217523121999E-3</v>
      </c>
      <c r="AX220" s="39">
        <v>1.2392217523121999E-3</v>
      </c>
      <c r="AY220" s="39">
        <v>1.2392217523121999E-3</v>
      </c>
      <c r="AZ220" s="39">
        <v>1.2392217523121999E-3</v>
      </c>
      <c r="BA220" s="39">
        <v>1.2392217523121999E-3</v>
      </c>
      <c r="BB220" s="39">
        <v>1.2392217523121999E-3</v>
      </c>
      <c r="BC220" s="39">
        <v>1.2392217523121999E-3</v>
      </c>
      <c r="BD220" s="39">
        <v>1.2392217523121999E-3</v>
      </c>
      <c r="BE220" s="39">
        <v>1.2392217523121999E-3</v>
      </c>
      <c r="BF220" s="39">
        <v>1.2392217523121999E-3</v>
      </c>
      <c r="BG220" s="1"/>
      <c r="BH220" s="12">
        <f t="shared" si="128"/>
        <v>0</v>
      </c>
      <c r="BI220" s="12">
        <f t="shared" si="129"/>
        <v>0</v>
      </c>
      <c r="BJ220" s="12">
        <f t="shared" si="130"/>
        <v>0</v>
      </c>
      <c r="BK220" s="12">
        <f t="shared" si="131"/>
        <v>0</v>
      </c>
      <c r="BL220" s="12">
        <f t="shared" si="132"/>
        <v>0</v>
      </c>
      <c r="BM220" s="12">
        <f t="shared" si="133"/>
        <v>0</v>
      </c>
      <c r="BN220" s="12">
        <f t="shared" si="134"/>
        <v>0</v>
      </c>
      <c r="BO220" s="12">
        <f t="shared" si="135"/>
        <v>0</v>
      </c>
      <c r="BP220" s="12">
        <f t="shared" si="136"/>
        <v>0</v>
      </c>
      <c r="BQ220" s="12">
        <f t="shared" si="137"/>
        <v>0</v>
      </c>
      <c r="BR220" s="12">
        <f t="shared" si="138"/>
        <v>0</v>
      </c>
      <c r="BS220" s="12">
        <f t="shared" si="139"/>
        <v>0</v>
      </c>
      <c r="BT220" s="1"/>
      <c r="BU220" s="11">
        <f t="shared" si="140"/>
        <v>0</v>
      </c>
      <c r="BV220" s="11">
        <f t="shared" si="141"/>
        <v>0</v>
      </c>
      <c r="BW220" s="11">
        <f t="shared" si="142"/>
        <v>0</v>
      </c>
      <c r="BX220" s="11">
        <f t="shared" si="143"/>
        <v>0</v>
      </c>
      <c r="BY220" s="11">
        <f t="shared" si="144"/>
        <v>0</v>
      </c>
      <c r="BZ220" s="11">
        <f t="shared" si="145"/>
        <v>0</v>
      </c>
      <c r="CA220" s="11">
        <f t="shared" si="146"/>
        <v>0</v>
      </c>
      <c r="CB220" s="11">
        <f t="shared" si="147"/>
        <v>0</v>
      </c>
      <c r="CC220" s="11">
        <f t="shared" si="148"/>
        <v>0</v>
      </c>
      <c r="CD220" s="11">
        <f t="shared" si="149"/>
        <v>0</v>
      </c>
      <c r="CE220" s="11">
        <f t="shared" si="150"/>
        <v>0</v>
      </c>
      <c r="CF220" s="11">
        <f t="shared" si="151"/>
        <v>0</v>
      </c>
      <c r="CG220" s="11"/>
      <c r="CH220" s="41">
        <v>3.23</v>
      </c>
      <c r="CI220" s="1"/>
      <c r="CJ220" s="53">
        <f t="shared" si="152"/>
        <v>0</v>
      </c>
      <c r="CK220" s="53">
        <f t="shared" si="153"/>
        <v>0</v>
      </c>
      <c r="CL220" s="53">
        <f t="shared" si="154"/>
        <v>0</v>
      </c>
      <c r="CM220" s="53">
        <f t="shared" si="155"/>
        <v>0</v>
      </c>
      <c r="CN220" s="53">
        <f t="shared" si="156"/>
        <v>0</v>
      </c>
      <c r="CO220" s="53">
        <f t="shared" si="157"/>
        <v>0</v>
      </c>
      <c r="CP220" s="53">
        <f t="shared" si="158"/>
        <v>0</v>
      </c>
      <c r="CQ220" s="53">
        <f t="shared" si="159"/>
        <v>0</v>
      </c>
      <c r="CR220" s="53">
        <f t="shared" si="160"/>
        <v>0</v>
      </c>
      <c r="CS220" s="53">
        <f t="shared" si="161"/>
        <v>0</v>
      </c>
      <c r="CT220" s="53">
        <f t="shared" si="162"/>
        <v>0</v>
      </c>
      <c r="CU220" s="53">
        <f t="shared" si="163"/>
        <v>0</v>
      </c>
      <c r="CV220" s="53">
        <f t="shared" si="126"/>
        <v>0</v>
      </c>
      <c r="CW220" s="1"/>
      <c r="CX220" s="1"/>
      <c r="CY220" s="1"/>
      <c r="CZ220" s="1"/>
      <c r="DA220" s="1"/>
      <c r="DB220" s="1"/>
      <c r="DC220" s="1"/>
      <c r="DD220" s="1"/>
      <c r="DE220" s="1"/>
      <c r="DF220" s="1"/>
      <c r="DG220" s="1"/>
      <c r="DH220" s="1"/>
      <c r="DI220" s="1"/>
      <c r="DJ220" s="1"/>
      <c r="DK220" s="1"/>
      <c r="DL220" s="1"/>
    </row>
    <row r="221" spans="1:116" ht="15.75" hidden="1" x14ac:dyDescent="0.25">
      <c r="A221" s="17"/>
      <c r="B221" s="17"/>
      <c r="C221" s="17"/>
      <c r="D221" s="17"/>
      <c r="E221" s="17"/>
      <c r="F221" s="32" t="s">
        <v>2947</v>
      </c>
      <c r="G221" s="55">
        <v>0</v>
      </c>
      <c r="H221" s="55">
        <v>0</v>
      </c>
      <c r="I221" s="55">
        <v>0</v>
      </c>
      <c r="J221" s="55">
        <v>0</v>
      </c>
      <c r="K221" s="55">
        <v>0</v>
      </c>
      <c r="L221" s="55">
        <v>0</v>
      </c>
      <c r="M221" s="55">
        <v>0</v>
      </c>
      <c r="N221" s="55">
        <v>0</v>
      </c>
      <c r="O221" s="55">
        <v>0</v>
      </c>
      <c r="P221" s="55">
        <v>0</v>
      </c>
      <c r="Q221" s="55">
        <v>0</v>
      </c>
      <c r="R221" s="55">
        <v>0</v>
      </c>
      <c r="S221" s="11">
        <f t="shared" si="127"/>
        <v>0</v>
      </c>
      <c r="T221" s="102"/>
      <c r="U221" s="1"/>
      <c r="V221" s="50">
        <f t="shared" si="125"/>
        <v>0</v>
      </c>
      <c r="W221" s="36">
        <v>1.9370000000000001</v>
      </c>
      <c r="X221" s="36">
        <v>1.9370000000000001</v>
      </c>
      <c r="Y221" s="36">
        <v>1.9370000000000001</v>
      </c>
      <c r="Z221" s="36">
        <v>1.9370000000000001</v>
      </c>
      <c r="AA221" s="36">
        <v>1.9370000000000001</v>
      </c>
      <c r="AB221" s="36">
        <v>1.9370000000000001</v>
      </c>
      <c r="AC221" s="36">
        <v>1.9370000000000001</v>
      </c>
      <c r="AD221" s="36">
        <v>1.9370000000000001</v>
      </c>
      <c r="AE221" s="36">
        <v>1.9370000000000001</v>
      </c>
      <c r="AF221" s="36">
        <v>1.9370000000000001</v>
      </c>
      <c r="AG221" s="36">
        <v>1.9370000000000001</v>
      </c>
      <c r="AH221" s="36">
        <v>1.9370000000000001</v>
      </c>
      <c r="AI221" s="39">
        <v>1.33634708931066E-2</v>
      </c>
      <c r="AJ221" s="39">
        <v>1.33634708931066E-2</v>
      </c>
      <c r="AK221" s="39">
        <v>1.33634708931066E-2</v>
      </c>
      <c r="AL221" s="39">
        <v>1.33634708931066E-2</v>
      </c>
      <c r="AM221" s="39">
        <v>1.33634708931066E-2</v>
      </c>
      <c r="AN221" s="39">
        <v>1.33634708931066E-2</v>
      </c>
      <c r="AO221" s="39">
        <v>1.33634708931066E-2</v>
      </c>
      <c r="AP221" s="39">
        <v>1.33634708931066E-2</v>
      </c>
      <c r="AQ221" s="39">
        <v>1.33634708931066E-2</v>
      </c>
      <c r="AR221" s="39">
        <v>1.33634708931066E-2</v>
      </c>
      <c r="AS221" s="39">
        <v>1.33634708931066E-2</v>
      </c>
      <c r="AT221" s="39">
        <v>1.33634708931066E-2</v>
      </c>
      <c r="AU221" s="39">
        <v>1.2392217523121999E-3</v>
      </c>
      <c r="AV221" s="39">
        <v>1.2392217523121999E-3</v>
      </c>
      <c r="AW221" s="39">
        <v>1.2392217523121999E-3</v>
      </c>
      <c r="AX221" s="39">
        <v>1.2392217523121999E-3</v>
      </c>
      <c r="AY221" s="39">
        <v>1.2392217523121999E-3</v>
      </c>
      <c r="AZ221" s="39">
        <v>1.2392217523121999E-3</v>
      </c>
      <c r="BA221" s="39">
        <v>1.2392217523121999E-3</v>
      </c>
      <c r="BB221" s="39">
        <v>1.2392217523121999E-3</v>
      </c>
      <c r="BC221" s="39">
        <v>1.2392217523121999E-3</v>
      </c>
      <c r="BD221" s="39">
        <v>1.2392217523121999E-3</v>
      </c>
      <c r="BE221" s="39">
        <v>1.2392217523121999E-3</v>
      </c>
      <c r="BF221" s="39">
        <v>1.2392217523121999E-3</v>
      </c>
      <c r="BG221" s="1"/>
      <c r="BH221" s="12">
        <f t="shared" si="128"/>
        <v>0</v>
      </c>
      <c r="BI221" s="12">
        <f t="shared" si="129"/>
        <v>0</v>
      </c>
      <c r="BJ221" s="12">
        <f t="shared" si="130"/>
        <v>0</v>
      </c>
      <c r="BK221" s="12">
        <f t="shared" si="131"/>
        <v>0</v>
      </c>
      <c r="BL221" s="12">
        <f t="shared" si="132"/>
        <v>0</v>
      </c>
      <c r="BM221" s="12">
        <f t="shared" si="133"/>
        <v>0</v>
      </c>
      <c r="BN221" s="12">
        <f t="shared" si="134"/>
        <v>0</v>
      </c>
      <c r="BO221" s="12">
        <f t="shared" si="135"/>
        <v>0</v>
      </c>
      <c r="BP221" s="12">
        <f t="shared" si="136"/>
        <v>0</v>
      </c>
      <c r="BQ221" s="12">
        <f t="shared" si="137"/>
        <v>0</v>
      </c>
      <c r="BR221" s="12">
        <f t="shared" si="138"/>
        <v>0</v>
      </c>
      <c r="BS221" s="12">
        <f t="shared" si="139"/>
        <v>0</v>
      </c>
      <c r="BT221" s="1"/>
      <c r="BU221" s="11">
        <f t="shared" si="140"/>
        <v>0</v>
      </c>
      <c r="BV221" s="11">
        <f t="shared" si="141"/>
        <v>0</v>
      </c>
      <c r="BW221" s="11">
        <f t="shared" si="142"/>
        <v>0</v>
      </c>
      <c r="BX221" s="11">
        <f t="shared" si="143"/>
        <v>0</v>
      </c>
      <c r="BY221" s="11">
        <f t="shared" si="144"/>
        <v>0</v>
      </c>
      <c r="BZ221" s="11">
        <f t="shared" si="145"/>
        <v>0</v>
      </c>
      <c r="CA221" s="11">
        <f t="shared" si="146"/>
        <v>0</v>
      </c>
      <c r="CB221" s="11">
        <f t="shared" si="147"/>
        <v>0</v>
      </c>
      <c r="CC221" s="11">
        <f t="shared" si="148"/>
        <v>0</v>
      </c>
      <c r="CD221" s="11">
        <f t="shared" si="149"/>
        <v>0</v>
      </c>
      <c r="CE221" s="11">
        <f t="shared" si="150"/>
        <v>0</v>
      </c>
      <c r="CF221" s="11">
        <f t="shared" si="151"/>
        <v>0</v>
      </c>
      <c r="CG221" s="11"/>
      <c r="CH221" s="41">
        <v>3.23</v>
      </c>
      <c r="CI221" s="1"/>
      <c r="CJ221" s="53">
        <f t="shared" si="152"/>
        <v>0</v>
      </c>
      <c r="CK221" s="53">
        <f t="shared" si="153"/>
        <v>0</v>
      </c>
      <c r="CL221" s="53">
        <f t="shared" si="154"/>
        <v>0</v>
      </c>
      <c r="CM221" s="53">
        <f t="shared" si="155"/>
        <v>0</v>
      </c>
      <c r="CN221" s="53">
        <f t="shared" si="156"/>
        <v>0</v>
      </c>
      <c r="CO221" s="53">
        <f t="shared" si="157"/>
        <v>0</v>
      </c>
      <c r="CP221" s="53">
        <f t="shared" si="158"/>
        <v>0</v>
      </c>
      <c r="CQ221" s="53">
        <f t="shared" si="159"/>
        <v>0</v>
      </c>
      <c r="CR221" s="53">
        <f t="shared" si="160"/>
        <v>0</v>
      </c>
      <c r="CS221" s="53">
        <f t="shared" si="161"/>
        <v>0</v>
      </c>
      <c r="CT221" s="53">
        <f t="shared" si="162"/>
        <v>0</v>
      </c>
      <c r="CU221" s="53">
        <f t="shared" si="163"/>
        <v>0</v>
      </c>
      <c r="CV221" s="53">
        <f t="shared" si="126"/>
        <v>0</v>
      </c>
      <c r="CW221" s="1"/>
      <c r="CX221" s="1"/>
      <c r="CY221" s="1"/>
      <c r="CZ221" s="1"/>
      <c r="DA221" s="1"/>
      <c r="DB221" s="1"/>
      <c r="DC221" s="1"/>
      <c r="DD221" s="1"/>
      <c r="DE221" s="1"/>
      <c r="DF221" s="1"/>
      <c r="DG221" s="1"/>
      <c r="DH221" s="1"/>
      <c r="DI221" s="1"/>
      <c r="DJ221" s="1"/>
      <c r="DK221" s="1"/>
      <c r="DL221" s="1"/>
    </row>
    <row r="222" spans="1:116" ht="15.75" hidden="1" x14ac:dyDescent="0.25">
      <c r="A222" s="17"/>
      <c r="B222" s="17"/>
      <c r="C222" s="17"/>
      <c r="D222" s="17"/>
      <c r="E222" s="17"/>
      <c r="F222" s="32" t="s">
        <v>2947</v>
      </c>
      <c r="G222" s="55">
        <v>97.34</v>
      </c>
      <c r="H222" s="55">
        <v>97.34</v>
      </c>
      <c r="I222" s="55">
        <v>97.34</v>
      </c>
      <c r="J222" s="55">
        <v>81.12</v>
      </c>
      <c r="K222" s="55">
        <v>81.12</v>
      </c>
      <c r="L222" s="55">
        <v>81.12</v>
      </c>
      <c r="M222" s="55">
        <v>81.12</v>
      </c>
      <c r="N222" s="55">
        <v>81.12</v>
      </c>
      <c r="O222" s="55">
        <v>81.12</v>
      </c>
      <c r="P222" s="55">
        <v>81.12</v>
      </c>
      <c r="Q222" s="55">
        <v>81.12</v>
      </c>
      <c r="R222" s="55">
        <v>81.12</v>
      </c>
      <c r="S222" s="11">
        <f t="shared" si="127"/>
        <v>1022.1</v>
      </c>
      <c r="T222" s="102"/>
      <c r="U222" s="1"/>
      <c r="V222" s="50">
        <f t="shared" si="125"/>
        <v>1259721</v>
      </c>
      <c r="W222" s="36">
        <v>2.6589999999999998</v>
      </c>
      <c r="X222" s="36">
        <v>2.6589999999999998</v>
      </c>
      <c r="Y222" s="36">
        <v>2.6589999999999998</v>
      </c>
      <c r="Z222" s="36">
        <v>2.6589999999999998</v>
      </c>
      <c r="AA222" s="36">
        <v>2.6589999999999998</v>
      </c>
      <c r="AB222" s="36">
        <v>2.6589999999999998</v>
      </c>
      <c r="AC222" s="36">
        <v>2.6589999999999998</v>
      </c>
      <c r="AD222" s="36">
        <v>2.6589999999999998</v>
      </c>
      <c r="AE222" s="36">
        <v>2.6589999999999998</v>
      </c>
      <c r="AF222" s="36">
        <v>2.6589999999999998</v>
      </c>
      <c r="AG222" s="36">
        <v>2.6589999999999998</v>
      </c>
      <c r="AH222" s="36">
        <v>2.6589999999999998</v>
      </c>
      <c r="AI222" s="39">
        <v>1.33634708931066E-2</v>
      </c>
      <c r="AJ222" s="39">
        <v>1.33634708931066E-2</v>
      </c>
      <c r="AK222" s="39">
        <v>1.33634708931066E-2</v>
      </c>
      <c r="AL222" s="39">
        <v>1.33634708931066E-2</v>
      </c>
      <c r="AM222" s="39">
        <v>1.33634708931066E-2</v>
      </c>
      <c r="AN222" s="39">
        <v>1.33634708931066E-2</v>
      </c>
      <c r="AO222" s="39">
        <v>1.33634708931066E-2</v>
      </c>
      <c r="AP222" s="39">
        <v>1.33634708931066E-2</v>
      </c>
      <c r="AQ222" s="39">
        <v>1.33634708931066E-2</v>
      </c>
      <c r="AR222" s="39">
        <v>1.33634708931066E-2</v>
      </c>
      <c r="AS222" s="39">
        <v>1.33634708931066E-2</v>
      </c>
      <c r="AT222" s="39">
        <v>1.33634708931066E-2</v>
      </c>
      <c r="AU222" s="39">
        <v>1.2392217523121999E-3</v>
      </c>
      <c r="AV222" s="39">
        <v>1.2392217523121999E-3</v>
      </c>
      <c r="AW222" s="39">
        <v>1.2392217523121999E-3</v>
      </c>
      <c r="AX222" s="39">
        <v>1.2392217523121999E-3</v>
      </c>
      <c r="AY222" s="39">
        <v>1.2392217523121999E-3</v>
      </c>
      <c r="AZ222" s="39">
        <v>1.2392217523121999E-3</v>
      </c>
      <c r="BA222" s="39">
        <v>1.2392217523121999E-3</v>
      </c>
      <c r="BB222" s="39">
        <v>1.2392217523121999E-3</v>
      </c>
      <c r="BC222" s="39">
        <v>1.2392217523121999E-3</v>
      </c>
      <c r="BD222" s="39">
        <v>1.2392217523121999E-3</v>
      </c>
      <c r="BE222" s="39">
        <v>1.2392217523121999E-3</v>
      </c>
      <c r="BF222" s="39">
        <v>1.2392217523121999E-3</v>
      </c>
      <c r="BG222" s="1"/>
      <c r="BH222" s="12">
        <f t="shared" si="128"/>
        <v>314.40820000000002</v>
      </c>
      <c r="BI222" s="12">
        <f t="shared" si="129"/>
        <v>314.40820000000002</v>
      </c>
      <c r="BJ222" s="12">
        <f t="shared" si="130"/>
        <v>314.40820000000002</v>
      </c>
      <c r="BK222" s="12">
        <f t="shared" si="131"/>
        <v>262.01760000000002</v>
      </c>
      <c r="BL222" s="12">
        <f t="shared" si="132"/>
        <v>262.01760000000002</v>
      </c>
      <c r="BM222" s="12">
        <f t="shared" si="133"/>
        <v>262.01760000000002</v>
      </c>
      <c r="BN222" s="12">
        <f t="shared" si="134"/>
        <v>262.01760000000002</v>
      </c>
      <c r="BO222" s="12">
        <f t="shared" si="135"/>
        <v>262.01760000000002</v>
      </c>
      <c r="BP222" s="12">
        <f t="shared" si="136"/>
        <v>262.01760000000002</v>
      </c>
      <c r="BQ222" s="12">
        <f t="shared" si="137"/>
        <v>262.01760000000002</v>
      </c>
      <c r="BR222" s="12">
        <f t="shared" si="138"/>
        <v>262.01760000000002</v>
      </c>
      <c r="BS222" s="12">
        <f t="shared" si="139"/>
        <v>262.01760000000002</v>
      </c>
      <c r="BT222" s="1"/>
      <c r="BU222" s="11">
        <f t="shared" si="140"/>
        <v>318.99940630979938</v>
      </c>
      <c r="BV222" s="11">
        <f t="shared" si="141"/>
        <v>318.99940630979938</v>
      </c>
      <c r="BW222" s="11">
        <f t="shared" si="142"/>
        <v>318.99940630979938</v>
      </c>
      <c r="BX222" s="11">
        <f t="shared" si="143"/>
        <v>265.84376248049028</v>
      </c>
      <c r="BY222" s="11">
        <f t="shared" si="144"/>
        <v>265.84376248049028</v>
      </c>
      <c r="BZ222" s="11">
        <f t="shared" si="145"/>
        <v>265.84376248049028</v>
      </c>
      <c r="CA222" s="11">
        <f t="shared" si="146"/>
        <v>265.84376248049028</v>
      </c>
      <c r="CB222" s="11">
        <f t="shared" si="147"/>
        <v>265.84376248049028</v>
      </c>
      <c r="CC222" s="11">
        <f t="shared" si="148"/>
        <v>265.84376248049028</v>
      </c>
      <c r="CD222" s="11">
        <f t="shared" si="149"/>
        <v>265.84376248049028</v>
      </c>
      <c r="CE222" s="11">
        <f t="shared" si="150"/>
        <v>265.84376248049028</v>
      </c>
      <c r="CF222" s="11">
        <f t="shared" si="151"/>
        <v>265.84376248049028</v>
      </c>
      <c r="CG222" s="11"/>
      <c r="CH222" s="41">
        <v>3.23</v>
      </c>
      <c r="CI222" s="1"/>
      <c r="CJ222" s="53">
        <f t="shared" si="152"/>
        <v>119970</v>
      </c>
      <c r="CK222" s="53">
        <f t="shared" si="153"/>
        <v>119970</v>
      </c>
      <c r="CL222" s="53">
        <f t="shared" si="154"/>
        <v>119970</v>
      </c>
      <c r="CM222" s="53">
        <f t="shared" si="155"/>
        <v>99979</v>
      </c>
      <c r="CN222" s="53">
        <f t="shared" si="156"/>
        <v>99979</v>
      </c>
      <c r="CO222" s="53">
        <f t="shared" si="157"/>
        <v>99979</v>
      </c>
      <c r="CP222" s="53">
        <f t="shared" si="158"/>
        <v>99979</v>
      </c>
      <c r="CQ222" s="53">
        <f t="shared" si="159"/>
        <v>99979</v>
      </c>
      <c r="CR222" s="53">
        <f t="shared" si="160"/>
        <v>99979</v>
      </c>
      <c r="CS222" s="53">
        <f t="shared" si="161"/>
        <v>99979</v>
      </c>
      <c r="CT222" s="53">
        <f t="shared" si="162"/>
        <v>99979</v>
      </c>
      <c r="CU222" s="53">
        <f t="shared" si="163"/>
        <v>99979</v>
      </c>
      <c r="CV222" s="53">
        <f t="shared" si="126"/>
        <v>1259721</v>
      </c>
      <c r="CW222" s="1"/>
      <c r="CX222" s="1"/>
      <c r="CY222" s="1"/>
      <c r="CZ222" s="1"/>
      <c r="DA222" s="1"/>
      <c r="DB222" s="1"/>
      <c r="DC222" s="1"/>
      <c r="DD222" s="1"/>
      <c r="DE222" s="1"/>
      <c r="DF222" s="1"/>
      <c r="DG222" s="1"/>
      <c r="DH222" s="1"/>
      <c r="DI222" s="1"/>
      <c r="DJ222" s="1"/>
      <c r="DK222" s="1"/>
      <c r="DL222" s="1"/>
    </row>
    <row r="223" spans="1:116" ht="15.75" hidden="1" x14ac:dyDescent="0.25">
      <c r="A223" s="17"/>
      <c r="B223" s="17"/>
      <c r="C223" s="17"/>
      <c r="D223" s="17"/>
      <c r="E223" s="17"/>
      <c r="F223" s="32" t="s">
        <v>2947</v>
      </c>
      <c r="G223" s="55">
        <v>161.88</v>
      </c>
      <c r="H223" s="55">
        <v>208.51</v>
      </c>
      <c r="I223" s="55">
        <v>155.4</v>
      </c>
      <c r="J223" s="55">
        <v>161.75</v>
      </c>
      <c r="K223" s="55">
        <v>252.06</v>
      </c>
      <c r="L223" s="55">
        <v>266.10000000000002</v>
      </c>
      <c r="M223" s="55">
        <v>144.18</v>
      </c>
      <c r="N223" s="55">
        <v>245.17</v>
      </c>
      <c r="O223" s="55">
        <v>161.19999999999999</v>
      </c>
      <c r="P223" s="55">
        <v>87.35</v>
      </c>
      <c r="Q223" s="55">
        <v>181.89</v>
      </c>
      <c r="R223" s="55">
        <v>182.48</v>
      </c>
      <c r="S223" s="11">
        <f t="shared" si="127"/>
        <v>2207.9699999999998</v>
      </c>
      <c r="T223" s="102"/>
      <c r="U223" s="1"/>
      <c r="V223" s="50">
        <f t="shared" si="125"/>
        <v>1193497</v>
      </c>
      <c r="W223" s="36">
        <v>1.8500010816189674</v>
      </c>
      <c r="X223" s="36">
        <v>1.8500010816189674</v>
      </c>
      <c r="Y223" s="36">
        <v>1.8500010816189674</v>
      </c>
      <c r="Z223" s="36">
        <v>1.8500010816189674</v>
      </c>
      <c r="AA223" s="36">
        <v>1.8500010816189674</v>
      </c>
      <c r="AB223" s="36">
        <v>1.8500010816189674</v>
      </c>
      <c r="AC223" s="36">
        <v>1.8500010816189674</v>
      </c>
      <c r="AD223" s="36">
        <v>1.8500010816189674</v>
      </c>
      <c r="AE223" s="36">
        <v>1.8500010816189674</v>
      </c>
      <c r="AF223" s="36">
        <v>1.8500010816189674</v>
      </c>
      <c r="AG223" s="36">
        <v>1.8500010816189674</v>
      </c>
      <c r="AH223" s="36">
        <v>1.8500010816189674</v>
      </c>
      <c r="AI223" s="39">
        <v>0</v>
      </c>
      <c r="AJ223" s="39">
        <v>0</v>
      </c>
      <c r="AK223" s="39">
        <v>0</v>
      </c>
      <c r="AL223" s="39">
        <v>0</v>
      </c>
      <c r="AM223" s="39">
        <v>0</v>
      </c>
      <c r="AN223" s="39">
        <v>0</v>
      </c>
      <c r="AO223" s="39">
        <v>0</v>
      </c>
      <c r="AP223" s="39">
        <v>0</v>
      </c>
      <c r="AQ223" s="39">
        <v>0</v>
      </c>
      <c r="AR223" s="39">
        <v>0</v>
      </c>
      <c r="AS223" s="39">
        <v>0</v>
      </c>
      <c r="AT223" s="39">
        <v>0</v>
      </c>
      <c r="AU223" s="39">
        <v>0</v>
      </c>
      <c r="AV223" s="39">
        <v>0</v>
      </c>
      <c r="AW223" s="39">
        <v>0</v>
      </c>
      <c r="AX223" s="39">
        <v>0</v>
      </c>
      <c r="AY223" s="39">
        <v>0</v>
      </c>
      <c r="AZ223" s="39">
        <v>0</v>
      </c>
      <c r="BA223" s="39">
        <v>0</v>
      </c>
      <c r="BB223" s="39">
        <v>0</v>
      </c>
      <c r="BC223" s="39">
        <v>0</v>
      </c>
      <c r="BD223" s="39">
        <v>0</v>
      </c>
      <c r="BE223" s="39">
        <v>0</v>
      </c>
      <c r="BF223" s="39">
        <v>0</v>
      </c>
      <c r="BG223" s="1"/>
      <c r="BH223" s="12">
        <f t="shared" si="128"/>
        <v>161.88</v>
      </c>
      <c r="BI223" s="12">
        <f t="shared" si="129"/>
        <v>208.51</v>
      </c>
      <c r="BJ223" s="12">
        <f t="shared" si="130"/>
        <v>155.4</v>
      </c>
      <c r="BK223" s="12">
        <f t="shared" si="131"/>
        <v>161.75</v>
      </c>
      <c r="BL223" s="12">
        <f t="shared" si="132"/>
        <v>252.06</v>
      </c>
      <c r="BM223" s="12">
        <f t="shared" si="133"/>
        <v>266.10000000000002</v>
      </c>
      <c r="BN223" s="12">
        <f t="shared" si="134"/>
        <v>144.18</v>
      </c>
      <c r="BO223" s="12">
        <f t="shared" si="135"/>
        <v>245.17</v>
      </c>
      <c r="BP223" s="12">
        <f t="shared" si="136"/>
        <v>161.19999999999999</v>
      </c>
      <c r="BQ223" s="12">
        <f t="shared" si="137"/>
        <v>87.35</v>
      </c>
      <c r="BR223" s="12">
        <f t="shared" si="138"/>
        <v>181.89</v>
      </c>
      <c r="BS223" s="12">
        <f t="shared" si="139"/>
        <v>182.48</v>
      </c>
      <c r="BT223" s="1"/>
      <c r="BU223" s="11">
        <f t="shared" si="140"/>
        <v>161.88</v>
      </c>
      <c r="BV223" s="11">
        <f t="shared" si="141"/>
        <v>208.51</v>
      </c>
      <c r="BW223" s="11">
        <f t="shared" si="142"/>
        <v>155.4</v>
      </c>
      <c r="BX223" s="11">
        <f t="shared" si="143"/>
        <v>161.75</v>
      </c>
      <c r="BY223" s="11">
        <f t="shared" si="144"/>
        <v>252.06</v>
      </c>
      <c r="BZ223" s="11">
        <f t="shared" si="145"/>
        <v>266.10000000000002</v>
      </c>
      <c r="CA223" s="11">
        <f t="shared" si="146"/>
        <v>144.18</v>
      </c>
      <c r="CB223" s="11">
        <f t="shared" si="147"/>
        <v>245.17</v>
      </c>
      <c r="CC223" s="11">
        <f t="shared" si="148"/>
        <v>161.19999999999999</v>
      </c>
      <c r="CD223" s="11">
        <f t="shared" si="149"/>
        <v>87.35</v>
      </c>
      <c r="CE223" s="11">
        <f t="shared" si="150"/>
        <v>181.89</v>
      </c>
      <c r="CF223" s="11">
        <f t="shared" si="151"/>
        <v>182.48</v>
      </c>
      <c r="CG223" s="11"/>
      <c r="CH223" s="41">
        <v>1</v>
      </c>
      <c r="CI223" s="1"/>
      <c r="CJ223" s="53">
        <f t="shared" si="152"/>
        <v>87503</v>
      </c>
      <c r="CK223" s="53">
        <f t="shared" si="153"/>
        <v>112708</v>
      </c>
      <c r="CL223" s="53">
        <f t="shared" si="154"/>
        <v>84000</v>
      </c>
      <c r="CM223" s="53">
        <f t="shared" si="155"/>
        <v>87432</v>
      </c>
      <c r="CN223" s="53">
        <f t="shared" si="156"/>
        <v>136249</v>
      </c>
      <c r="CO223" s="53">
        <f t="shared" si="157"/>
        <v>143838</v>
      </c>
      <c r="CP223" s="53">
        <f t="shared" si="158"/>
        <v>77935</v>
      </c>
      <c r="CQ223" s="53">
        <f t="shared" si="159"/>
        <v>132524</v>
      </c>
      <c r="CR223" s="53">
        <f t="shared" si="160"/>
        <v>87135</v>
      </c>
      <c r="CS223" s="53">
        <f t="shared" si="161"/>
        <v>47216</v>
      </c>
      <c r="CT223" s="53">
        <f t="shared" si="162"/>
        <v>98319</v>
      </c>
      <c r="CU223" s="53">
        <f t="shared" si="163"/>
        <v>98638</v>
      </c>
      <c r="CV223" s="53">
        <f t="shared" si="126"/>
        <v>1193497</v>
      </c>
      <c r="CW223" s="1"/>
      <c r="CX223" s="1"/>
      <c r="CY223" s="1"/>
      <c r="CZ223" s="1"/>
      <c r="DA223" s="1"/>
      <c r="DB223" s="1"/>
      <c r="DC223" s="1"/>
      <c r="DD223" s="1"/>
      <c r="DE223" s="1"/>
      <c r="DF223" s="1"/>
      <c r="DG223" s="1"/>
      <c r="DH223" s="1"/>
      <c r="DI223" s="1"/>
      <c r="DJ223" s="1"/>
      <c r="DK223" s="1"/>
      <c r="DL223" s="1"/>
    </row>
    <row r="224" spans="1:116" ht="15.75" hidden="1" x14ac:dyDescent="0.25">
      <c r="A224" s="17"/>
      <c r="B224" s="17"/>
      <c r="C224" s="17"/>
      <c r="D224" s="17"/>
      <c r="E224" s="17"/>
      <c r="F224" s="32" t="s">
        <v>2947</v>
      </c>
      <c r="G224" s="55">
        <v>25.36</v>
      </c>
      <c r="H224" s="55">
        <v>25.36</v>
      </c>
      <c r="I224" s="55">
        <v>25.36</v>
      </c>
      <c r="J224" s="55">
        <v>25.36</v>
      </c>
      <c r="K224" s="55">
        <v>25.36</v>
      </c>
      <c r="L224" s="55">
        <v>25.36</v>
      </c>
      <c r="M224" s="55">
        <v>25.36</v>
      </c>
      <c r="N224" s="55">
        <v>25.36</v>
      </c>
      <c r="O224" s="55">
        <v>31.7</v>
      </c>
      <c r="P224" s="55">
        <v>31.7</v>
      </c>
      <c r="Q224" s="55">
        <v>31.7</v>
      </c>
      <c r="R224" s="55">
        <v>31.7</v>
      </c>
      <c r="S224" s="11">
        <f t="shared" si="127"/>
        <v>329.67999999999995</v>
      </c>
      <c r="T224" s="102"/>
      <c r="U224" s="1"/>
      <c r="V224" s="50">
        <f t="shared" si="125"/>
        <v>104000</v>
      </c>
      <c r="W224" s="36">
        <v>3.17</v>
      </c>
      <c r="X224" s="36">
        <v>3.17</v>
      </c>
      <c r="Y224" s="36">
        <v>3.17</v>
      </c>
      <c r="Z224" s="36">
        <v>3.17</v>
      </c>
      <c r="AA224" s="36">
        <v>3.17</v>
      </c>
      <c r="AB224" s="36">
        <v>3.17</v>
      </c>
      <c r="AC224" s="36">
        <v>3.17</v>
      </c>
      <c r="AD224" s="36">
        <v>3.17</v>
      </c>
      <c r="AE224" s="36">
        <v>3.17</v>
      </c>
      <c r="AF224" s="36">
        <v>3.17</v>
      </c>
      <c r="AG224" s="36">
        <v>3.17</v>
      </c>
      <c r="AH224" s="36">
        <v>3.17</v>
      </c>
      <c r="AI224" s="39">
        <v>0</v>
      </c>
      <c r="AJ224" s="39">
        <v>0</v>
      </c>
      <c r="AK224" s="39">
        <v>0</v>
      </c>
      <c r="AL224" s="39">
        <v>0</v>
      </c>
      <c r="AM224" s="39">
        <v>0</v>
      </c>
      <c r="AN224" s="39">
        <v>0</v>
      </c>
      <c r="AO224" s="39">
        <v>0</v>
      </c>
      <c r="AP224" s="39">
        <v>0</v>
      </c>
      <c r="AQ224" s="39">
        <v>0</v>
      </c>
      <c r="AR224" s="39">
        <v>0</v>
      </c>
      <c r="AS224" s="39">
        <v>0</v>
      </c>
      <c r="AT224" s="39">
        <v>0</v>
      </c>
      <c r="AU224" s="39">
        <v>0</v>
      </c>
      <c r="AV224" s="39">
        <v>0</v>
      </c>
      <c r="AW224" s="39">
        <v>0</v>
      </c>
      <c r="AX224" s="39">
        <v>0</v>
      </c>
      <c r="AY224" s="39">
        <v>0</v>
      </c>
      <c r="AZ224" s="39">
        <v>0</v>
      </c>
      <c r="BA224" s="39">
        <v>0</v>
      </c>
      <c r="BB224" s="39">
        <v>0</v>
      </c>
      <c r="BC224" s="39">
        <v>0</v>
      </c>
      <c r="BD224" s="39">
        <v>0</v>
      </c>
      <c r="BE224" s="39">
        <v>0</v>
      </c>
      <c r="BF224" s="39">
        <v>0</v>
      </c>
      <c r="BG224" s="1"/>
      <c r="BH224" s="12">
        <f t="shared" si="128"/>
        <v>25.36</v>
      </c>
      <c r="BI224" s="12">
        <f t="shared" si="129"/>
        <v>25.36</v>
      </c>
      <c r="BJ224" s="12">
        <f t="shared" si="130"/>
        <v>25.36</v>
      </c>
      <c r="BK224" s="12">
        <f t="shared" si="131"/>
        <v>25.36</v>
      </c>
      <c r="BL224" s="12">
        <f t="shared" si="132"/>
        <v>25.36</v>
      </c>
      <c r="BM224" s="12">
        <f t="shared" si="133"/>
        <v>25.36</v>
      </c>
      <c r="BN224" s="12">
        <f t="shared" si="134"/>
        <v>25.36</v>
      </c>
      <c r="BO224" s="12">
        <f t="shared" si="135"/>
        <v>25.36</v>
      </c>
      <c r="BP224" s="12">
        <f t="shared" si="136"/>
        <v>31.7</v>
      </c>
      <c r="BQ224" s="12">
        <f t="shared" si="137"/>
        <v>31.7</v>
      </c>
      <c r="BR224" s="12">
        <f t="shared" si="138"/>
        <v>31.7</v>
      </c>
      <c r="BS224" s="12">
        <f t="shared" si="139"/>
        <v>31.7</v>
      </c>
      <c r="BT224" s="1"/>
      <c r="BU224" s="11">
        <f t="shared" si="140"/>
        <v>25.36</v>
      </c>
      <c r="BV224" s="11">
        <f t="shared" si="141"/>
        <v>25.36</v>
      </c>
      <c r="BW224" s="11">
        <f t="shared" si="142"/>
        <v>25.36</v>
      </c>
      <c r="BX224" s="11">
        <f t="shared" si="143"/>
        <v>25.36</v>
      </c>
      <c r="BY224" s="11">
        <f t="shared" si="144"/>
        <v>25.36</v>
      </c>
      <c r="BZ224" s="11">
        <f t="shared" si="145"/>
        <v>25.36</v>
      </c>
      <c r="CA224" s="11">
        <f t="shared" si="146"/>
        <v>25.36</v>
      </c>
      <c r="CB224" s="11">
        <f t="shared" si="147"/>
        <v>25.36</v>
      </c>
      <c r="CC224" s="11">
        <f t="shared" si="148"/>
        <v>31.7</v>
      </c>
      <c r="CD224" s="11">
        <f t="shared" si="149"/>
        <v>31.7</v>
      </c>
      <c r="CE224" s="11">
        <f t="shared" si="150"/>
        <v>31.7</v>
      </c>
      <c r="CF224" s="11">
        <f t="shared" si="151"/>
        <v>31.7</v>
      </c>
      <c r="CG224" s="11"/>
      <c r="CH224" s="41">
        <v>1</v>
      </c>
      <c r="CI224" s="1"/>
      <c r="CJ224" s="53">
        <f t="shared" si="152"/>
        <v>8000</v>
      </c>
      <c r="CK224" s="53">
        <f t="shared" si="153"/>
        <v>8000</v>
      </c>
      <c r="CL224" s="53">
        <f t="shared" si="154"/>
        <v>8000</v>
      </c>
      <c r="CM224" s="53">
        <f t="shared" si="155"/>
        <v>8000</v>
      </c>
      <c r="CN224" s="53">
        <f t="shared" si="156"/>
        <v>8000</v>
      </c>
      <c r="CO224" s="53">
        <f t="shared" si="157"/>
        <v>8000</v>
      </c>
      <c r="CP224" s="53">
        <f t="shared" si="158"/>
        <v>8000</v>
      </c>
      <c r="CQ224" s="53">
        <f t="shared" si="159"/>
        <v>8000</v>
      </c>
      <c r="CR224" s="53">
        <f t="shared" si="160"/>
        <v>10000</v>
      </c>
      <c r="CS224" s="53">
        <f t="shared" si="161"/>
        <v>10000</v>
      </c>
      <c r="CT224" s="53">
        <f t="shared" si="162"/>
        <v>10000</v>
      </c>
      <c r="CU224" s="53">
        <f t="shared" si="163"/>
        <v>10000</v>
      </c>
      <c r="CV224" s="53">
        <f t="shared" si="126"/>
        <v>104000</v>
      </c>
      <c r="CW224" s="1"/>
      <c r="CX224" s="1"/>
      <c r="CY224" s="1"/>
      <c r="CZ224" s="1"/>
      <c r="DA224" s="1"/>
      <c r="DB224" s="1"/>
      <c r="DC224" s="1"/>
      <c r="DD224" s="1"/>
      <c r="DE224" s="1"/>
      <c r="DF224" s="1"/>
      <c r="DG224" s="1"/>
      <c r="DH224" s="1"/>
      <c r="DI224" s="1"/>
      <c r="DJ224" s="1"/>
      <c r="DK224" s="1"/>
      <c r="DL224" s="1"/>
    </row>
    <row r="225" spans="1:116" ht="15.75" hidden="1" x14ac:dyDescent="0.25">
      <c r="A225" s="17"/>
      <c r="B225" s="17"/>
      <c r="C225" s="17"/>
      <c r="D225" s="17"/>
      <c r="E225" s="17"/>
      <c r="F225" s="32" t="s">
        <v>2947</v>
      </c>
      <c r="G225" s="55">
        <v>0</v>
      </c>
      <c r="H225" s="55">
        <v>0</v>
      </c>
      <c r="I225" s="55">
        <v>0</v>
      </c>
      <c r="J225" s="55">
        <v>0</v>
      </c>
      <c r="K225" s="55">
        <v>0</v>
      </c>
      <c r="L225" s="55">
        <v>0</v>
      </c>
      <c r="M225" s="55">
        <v>0</v>
      </c>
      <c r="N225" s="55">
        <v>0</v>
      </c>
      <c r="O225" s="55">
        <v>0</v>
      </c>
      <c r="P225" s="55">
        <v>0</v>
      </c>
      <c r="Q225" s="55">
        <v>0</v>
      </c>
      <c r="R225" s="55">
        <v>0</v>
      </c>
      <c r="S225" s="11">
        <f t="shared" si="127"/>
        <v>0</v>
      </c>
      <c r="T225" s="102"/>
      <c r="U225" s="1"/>
      <c r="V225" s="50">
        <f t="shared" si="125"/>
        <v>0</v>
      </c>
      <c r="W225" s="36">
        <v>3.149</v>
      </c>
      <c r="X225" s="36">
        <v>3.149</v>
      </c>
      <c r="Y225" s="36">
        <v>3.149</v>
      </c>
      <c r="Z225" s="36">
        <v>3.149</v>
      </c>
      <c r="AA225" s="36">
        <v>3.149</v>
      </c>
      <c r="AB225" s="36">
        <v>3.149</v>
      </c>
      <c r="AC225" s="36">
        <v>3.149</v>
      </c>
      <c r="AD225" s="36">
        <v>3.149</v>
      </c>
      <c r="AE225" s="36">
        <v>3.149</v>
      </c>
      <c r="AF225" s="36">
        <v>3.149</v>
      </c>
      <c r="AG225" s="36">
        <v>3.149</v>
      </c>
      <c r="AH225" s="36">
        <v>3.149</v>
      </c>
      <c r="AI225" s="39">
        <v>1.33634708931066E-2</v>
      </c>
      <c r="AJ225" s="39">
        <v>1.33634708931066E-2</v>
      </c>
      <c r="AK225" s="39">
        <v>1.33634708931066E-2</v>
      </c>
      <c r="AL225" s="39">
        <v>1.33634708931066E-2</v>
      </c>
      <c r="AM225" s="39">
        <v>1.33634708931066E-2</v>
      </c>
      <c r="AN225" s="39">
        <v>1.33634708931066E-2</v>
      </c>
      <c r="AO225" s="39">
        <v>1.33634708931066E-2</v>
      </c>
      <c r="AP225" s="39">
        <v>1.33634708931066E-2</v>
      </c>
      <c r="AQ225" s="39">
        <v>1.33634708931066E-2</v>
      </c>
      <c r="AR225" s="39">
        <v>1.33634708931066E-2</v>
      </c>
      <c r="AS225" s="39">
        <v>1.33634708931066E-2</v>
      </c>
      <c r="AT225" s="39">
        <v>1.33634708931066E-2</v>
      </c>
      <c r="AU225" s="39">
        <v>1.2392217523121999E-3</v>
      </c>
      <c r="AV225" s="39">
        <v>1.2392217523121999E-3</v>
      </c>
      <c r="AW225" s="39">
        <v>1.2392217523121999E-3</v>
      </c>
      <c r="AX225" s="39">
        <v>1.2392217523121999E-3</v>
      </c>
      <c r="AY225" s="39">
        <v>1.2392217523121999E-3</v>
      </c>
      <c r="AZ225" s="39">
        <v>1.2392217523121999E-3</v>
      </c>
      <c r="BA225" s="39">
        <v>1.2392217523121999E-3</v>
      </c>
      <c r="BB225" s="39">
        <v>1.2392217523121999E-3</v>
      </c>
      <c r="BC225" s="39">
        <v>1.2392217523121999E-3</v>
      </c>
      <c r="BD225" s="39">
        <v>1.2392217523121999E-3</v>
      </c>
      <c r="BE225" s="39">
        <v>1.2392217523121999E-3</v>
      </c>
      <c r="BF225" s="39">
        <v>1.2392217523121999E-3</v>
      </c>
      <c r="BG225" s="1"/>
      <c r="BH225" s="12">
        <f t="shared" si="128"/>
        <v>0</v>
      </c>
      <c r="BI225" s="12">
        <f t="shared" si="129"/>
        <v>0</v>
      </c>
      <c r="BJ225" s="12">
        <f t="shared" si="130"/>
        <v>0</v>
      </c>
      <c r="BK225" s="12">
        <f t="shared" si="131"/>
        <v>0</v>
      </c>
      <c r="BL225" s="12">
        <f t="shared" si="132"/>
        <v>0</v>
      </c>
      <c r="BM225" s="12">
        <f t="shared" si="133"/>
        <v>0</v>
      </c>
      <c r="BN225" s="12">
        <f t="shared" si="134"/>
        <v>0</v>
      </c>
      <c r="BO225" s="12">
        <f t="shared" si="135"/>
        <v>0</v>
      </c>
      <c r="BP225" s="12">
        <f t="shared" si="136"/>
        <v>0</v>
      </c>
      <c r="BQ225" s="12">
        <f t="shared" si="137"/>
        <v>0</v>
      </c>
      <c r="BR225" s="12">
        <f t="shared" si="138"/>
        <v>0</v>
      </c>
      <c r="BS225" s="12">
        <f t="shared" si="139"/>
        <v>0</v>
      </c>
      <c r="BT225" s="1"/>
      <c r="BU225" s="11">
        <f t="shared" si="140"/>
        <v>0</v>
      </c>
      <c r="BV225" s="11">
        <f t="shared" si="141"/>
        <v>0</v>
      </c>
      <c r="BW225" s="11">
        <f t="shared" si="142"/>
        <v>0</v>
      </c>
      <c r="BX225" s="11">
        <f t="shared" si="143"/>
        <v>0</v>
      </c>
      <c r="BY225" s="11">
        <f t="shared" si="144"/>
        <v>0</v>
      </c>
      <c r="BZ225" s="11">
        <f t="shared" si="145"/>
        <v>0</v>
      </c>
      <c r="CA225" s="11">
        <f t="shared" si="146"/>
        <v>0</v>
      </c>
      <c r="CB225" s="11">
        <f t="shared" si="147"/>
        <v>0</v>
      </c>
      <c r="CC225" s="11">
        <f t="shared" si="148"/>
        <v>0</v>
      </c>
      <c r="CD225" s="11">
        <f t="shared" si="149"/>
        <v>0</v>
      </c>
      <c r="CE225" s="11">
        <f t="shared" si="150"/>
        <v>0</v>
      </c>
      <c r="CF225" s="11">
        <f t="shared" si="151"/>
        <v>0</v>
      </c>
      <c r="CG225" s="11"/>
      <c r="CH225" s="41">
        <v>3.23</v>
      </c>
      <c r="CI225" s="1"/>
      <c r="CJ225" s="53">
        <f t="shared" si="152"/>
        <v>0</v>
      </c>
      <c r="CK225" s="53">
        <f t="shared" si="153"/>
        <v>0</v>
      </c>
      <c r="CL225" s="53">
        <f t="shared" si="154"/>
        <v>0</v>
      </c>
      <c r="CM225" s="53">
        <f t="shared" si="155"/>
        <v>0</v>
      </c>
      <c r="CN225" s="53">
        <f t="shared" si="156"/>
        <v>0</v>
      </c>
      <c r="CO225" s="53">
        <f t="shared" si="157"/>
        <v>0</v>
      </c>
      <c r="CP225" s="53">
        <f t="shared" si="158"/>
        <v>0</v>
      </c>
      <c r="CQ225" s="53">
        <f t="shared" si="159"/>
        <v>0</v>
      </c>
      <c r="CR225" s="53">
        <f t="shared" si="160"/>
        <v>0</v>
      </c>
      <c r="CS225" s="53">
        <f t="shared" si="161"/>
        <v>0</v>
      </c>
      <c r="CT225" s="53">
        <f t="shared" si="162"/>
        <v>0</v>
      </c>
      <c r="CU225" s="53">
        <f t="shared" si="163"/>
        <v>0</v>
      </c>
      <c r="CV225" s="53">
        <f t="shared" si="126"/>
        <v>0</v>
      </c>
      <c r="CW225" s="1"/>
      <c r="CX225" s="1"/>
      <c r="CY225" s="1"/>
      <c r="CZ225" s="1"/>
      <c r="DA225" s="1"/>
      <c r="DB225" s="1"/>
      <c r="DC225" s="1"/>
      <c r="DD225" s="1"/>
      <c r="DE225" s="1"/>
      <c r="DF225" s="1"/>
      <c r="DG225" s="1"/>
      <c r="DH225" s="1"/>
      <c r="DI225" s="1"/>
      <c r="DJ225" s="1"/>
      <c r="DK225" s="1"/>
      <c r="DL225" s="1"/>
    </row>
    <row r="226" spans="1:116" ht="15.75" hidden="1" x14ac:dyDescent="0.25">
      <c r="A226" s="17"/>
      <c r="B226" s="17"/>
      <c r="C226" s="17"/>
      <c r="D226" s="17"/>
      <c r="E226" s="17"/>
      <c r="F226" s="32" t="s">
        <v>2947</v>
      </c>
      <c r="G226" s="55">
        <v>0</v>
      </c>
      <c r="H226" s="55">
        <v>0</v>
      </c>
      <c r="I226" s="55">
        <v>0</v>
      </c>
      <c r="J226" s="55">
        <v>0</v>
      </c>
      <c r="K226" s="55">
        <v>0</v>
      </c>
      <c r="L226" s="55">
        <v>0</v>
      </c>
      <c r="M226" s="55">
        <v>0</v>
      </c>
      <c r="N226" s="55">
        <v>0</v>
      </c>
      <c r="O226" s="55">
        <v>0</v>
      </c>
      <c r="P226" s="55">
        <v>0</v>
      </c>
      <c r="Q226" s="55">
        <v>0</v>
      </c>
      <c r="R226" s="55">
        <v>0</v>
      </c>
      <c r="S226" s="11">
        <f t="shared" si="127"/>
        <v>0</v>
      </c>
      <c r="T226" s="102"/>
      <c r="U226" s="1"/>
      <c r="V226" s="50">
        <f t="shared" si="125"/>
        <v>0</v>
      </c>
      <c r="W226" s="36">
        <v>1.4379999999999999</v>
      </c>
      <c r="X226" s="36">
        <v>1.4379999999999999</v>
      </c>
      <c r="Y226" s="36">
        <v>1.4379999999999999</v>
      </c>
      <c r="Z226" s="36">
        <v>1.4379999999999999</v>
      </c>
      <c r="AA226" s="36">
        <v>1.4379999999999999</v>
      </c>
      <c r="AB226" s="36">
        <v>1.4379999999999999</v>
      </c>
      <c r="AC226" s="36">
        <v>1.4379999999999999</v>
      </c>
      <c r="AD226" s="36">
        <v>1.4379999999999999</v>
      </c>
      <c r="AE226" s="36">
        <v>1.4379999999999999</v>
      </c>
      <c r="AF226" s="36">
        <v>1.4379999999999999</v>
      </c>
      <c r="AG226" s="36">
        <v>1.4379999999999999</v>
      </c>
      <c r="AH226" s="36">
        <v>1.4379999999999999</v>
      </c>
      <c r="AI226" s="39">
        <v>1.33634708931066E-2</v>
      </c>
      <c r="AJ226" s="39">
        <v>1.33634708931066E-2</v>
      </c>
      <c r="AK226" s="39">
        <v>1.33634708931066E-2</v>
      </c>
      <c r="AL226" s="39">
        <v>1.33634708931066E-2</v>
      </c>
      <c r="AM226" s="39">
        <v>1.33634708931066E-2</v>
      </c>
      <c r="AN226" s="39">
        <v>1.33634708931066E-2</v>
      </c>
      <c r="AO226" s="39">
        <v>1.33634708931066E-2</v>
      </c>
      <c r="AP226" s="39">
        <v>1.33634708931066E-2</v>
      </c>
      <c r="AQ226" s="39">
        <v>1.33634708931066E-2</v>
      </c>
      <c r="AR226" s="39">
        <v>1.33634708931066E-2</v>
      </c>
      <c r="AS226" s="39">
        <v>1.33634708931066E-2</v>
      </c>
      <c r="AT226" s="39">
        <v>1.33634708931066E-2</v>
      </c>
      <c r="AU226" s="39">
        <v>1.2392217523121999E-3</v>
      </c>
      <c r="AV226" s="39">
        <v>1.2392217523121999E-3</v>
      </c>
      <c r="AW226" s="39">
        <v>1.2392217523121999E-3</v>
      </c>
      <c r="AX226" s="39">
        <v>1.2392217523121999E-3</v>
      </c>
      <c r="AY226" s="39">
        <v>1.2392217523121999E-3</v>
      </c>
      <c r="AZ226" s="39">
        <v>1.2392217523121999E-3</v>
      </c>
      <c r="BA226" s="39">
        <v>1.2392217523121999E-3</v>
      </c>
      <c r="BB226" s="39">
        <v>1.2392217523121999E-3</v>
      </c>
      <c r="BC226" s="39">
        <v>1.2392217523121999E-3</v>
      </c>
      <c r="BD226" s="39">
        <v>1.2392217523121999E-3</v>
      </c>
      <c r="BE226" s="39">
        <v>1.2392217523121999E-3</v>
      </c>
      <c r="BF226" s="39">
        <v>1.2392217523121999E-3</v>
      </c>
      <c r="BG226" s="1"/>
      <c r="BH226" s="12">
        <f t="shared" si="128"/>
        <v>0</v>
      </c>
      <c r="BI226" s="12">
        <f t="shared" si="129"/>
        <v>0</v>
      </c>
      <c r="BJ226" s="12">
        <f t="shared" si="130"/>
        <v>0</v>
      </c>
      <c r="BK226" s="12">
        <f t="shared" si="131"/>
        <v>0</v>
      </c>
      <c r="BL226" s="12">
        <f t="shared" si="132"/>
        <v>0</v>
      </c>
      <c r="BM226" s="12">
        <f t="shared" si="133"/>
        <v>0</v>
      </c>
      <c r="BN226" s="12">
        <f t="shared" si="134"/>
        <v>0</v>
      </c>
      <c r="BO226" s="12">
        <f t="shared" si="135"/>
        <v>0</v>
      </c>
      <c r="BP226" s="12">
        <f t="shared" si="136"/>
        <v>0</v>
      </c>
      <c r="BQ226" s="12">
        <f t="shared" si="137"/>
        <v>0</v>
      </c>
      <c r="BR226" s="12">
        <f t="shared" si="138"/>
        <v>0</v>
      </c>
      <c r="BS226" s="12">
        <f t="shared" si="139"/>
        <v>0</v>
      </c>
      <c r="BT226" s="1"/>
      <c r="BU226" s="11">
        <f t="shared" si="140"/>
        <v>0</v>
      </c>
      <c r="BV226" s="11">
        <f t="shared" si="141"/>
        <v>0</v>
      </c>
      <c r="BW226" s="11">
        <f t="shared" si="142"/>
        <v>0</v>
      </c>
      <c r="BX226" s="11">
        <f t="shared" si="143"/>
        <v>0</v>
      </c>
      <c r="BY226" s="11">
        <f t="shared" si="144"/>
        <v>0</v>
      </c>
      <c r="BZ226" s="11">
        <f t="shared" si="145"/>
        <v>0</v>
      </c>
      <c r="CA226" s="11">
        <f t="shared" si="146"/>
        <v>0</v>
      </c>
      <c r="CB226" s="11">
        <f t="shared" si="147"/>
        <v>0</v>
      </c>
      <c r="CC226" s="11">
        <f t="shared" si="148"/>
        <v>0</v>
      </c>
      <c r="CD226" s="11">
        <f t="shared" si="149"/>
        <v>0</v>
      </c>
      <c r="CE226" s="11">
        <f t="shared" si="150"/>
        <v>0</v>
      </c>
      <c r="CF226" s="11">
        <f t="shared" si="151"/>
        <v>0</v>
      </c>
      <c r="CG226" s="11"/>
      <c r="CH226" s="41">
        <v>3.23</v>
      </c>
      <c r="CI226" s="1"/>
      <c r="CJ226" s="53">
        <f t="shared" si="152"/>
        <v>0</v>
      </c>
      <c r="CK226" s="53">
        <f t="shared" si="153"/>
        <v>0</v>
      </c>
      <c r="CL226" s="53">
        <f t="shared" si="154"/>
        <v>0</v>
      </c>
      <c r="CM226" s="53">
        <f t="shared" si="155"/>
        <v>0</v>
      </c>
      <c r="CN226" s="53">
        <f t="shared" si="156"/>
        <v>0</v>
      </c>
      <c r="CO226" s="53">
        <f t="shared" si="157"/>
        <v>0</v>
      </c>
      <c r="CP226" s="53">
        <f t="shared" si="158"/>
        <v>0</v>
      </c>
      <c r="CQ226" s="53">
        <f t="shared" si="159"/>
        <v>0</v>
      </c>
      <c r="CR226" s="53">
        <f t="shared" si="160"/>
        <v>0</v>
      </c>
      <c r="CS226" s="53">
        <f t="shared" si="161"/>
        <v>0</v>
      </c>
      <c r="CT226" s="53">
        <f t="shared" si="162"/>
        <v>0</v>
      </c>
      <c r="CU226" s="53">
        <f t="shared" si="163"/>
        <v>0</v>
      </c>
      <c r="CV226" s="53">
        <f t="shared" si="126"/>
        <v>0</v>
      </c>
      <c r="CW226" s="1"/>
      <c r="CX226" s="1"/>
      <c r="CY226" s="1"/>
      <c r="CZ226" s="1"/>
      <c r="DA226" s="1"/>
      <c r="DB226" s="1"/>
      <c r="DC226" s="1"/>
      <c r="DD226" s="1"/>
      <c r="DE226" s="1"/>
      <c r="DF226" s="1"/>
      <c r="DG226" s="1"/>
      <c r="DH226" s="1"/>
      <c r="DI226" s="1"/>
      <c r="DJ226" s="1"/>
      <c r="DK226" s="1"/>
      <c r="DL226" s="1"/>
    </row>
    <row r="227" spans="1:116" ht="15.75" hidden="1" x14ac:dyDescent="0.25">
      <c r="A227" s="17"/>
      <c r="B227" s="17"/>
      <c r="C227" s="17"/>
      <c r="D227" s="17"/>
      <c r="E227" s="17"/>
      <c r="F227" s="32" t="s">
        <v>2947</v>
      </c>
      <c r="G227" s="55">
        <v>99.7</v>
      </c>
      <c r="H227" s="55">
        <v>99.7</v>
      </c>
      <c r="I227" s="55">
        <v>99.7</v>
      </c>
      <c r="J227" s="55">
        <v>79.760000000000005</v>
      </c>
      <c r="K227" s="55">
        <v>64.8</v>
      </c>
      <c r="L227" s="55">
        <v>49.85</v>
      </c>
      <c r="M227" s="55">
        <v>49.85</v>
      </c>
      <c r="N227" s="55">
        <v>49.85</v>
      </c>
      <c r="O227" s="55">
        <v>89.73</v>
      </c>
      <c r="P227" s="55">
        <v>89.73</v>
      </c>
      <c r="Q227" s="55">
        <v>89.73</v>
      </c>
      <c r="R227" s="55">
        <v>74.77</v>
      </c>
      <c r="S227" s="11">
        <f t="shared" si="127"/>
        <v>937.17000000000007</v>
      </c>
      <c r="T227" s="102"/>
      <c r="U227" s="1"/>
      <c r="V227" s="50">
        <f t="shared" si="125"/>
        <v>1879596</v>
      </c>
      <c r="W227" s="36">
        <v>1.6339999999999999</v>
      </c>
      <c r="X227" s="36">
        <v>1.6339999999999999</v>
      </c>
      <c r="Y227" s="36">
        <v>1.6339999999999999</v>
      </c>
      <c r="Z227" s="36">
        <v>1.6339999999999999</v>
      </c>
      <c r="AA227" s="36">
        <v>1.6339999999999999</v>
      </c>
      <c r="AB227" s="36">
        <v>1.6339999999999999</v>
      </c>
      <c r="AC227" s="36">
        <v>1.6339999999999999</v>
      </c>
      <c r="AD227" s="36">
        <v>1.6339999999999999</v>
      </c>
      <c r="AE227" s="36">
        <v>1.6339999999999999</v>
      </c>
      <c r="AF227" s="36">
        <v>1.6339999999999999</v>
      </c>
      <c r="AG227" s="36">
        <v>1.6339999999999999</v>
      </c>
      <c r="AH227" s="36">
        <v>1.6339999999999999</v>
      </c>
      <c r="AI227" s="39">
        <v>1.33634708931066E-2</v>
      </c>
      <c r="AJ227" s="39">
        <v>1.33634708931066E-2</v>
      </c>
      <c r="AK227" s="39">
        <v>1.33634708931066E-2</v>
      </c>
      <c r="AL227" s="39">
        <v>1.33634708931066E-2</v>
      </c>
      <c r="AM227" s="39">
        <v>1.33634708931066E-2</v>
      </c>
      <c r="AN227" s="39">
        <v>1.33634708931066E-2</v>
      </c>
      <c r="AO227" s="39">
        <v>1.33634708931066E-2</v>
      </c>
      <c r="AP227" s="39">
        <v>1.33634708931066E-2</v>
      </c>
      <c r="AQ227" s="39">
        <v>1.33634708931066E-2</v>
      </c>
      <c r="AR227" s="39">
        <v>1.33634708931066E-2</v>
      </c>
      <c r="AS227" s="39">
        <v>1.33634708931066E-2</v>
      </c>
      <c r="AT227" s="39">
        <v>1.33634708931066E-2</v>
      </c>
      <c r="AU227" s="39">
        <v>1.2392217523121999E-3</v>
      </c>
      <c r="AV227" s="39">
        <v>1.2392217523121999E-3</v>
      </c>
      <c r="AW227" s="39">
        <v>1.2392217523121999E-3</v>
      </c>
      <c r="AX227" s="39">
        <v>1.2392217523121999E-3</v>
      </c>
      <c r="AY227" s="39">
        <v>1.2392217523121999E-3</v>
      </c>
      <c r="AZ227" s="39">
        <v>1.2392217523121999E-3</v>
      </c>
      <c r="BA227" s="39">
        <v>1.2392217523121999E-3</v>
      </c>
      <c r="BB227" s="39">
        <v>1.2392217523121999E-3</v>
      </c>
      <c r="BC227" s="39">
        <v>1.2392217523121999E-3</v>
      </c>
      <c r="BD227" s="39">
        <v>1.2392217523121999E-3</v>
      </c>
      <c r="BE227" s="39">
        <v>1.2392217523121999E-3</v>
      </c>
      <c r="BF227" s="39">
        <v>1.2392217523121999E-3</v>
      </c>
      <c r="BG227" s="1"/>
      <c r="BH227" s="12">
        <f t="shared" si="128"/>
        <v>322.03100000000001</v>
      </c>
      <c r="BI227" s="12">
        <f t="shared" si="129"/>
        <v>322.03100000000001</v>
      </c>
      <c r="BJ227" s="12">
        <f t="shared" si="130"/>
        <v>322.03100000000001</v>
      </c>
      <c r="BK227" s="12">
        <f t="shared" si="131"/>
        <v>257.62479999999999</v>
      </c>
      <c r="BL227" s="12">
        <f t="shared" si="132"/>
        <v>209.304</v>
      </c>
      <c r="BM227" s="12">
        <f t="shared" si="133"/>
        <v>161.0155</v>
      </c>
      <c r="BN227" s="12">
        <f t="shared" si="134"/>
        <v>161.0155</v>
      </c>
      <c r="BO227" s="12">
        <f t="shared" si="135"/>
        <v>161.0155</v>
      </c>
      <c r="BP227" s="12">
        <f t="shared" si="136"/>
        <v>289.8279</v>
      </c>
      <c r="BQ227" s="12">
        <f t="shared" si="137"/>
        <v>289.8279</v>
      </c>
      <c r="BR227" s="12">
        <f t="shared" si="138"/>
        <v>289.8279</v>
      </c>
      <c r="BS227" s="12">
        <f t="shared" si="139"/>
        <v>241.50709999999998</v>
      </c>
      <c r="BT227" s="1"/>
      <c r="BU227" s="11">
        <f t="shared" si="140"/>
        <v>326.73351971529689</v>
      </c>
      <c r="BV227" s="11">
        <f t="shared" si="141"/>
        <v>326.73351971529689</v>
      </c>
      <c r="BW227" s="11">
        <f t="shared" si="142"/>
        <v>326.73351971529689</v>
      </c>
      <c r="BX227" s="11">
        <f t="shared" si="143"/>
        <v>261.38681577223747</v>
      </c>
      <c r="BY227" s="11">
        <f t="shared" si="144"/>
        <v>212.36040198145673</v>
      </c>
      <c r="BZ227" s="11">
        <f t="shared" si="145"/>
        <v>163.36675985764845</v>
      </c>
      <c r="CA227" s="11">
        <f t="shared" si="146"/>
        <v>163.36675985764845</v>
      </c>
      <c r="CB227" s="11">
        <f t="shared" si="147"/>
        <v>163.36675985764845</v>
      </c>
      <c r="CC227" s="11">
        <f t="shared" si="148"/>
        <v>294.06016774376718</v>
      </c>
      <c r="CD227" s="11">
        <f t="shared" si="149"/>
        <v>294.06016774376718</v>
      </c>
      <c r="CE227" s="11">
        <f t="shared" si="150"/>
        <v>294.06016774376718</v>
      </c>
      <c r="CF227" s="11">
        <f t="shared" si="151"/>
        <v>245.03375395298642</v>
      </c>
      <c r="CG227" s="11"/>
      <c r="CH227" s="41">
        <v>3.23</v>
      </c>
      <c r="CI227" s="1"/>
      <c r="CJ227" s="53">
        <f t="shared" si="152"/>
        <v>199959</v>
      </c>
      <c r="CK227" s="53">
        <f t="shared" si="153"/>
        <v>199959</v>
      </c>
      <c r="CL227" s="53">
        <f t="shared" si="154"/>
        <v>199959</v>
      </c>
      <c r="CM227" s="53">
        <f t="shared" si="155"/>
        <v>159967</v>
      </c>
      <c r="CN227" s="53">
        <f t="shared" si="156"/>
        <v>129964</v>
      </c>
      <c r="CO227" s="53">
        <f t="shared" si="157"/>
        <v>99980</v>
      </c>
      <c r="CP227" s="53">
        <f t="shared" si="158"/>
        <v>99980</v>
      </c>
      <c r="CQ227" s="53">
        <f t="shared" si="159"/>
        <v>99980</v>
      </c>
      <c r="CR227" s="53">
        <f t="shared" si="160"/>
        <v>179963</v>
      </c>
      <c r="CS227" s="53">
        <f t="shared" si="161"/>
        <v>179963</v>
      </c>
      <c r="CT227" s="53">
        <f t="shared" si="162"/>
        <v>179963</v>
      </c>
      <c r="CU227" s="53">
        <f t="shared" si="163"/>
        <v>149959</v>
      </c>
      <c r="CV227" s="53">
        <f t="shared" si="126"/>
        <v>1879596</v>
      </c>
      <c r="CW227" s="1"/>
      <c r="CX227" s="1"/>
      <c r="CY227" s="1"/>
      <c r="CZ227" s="1"/>
      <c r="DA227" s="1"/>
      <c r="DB227" s="1"/>
      <c r="DC227" s="1"/>
      <c r="DD227" s="1"/>
      <c r="DE227" s="1"/>
      <c r="DF227" s="1"/>
      <c r="DG227" s="1"/>
      <c r="DH227" s="1"/>
      <c r="DI227" s="1"/>
      <c r="DJ227" s="1"/>
      <c r="DK227" s="1"/>
      <c r="DL227" s="1"/>
    </row>
    <row r="228" spans="1:116" ht="15.75" hidden="1" x14ac:dyDescent="0.25">
      <c r="A228" s="17"/>
      <c r="B228" s="17"/>
      <c r="C228" s="17"/>
      <c r="D228" s="17"/>
      <c r="E228" s="17"/>
      <c r="F228" s="32" t="s">
        <v>2947</v>
      </c>
      <c r="G228" s="55">
        <v>71.680000000000007</v>
      </c>
      <c r="H228" s="55">
        <v>71.680000000000007</v>
      </c>
      <c r="I228" s="55">
        <v>71.680000000000007</v>
      </c>
      <c r="J228" s="55">
        <v>56.51</v>
      </c>
      <c r="K228" s="55">
        <v>40.36</v>
      </c>
      <c r="L228" s="55">
        <v>40.36</v>
      </c>
      <c r="M228" s="55">
        <v>40.36</v>
      </c>
      <c r="N228" s="55">
        <v>53.76</v>
      </c>
      <c r="O228" s="55">
        <v>62.72</v>
      </c>
      <c r="P228" s="55">
        <v>71.680000000000007</v>
      </c>
      <c r="Q228" s="55">
        <v>71.680000000000007</v>
      </c>
      <c r="R228" s="55">
        <v>62.72</v>
      </c>
      <c r="S228" s="11">
        <f t="shared" si="127"/>
        <v>715.19</v>
      </c>
      <c r="T228" s="102"/>
      <c r="U228" s="1"/>
      <c r="V228" s="50">
        <f t="shared" si="125"/>
        <v>885787</v>
      </c>
      <c r="W228" s="36">
        <v>2.6459999999999999</v>
      </c>
      <c r="X228" s="36">
        <v>2.6459999999999999</v>
      </c>
      <c r="Y228" s="36">
        <v>2.6459999999999999</v>
      </c>
      <c r="Z228" s="36">
        <v>2.6459999999999999</v>
      </c>
      <c r="AA228" s="36">
        <v>2.6459999999999999</v>
      </c>
      <c r="AB228" s="36">
        <v>2.6459999999999999</v>
      </c>
      <c r="AC228" s="36">
        <v>2.6459999999999999</v>
      </c>
      <c r="AD228" s="36">
        <v>2.6459999999999999</v>
      </c>
      <c r="AE228" s="36">
        <v>2.6459999999999999</v>
      </c>
      <c r="AF228" s="36">
        <v>2.6459999999999999</v>
      </c>
      <c r="AG228" s="36">
        <v>2.6459999999999999</v>
      </c>
      <c r="AH228" s="36">
        <v>2.6459999999999999</v>
      </c>
      <c r="AI228" s="39">
        <v>1.33634708931066E-2</v>
      </c>
      <c r="AJ228" s="39">
        <v>1.33634708931066E-2</v>
      </c>
      <c r="AK228" s="39">
        <v>1.33634708931066E-2</v>
      </c>
      <c r="AL228" s="39">
        <v>1.33634708931066E-2</v>
      </c>
      <c r="AM228" s="39">
        <v>1.33634708931066E-2</v>
      </c>
      <c r="AN228" s="39">
        <v>1.33634708931066E-2</v>
      </c>
      <c r="AO228" s="39">
        <v>1.33634708931066E-2</v>
      </c>
      <c r="AP228" s="39">
        <v>1.33634708931066E-2</v>
      </c>
      <c r="AQ228" s="39">
        <v>1.33634708931066E-2</v>
      </c>
      <c r="AR228" s="39">
        <v>1.33634708931066E-2</v>
      </c>
      <c r="AS228" s="39">
        <v>1.33634708931066E-2</v>
      </c>
      <c r="AT228" s="39">
        <v>1.33634708931066E-2</v>
      </c>
      <c r="AU228" s="39">
        <v>1.2392217523121999E-3</v>
      </c>
      <c r="AV228" s="39">
        <v>1.2392217523121999E-3</v>
      </c>
      <c r="AW228" s="39">
        <v>1.2392217523121999E-3</v>
      </c>
      <c r="AX228" s="39">
        <v>1.2392217523121999E-3</v>
      </c>
      <c r="AY228" s="39">
        <v>1.2392217523121999E-3</v>
      </c>
      <c r="AZ228" s="39">
        <v>1.2392217523121999E-3</v>
      </c>
      <c r="BA228" s="39">
        <v>1.2392217523121999E-3</v>
      </c>
      <c r="BB228" s="39">
        <v>1.2392217523121999E-3</v>
      </c>
      <c r="BC228" s="39">
        <v>1.2392217523121999E-3</v>
      </c>
      <c r="BD228" s="39">
        <v>1.2392217523121999E-3</v>
      </c>
      <c r="BE228" s="39">
        <v>1.2392217523121999E-3</v>
      </c>
      <c r="BF228" s="39">
        <v>1.2392217523121999E-3</v>
      </c>
      <c r="BG228" s="1"/>
      <c r="BH228" s="12">
        <f t="shared" si="128"/>
        <v>231.52640000000002</v>
      </c>
      <c r="BI228" s="12">
        <f t="shared" si="129"/>
        <v>231.52640000000002</v>
      </c>
      <c r="BJ228" s="12">
        <f t="shared" si="130"/>
        <v>231.52640000000002</v>
      </c>
      <c r="BK228" s="12">
        <f t="shared" si="131"/>
        <v>182.5273</v>
      </c>
      <c r="BL228" s="12">
        <f t="shared" si="132"/>
        <v>130.36279999999999</v>
      </c>
      <c r="BM228" s="12">
        <f t="shared" si="133"/>
        <v>130.36279999999999</v>
      </c>
      <c r="BN228" s="12">
        <f t="shared" si="134"/>
        <v>130.36279999999999</v>
      </c>
      <c r="BO228" s="12">
        <f t="shared" si="135"/>
        <v>173.6448</v>
      </c>
      <c r="BP228" s="12">
        <f t="shared" si="136"/>
        <v>202.5856</v>
      </c>
      <c r="BQ228" s="12">
        <f t="shared" si="137"/>
        <v>231.52640000000002</v>
      </c>
      <c r="BR228" s="12">
        <f t="shared" si="138"/>
        <v>231.52640000000002</v>
      </c>
      <c r="BS228" s="12">
        <f t="shared" si="139"/>
        <v>202.5856</v>
      </c>
      <c r="BT228" s="1"/>
      <c r="BU228" s="11">
        <f t="shared" si="140"/>
        <v>234.90730885850033</v>
      </c>
      <c r="BV228" s="11">
        <f t="shared" si="141"/>
        <v>234.90730885850033</v>
      </c>
      <c r="BW228" s="11">
        <f t="shared" si="142"/>
        <v>234.90730885850033</v>
      </c>
      <c r="BX228" s="11">
        <f t="shared" si="143"/>
        <v>185.19269006129815</v>
      </c>
      <c r="BY228" s="11">
        <f t="shared" si="144"/>
        <v>132.26644790079621</v>
      </c>
      <c r="BZ228" s="11">
        <f t="shared" si="145"/>
        <v>132.26644790079621</v>
      </c>
      <c r="CA228" s="11">
        <f t="shared" si="146"/>
        <v>132.26644790079621</v>
      </c>
      <c r="CB228" s="11">
        <f t="shared" si="147"/>
        <v>176.18048164387523</v>
      </c>
      <c r="CC228" s="11">
        <f t="shared" si="148"/>
        <v>205.54389525118776</v>
      </c>
      <c r="CD228" s="11">
        <f t="shared" si="149"/>
        <v>234.90730885850033</v>
      </c>
      <c r="CE228" s="11">
        <f t="shared" si="150"/>
        <v>234.90730885850033</v>
      </c>
      <c r="CF228" s="11">
        <f t="shared" si="151"/>
        <v>205.54389525118776</v>
      </c>
      <c r="CG228" s="11"/>
      <c r="CH228" s="41">
        <v>3.23</v>
      </c>
      <c r="CI228" s="1"/>
      <c r="CJ228" s="53">
        <f t="shared" si="152"/>
        <v>88778</v>
      </c>
      <c r="CK228" s="53">
        <f t="shared" si="153"/>
        <v>88778</v>
      </c>
      <c r="CL228" s="53">
        <f t="shared" si="154"/>
        <v>88778</v>
      </c>
      <c r="CM228" s="53">
        <f t="shared" si="155"/>
        <v>69990</v>
      </c>
      <c r="CN228" s="53">
        <f t="shared" si="156"/>
        <v>49987</v>
      </c>
      <c r="CO228" s="53">
        <f t="shared" si="157"/>
        <v>49987</v>
      </c>
      <c r="CP228" s="53">
        <f t="shared" si="158"/>
        <v>49987</v>
      </c>
      <c r="CQ228" s="53">
        <f t="shared" si="159"/>
        <v>66584</v>
      </c>
      <c r="CR228" s="53">
        <f t="shared" si="160"/>
        <v>77681</v>
      </c>
      <c r="CS228" s="53">
        <f t="shared" si="161"/>
        <v>88778</v>
      </c>
      <c r="CT228" s="53">
        <f t="shared" si="162"/>
        <v>88778</v>
      </c>
      <c r="CU228" s="53">
        <f t="shared" si="163"/>
        <v>77681</v>
      </c>
      <c r="CV228" s="53">
        <f t="shared" si="126"/>
        <v>885787</v>
      </c>
      <c r="CW228" s="1"/>
      <c r="CX228" s="1"/>
      <c r="CY228" s="1"/>
      <c r="CZ228" s="1"/>
      <c r="DA228" s="1"/>
      <c r="DB228" s="1"/>
      <c r="DC228" s="1"/>
      <c r="DD228" s="1"/>
      <c r="DE228" s="1"/>
      <c r="DF228" s="1"/>
      <c r="DG228" s="1"/>
      <c r="DH228" s="1"/>
      <c r="DI228" s="1"/>
      <c r="DJ228" s="1"/>
      <c r="DK228" s="1"/>
      <c r="DL228" s="1"/>
    </row>
    <row r="229" spans="1:116" ht="15.75" hidden="1" x14ac:dyDescent="0.25">
      <c r="A229" s="17"/>
      <c r="B229" s="17"/>
      <c r="C229" s="17"/>
      <c r="D229" s="17"/>
      <c r="E229" s="17"/>
      <c r="F229" s="32" t="s">
        <v>2947</v>
      </c>
      <c r="G229" s="55">
        <v>42.43</v>
      </c>
      <c r="H229" s="55">
        <v>42.43</v>
      </c>
      <c r="I229" s="55">
        <v>35.200000000000003</v>
      </c>
      <c r="J229" s="55">
        <v>20.76</v>
      </c>
      <c r="K229" s="55">
        <v>20.76</v>
      </c>
      <c r="L229" s="55">
        <v>17.149999999999999</v>
      </c>
      <c r="M229" s="55">
        <v>24.37</v>
      </c>
      <c r="N229" s="55">
        <v>24.37</v>
      </c>
      <c r="O229" s="55">
        <v>42.43</v>
      </c>
      <c r="P229" s="55">
        <v>42.43</v>
      </c>
      <c r="Q229" s="55">
        <v>42.43</v>
      </c>
      <c r="R229" s="55">
        <v>27.98</v>
      </c>
      <c r="S229" s="11">
        <f t="shared" si="127"/>
        <v>382.74</v>
      </c>
      <c r="T229" s="102"/>
      <c r="U229" s="1"/>
      <c r="V229" s="50">
        <f t="shared" si="125"/>
        <v>529912</v>
      </c>
      <c r="W229" s="36">
        <v>2.367</v>
      </c>
      <c r="X229" s="36">
        <v>2.367</v>
      </c>
      <c r="Y229" s="36">
        <v>2.367</v>
      </c>
      <c r="Z229" s="36">
        <v>2.367</v>
      </c>
      <c r="AA229" s="36">
        <v>2.367</v>
      </c>
      <c r="AB229" s="36">
        <v>2.367</v>
      </c>
      <c r="AC229" s="36">
        <v>2.367</v>
      </c>
      <c r="AD229" s="36">
        <v>2.367</v>
      </c>
      <c r="AE229" s="36">
        <v>2.367</v>
      </c>
      <c r="AF229" s="36">
        <v>2.367</v>
      </c>
      <c r="AG229" s="36">
        <v>2.367</v>
      </c>
      <c r="AH229" s="36">
        <v>2.367</v>
      </c>
      <c r="AI229" s="39">
        <v>1.33634708931066E-2</v>
      </c>
      <c r="AJ229" s="39">
        <v>1.33634708931066E-2</v>
      </c>
      <c r="AK229" s="39">
        <v>1.33634708931066E-2</v>
      </c>
      <c r="AL229" s="39">
        <v>1.33634708931066E-2</v>
      </c>
      <c r="AM229" s="39">
        <v>1.33634708931066E-2</v>
      </c>
      <c r="AN229" s="39">
        <v>1.33634708931066E-2</v>
      </c>
      <c r="AO229" s="39">
        <v>1.33634708931066E-2</v>
      </c>
      <c r="AP229" s="39">
        <v>1.33634708931066E-2</v>
      </c>
      <c r="AQ229" s="39">
        <v>1.33634708931066E-2</v>
      </c>
      <c r="AR229" s="39">
        <v>1.33634708931066E-2</v>
      </c>
      <c r="AS229" s="39">
        <v>1.33634708931066E-2</v>
      </c>
      <c r="AT229" s="39">
        <v>1.33634708931066E-2</v>
      </c>
      <c r="AU229" s="39">
        <v>1.2392217523121999E-3</v>
      </c>
      <c r="AV229" s="39">
        <v>1.2392217523121999E-3</v>
      </c>
      <c r="AW229" s="39">
        <v>1.2392217523121999E-3</v>
      </c>
      <c r="AX229" s="39">
        <v>1.2392217523121999E-3</v>
      </c>
      <c r="AY229" s="39">
        <v>1.2392217523121999E-3</v>
      </c>
      <c r="AZ229" s="39">
        <v>1.2392217523121999E-3</v>
      </c>
      <c r="BA229" s="39">
        <v>1.2392217523121999E-3</v>
      </c>
      <c r="BB229" s="39">
        <v>1.2392217523121999E-3</v>
      </c>
      <c r="BC229" s="39">
        <v>1.2392217523121999E-3</v>
      </c>
      <c r="BD229" s="39">
        <v>1.2392217523121999E-3</v>
      </c>
      <c r="BE229" s="39">
        <v>1.2392217523121999E-3</v>
      </c>
      <c r="BF229" s="39">
        <v>1.2392217523121999E-3</v>
      </c>
      <c r="BG229" s="1"/>
      <c r="BH229" s="12">
        <f t="shared" si="128"/>
        <v>137.0489</v>
      </c>
      <c r="BI229" s="12">
        <f t="shared" si="129"/>
        <v>137.0489</v>
      </c>
      <c r="BJ229" s="12">
        <f t="shared" si="130"/>
        <v>113.69600000000001</v>
      </c>
      <c r="BK229" s="12">
        <f t="shared" si="131"/>
        <v>67.0548</v>
      </c>
      <c r="BL229" s="12">
        <f t="shared" si="132"/>
        <v>67.0548</v>
      </c>
      <c r="BM229" s="12">
        <f t="shared" si="133"/>
        <v>55.394499999999994</v>
      </c>
      <c r="BN229" s="12">
        <f t="shared" si="134"/>
        <v>78.715100000000007</v>
      </c>
      <c r="BO229" s="12">
        <f t="shared" si="135"/>
        <v>78.715100000000007</v>
      </c>
      <c r="BP229" s="12">
        <f t="shared" si="136"/>
        <v>137.0489</v>
      </c>
      <c r="BQ229" s="12">
        <f t="shared" si="137"/>
        <v>137.0489</v>
      </c>
      <c r="BR229" s="12">
        <f t="shared" si="138"/>
        <v>137.0489</v>
      </c>
      <c r="BS229" s="12">
        <f t="shared" si="139"/>
        <v>90.375399999999999</v>
      </c>
      <c r="BT229" s="1"/>
      <c r="BU229" s="11">
        <f t="shared" si="140"/>
        <v>139.05018296409273</v>
      </c>
      <c r="BV229" s="11">
        <f t="shared" si="141"/>
        <v>139.05018296409273</v>
      </c>
      <c r="BW229" s="11">
        <f t="shared" si="142"/>
        <v>115.35626774301355</v>
      </c>
      <c r="BX229" s="11">
        <f t="shared" si="143"/>
        <v>68.033980634800031</v>
      </c>
      <c r="BY229" s="11">
        <f t="shared" si="144"/>
        <v>68.033980634800031</v>
      </c>
      <c r="BZ229" s="11">
        <f t="shared" si="145"/>
        <v>56.203408857746645</v>
      </c>
      <c r="CA229" s="11">
        <f t="shared" si="146"/>
        <v>79.86455241185341</v>
      </c>
      <c r="CB229" s="11">
        <f t="shared" si="147"/>
        <v>79.86455241185341</v>
      </c>
      <c r="CC229" s="11">
        <f t="shared" si="148"/>
        <v>139.05018296409273</v>
      </c>
      <c r="CD229" s="11">
        <f t="shared" si="149"/>
        <v>139.05018296409273</v>
      </c>
      <c r="CE229" s="11">
        <f t="shared" si="150"/>
        <v>139.05018296409273</v>
      </c>
      <c r="CF229" s="11">
        <f t="shared" si="151"/>
        <v>91.695124188906775</v>
      </c>
      <c r="CG229" s="11"/>
      <c r="CH229" s="41">
        <v>3.23</v>
      </c>
      <c r="CI229" s="1"/>
      <c r="CJ229" s="53">
        <f t="shared" si="152"/>
        <v>58745</v>
      </c>
      <c r="CK229" s="53">
        <f t="shared" si="153"/>
        <v>58745</v>
      </c>
      <c r="CL229" s="53">
        <f t="shared" si="154"/>
        <v>48735</v>
      </c>
      <c r="CM229" s="53">
        <f t="shared" si="155"/>
        <v>28743</v>
      </c>
      <c r="CN229" s="53">
        <f t="shared" si="156"/>
        <v>28743</v>
      </c>
      <c r="CO229" s="53">
        <f t="shared" si="157"/>
        <v>23745</v>
      </c>
      <c r="CP229" s="53">
        <f t="shared" si="158"/>
        <v>33741</v>
      </c>
      <c r="CQ229" s="53">
        <f t="shared" si="159"/>
        <v>33741</v>
      </c>
      <c r="CR229" s="53">
        <f t="shared" si="160"/>
        <v>58745</v>
      </c>
      <c r="CS229" s="53">
        <f t="shared" si="161"/>
        <v>58745</v>
      </c>
      <c r="CT229" s="53">
        <f t="shared" si="162"/>
        <v>58745</v>
      </c>
      <c r="CU229" s="53">
        <f t="shared" si="163"/>
        <v>38739</v>
      </c>
      <c r="CV229" s="53">
        <f t="shared" si="126"/>
        <v>529912</v>
      </c>
      <c r="CW229" s="1"/>
      <c r="CX229" s="1"/>
      <c r="CY229" s="1"/>
      <c r="CZ229" s="1"/>
      <c r="DA229" s="1"/>
      <c r="DB229" s="1"/>
      <c r="DC229" s="1"/>
      <c r="DD229" s="1"/>
      <c r="DE229" s="1"/>
      <c r="DF229" s="1"/>
      <c r="DG229" s="1"/>
      <c r="DH229" s="1"/>
      <c r="DI229" s="1"/>
      <c r="DJ229" s="1"/>
      <c r="DK229" s="1"/>
      <c r="DL229" s="1"/>
    </row>
    <row r="230" spans="1:116" ht="15.75" hidden="1" x14ac:dyDescent="0.25">
      <c r="A230" s="17"/>
      <c r="B230" s="17"/>
      <c r="C230" s="17"/>
      <c r="D230" s="17"/>
      <c r="E230" s="17"/>
      <c r="F230" s="32" t="s">
        <v>2947</v>
      </c>
      <c r="G230" s="55">
        <v>186.95</v>
      </c>
      <c r="H230" s="55">
        <v>186.95</v>
      </c>
      <c r="I230" s="55">
        <v>158.91</v>
      </c>
      <c r="J230" s="55">
        <v>130.87</v>
      </c>
      <c r="K230" s="55">
        <v>130.87</v>
      </c>
      <c r="L230" s="55">
        <v>65.430000000000007</v>
      </c>
      <c r="M230" s="55">
        <v>65.430000000000007</v>
      </c>
      <c r="N230" s="55">
        <v>65.430000000000007</v>
      </c>
      <c r="O230" s="55">
        <v>130.87</v>
      </c>
      <c r="P230" s="55">
        <v>168.26</v>
      </c>
      <c r="Q230" s="55">
        <v>162.65</v>
      </c>
      <c r="R230" s="55">
        <v>112.17</v>
      </c>
      <c r="S230" s="11">
        <f t="shared" si="127"/>
        <v>1564.7900000000002</v>
      </c>
      <c r="T230" s="102"/>
      <c r="U230" s="1"/>
      <c r="V230" s="50">
        <f t="shared" si="125"/>
        <v>1673655</v>
      </c>
      <c r="W230" s="36">
        <v>3.0640000000000001</v>
      </c>
      <c r="X230" s="36">
        <v>3.0640000000000001</v>
      </c>
      <c r="Y230" s="36">
        <v>3.0640000000000001</v>
      </c>
      <c r="Z230" s="36">
        <v>3.0640000000000001</v>
      </c>
      <c r="AA230" s="36">
        <v>3.0640000000000001</v>
      </c>
      <c r="AB230" s="36">
        <v>3.0640000000000001</v>
      </c>
      <c r="AC230" s="36">
        <v>3.0640000000000001</v>
      </c>
      <c r="AD230" s="36">
        <v>3.0640000000000001</v>
      </c>
      <c r="AE230" s="36">
        <v>3.0640000000000001</v>
      </c>
      <c r="AF230" s="36">
        <v>3.0640000000000001</v>
      </c>
      <c r="AG230" s="36">
        <v>3.0640000000000001</v>
      </c>
      <c r="AH230" s="36">
        <v>3.0640000000000001</v>
      </c>
      <c r="AI230" s="39">
        <v>1.33634708931066E-2</v>
      </c>
      <c r="AJ230" s="39">
        <v>1.33634708931066E-2</v>
      </c>
      <c r="AK230" s="39">
        <v>1.33634708931066E-2</v>
      </c>
      <c r="AL230" s="39">
        <v>1.33634708931066E-2</v>
      </c>
      <c r="AM230" s="39">
        <v>1.33634708931066E-2</v>
      </c>
      <c r="AN230" s="39">
        <v>1.33634708931066E-2</v>
      </c>
      <c r="AO230" s="39">
        <v>1.33634708931066E-2</v>
      </c>
      <c r="AP230" s="39">
        <v>1.33634708931066E-2</v>
      </c>
      <c r="AQ230" s="39">
        <v>1.33634708931066E-2</v>
      </c>
      <c r="AR230" s="39">
        <v>1.33634708931066E-2</v>
      </c>
      <c r="AS230" s="39">
        <v>1.33634708931066E-2</v>
      </c>
      <c r="AT230" s="39">
        <v>1.33634708931066E-2</v>
      </c>
      <c r="AU230" s="39">
        <v>1.2392217523121999E-3</v>
      </c>
      <c r="AV230" s="39">
        <v>1.2392217523121999E-3</v>
      </c>
      <c r="AW230" s="39">
        <v>1.2392217523121999E-3</v>
      </c>
      <c r="AX230" s="39">
        <v>1.2392217523121999E-3</v>
      </c>
      <c r="AY230" s="39">
        <v>1.2392217523121999E-3</v>
      </c>
      <c r="AZ230" s="39">
        <v>1.2392217523121999E-3</v>
      </c>
      <c r="BA230" s="39">
        <v>1.2392217523121999E-3</v>
      </c>
      <c r="BB230" s="39">
        <v>1.2392217523121999E-3</v>
      </c>
      <c r="BC230" s="39">
        <v>1.2392217523121999E-3</v>
      </c>
      <c r="BD230" s="39">
        <v>1.2392217523121999E-3</v>
      </c>
      <c r="BE230" s="39">
        <v>1.2392217523121999E-3</v>
      </c>
      <c r="BF230" s="39">
        <v>1.2392217523121999E-3</v>
      </c>
      <c r="BG230" s="1"/>
      <c r="BH230" s="12">
        <f t="shared" si="128"/>
        <v>603.84849999999994</v>
      </c>
      <c r="BI230" s="12">
        <f t="shared" si="129"/>
        <v>603.84849999999994</v>
      </c>
      <c r="BJ230" s="12">
        <f t="shared" si="130"/>
        <v>513.27930000000003</v>
      </c>
      <c r="BK230" s="12">
        <f t="shared" si="131"/>
        <v>422.71010000000001</v>
      </c>
      <c r="BL230" s="12">
        <f t="shared" si="132"/>
        <v>422.71010000000001</v>
      </c>
      <c r="BM230" s="12">
        <f t="shared" si="133"/>
        <v>211.33890000000002</v>
      </c>
      <c r="BN230" s="12">
        <f t="shared" si="134"/>
        <v>211.33890000000002</v>
      </c>
      <c r="BO230" s="12">
        <f t="shared" si="135"/>
        <v>211.33890000000002</v>
      </c>
      <c r="BP230" s="12">
        <f t="shared" si="136"/>
        <v>422.71010000000001</v>
      </c>
      <c r="BQ230" s="12">
        <f t="shared" si="137"/>
        <v>543.47979999999995</v>
      </c>
      <c r="BR230" s="12">
        <f t="shared" si="138"/>
        <v>525.35950000000003</v>
      </c>
      <c r="BS230" s="12">
        <f t="shared" si="139"/>
        <v>362.3091</v>
      </c>
      <c r="BT230" s="1"/>
      <c r="BU230" s="11">
        <f t="shared" si="140"/>
        <v>612.6663140498971</v>
      </c>
      <c r="BV230" s="11">
        <f t="shared" si="141"/>
        <v>612.6663140498971</v>
      </c>
      <c r="BW230" s="11">
        <f t="shared" si="142"/>
        <v>520.77455985915572</v>
      </c>
      <c r="BX230" s="11">
        <f t="shared" si="143"/>
        <v>428.88280566841428</v>
      </c>
      <c r="BY230" s="11">
        <f t="shared" si="144"/>
        <v>428.88280566841428</v>
      </c>
      <c r="BZ230" s="11">
        <f t="shared" si="145"/>
        <v>214.42501700072091</v>
      </c>
      <c r="CA230" s="11">
        <f t="shared" si="146"/>
        <v>214.42501700072091</v>
      </c>
      <c r="CB230" s="11">
        <f t="shared" si="147"/>
        <v>214.42501700072091</v>
      </c>
      <c r="CC230" s="11">
        <f t="shared" si="148"/>
        <v>428.88280566841428</v>
      </c>
      <c r="CD230" s="11">
        <f t="shared" si="149"/>
        <v>551.41606847839364</v>
      </c>
      <c r="CE230" s="11">
        <f t="shared" si="150"/>
        <v>533.03116330685089</v>
      </c>
      <c r="CF230" s="11">
        <f t="shared" si="151"/>
        <v>367.59978842993831</v>
      </c>
      <c r="CG230" s="11"/>
      <c r="CH230" s="41">
        <v>3.23</v>
      </c>
      <c r="CI230" s="1"/>
      <c r="CJ230" s="53">
        <f t="shared" si="152"/>
        <v>199956</v>
      </c>
      <c r="CK230" s="53">
        <f t="shared" si="153"/>
        <v>199956</v>
      </c>
      <c r="CL230" s="53">
        <f t="shared" si="154"/>
        <v>169966</v>
      </c>
      <c r="CM230" s="53">
        <f t="shared" si="155"/>
        <v>139975</v>
      </c>
      <c r="CN230" s="53">
        <f t="shared" si="156"/>
        <v>139975</v>
      </c>
      <c r="CO230" s="53">
        <f t="shared" si="157"/>
        <v>69982</v>
      </c>
      <c r="CP230" s="53">
        <f t="shared" si="158"/>
        <v>69982</v>
      </c>
      <c r="CQ230" s="53">
        <f t="shared" si="159"/>
        <v>69982</v>
      </c>
      <c r="CR230" s="53">
        <f t="shared" si="160"/>
        <v>139975</v>
      </c>
      <c r="CS230" s="53">
        <f t="shared" si="161"/>
        <v>179966</v>
      </c>
      <c r="CT230" s="53">
        <f t="shared" si="162"/>
        <v>173966</v>
      </c>
      <c r="CU230" s="53">
        <f t="shared" si="163"/>
        <v>119974</v>
      </c>
      <c r="CV230" s="53">
        <f t="shared" si="126"/>
        <v>1673655</v>
      </c>
      <c r="CW230" s="1"/>
      <c r="CX230" s="1"/>
      <c r="CY230" s="1"/>
      <c r="CZ230" s="1"/>
      <c r="DA230" s="1"/>
      <c r="DB230" s="1"/>
      <c r="DC230" s="1"/>
      <c r="DD230" s="1"/>
      <c r="DE230" s="1"/>
      <c r="DF230" s="1"/>
      <c r="DG230" s="1"/>
      <c r="DH230" s="1"/>
      <c r="DI230" s="1"/>
      <c r="DJ230" s="1"/>
      <c r="DK230" s="1"/>
      <c r="DL230" s="1"/>
    </row>
    <row r="231" spans="1:116" ht="15.75" hidden="1" x14ac:dyDescent="0.25">
      <c r="A231" s="17"/>
      <c r="B231" s="17"/>
      <c r="C231" s="17"/>
      <c r="D231" s="17"/>
      <c r="E231" s="17"/>
      <c r="F231" s="32" t="s">
        <v>2947</v>
      </c>
      <c r="G231" s="55">
        <v>902.76</v>
      </c>
      <c r="H231" s="55">
        <v>902.76</v>
      </c>
      <c r="I231" s="55">
        <v>822.59</v>
      </c>
      <c r="J231" s="55">
        <v>742.41</v>
      </c>
      <c r="K231" s="55">
        <v>622.15</v>
      </c>
      <c r="L231" s="55">
        <v>481.04</v>
      </c>
      <c r="M231" s="55">
        <v>481.04</v>
      </c>
      <c r="N231" s="55">
        <v>622.15</v>
      </c>
      <c r="O231" s="55">
        <v>702.33</v>
      </c>
      <c r="P231" s="55">
        <v>862.67</v>
      </c>
      <c r="Q231" s="55">
        <v>862.67</v>
      </c>
      <c r="R231" s="55">
        <v>662.24</v>
      </c>
      <c r="S231" s="11">
        <f t="shared" si="127"/>
        <v>8666.81</v>
      </c>
      <c r="T231" s="102"/>
      <c r="U231" s="1"/>
      <c r="V231" s="50">
        <f t="shared" si="125"/>
        <v>10807679</v>
      </c>
      <c r="W231" s="36">
        <v>2.6280000000000001</v>
      </c>
      <c r="X231" s="36">
        <v>2.6280000000000001</v>
      </c>
      <c r="Y231" s="36">
        <v>2.6280000000000001</v>
      </c>
      <c r="Z231" s="36">
        <v>2.6280000000000001</v>
      </c>
      <c r="AA231" s="36">
        <v>2.6280000000000001</v>
      </c>
      <c r="AB231" s="36">
        <v>2.6280000000000001</v>
      </c>
      <c r="AC231" s="36">
        <v>2.6280000000000001</v>
      </c>
      <c r="AD231" s="36">
        <v>2.6280000000000001</v>
      </c>
      <c r="AE231" s="36">
        <v>2.6280000000000001</v>
      </c>
      <c r="AF231" s="36">
        <v>2.6280000000000001</v>
      </c>
      <c r="AG231" s="36">
        <v>2.6280000000000001</v>
      </c>
      <c r="AH231" s="36">
        <v>2.6280000000000001</v>
      </c>
      <c r="AI231" s="39">
        <v>1.33634708931066E-2</v>
      </c>
      <c r="AJ231" s="39">
        <v>1.33634708931066E-2</v>
      </c>
      <c r="AK231" s="39">
        <v>1.33634708931066E-2</v>
      </c>
      <c r="AL231" s="39">
        <v>1.33634708931066E-2</v>
      </c>
      <c r="AM231" s="39">
        <v>1.33634708931066E-2</v>
      </c>
      <c r="AN231" s="39">
        <v>1.33634708931066E-2</v>
      </c>
      <c r="AO231" s="39">
        <v>1.33634708931066E-2</v>
      </c>
      <c r="AP231" s="39">
        <v>1.33634708931066E-2</v>
      </c>
      <c r="AQ231" s="39">
        <v>1.33634708931066E-2</v>
      </c>
      <c r="AR231" s="39">
        <v>1.33634708931066E-2</v>
      </c>
      <c r="AS231" s="39">
        <v>1.33634708931066E-2</v>
      </c>
      <c r="AT231" s="39">
        <v>1.33634708931066E-2</v>
      </c>
      <c r="AU231" s="39">
        <v>1.2392217523121999E-3</v>
      </c>
      <c r="AV231" s="39">
        <v>1.2392217523121999E-3</v>
      </c>
      <c r="AW231" s="39">
        <v>1.2392217523121999E-3</v>
      </c>
      <c r="AX231" s="39">
        <v>1.2392217523121999E-3</v>
      </c>
      <c r="AY231" s="39">
        <v>1.2392217523121999E-3</v>
      </c>
      <c r="AZ231" s="39">
        <v>1.2392217523121999E-3</v>
      </c>
      <c r="BA231" s="39">
        <v>1.2392217523121999E-3</v>
      </c>
      <c r="BB231" s="39">
        <v>1.2392217523121999E-3</v>
      </c>
      <c r="BC231" s="39">
        <v>1.2392217523121999E-3</v>
      </c>
      <c r="BD231" s="39">
        <v>1.2392217523121999E-3</v>
      </c>
      <c r="BE231" s="39">
        <v>1.2392217523121999E-3</v>
      </c>
      <c r="BF231" s="39">
        <v>1.2392217523121999E-3</v>
      </c>
      <c r="BG231" s="1"/>
      <c r="BH231" s="12">
        <f t="shared" si="128"/>
        <v>2915.9148</v>
      </c>
      <c r="BI231" s="12">
        <f t="shared" si="129"/>
        <v>2915.9148</v>
      </c>
      <c r="BJ231" s="12">
        <f t="shared" si="130"/>
        <v>2656.9657000000002</v>
      </c>
      <c r="BK231" s="12">
        <f t="shared" si="131"/>
        <v>2397.9843000000001</v>
      </c>
      <c r="BL231" s="12">
        <f t="shared" si="132"/>
        <v>2009.5445</v>
      </c>
      <c r="BM231" s="12">
        <f t="shared" si="133"/>
        <v>1553.7592</v>
      </c>
      <c r="BN231" s="12">
        <f t="shared" si="134"/>
        <v>1553.7592</v>
      </c>
      <c r="BO231" s="12">
        <f t="shared" si="135"/>
        <v>2009.5445</v>
      </c>
      <c r="BP231" s="12">
        <f t="shared" si="136"/>
        <v>2268.5259000000001</v>
      </c>
      <c r="BQ231" s="12">
        <f t="shared" si="137"/>
        <v>2786.4240999999997</v>
      </c>
      <c r="BR231" s="12">
        <f t="shared" si="138"/>
        <v>2786.4240999999997</v>
      </c>
      <c r="BS231" s="12">
        <f t="shared" si="139"/>
        <v>2139.0351999999998</v>
      </c>
      <c r="BT231" s="1"/>
      <c r="BU231" s="11">
        <f t="shared" si="140"/>
        <v>2958.495007604628</v>
      </c>
      <c r="BV231" s="11">
        <f t="shared" si="141"/>
        <v>2958.495007604628</v>
      </c>
      <c r="BW231" s="11">
        <f t="shared" si="142"/>
        <v>2695.7645534865201</v>
      </c>
      <c r="BX231" s="11">
        <f t="shared" si="143"/>
        <v>2433.00132770144</v>
      </c>
      <c r="BY231" s="11">
        <f t="shared" si="144"/>
        <v>2038.8892606907918</v>
      </c>
      <c r="BZ231" s="11">
        <f t="shared" si="145"/>
        <v>1576.4482680425917</v>
      </c>
      <c r="CA231" s="11">
        <f t="shared" si="146"/>
        <v>1576.4482680425917</v>
      </c>
      <c r="CB231" s="11">
        <f t="shared" si="147"/>
        <v>2038.8892606907918</v>
      </c>
      <c r="CC231" s="11">
        <f t="shared" si="148"/>
        <v>2301.6524864758721</v>
      </c>
      <c r="CD231" s="11">
        <f t="shared" si="149"/>
        <v>2827.1133947120875</v>
      </c>
      <c r="CE231" s="11">
        <f t="shared" si="150"/>
        <v>2827.1133947120875</v>
      </c>
      <c r="CF231" s="11">
        <f t="shared" si="151"/>
        <v>2170.2708735833316</v>
      </c>
      <c r="CG231" s="11"/>
      <c r="CH231" s="41">
        <v>3.23</v>
      </c>
      <c r="CI231" s="1"/>
      <c r="CJ231" s="53">
        <f t="shared" si="152"/>
        <v>1125759</v>
      </c>
      <c r="CK231" s="53">
        <f t="shared" si="153"/>
        <v>1125759</v>
      </c>
      <c r="CL231" s="53">
        <f t="shared" si="154"/>
        <v>1025786</v>
      </c>
      <c r="CM231" s="53">
        <f t="shared" si="155"/>
        <v>925800</v>
      </c>
      <c r="CN231" s="53">
        <f t="shared" si="156"/>
        <v>775833</v>
      </c>
      <c r="CO231" s="53">
        <f t="shared" si="157"/>
        <v>599866</v>
      </c>
      <c r="CP231" s="53">
        <f t="shared" si="158"/>
        <v>599866</v>
      </c>
      <c r="CQ231" s="53">
        <f t="shared" si="159"/>
        <v>775833</v>
      </c>
      <c r="CR231" s="53">
        <f t="shared" si="160"/>
        <v>875819</v>
      </c>
      <c r="CS231" s="53">
        <f t="shared" si="161"/>
        <v>1075766</v>
      </c>
      <c r="CT231" s="53">
        <f t="shared" si="162"/>
        <v>1075766</v>
      </c>
      <c r="CU231" s="53">
        <f t="shared" si="163"/>
        <v>825826</v>
      </c>
      <c r="CV231" s="53">
        <f t="shared" si="126"/>
        <v>10807679</v>
      </c>
      <c r="CW231" s="1"/>
      <c r="CX231" s="1"/>
      <c r="CY231" s="1"/>
      <c r="CZ231" s="1"/>
      <c r="DA231" s="1"/>
      <c r="DB231" s="1"/>
      <c r="DC231" s="1"/>
      <c r="DD231" s="1"/>
      <c r="DE231" s="1"/>
      <c r="DF231" s="1"/>
      <c r="DG231" s="1"/>
      <c r="DH231" s="1"/>
      <c r="DI231" s="1"/>
      <c r="DJ231" s="1"/>
      <c r="DK231" s="1"/>
      <c r="DL231" s="1"/>
    </row>
    <row r="232" spans="1:116" ht="15.75" hidden="1" x14ac:dyDescent="0.25">
      <c r="A232" s="17"/>
      <c r="B232" s="17"/>
      <c r="C232" s="17"/>
      <c r="D232" s="17"/>
      <c r="E232" s="17"/>
      <c r="F232" s="32" t="s">
        <v>2947</v>
      </c>
      <c r="G232" s="55">
        <v>20.25</v>
      </c>
      <c r="H232" s="55">
        <v>20.25</v>
      </c>
      <c r="I232" s="55">
        <v>20.25</v>
      </c>
      <c r="J232" s="55">
        <v>20.25</v>
      </c>
      <c r="K232" s="55">
        <v>20.25</v>
      </c>
      <c r="L232" s="55">
        <v>20.260000000000002</v>
      </c>
      <c r="M232" s="55">
        <v>20.260000000000002</v>
      </c>
      <c r="N232" s="55">
        <v>20.25</v>
      </c>
      <c r="O232" s="55">
        <v>20.260000000000002</v>
      </c>
      <c r="P232" s="55">
        <v>20.25</v>
      </c>
      <c r="Q232" s="55">
        <v>20.260000000000002</v>
      </c>
      <c r="R232" s="55">
        <v>20.25</v>
      </c>
      <c r="S232" s="11">
        <f t="shared" si="127"/>
        <v>243.04</v>
      </c>
      <c r="T232" s="102"/>
      <c r="U232" s="1"/>
      <c r="V232" s="50">
        <f t="shared" si="125"/>
        <v>155956</v>
      </c>
      <c r="W232" s="36">
        <v>5.1070000000000002</v>
      </c>
      <c r="X232" s="36">
        <v>5.1070000000000002</v>
      </c>
      <c r="Y232" s="36">
        <v>5.1070000000000002</v>
      </c>
      <c r="Z232" s="36">
        <v>5.1070000000000002</v>
      </c>
      <c r="AA232" s="36">
        <v>5.1070000000000002</v>
      </c>
      <c r="AB232" s="36">
        <v>5.1070000000000002</v>
      </c>
      <c r="AC232" s="36">
        <v>5.1070000000000002</v>
      </c>
      <c r="AD232" s="36">
        <v>5.1070000000000002</v>
      </c>
      <c r="AE232" s="36">
        <v>5.1070000000000002</v>
      </c>
      <c r="AF232" s="36">
        <v>5.1070000000000002</v>
      </c>
      <c r="AG232" s="36">
        <v>5.1070000000000002</v>
      </c>
      <c r="AH232" s="36">
        <v>5.1070000000000002</v>
      </c>
      <c r="AI232" s="39">
        <v>1.33634708931066E-2</v>
      </c>
      <c r="AJ232" s="39">
        <v>1.33634708931066E-2</v>
      </c>
      <c r="AK232" s="39">
        <v>1.33634708931066E-2</v>
      </c>
      <c r="AL232" s="39">
        <v>1.33634708931066E-2</v>
      </c>
      <c r="AM232" s="39">
        <v>1.33634708931066E-2</v>
      </c>
      <c r="AN232" s="39">
        <v>1.33634708931066E-2</v>
      </c>
      <c r="AO232" s="39">
        <v>1.33634708931066E-2</v>
      </c>
      <c r="AP232" s="39">
        <v>1.33634708931066E-2</v>
      </c>
      <c r="AQ232" s="39">
        <v>1.33634708931066E-2</v>
      </c>
      <c r="AR232" s="39">
        <v>1.33634708931066E-2</v>
      </c>
      <c r="AS232" s="39">
        <v>1.33634708931066E-2</v>
      </c>
      <c r="AT232" s="39">
        <v>1.33634708931066E-2</v>
      </c>
      <c r="AU232" s="39">
        <v>1.2392217523121999E-3</v>
      </c>
      <c r="AV232" s="39">
        <v>1.2392217523121999E-3</v>
      </c>
      <c r="AW232" s="39">
        <v>1.2392217523121999E-3</v>
      </c>
      <c r="AX232" s="39">
        <v>1.2392217523121999E-3</v>
      </c>
      <c r="AY232" s="39">
        <v>1.2392217523121999E-3</v>
      </c>
      <c r="AZ232" s="39">
        <v>1.2392217523121999E-3</v>
      </c>
      <c r="BA232" s="39">
        <v>1.2392217523121999E-3</v>
      </c>
      <c r="BB232" s="39">
        <v>1.2392217523121999E-3</v>
      </c>
      <c r="BC232" s="39">
        <v>1.2392217523121999E-3</v>
      </c>
      <c r="BD232" s="39">
        <v>1.2392217523121999E-3</v>
      </c>
      <c r="BE232" s="39">
        <v>1.2392217523121999E-3</v>
      </c>
      <c r="BF232" s="39">
        <v>1.2392217523121999E-3</v>
      </c>
      <c r="BG232" s="1"/>
      <c r="BH232" s="12">
        <f t="shared" si="128"/>
        <v>65.407499999999999</v>
      </c>
      <c r="BI232" s="12">
        <f t="shared" si="129"/>
        <v>65.407499999999999</v>
      </c>
      <c r="BJ232" s="12">
        <f t="shared" si="130"/>
        <v>65.407499999999999</v>
      </c>
      <c r="BK232" s="12">
        <f t="shared" si="131"/>
        <v>65.407499999999999</v>
      </c>
      <c r="BL232" s="12">
        <f t="shared" si="132"/>
        <v>65.407499999999999</v>
      </c>
      <c r="BM232" s="12">
        <f t="shared" si="133"/>
        <v>65.439800000000005</v>
      </c>
      <c r="BN232" s="12">
        <f t="shared" si="134"/>
        <v>65.439800000000005</v>
      </c>
      <c r="BO232" s="12">
        <f t="shared" si="135"/>
        <v>65.407499999999999</v>
      </c>
      <c r="BP232" s="12">
        <f t="shared" si="136"/>
        <v>65.439800000000005</v>
      </c>
      <c r="BQ232" s="12">
        <f t="shared" si="137"/>
        <v>65.407499999999999</v>
      </c>
      <c r="BR232" s="12">
        <f t="shared" si="138"/>
        <v>65.439800000000005</v>
      </c>
      <c r="BS232" s="12">
        <f t="shared" si="139"/>
        <v>65.407499999999999</v>
      </c>
      <c r="BT232" s="1"/>
      <c r="BU232" s="11">
        <f t="shared" si="140"/>
        <v>66.362625619205232</v>
      </c>
      <c r="BV232" s="11">
        <f t="shared" si="141"/>
        <v>66.362625619205232</v>
      </c>
      <c r="BW232" s="11">
        <f t="shared" si="142"/>
        <v>66.362625619205232</v>
      </c>
      <c r="BX232" s="11">
        <f t="shared" si="143"/>
        <v>66.362625619205232</v>
      </c>
      <c r="BY232" s="11">
        <f t="shared" si="144"/>
        <v>66.362625619205232</v>
      </c>
      <c r="BZ232" s="11">
        <f t="shared" si="145"/>
        <v>66.395397286177683</v>
      </c>
      <c r="CA232" s="11">
        <f t="shared" si="146"/>
        <v>66.395397286177683</v>
      </c>
      <c r="CB232" s="11">
        <f t="shared" si="147"/>
        <v>66.362625619205232</v>
      </c>
      <c r="CC232" s="11">
        <f t="shared" si="148"/>
        <v>66.395397286177683</v>
      </c>
      <c r="CD232" s="11">
        <f t="shared" si="149"/>
        <v>66.362625619205232</v>
      </c>
      <c r="CE232" s="11">
        <f t="shared" si="150"/>
        <v>66.395397286177683</v>
      </c>
      <c r="CF232" s="11">
        <f t="shared" si="151"/>
        <v>66.362625619205232</v>
      </c>
      <c r="CG232" s="11"/>
      <c r="CH232" s="41">
        <v>3.23</v>
      </c>
      <c r="CI232" s="1"/>
      <c r="CJ232" s="53">
        <f t="shared" si="152"/>
        <v>12994</v>
      </c>
      <c r="CK232" s="53">
        <f t="shared" si="153"/>
        <v>12994</v>
      </c>
      <c r="CL232" s="53">
        <f t="shared" si="154"/>
        <v>12994</v>
      </c>
      <c r="CM232" s="53">
        <f t="shared" si="155"/>
        <v>12994</v>
      </c>
      <c r="CN232" s="53">
        <f t="shared" si="156"/>
        <v>12994</v>
      </c>
      <c r="CO232" s="53">
        <f t="shared" si="157"/>
        <v>13001</v>
      </c>
      <c r="CP232" s="53">
        <f t="shared" si="158"/>
        <v>13001</v>
      </c>
      <c r="CQ232" s="53">
        <f t="shared" si="159"/>
        <v>12994</v>
      </c>
      <c r="CR232" s="53">
        <f t="shared" si="160"/>
        <v>13001</v>
      </c>
      <c r="CS232" s="53">
        <f t="shared" si="161"/>
        <v>12994</v>
      </c>
      <c r="CT232" s="53">
        <f t="shared" si="162"/>
        <v>13001</v>
      </c>
      <c r="CU232" s="53">
        <f t="shared" si="163"/>
        <v>12994</v>
      </c>
      <c r="CV232" s="53">
        <f t="shared" si="126"/>
        <v>155956</v>
      </c>
      <c r="CW232" s="1"/>
      <c r="CX232" s="1"/>
      <c r="CY232" s="1"/>
      <c r="CZ232" s="1"/>
      <c r="DA232" s="1"/>
      <c r="DB232" s="1"/>
      <c r="DC232" s="1"/>
      <c r="DD232" s="1"/>
      <c r="DE232" s="1"/>
      <c r="DF232" s="1"/>
      <c r="DG232" s="1"/>
      <c r="DH232" s="1"/>
      <c r="DI232" s="1"/>
      <c r="DJ232" s="1"/>
      <c r="DK232" s="1"/>
      <c r="DL232" s="1"/>
    </row>
    <row r="233" spans="1:116" ht="15.75" hidden="1" x14ac:dyDescent="0.25">
      <c r="A233" s="17"/>
      <c r="B233" s="17"/>
      <c r="C233" s="17"/>
      <c r="D233" s="17"/>
      <c r="E233" s="17"/>
      <c r="F233" s="32" t="s">
        <v>2947</v>
      </c>
      <c r="G233" s="55">
        <v>29.8</v>
      </c>
      <c r="H233" s="55">
        <v>24.83</v>
      </c>
      <c r="I233" s="55">
        <v>24.83</v>
      </c>
      <c r="J233" s="55">
        <v>26.07</v>
      </c>
      <c r="K233" s="55">
        <v>20.86</v>
      </c>
      <c r="L233" s="55">
        <v>4.17</v>
      </c>
      <c r="M233" s="55">
        <v>4.17</v>
      </c>
      <c r="N233" s="55">
        <v>3.13</v>
      </c>
      <c r="O233" s="55">
        <v>11.92</v>
      </c>
      <c r="P233" s="55">
        <v>19.87</v>
      </c>
      <c r="Q233" s="55">
        <v>26.07</v>
      </c>
      <c r="R233" s="55">
        <v>26.07</v>
      </c>
      <c r="S233" s="11">
        <f t="shared" si="127"/>
        <v>221.78999999999996</v>
      </c>
      <c r="T233" s="102"/>
      <c r="U233" s="1"/>
      <c r="V233" s="50">
        <f t="shared" si="125"/>
        <v>223229</v>
      </c>
      <c r="W233" s="36">
        <v>3.2559999999999998</v>
      </c>
      <c r="X233" s="36">
        <v>3.2559999999999998</v>
      </c>
      <c r="Y233" s="36">
        <v>3.2559999999999998</v>
      </c>
      <c r="Z233" s="36">
        <v>3.2559999999999998</v>
      </c>
      <c r="AA233" s="36">
        <v>3.2559999999999998</v>
      </c>
      <c r="AB233" s="36">
        <v>3.2559999999999998</v>
      </c>
      <c r="AC233" s="36">
        <v>3.2559999999999998</v>
      </c>
      <c r="AD233" s="36">
        <v>3.2559999999999998</v>
      </c>
      <c r="AE233" s="36">
        <v>3.2559999999999998</v>
      </c>
      <c r="AF233" s="36">
        <v>3.2559999999999998</v>
      </c>
      <c r="AG233" s="36">
        <v>3.2559999999999998</v>
      </c>
      <c r="AH233" s="36">
        <v>3.2559999999999998</v>
      </c>
      <c r="AI233" s="39">
        <v>1.33634708931066E-2</v>
      </c>
      <c r="AJ233" s="39">
        <v>1.33634708931066E-2</v>
      </c>
      <c r="AK233" s="39">
        <v>1.33634708931066E-2</v>
      </c>
      <c r="AL233" s="39">
        <v>1.33634708931066E-2</v>
      </c>
      <c r="AM233" s="39">
        <v>1.33634708931066E-2</v>
      </c>
      <c r="AN233" s="39">
        <v>1.33634708931066E-2</v>
      </c>
      <c r="AO233" s="39">
        <v>1.33634708931066E-2</v>
      </c>
      <c r="AP233" s="39">
        <v>1.33634708931066E-2</v>
      </c>
      <c r="AQ233" s="39">
        <v>1.33634708931066E-2</v>
      </c>
      <c r="AR233" s="39">
        <v>1.33634708931066E-2</v>
      </c>
      <c r="AS233" s="39">
        <v>1.33634708931066E-2</v>
      </c>
      <c r="AT233" s="39">
        <v>1.33634708931066E-2</v>
      </c>
      <c r="AU233" s="39">
        <v>1.2392217523121999E-3</v>
      </c>
      <c r="AV233" s="39">
        <v>1.2392217523121999E-3</v>
      </c>
      <c r="AW233" s="39">
        <v>1.2392217523121999E-3</v>
      </c>
      <c r="AX233" s="39">
        <v>1.2392217523121999E-3</v>
      </c>
      <c r="AY233" s="39">
        <v>1.2392217523121999E-3</v>
      </c>
      <c r="AZ233" s="39">
        <v>1.2392217523121999E-3</v>
      </c>
      <c r="BA233" s="39">
        <v>1.2392217523121999E-3</v>
      </c>
      <c r="BB233" s="39">
        <v>1.2392217523121999E-3</v>
      </c>
      <c r="BC233" s="39">
        <v>1.2392217523121999E-3</v>
      </c>
      <c r="BD233" s="39">
        <v>1.2392217523121999E-3</v>
      </c>
      <c r="BE233" s="39">
        <v>1.2392217523121999E-3</v>
      </c>
      <c r="BF233" s="39">
        <v>1.2392217523121999E-3</v>
      </c>
      <c r="BG233" s="1"/>
      <c r="BH233" s="12">
        <f t="shared" si="128"/>
        <v>96.254000000000005</v>
      </c>
      <c r="BI233" s="12">
        <f t="shared" si="129"/>
        <v>80.20089999999999</v>
      </c>
      <c r="BJ233" s="12">
        <f t="shared" si="130"/>
        <v>80.20089999999999</v>
      </c>
      <c r="BK233" s="12">
        <f t="shared" si="131"/>
        <v>84.206100000000006</v>
      </c>
      <c r="BL233" s="12">
        <f t="shared" si="132"/>
        <v>67.377799999999993</v>
      </c>
      <c r="BM233" s="12">
        <f t="shared" si="133"/>
        <v>13.469099999999999</v>
      </c>
      <c r="BN233" s="12">
        <f t="shared" si="134"/>
        <v>13.469099999999999</v>
      </c>
      <c r="BO233" s="12">
        <f t="shared" si="135"/>
        <v>10.1099</v>
      </c>
      <c r="BP233" s="12">
        <f t="shared" si="136"/>
        <v>38.501599999999996</v>
      </c>
      <c r="BQ233" s="12">
        <f t="shared" si="137"/>
        <v>64.180099999999996</v>
      </c>
      <c r="BR233" s="12">
        <f t="shared" si="138"/>
        <v>84.206100000000006</v>
      </c>
      <c r="BS233" s="12">
        <f t="shared" si="139"/>
        <v>84.206100000000006</v>
      </c>
      <c r="BT233" s="1"/>
      <c r="BU233" s="11">
        <f t="shared" si="140"/>
        <v>97.659567577892147</v>
      </c>
      <c r="BV233" s="11">
        <f t="shared" si="141"/>
        <v>81.372049092585954</v>
      </c>
      <c r="BW233" s="11">
        <f t="shared" si="142"/>
        <v>81.372049092585954</v>
      </c>
      <c r="BX233" s="11">
        <f t="shared" si="143"/>
        <v>85.4357357971694</v>
      </c>
      <c r="BY233" s="11">
        <f t="shared" si="144"/>
        <v>68.361697304524498</v>
      </c>
      <c r="BZ233" s="11">
        <f t="shared" si="145"/>
        <v>13.665785127510409</v>
      </c>
      <c r="CA233" s="11">
        <f t="shared" si="146"/>
        <v>13.665785127510409</v>
      </c>
      <c r="CB233" s="11">
        <f t="shared" si="147"/>
        <v>10.257531762375919</v>
      </c>
      <c r="CC233" s="11">
        <f t="shared" si="148"/>
        <v>39.063827031156855</v>
      </c>
      <c r="CD233" s="11">
        <f t="shared" si="149"/>
        <v>65.117302274252239</v>
      </c>
      <c r="CE233" s="11">
        <f t="shared" si="150"/>
        <v>85.4357357971694</v>
      </c>
      <c r="CF233" s="11">
        <f t="shared" si="151"/>
        <v>85.4357357971694</v>
      </c>
      <c r="CG233" s="11"/>
      <c r="CH233" s="41">
        <v>3.23</v>
      </c>
      <c r="CI233" s="1"/>
      <c r="CJ233" s="53">
        <f t="shared" si="152"/>
        <v>29994</v>
      </c>
      <c r="CK233" s="53">
        <f t="shared" si="153"/>
        <v>24991</v>
      </c>
      <c r="CL233" s="53">
        <f t="shared" si="154"/>
        <v>24991</v>
      </c>
      <c r="CM233" s="53">
        <f t="shared" si="155"/>
        <v>26239</v>
      </c>
      <c r="CN233" s="53">
        <f t="shared" si="156"/>
        <v>20996</v>
      </c>
      <c r="CO233" s="53">
        <f t="shared" si="157"/>
        <v>4197</v>
      </c>
      <c r="CP233" s="53">
        <f t="shared" si="158"/>
        <v>4197</v>
      </c>
      <c r="CQ233" s="53">
        <f t="shared" si="159"/>
        <v>3150</v>
      </c>
      <c r="CR233" s="53">
        <f t="shared" si="160"/>
        <v>11997</v>
      </c>
      <c r="CS233" s="53">
        <f t="shared" si="161"/>
        <v>19999</v>
      </c>
      <c r="CT233" s="53">
        <f t="shared" si="162"/>
        <v>26239</v>
      </c>
      <c r="CU233" s="53">
        <f t="shared" si="163"/>
        <v>26239</v>
      </c>
      <c r="CV233" s="53">
        <f t="shared" si="126"/>
        <v>223229</v>
      </c>
      <c r="CW233" s="1"/>
      <c r="CX233" s="1"/>
      <c r="CY233" s="1"/>
      <c r="CZ233" s="1"/>
      <c r="DA233" s="1"/>
      <c r="DB233" s="1"/>
      <c r="DC233" s="1"/>
      <c r="DD233" s="1"/>
      <c r="DE233" s="1"/>
      <c r="DF233" s="1"/>
      <c r="DG233" s="1"/>
      <c r="DH233" s="1"/>
      <c r="DI233" s="1"/>
      <c r="DJ233" s="1"/>
      <c r="DK233" s="1"/>
      <c r="DL233" s="1"/>
    </row>
    <row r="234" spans="1:116" ht="15.75" hidden="1" x14ac:dyDescent="0.25">
      <c r="A234" s="17"/>
      <c r="B234" s="17"/>
      <c r="C234" s="17"/>
      <c r="D234" s="17"/>
      <c r="E234" s="17"/>
      <c r="F234" s="32" t="s">
        <v>2947</v>
      </c>
      <c r="G234" s="55">
        <v>12.7</v>
      </c>
      <c r="H234" s="55">
        <v>12.7</v>
      </c>
      <c r="I234" s="55">
        <v>12.43</v>
      </c>
      <c r="J234" s="55">
        <v>11.05</v>
      </c>
      <c r="K234" s="55">
        <v>7.44</v>
      </c>
      <c r="L234" s="55">
        <v>3.24</v>
      </c>
      <c r="M234" s="55">
        <v>3.24</v>
      </c>
      <c r="N234" s="55">
        <v>3.94</v>
      </c>
      <c r="O234" s="55">
        <v>8.32</v>
      </c>
      <c r="P234" s="55">
        <v>12.7</v>
      </c>
      <c r="Q234" s="55">
        <v>12.7</v>
      </c>
      <c r="R234" s="55">
        <v>9.19</v>
      </c>
      <c r="S234" s="11">
        <f t="shared" si="127"/>
        <v>109.65</v>
      </c>
      <c r="T234" s="102"/>
      <c r="U234" s="1"/>
      <c r="V234" s="50">
        <f t="shared" si="125"/>
        <v>250410</v>
      </c>
      <c r="W234" s="36">
        <v>1.4350000000000001</v>
      </c>
      <c r="X234" s="36">
        <v>1.4350000000000001</v>
      </c>
      <c r="Y234" s="36">
        <v>1.4350000000000001</v>
      </c>
      <c r="Z234" s="36">
        <v>1.4350000000000001</v>
      </c>
      <c r="AA234" s="36">
        <v>1.4350000000000001</v>
      </c>
      <c r="AB234" s="36">
        <v>1.4350000000000001</v>
      </c>
      <c r="AC234" s="36">
        <v>1.4350000000000001</v>
      </c>
      <c r="AD234" s="36">
        <v>1.4350000000000001</v>
      </c>
      <c r="AE234" s="36">
        <v>1.4350000000000001</v>
      </c>
      <c r="AF234" s="36">
        <v>1.4350000000000001</v>
      </c>
      <c r="AG234" s="36">
        <v>1.4350000000000001</v>
      </c>
      <c r="AH234" s="36">
        <v>1.4350000000000001</v>
      </c>
      <c r="AI234" s="39">
        <v>1.33634708931066E-2</v>
      </c>
      <c r="AJ234" s="39">
        <v>1.33634708931066E-2</v>
      </c>
      <c r="AK234" s="39">
        <v>1.33634708931066E-2</v>
      </c>
      <c r="AL234" s="39">
        <v>1.33634708931066E-2</v>
      </c>
      <c r="AM234" s="39">
        <v>1.33634708931066E-2</v>
      </c>
      <c r="AN234" s="39">
        <v>1.33634708931066E-2</v>
      </c>
      <c r="AO234" s="39">
        <v>1.33634708931066E-2</v>
      </c>
      <c r="AP234" s="39">
        <v>1.33634708931066E-2</v>
      </c>
      <c r="AQ234" s="39">
        <v>1.33634708931066E-2</v>
      </c>
      <c r="AR234" s="39">
        <v>1.33634708931066E-2</v>
      </c>
      <c r="AS234" s="39">
        <v>1.33634708931066E-2</v>
      </c>
      <c r="AT234" s="39">
        <v>1.33634708931066E-2</v>
      </c>
      <c r="AU234" s="39">
        <v>1.2392217523121999E-3</v>
      </c>
      <c r="AV234" s="39">
        <v>1.2392217523121999E-3</v>
      </c>
      <c r="AW234" s="39">
        <v>1.2392217523121999E-3</v>
      </c>
      <c r="AX234" s="39">
        <v>1.2392217523121999E-3</v>
      </c>
      <c r="AY234" s="39">
        <v>1.2392217523121999E-3</v>
      </c>
      <c r="AZ234" s="39">
        <v>1.2392217523121999E-3</v>
      </c>
      <c r="BA234" s="39">
        <v>1.2392217523121999E-3</v>
      </c>
      <c r="BB234" s="39">
        <v>1.2392217523121999E-3</v>
      </c>
      <c r="BC234" s="39">
        <v>1.2392217523121999E-3</v>
      </c>
      <c r="BD234" s="39">
        <v>1.2392217523121999E-3</v>
      </c>
      <c r="BE234" s="39">
        <v>1.2392217523121999E-3</v>
      </c>
      <c r="BF234" s="39">
        <v>1.2392217523121999E-3</v>
      </c>
      <c r="BG234" s="1"/>
      <c r="BH234" s="12">
        <f t="shared" si="128"/>
        <v>41.021000000000001</v>
      </c>
      <c r="BI234" s="12">
        <f t="shared" si="129"/>
        <v>41.021000000000001</v>
      </c>
      <c r="BJ234" s="12">
        <f t="shared" si="130"/>
        <v>40.148899999999998</v>
      </c>
      <c r="BK234" s="12">
        <f t="shared" si="131"/>
        <v>35.691500000000005</v>
      </c>
      <c r="BL234" s="12">
        <f t="shared" si="132"/>
        <v>24.031200000000002</v>
      </c>
      <c r="BM234" s="12">
        <f t="shared" si="133"/>
        <v>10.465200000000001</v>
      </c>
      <c r="BN234" s="12">
        <f t="shared" si="134"/>
        <v>10.465200000000001</v>
      </c>
      <c r="BO234" s="12">
        <f t="shared" si="135"/>
        <v>12.7262</v>
      </c>
      <c r="BP234" s="12">
        <f t="shared" si="136"/>
        <v>26.8736</v>
      </c>
      <c r="BQ234" s="12">
        <f t="shared" si="137"/>
        <v>41.021000000000001</v>
      </c>
      <c r="BR234" s="12">
        <f t="shared" si="138"/>
        <v>41.021000000000001</v>
      </c>
      <c r="BS234" s="12">
        <f t="shared" si="139"/>
        <v>29.683699999999998</v>
      </c>
      <c r="BT234" s="1"/>
      <c r="BU234" s="11">
        <f t="shared" si="140"/>
        <v>41.620017055007729</v>
      </c>
      <c r="BV234" s="11">
        <f t="shared" si="141"/>
        <v>41.620017055007729</v>
      </c>
      <c r="BW234" s="11">
        <f t="shared" si="142"/>
        <v>40.735182046751653</v>
      </c>
      <c r="BX234" s="11">
        <f t="shared" si="143"/>
        <v>36.212692004553972</v>
      </c>
      <c r="BY234" s="11">
        <f t="shared" si="144"/>
        <v>24.382120227500589</v>
      </c>
      <c r="BZ234" s="11">
        <f t="shared" si="145"/>
        <v>10.618020099072838</v>
      </c>
      <c r="CA234" s="11">
        <f t="shared" si="146"/>
        <v>10.618020099072838</v>
      </c>
      <c r="CB234" s="11">
        <f t="shared" si="147"/>
        <v>12.91203678714413</v>
      </c>
      <c r="CC234" s="11">
        <f t="shared" si="148"/>
        <v>27.266026921075927</v>
      </c>
      <c r="CD234" s="11">
        <f t="shared" si="149"/>
        <v>41.620017055007729</v>
      </c>
      <c r="CE234" s="11">
        <f t="shared" si="150"/>
        <v>41.620017055007729</v>
      </c>
      <c r="CF234" s="11">
        <f t="shared" si="151"/>
        <v>30.117161947678817</v>
      </c>
      <c r="CG234" s="11"/>
      <c r="CH234" s="41">
        <v>3.23</v>
      </c>
      <c r="CI234" s="1"/>
      <c r="CJ234" s="53">
        <f t="shared" si="152"/>
        <v>29003</v>
      </c>
      <c r="CK234" s="53">
        <f t="shared" si="153"/>
        <v>29003</v>
      </c>
      <c r="CL234" s="53">
        <f t="shared" si="154"/>
        <v>28387</v>
      </c>
      <c r="CM234" s="53">
        <f t="shared" si="155"/>
        <v>25235</v>
      </c>
      <c r="CN234" s="53">
        <f t="shared" si="156"/>
        <v>16991</v>
      </c>
      <c r="CO234" s="53">
        <f t="shared" si="157"/>
        <v>7399</v>
      </c>
      <c r="CP234" s="53">
        <f t="shared" si="158"/>
        <v>7399</v>
      </c>
      <c r="CQ234" s="53">
        <f t="shared" si="159"/>
        <v>8998</v>
      </c>
      <c r="CR234" s="53">
        <f t="shared" si="160"/>
        <v>19001</v>
      </c>
      <c r="CS234" s="53">
        <f t="shared" si="161"/>
        <v>29003</v>
      </c>
      <c r="CT234" s="53">
        <f t="shared" si="162"/>
        <v>29003</v>
      </c>
      <c r="CU234" s="53">
        <f t="shared" si="163"/>
        <v>20988</v>
      </c>
      <c r="CV234" s="53">
        <f t="shared" si="126"/>
        <v>250410</v>
      </c>
      <c r="CW234" s="1"/>
      <c r="CX234" s="1"/>
      <c r="CY234" s="1"/>
      <c r="CZ234" s="1"/>
      <c r="DA234" s="1"/>
      <c r="DB234" s="1"/>
      <c r="DC234" s="1"/>
      <c r="DD234" s="1"/>
      <c r="DE234" s="1"/>
      <c r="DF234" s="1"/>
      <c r="DG234" s="1"/>
      <c r="DH234" s="1"/>
      <c r="DI234" s="1"/>
      <c r="DJ234" s="1"/>
      <c r="DK234" s="1"/>
      <c r="DL234" s="1"/>
    </row>
    <row r="235" spans="1:116" ht="15.75" hidden="1" x14ac:dyDescent="0.25">
      <c r="A235" s="17"/>
      <c r="B235" s="17"/>
      <c r="C235" s="17"/>
      <c r="D235" s="17"/>
      <c r="E235" s="17"/>
      <c r="F235" s="32" t="s">
        <v>2947</v>
      </c>
      <c r="G235" s="55">
        <v>13.53</v>
      </c>
      <c r="H235" s="55">
        <v>13.53</v>
      </c>
      <c r="I235" s="55">
        <v>10.82</v>
      </c>
      <c r="J235" s="55">
        <v>6.31</v>
      </c>
      <c r="K235" s="55">
        <v>6.31</v>
      </c>
      <c r="L235" s="55">
        <v>6.31</v>
      </c>
      <c r="M235" s="55">
        <v>6.31</v>
      </c>
      <c r="N235" s="55">
        <v>6.31</v>
      </c>
      <c r="O235" s="55">
        <v>10.82</v>
      </c>
      <c r="P235" s="55">
        <v>10.82</v>
      </c>
      <c r="Q235" s="55">
        <v>10.82</v>
      </c>
      <c r="R235" s="55">
        <v>6.31</v>
      </c>
      <c r="S235" s="11">
        <f t="shared" si="127"/>
        <v>108.19999999999999</v>
      </c>
      <c r="T235" s="102"/>
      <c r="U235" s="1"/>
      <c r="V235" s="50">
        <f t="shared" ref="V235:V298" si="164">CV235</f>
        <v>119960</v>
      </c>
      <c r="W235" s="36">
        <v>2.956</v>
      </c>
      <c r="X235" s="36">
        <v>2.956</v>
      </c>
      <c r="Y235" s="36">
        <v>2.956</v>
      </c>
      <c r="Z235" s="36">
        <v>2.956</v>
      </c>
      <c r="AA235" s="36">
        <v>2.956</v>
      </c>
      <c r="AB235" s="36">
        <v>2.956</v>
      </c>
      <c r="AC235" s="36">
        <v>2.956</v>
      </c>
      <c r="AD235" s="36">
        <v>2.956</v>
      </c>
      <c r="AE235" s="36">
        <v>2.956</v>
      </c>
      <c r="AF235" s="36">
        <v>2.956</v>
      </c>
      <c r="AG235" s="36">
        <v>2.956</v>
      </c>
      <c r="AH235" s="36">
        <v>2.956</v>
      </c>
      <c r="AI235" s="39">
        <v>1.33634708931066E-2</v>
      </c>
      <c r="AJ235" s="39">
        <v>1.33634708931066E-2</v>
      </c>
      <c r="AK235" s="39">
        <v>1.33634708931066E-2</v>
      </c>
      <c r="AL235" s="39">
        <v>1.33634708931066E-2</v>
      </c>
      <c r="AM235" s="39">
        <v>1.33634708931066E-2</v>
      </c>
      <c r="AN235" s="39">
        <v>1.33634708931066E-2</v>
      </c>
      <c r="AO235" s="39">
        <v>1.33634708931066E-2</v>
      </c>
      <c r="AP235" s="39">
        <v>1.33634708931066E-2</v>
      </c>
      <c r="AQ235" s="39">
        <v>1.33634708931066E-2</v>
      </c>
      <c r="AR235" s="39">
        <v>1.33634708931066E-2</v>
      </c>
      <c r="AS235" s="39">
        <v>1.33634708931066E-2</v>
      </c>
      <c r="AT235" s="39">
        <v>1.33634708931066E-2</v>
      </c>
      <c r="AU235" s="39">
        <v>1.2392217523121999E-3</v>
      </c>
      <c r="AV235" s="39">
        <v>1.2392217523121999E-3</v>
      </c>
      <c r="AW235" s="39">
        <v>1.2392217523121999E-3</v>
      </c>
      <c r="AX235" s="39">
        <v>1.2392217523121999E-3</v>
      </c>
      <c r="AY235" s="39">
        <v>1.2392217523121999E-3</v>
      </c>
      <c r="AZ235" s="39">
        <v>1.2392217523121999E-3</v>
      </c>
      <c r="BA235" s="39">
        <v>1.2392217523121999E-3</v>
      </c>
      <c r="BB235" s="39">
        <v>1.2392217523121999E-3</v>
      </c>
      <c r="BC235" s="39">
        <v>1.2392217523121999E-3</v>
      </c>
      <c r="BD235" s="39">
        <v>1.2392217523121999E-3</v>
      </c>
      <c r="BE235" s="39">
        <v>1.2392217523121999E-3</v>
      </c>
      <c r="BF235" s="39">
        <v>1.2392217523121999E-3</v>
      </c>
      <c r="BG235" s="1"/>
      <c r="BH235" s="12">
        <f t="shared" si="128"/>
        <v>43.701899999999995</v>
      </c>
      <c r="BI235" s="12">
        <f t="shared" si="129"/>
        <v>43.701899999999995</v>
      </c>
      <c r="BJ235" s="12">
        <f t="shared" si="130"/>
        <v>34.948599999999999</v>
      </c>
      <c r="BK235" s="12">
        <f t="shared" si="131"/>
        <v>20.3813</v>
      </c>
      <c r="BL235" s="12">
        <f t="shared" si="132"/>
        <v>20.3813</v>
      </c>
      <c r="BM235" s="12">
        <f t="shared" si="133"/>
        <v>20.3813</v>
      </c>
      <c r="BN235" s="12">
        <f t="shared" si="134"/>
        <v>20.3813</v>
      </c>
      <c r="BO235" s="12">
        <f t="shared" si="135"/>
        <v>20.3813</v>
      </c>
      <c r="BP235" s="12">
        <f t="shared" si="136"/>
        <v>34.948599999999999</v>
      </c>
      <c r="BQ235" s="12">
        <f t="shared" si="137"/>
        <v>34.948599999999999</v>
      </c>
      <c r="BR235" s="12">
        <f t="shared" si="138"/>
        <v>34.948599999999999</v>
      </c>
      <c r="BS235" s="12">
        <f t="shared" si="139"/>
        <v>20.3813</v>
      </c>
      <c r="BT235" s="1"/>
      <c r="BU235" s="11">
        <f t="shared" si="140"/>
        <v>44.340065413720822</v>
      </c>
      <c r="BV235" s="11">
        <f t="shared" si="141"/>
        <v>44.340065413720822</v>
      </c>
      <c r="BW235" s="11">
        <f t="shared" si="142"/>
        <v>35.458943664187686</v>
      </c>
      <c r="BX235" s="11">
        <f t="shared" si="143"/>
        <v>20.678921859614075</v>
      </c>
      <c r="BY235" s="11">
        <f t="shared" si="144"/>
        <v>20.678921859614075</v>
      </c>
      <c r="BZ235" s="11">
        <f t="shared" si="145"/>
        <v>20.678921859614075</v>
      </c>
      <c r="CA235" s="11">
        <f t="shared" si="146"/>
        <v>20.678921859614075</v>
      </c>
      <c r="CB235" s="11">
        <f t="shared" si="147"/>
        <v>20.678921859614075</v>
      </c>
      <c r="CC235" s="11">
        <f t="shared" si="148"/>
        <v>35.458943664187686</v>
      </c>
      <c r="CD235" s="11">
        <f t="shared" si="149"/>
        <v>35.458943664187686</v>
      </c>
      <c r="CE235" s="11">
        <f t="shared" si="150"/>
        <v>35.458943664187686</v>
      </c>
      <c r="CF235" s="11">
        <f t="shared" si="151"/>
        <v>20.678921859614075</v>
      </c>
      <c r="CG235" s="11"/>
      <c r="CH235" s="41">
        <v>3.23</v>
      </c>
      <c r="CI235" s="1"/>
      <c r="CJ235" s="53">
        <f t="shared" si="152"/>
        <v>15000</v>
      </c>
      <c r="CK235" s="53">
        <f t="shared" si="153"/>
        <v>15000</v>
      </c>
      <c r="CL235" s="53">
        <f t="shared" si="154"/>
        <v>11996</v>
      </c>
      <c r="CM235" s="53">
        <f t="shared" si="155"/>
        <v>6996</v>
      </c>
      <c r="CN235" s="53">
        <f t="shared" si="156"/>
        <v>6996</v>
      </c>
      <c r="CO235" s="53">
        <f t="shared" si="157"/>
        <v>6996</v>
      </c>
      <c r="CP235" s="53">
        <f t="shared" si="158"/>
        <v>6996</v>
      </c>
      <c r="CQ235" s="53">
        <f t="shared" si="159"/>
        <v>6996</v>
      </c>
      <c r="CR235" s="53">
        <f t="shared" si="160"/>
        <v>11996</v>
      </c>
      <c r="CS235" s="53">
        <f t="shared" si="161"/>
        <v>11996</v>
      </c>
      <c r="CT235" s="53">
        <f t="shared" si="162"/>
        <v>11996</v>
      </c>
      <c r="CU235" s="53">
        <f t="shared" si="163"/>
        <v>6996</v>
      </c>
      <c r="CV235" s="53">
        <f t="shared" ref="CV235:CV298" si="165">ROUNDUP(SUM(CJ235:CU235),0)</f>
        <v>119960</v>
      </c>
      <c r="CW235" s="1"/>
      <c r="CX235" s="1"/>
      <c r="CY235" s="1"/>
      <c r="CZ235" s="1"/>
      <c r="DA235" s="1"/>
      <c r="DB235" s="1"/>
      <c r="DC235" s="1"/>
      <c r="DD235" s="1"/>
      <c r="DE235" s="1"/>
      <c r="DF235" s="1"/>
      <c r="DG235" s="1"/>
      <c r="DH235" s="1"/>
      <c r="DI235" s="1"/>
      <c r="DJ235" s="1"/>
      <c r="DK235" s="1"/>
      <c r="DL235" s="1"/>
    </row>
    <row r="236" spans="1:116" ht="15.75" hidden="1" x14ac:dyDescent="0.25">
      <c r="A236" s="17"/>
      <c r="B236" s="17"/>
      <c r="C236" s="17"/>
      <c r="D236" s="17"/>
      <c r="E236" s="17"/>
      <c r="F236" s="32" t="s">
        <v>2947</v>
      </c>
      <c r="G236" s="55">
        <v>169.67</v>
      </c>
      <c r="H236" s="55">
        <v>169.67</v>
      </c>
      <c r="I236" s="55">
        <v>159.07</v>
      </c>
      <c r="J236" s="55">
        <v>84.84</v>
      </c>
      <c r="K236" s="55">
        <v>63.63</v>
      </c>
      <c r="L236" s="55">
        <v>63.63</v>
      </c>
      <c r="M236" s="55">
        <v>63.63</v>
      </c>
      <c r="N236" s="55">
        <v>84.84</v>
      </c>
      <c r="O236" s="55">
        <v>159.07</v>
      </c>
      <c r="P236" s="55">
        <v>159.07</v>
      </c>
      <c r="Q236" s="55">
        <v>159.07</v>
      </c>
      <c r="R236" s="55">
        <v>127.25</v>
      </c>
      <c r="S236" s="11">
        <f t="shared" si="127"/>
        <v>1463.4399999999998</v>
      </c>
      <c r="T236" s="102"/>
      <c r="U236" s="1"/>
      <c r="V236" s="50">
        <f t="shared" si="164"/>
        <v>1379729</v>
      </c>
      <c r="W236" s="36">
        <v>3.476</v>
      </c>
      <c r="X236" s="36">
        <v>3.476</v>
      </c>
      <c r="Y236" s="36">
        <v>3.476</v>
      </c>
      <c r="Z236" s="36">
        <v>3.476</v>
      </c>
      <c r="AA236" s="36">
        <v>3.476</v>
      </c>
      <c r="AB236" s="36">
        <v>3.476</v>
      </c>
      <c r="AC236" s="36">
        <v>3.476</v>
      </c>
      <c r="AD236" s="36">
        <v>3.476</v>
      </c>
      <c r="AE236" s="36">
        <v>3.476</v>
      </c>
      <c r="AF236" s="36">
        <v>3.476</v>
      </c>
      <c r="AG236" s="36">
        <v>3.476</v>
      </c>
      <c r="AH236" s="36">
        <v>3.476</v>
      </c>
      <c r="AI236" s="39">
        <v>1.33634708931066E-2</v>
      </c>
      <c r="AJ236" s="39">
        <v>1.33634708931066E-2</v>
      </c>
      <c r="AK236" s="39">
        <v>1.33634708931066E-2</v>
      </c>
      <c r="AL236" s="39">
        <v>1.33634708931066E-2</v>
      </c>
      <c r="AM236" s="39">
        <v>1.33634708931066E-2</v>
      </c>
      <c r="AN236" s="39">
        <v>1.33634708931066E-2</v>
      </c>
      <c r="AO236" s="39">
        <v>1.33634708931066E-2</v>
      </c>
      <c r="AP236" s="39">
        <v>1.33634708931066E-2</v>
      </c>
      <c r="AQ236" s="39">
        <v>1.33634708931066E-2</v>
      </c>
      <c r="AR236" s="39">
        <v>1.33634708931066E-2</v>
      </c>
      <c r="AS236" s="39">
        <v>1.33634708931066E-2</v>
      </c>
      <c r="AT236" s="39">
        <v>1.33634708931066E-2</v>
      </c>
      <c r="AU236" s="39">
        <v>1.2392217523121999E-3</v>
      </c>
      <c r="AV236" s="39">
        <v>1.2392217523121999E-3</v>
      </c>
      <c r="AW236" s="39">
        <v>1.2392217523121999E-3</v>
      </c>
      <c r="AX236" s="39">
        <v>1.2392217523121999E-3</v>
      </c>
      <c r="AY236" s="39">
        <v>1.2392217523121999E-3</v>
      </c>
      <c r="AZ236" s="39">
        <v>1.2392217523121999E-3</v>
      </c>
      <c r="BA236" s="39">
        <v>1.2392217523121999E-3</v>
      </c>
      <c r="BB236" s="39">
        <v>1.2392217523121999E-3</v>
      </c>
      <c r="BC236" s="39">
        <v>1.2392217523121999E-3</v>
      </c>
      <c r="BD236" s="39">
        <v>1.2392217523121999E-3</v>
      </c>
      <c r="BE236" s="39">
        <v>1.2392217523121999E-3</v>
      </c>
      <c r="BF236" s="39">
        <v>1.2392217523121999E-3</v>
      </c>
      <c r="BG236" s="1"/>
      <c r="BH236" s="12">
        <f t="shared" si="128"/>
        <v>548.03409999999997</v>
      </c>
      <c r="BI236" s="12">
        <f t="shared" si="129"/>
        <v>548.03409999999997</v>
      </c>
      <c r="BJ236" s="12">
        <f t="shared" si="130"/>
        <v>513.79610000000002</v>
      </c>
      <c r="BK236" s="12">
        <f t="shared" si="131"/>
        <v>274.03320000000002</v>
      </c>
      <c r="BL236" s="12">
        <f t="shared" si="132"/>
        <v>205.5249</v>
      </c>
      <c r="BM236" s="12">
        <f t="shared" si="133"/>
        <v>205.5249</v>
      </c>
      <c r="BN236" s="12">
        <f t="shared" si="134"/>
        <v>205.5249</v>
      </c>
      <c r="BO236" s="12">
        <f t="shared" si="135"/>
        <v>274.03320000000002</v>
      </c>
      <c r="BP236" s="12">
        <f t="shared" si="136"/>
        <v>513.79610000000002</v>
      </c>
      <c r="BQ236" s="12">
        <f t="shared" si="137"/>
        <v>513.79610000000002</v>
      </c>
      <c r="BR236" s="12">
        <f t="shared" si="138"/>
        <v>513.79610000000002</v>
      </c>
      <c r="BS236" s="12">
        <f t="shared" si="139"/>
        <v>411.01749999999998</v>
      </c>
      <c r="BT236" s="1"/>
      <c r="BU236" s="11">
        <f t="shared" si="140"/>
        <v>556.03687352150871</v>
      </c>
      <c r="BV236" s="11">
        <f t="shared" si="141"/>
        <v>556.03687352150871</v>
      </c>
      <c r="BW236" s="11">
        <f t="shared" si="142"/>
        <v>521.29890653071493</v>
      </c>
      <c r="BX236" s="11">
        <f t="shared" si="143"/>
        <v>278.03482259424061</v>
      </c>
      <c r="BY236" s="11">
        <f t="shared" si="144"/>
        <v>208.52611694568043</v>
      </c>
      <c r="BZ236" s="11">
        <f t="shared" si="145"/>
        <v>208.52611694568043</v>
      </c>
      <c r="CA236" s="11">
        <f t="shared" si="146"/>
        <v>208.52611694568043</v>
      </c>
      <c r="CB236" s="11">
        <f t="shared" si="147"/>
        <v>278.03482259424061</v>
      </c>
      <c r="CC236" s="11">
        <f t="shared" si="148"/>
        <v>521.29890653071493</v>
      </c>
      <c r="CD236" s="11">
        <f t="shared" si="149"/>
        <v>521.29890653071493</v>
      </c>
      <c r="CE236" s="11">
        <f t="shared" si="150"/>
        <v>521.29890653071493</v>
      </c>
      <c r="CF236" s="11">
        <f t="shared" si="151"/>
        <v>417.01946222438841</v>
      </c>
      <c r="CG236" s="11"/>
      <c r="CH236" s="41">
        <v>3.23</v>
      </c>
      <c r="CI236" s="1"/>
      <c r="CJ236" s="53">
        <f t="shared" si="152"/>
        <v>159965</v>
      </c>
      <c r="CK236" s="53">
        <f t="shared" si="153"/>
        <v>159965</v>
      </c>
      <c r="CL236" s="53">
        <f t="shared" si="154"/>
        <v>149971</v>
      </c>
      <c r="CM236" s="53">
        <f t="shared" si="155"/>
        <v>79987</v>
      </c>
      <c r="CN236" s="53">
        <f t="shared" si="156"/>
        <v>59990</v>
      </c>
      <c r="CO236" s="53">
        <f t="shared" si="157"/>
        <v>59990</v>
      </c>
      <c r="CP236" s="53">
        <f t="shared" si="158"/>
        <v>59990</v>
      </c>
      <c r="CQ236" s="53">
        <f t="shared" si="159"/>
        <v>79987</v>
      </c>
      <c r="CR236" s="53">
        <f t="shared" si="160"/>
        <v>149971</v>
      </c>
      <c r="CS236" s="53">
        <f t="shared" si="161"/>
        <v>149971</v>
      </c>
      <c r="CT236" s="53">
        <f t="shared" si="162"/>
        <v>149971</v>
      </c>
      <c r="CU236" s="53">
        <f t="shared" si="163"/>
        <v>119971</v>
      </c>
      <c r="CV236" s="53">
        <f t="shared" si="165"/>
        <v>1379729</v>
      </c>
      <c r="CW236" s="1"/>
      <c r="CX236" s="1"/>
      <c r="CY236" s="1"/>
      <c r="CZ236" s="1"/>
      <c r="DA236" s="1"/>
      <c r="DB236" s="1"/>
      <c r="DC236" s="1"/>
      <c r="DD236" s="1"/>
      <c r="DE236" s="1"/>
      <c r="DF236" s="1"/>
      <c r="DG236" s="1"/>
      <c r="DH236" s="1"/>
      <c r="DI236" s="1"/>
      <c r="DJ236" s="1"/>
      <c r="DK236" s="1"/>
      <c r="DL236" s="1"/>
    </row>
    <row r="237" spans="1:116" ht="15.75" hidden="1" x14ac:dyDescent="0.25">
      <c r="A237" s="17"/>
      <c r="B237" s="17"/>
      <c r="C237" s="17"/>
      <c r="D237" s="17"/>
      <c r="E237" s="17"/>
      <c r="F237" s="32" t="s">
        <v>2947</v>
      </c>
      <c r="G237" s="55">
        <v>203.04</v>
      </c>
      <c r="H237" s="55">
        <v>203.04</v>
      </c>
      <c r="I237" s="55">
        <v>179.16</v>
      </c>
      <c r="J237" s="55">
        <v>119.44</v>
      </c>
      <c r="K237" s="55">
        <v>83.61</v>
      </c>
      <c r="L237" s="55">
        <v>71.66</v>
      </c>
      <c r="M237" s="55">
        <v>71.66</v>
      </c>
      <c r="N237" s="55">
        <v>95.55</v>
      </c>
      <c r="O237" s="55">
        <v>131.38</v>
      </c>
      <c r="P237" s="55">
        <v>203.04</v>
      </c>
      <c r="Q237" s="55">
        <v>203.04</v>
      </c>
      <c r="R237" s="55">
        <v>155.27000000000001</v>
      </c>
      <c r="S237" s="11">
        <f t="shared" si="127"/>
        <v>1719.8899999999999</v>
      </c>
      <c r="T237" s="102"/>
      <c r="U237" s="1"/>
      <c r="V237" s="50">
        <f t="shared" si="164"/>
        <v>1439686</v>
      </c>
      <c r="W237" s="36">
        <v>3.915</v>
      </c>
      <c r="X237" s="36">
        <v>3.915</v>
      </c>
      <c r="Y237" s="36">
        <v>3.915</v>
      </c>
      <c r="Z237" s="36">
        <v>3.915</v>
      </c>
      <c r="AA237" s="36">
        <v>3.915</v>
      </c>
      <c r="AB237" s="36">
        <v>3.915</v>
      </c>
      <c r="AC237" s="36">
        <v>3.915</v>
      </c>
      <c r="AD237" s="36">
        <v>3.915</v>
      </c>
      <c r="AE237" s="36">
        <v>3.915</v>
      </c>
      <c r="AF237" s="36">
        <v>3.915</v>
      </c>
      <c r="AG237" s="36">
        <v>3.915</v>
      </c>
      <c r="AH237" s="36">
        <v>3.915</v>
      </c>
      <c r="AI237" s="39">
        <v>1.33634708931066E-2</v>
      </c>
      <c r="AJ237" s="39">
        <v>1.33634708931066E-2</v>
      </c>
      <c r="AK237" s="39">
        <v>1.33634708931066E-2</v>
      </c>
      <c r="AL237" s="39">
        <v>1.33634708931066E-2</v>
      </c>
      <c r="AM237" s="39">
        <v>1.33634708931066E-2</v>
      </c>
      <c r="AN237" s="39">
        <v>1.33634708931066E-2</v>
      </c>
      <c r="AO237" s="39">
        <v>1.33634708931066E-2</v>
      </c>
      <c r="AP237" s="39">
        <v>1.33634708931066E-2</v>
      </c>
      <c r="AQ237" s="39">
        <v>1.33634708931066E-2</v>
      </c>
      <c r="AR237" s="39">
        <v>1.33634708931066E-2</v>
      </c>
      <c r="AS237" s="39">
        <v>1.33634708931066E-2</v>
      </c>
      <c r="AT237" s="39">
        <v>1.33634708931066E-2</v>
      </c>
      <c r="AU237" s="39">
        <v>1.2392217523121999E-3</v>
      </c>
      <c r="AV237" s="39">
        <v>1.2392217523121999E-3</v>
      </c>
      <c r="AW237" s="39">
        <v>1.2392217523121999E-3</v>
      </c>
      <c r="AX237" s="39">
        <v>1.2392217523121999E-3</v>
      </c>
      <c r="AY237" s="39">
        <v>1.2392217523121999E-3</v>
      </c>
      <c r="AZ237" s="39">
        <v>1.2392217523121999E-3</v>
      </c>
      <c r="BA237" s="39">
        <v>1.2392217523121999E-3</v>
      </c>
      <c r="BB237" s="39">
        <v>1.2392217523121999E-3</v>
      </c>
      <c r="BC237" s="39">
        <v>1.2392217523121999E-3</v>
      </c>
      <c r="BD237" s="39">
        <v>1.2392217523121999E-3</v>
      </c>
      <c r="BE237" s="39">
        <v>1.2392217523121999E-3</v>
      </c>
      <c r="BF237" s="39">
        <v>1.2392217523121999E-3</v>
      </c>
      <c r="BG237" s="1"/>
      <c r="BH237" s="12">
        <f t="shared" si="128"/>
        <v>655.81920000000002</v>
      </c>
      <c r="BI237" s="12">
        <f t="shared" si="129"/>
        <v>655.81920000000002</v>
      </c>
      <c r="BJ237" s="12">
        <f t="shared" si="130"/>
        <v>578.68679999999995</v>
      </c>
      <c r="BK237" s="12">
        <f t="shared" si="131"/>
        <v>385.7912</v>
      </c>
      <c r="BL237" s="12">
        <f t="shared" si="132"/>
        <v>270.06029999999998</v>
      </c>
      <c r="BM237" s="12">
        <f t="shared" si="133"/>
        <v>231.46179999999998</v>
      </c>
      <c r="BN237" s="12">
        <f t="shared" si="134"/>
        <v>231.46179999999998</v>
      </c>
      <c r="BO237" s="12">
        <f t="shared" si="135"/>
        <v>308.62649999999996</v>
      </c>
      <c r="BP237" s="12">
        <f t="shared" si="136"/>
        <v>424.35739999999998</v>
      </c>
      <c r="BQ237" s="12">
        <f t="shared" si="137"/>
        <v>655.81920000000002</v>
      </c>
      <c r="BR237" s="12">
        <f t="shared" si="138"/>
        <v>655.81920000000002</v>
      </c>
      <c r="BS237" s="12">
        <f t="shared" si="139"/>
        <v>501.52210000000002</v>
      </c>
      <c r="BT237" s="1"/>
      <c r="BU237" s="11">
        <f t="shared" si="140"/>
        <v>665.39592620856445</v>
      </c>
      <c r="BV237" s="11">
        <f t="shared" si="141"/>
        <v>665.39592620856445</v>
      </c>
      <c r="BW237" s="11">
        <f t="shared" si="142"/>
        <v>587.13718547836083</v>
      </c>
      <c r="BX237" s="11">
        <f t="shared" si="143"/>
        <v>391.4247903189073</v>
      </c>
      <c r="BY237" s="11">
        <f t="shared" si="144"/>
        <v>274.0039075566296</v>
      </c>
      <c r="BZ237" s="11">
        <f t="shared" si="145"/>
        <v>234.84176552455537</v>
      </c>
      <c r="CA237" s="11">
        <f t="shared" si="146"/>
        <v>234.84176552455537</v>
      </c>
      <c r="CB237" s="11">
        <f t="shared" si="147"/>
        <v>313.13327792173129</v>
      </c>
      <c r="CC237" s="11">
        <f t="shared" si="148"/>
        <v>430.55416068400905</v>
      </c>
      <c r="CD237" s="11">
        <f t="shared" si="149"/>
        <v>665.39592620856445</v>
      </c>
      <c r="CE237" s="11">
        <f t="shared" si="150"/>
        <v>665.39592620856445</v>
      </c>
      <c r="CF237" s="11">
        <f t="shared" si="151"/>
        <v>508.845673081185</v>
      </c>
      <c r="CG237" s="11"/>
      <c r="CH237" s="41">
        <v>3.23</v>
      </c>
      <c r="CI237" s="1"/>
      <c r="CJ237" s="53">
        <f t="shared" si="152"/>
        <v>169961</v>
      </c>
      <c r="CK237" s="53">
        <f t="shared" si="153"/>
        <v>169961</v>
      </c>
      <c r="CL237" s="53">
        <f t="shared" si="154"/>
        <v>149971</v>
      </c>
      <c r="CM237" s="53">
        <f t="shared" si="155"/>
        <v>99981</v>
      </c>
      <c r="CN237" s="53">
        <f t="shared" si="156"/>
        <v>69988</v>
      </c>
      <c r="CO237" s="53">
        <f t="shared" si="157"/>
        <v>59985</v>
      </c>
      <c r="CP237" s="53">
        <f t="shared" si="158"/>
        <v>59985</v>
      </c>
      <c r="CQ237" s="53">
        <f t="shared" si="159"/>
        <v>79983</v>
      </c>
      <c r="CR237" s="53">
        <f t="shared" si="160"/>
        <v>109976</v>
      </c>
      <c r="CS237" s="53">
        <f t="shared" si="161"/>
        <v>169961</v>
      </c>
      <c r="CT237" s="53">
        <f t="shared" si="162"/>
        <v>169961</v>
      </c>
      <c r="CU237" s="53">
        <f t="shared" si="163"/>
        <v>129973</v>
      </c>
      <c r="CV237" s="53">
        <f t="shared" si="165"/>
        <v>1439686</v>
      </c>
      <c r="CW237" s="1"/>
      <c r="CX237" s="1"/>
      <c r="CY237" s="1"/>
      <c r="CZ237" s="1"/>
      <c r="DA237" s="1"/>
      <c r="DB237" s="1"/>
      <c r="DC237" s="1"/>
      <c r="DD237" s="1"/>
      <c r="DE237" s="1"/>
      <c r="DF237" s="1"/>
      <c r="DG237" s="1"/>
      <c r="DH237" s="1"/>
      <c r="DI237" s="1"/>
      <c r="DJ237" s="1"/>
      <c r="DK237" s="1"/>
      <c r="DL237" s="1"/>
    </row>
    <row r="238" spans="1:116" ht="15.75" hidden="1" x14ac:dyDescent="0.25">
      <c r="A238" s="17"/>
      <c r="B238" s="17"/>
      <c r="C238" s="17"/>
      <c r="D238" s="17"/>
      <c r="E238" s="17"/>
      <c r="F238" s="32" t="s">
        <v>2947</v>
      </c>
      <c r="G238" s="55">
        <v>39.14</v>
      </c>
      <c r="H238" s="55">
        <v>0</v>
      </c>
      <c r="I238" s="55">
        <v>0</v>
      </c>
      <c r="J238" s="55">
        <v>0</v>
      </c>
      <c r="K238" s="55">
        <v>39.14</v>
      </c>
      <c r="L238" s="55">
        <v>0</v>
      </c>
      <c r="M238" s="55">
        <v>0</v>
      </c>
      <c r="N238" s="55">
        <v>39.14</v>
      </c>
      <c r="O238" s="55">
        <v>0</v>
      </c>
      <c r="P238" s="55">
        <v>0</v>
      </c>
      <c r="Q238" s="55">
        <v>0</v>
      </c>
      <c r="R238" s="55">
        <v>39.14</v>
      </c>
      <c r="S238" s="11">
        <f t="shared" si="127"/>
        <v>156.56</v>
      </c>
      <c r="T238" s="102"/>
      <c r="U238" s="1"/>
      <c r="V238" s="50">
        <f t="shared" si="164"/>
        <v>17280</v>
      </c>
      <c r="W238" s="36">
        <v>9.06</v>
      </c>
      <c r="X238" s="36">
        <v>9.06</v>
      </c>
      <c r="Y238" s="36">
        <v>9.06</v>
      </c>
      <c r="Z238" s="36">
        <v>9.06</v>
      </c>
      <c r="AA238" s="36">
        <v>9.06</v>
      </c>
      <c r="AB238" s="36">
        <v>9.06</v>
      </c>
      <c r="AC238" s="36">
        <v>9.06</v>
      </c>
      <c r="AD238" s="36">
        <v>9.06</v>
      </c>
      <c r="AE238" s="36">
        <v>9.06</v>
      </c>
      <c r="AF238" s="36">
        <v>9.06</v>
      </c>
      <c r="AG238" s="36">
        <v>9.06</v>
      </c>
      <c r="AH238" s="36">
        <v>9.06</v>
      </c>
      <c r="AI238" s="39">
        <v>0</v>
      </c>
      <c r="AJ238" s="39">
        <v>0</v>
      </c>
      <c r="AK238" s="39">
        <v>0</v>
      </c>
      <c r="AL238" s="39">
        <v>0</v>
      </c>
      <c r="AM238" s="39">
        <v>0</v>
      </c>
      <c r="AN238" s="39">
        <v>0</v>
      </c>
      <c r="AO238" s="39">
        <v>0</v>
      </c>
      <c r="AP238" s="39">
        <v>0</v>
      </c>
      <c r="AQ238" s="39">
        <v>0</v>
      </c>
      <c r="AR238" s="39">
        <v>0</v>
      </c>
      <c r="AS238" s="39">
        <v>0</v>
      </c>
      <c r="AT238" s="39">
        <v>0</v>
      </c>
      <c r="AU238" s="39">
        <v>0</v>
      </c>
      <c r="AV238" s="39">
        <v>0</v>
      </c>
      <c r="AW238" s="39">
        <v>0</v>
      </c>
      <c r="AX238" s="39">
        <v>0</v>
      </c>
      <c r="AY238" s="39">
        <v>0</v>
      </c>
      <c r="AZ238" s="39">
        <v>0</v>
      </c>
      <c r="BA238" s="39">
        <v>0</v>
      </c>
      <c r="BB238" s="39">
        <v>0</v>
      </c>
      <c r="BC238" s="39">
        <v>0</v>
      </c>
      <c r="BD238" s="39">
        <v>0</v>
      </c>
      <c r="BE238" s="39">
        <v>0</v>
      </c>
      <c r="BF238" s="39">
        <v>0</v>
      </c>
      <c r="BG238" s="1"/>
      <c r="BH238" s="12">
        <f t="shared" si="128"/>
        <v>39.14</v>
      </c>
      <c r="BI238" s="12">
        <f t="shared" si="129"/>
        <v>0</v>
      </c>
      <c r="BJ238" s="12">
        <f t="shared" si="130"/>
        <v>0</v>
      </c>
      <c r="BK238" s="12">
        <f t="shared" si="131"/>
        <v>0</v>
      </c>
      <c r="BL238" s="12">
        <f t="shared" si="132"/>
        <v>39.14</v>
      </c>
      <c r="BM238" s="12">
        <f t="shared" si="133"/>
        <v>0</v>
      </c>
      <c r="BN238" s="12">
        <f t="shared" si="134"/>
        <v>0</v>
      </c>
      <c r="BO238" s="12">
        <f t="shared" si="135"/>
        <v>39.14</v>
      </c>
      <c r="BP238" s="12">
        <f t="shared" si="136"/>
        <v>0</v>
      </c>
      <c r="BQ238" s="12">
        <f t="shared" si="137"/>
        <v>0</v>
      </c>
      <c r="BR238" s="12">
        <f t="shared" si="138"/>
        <v>0</v>
      </c>
      <c r="BS238" s="12">
        <f t="shared" si="139"/>
        <v>39.14</v>
      </c>
      <c r="BT238" s="1"/>
      <c r="BU238" s="11">
        <f t="shared" si="140"/>
        <v>39.14</v>
      </c>
      <c r="BV238" s="11">
        <f t="shared" si="141"/>
        <v>0</v>
      </c>
      <c r="BW238" s="11">
        <f t="shared" si="142"/>
        <v>0</v>
      </c>
      <c r="BX238" s="11">
        <f t="shared" si="143"/>
        <v>0</v>
      </c>
      <c r="BY238" s="11">
        <f t="shared" si="144"/>
        <v>39.14</v>
      </c>
      <c r="BZ238" s="11">
        <f t="shared" si="145"/>
        <v>0</v>
      </c>
      <c r="CA238" s="11">
        <f t="shared" si="146"/>
        <v>0</v>
      </c>
      <c r="CB238" s="11">
        <f t="shared" si="147"/>
        <v>39.14</v>
      </c>
      <c r="CC238" s="11">
        <f t="shared" si="148"/>
        <v>0</v>
      </c>
      <c r="CD238" s="11">
        <f t="shared" si="149"/>
        <v>0</v>
      </c>
      <c r="CE238" s="11">
        <f t="shared" si="150"/>
        <v>0</v>
      </c>
      <c r="CF238" s="11">
        <f t="shared" si="151"/>
        <v>39.14</v>
      </c>
      <c r="CG238" s="11"/>
      <c r="CH238" s="41">
        <v>1</v>
      </c>
      <c r="CI238" s="1"/>
      <c r="CJ238" s="53">
        <f t="shared" si="152"/>
        <v>4320</v>
      </c>
      <c r="CK238" s="53">
        <f t="shared" si="153"/>
        <v>0</v>
      </c>
      <c r="CL238" s="53">
        <f t="shared" si="154"/>
        <v>0</v>
      </c>
      <c r="CM238" s="53">
        <f t="shared" si="155"/>
        <v>0</v>
      </c>
      <c r="CN238" s="53">
        <f t="shared" si="156"/>
        <v>4320</v>
      </c>
      <c r="CO238" s="53">
        <f t="shared" si="157"/>
        <v>0</v>
      </c>
      <c r="CP238" s="53">
        <f t="shared" si="158"/>
        <v>0</v>
      </c>
      <c r="CQ238" s="53">
        <f t="shared" si="159"/>
        <v>4320</v>
      </c>
      <c r="CR238" s="53">
        <f t="shared" si="160"/>
        <v>0</v>
      </c>
      <c r="CS238" s="53">
        <f t="shared" si="161"/>
        <v>0</v>
      </c>
      <c r="CT238" s="53">
        <f t="shared" si="162"/>
        <v>0</v>
      </c>
      <c r="CU238" s="53">
        <f t="shared" si="163"/>
        <v>4320</v>
      </c>
      <c r="CV238" s="53">
        <f t="shared" si="165"/>
        <v>17280</v>
      </c>
      <c r="CW238" s="1"/>
      <c r="CX238" s="1"/>
      <c r="CY238" s="1"/>
      <c r="CZ238" s="1"/>
      <c r="DA238" s="1"/>
      <c r="DB238" s="1"/>
      <c r="DC238" s="1"/>
      <c r="DD238" s="1"/>
      <c r="DE238" s="1"/>
      <c r="DF238" s="1"/>
      <c r="DG238" s="1"/>
      <c r="DH238" s="1"/>
      <c r="DI238" s="1"/>
      <c r="DJ238" s="1"/>
      <c r="DK238" s="1"/>
      <c r="DL238" s="1"/>
    </row>
    <row r="239" spans="1:116" ht="15.75" hidden="1" x14ac:dyDescent="0.25">
      <c r="A239" s="17"/>
      <c r="B239" s="17"/>
      <c r="C239" s="17"/>
      <c r="D239" s="17"/>
      <c r="E239" s="17"/>
      <c r="F239" s="32" t="s">
        <v>2947</v>
      </c>
      <c r="G239" s="55">
        <v>0</v>
      </c>
      <c r="H239" s="55">
        <v>8.7899999999999991</v>
      </c>
      <c r="I239" s="55">
        <v>0</v>
      </c>
      <c r="J239" s="55">
        <v>8.7899999999999991</v>
      </c>
      <c r="K239" s="55">
        <v>0</v>
      </c>
      <c r="L239" s="55">
        <v>8.7899999999999991</v>
      </c>
      <c r="M239" s="55">
        <v>0</v>
      </c>
      <c r="N239" s="55">
        <v>0</v>
      </c>
      <c r="O239" s="55">
        <v>0</v>
      </c>
      <c r="P239" s="55">
        <v>0</v>
      </c>
      <c r="Q239" s="55">
        <v>0</v>
      </c>
      <c r="R239" s="55">
        <v>8.7899999999999991</v>
      </c>
      <c r="S239" s="11">
        <f t="shared" si="127"/>
        <v>35.159999999999997</v>
      </c>
      <c r="T239" s="102"/>
      <c r="U239" s="1"/>
      <c r="V239" s="50">
        <f t="shared" si="164"/>
        <v>20804</v>
      </c>
      <c r="W239" s="36">
        <v>1.69</v>
      </c>
      <c r="X239" s="36">
        <v>1.69</v>
      </c>
      <c r="Y239" s="36">
        <v>1.69</v>
      </c>
      <c r="Z239" s="36">
        <v>1.69</v>
      </c>
      <c r="AA239" s="36">
        <v>1.69</v>
      </c>
      <c r="AB239" s="36">
        <v>1.69</v>
      </c>
      <c r="AC239" s="36">
        <v>1.69</v>
      </c>
      <c r="AD239" s="36">
        <v>1.69</v>
      </c>
      <c r="AE239" s="36">
        <v>1.69</v>
      </c>
      <c r="AF239" s="36">
        <v>1.69</v>
      </c>
      <c r="AG239" s="36">
        <v>1.69</v>
      </c>
      <c r="AH239" s="36">
        <v>1.69</v>
      </c>
      <c r="AI239" s="39">
        <v>0</v>
      </c>
      <c r="AJ239" s="39">
        <v>0</v>
      </c>
      <c r="AK239" s="39">
        <v>0</v>
      </c>
      <c r="AL239" s="39">
        <v>0</v>
      </c>
      <c r="AM239" s="39">
        <v>0</v>
      </c>
      <c r="AN239" s="39">
        <v>0</v>
      </c>
      <c r="AO239" s="39">
        <v>0</v>
      </c>
      <c r="AP239" s="39">
        <v>0</v>
      </c>
      <c r="AQ239" s="39">
        <v>0</v>
      </c>
      <c r="AR239" s="39">
        <v>0</v>
      </c>
      <c r="AS239" s="39">
        <v>0</v>
      </c>
      <c r="AT239" s="39">
        <v>0</v>
      </c>
      <c r="AU239" s="39">
        <v>0</v>
      </c>
      <c r="AV239" s="39">
        <v>0</v>
      </c>
      <c r="AW239" s="39">
        <v>0</v>
      </c>
      <c r="AX239" s="39">
        <v>0</v>
      </c>
      <c r="AY239" s="39">
        <v>0</v>
      </c>
      <c r="AZ239" s="39">
        <v>0</v>
      </c>
      <c r="BA239" s="39">
        <v>0</v>
      </c>
      <c r="BB239" s="39">
        <v>0</v>
      </c>
      <c r="BC239" s="39">
        <v>0</v>
      </c>
      <c r="BD239" s="39">
        <v>0</v>
      </c>
      <c r="BE239" s="39">
        <v>0</v>
      </c>
      <c r="BF239" s="39">
        <v>0</v>
      </c>
      <c r="BG239" s="1"/>
      <c r="BH239" s="12">
        <f t="shared" si="128"/>
        <v>0</v>
      </c>
      <c r="BI239" s="12">
        <f t="shared" si="129"/>
        <v>8.7899999999999991</v>
      </c>
      <c r="BJ239" s="12">
        <f t="shared" si="130"/>
        <v>0</v>
      </c>
      <c r="BK239" s="12">
        <f t="shared" si="131"/>
        <v>8.7899999999999991</v>
      </c>
      <c r="BL239" s="12">
        <f t="shared" si="132"/>
        <v>0</v>
      </c>
      <c r="BM239" s="12">
        <f t="shared" si="133"/>
        <v>8.7899999999999991</v>
      </c>
      <c r="BN239" s="12">
        <f t="shared" si="134"/>
        <v>0</v>
      </c>
      <c r="BO239" s="12">
        <f t="shared" si="135"/>
        <v>0</v>
      </c>
      <c r="BP239" s="12">
        <f t="shared" si="136"/>
        <v>0</v>
      </c>
      <c r="BQ239" s="12">
        <f t="shared" si="137"/>
        <v>0</v>
      </c>
      <c r="BR239" s="12">
        <f t="shared" si="138"/>
        <v>0</v>
      </c>
      <c r="BS239" s="12">
        <f t="shared" si="139"/>
        <v>8.7899999999999991</v>
      </c>
      <c r="BT239" s="1"/>
      <c r="BU239" s="11">
        <f t="shared" si="140"/>
        <v>0</v>
      </c>
      <c r="BV239" s="11">
        <f t="shared" si="141"/>
        <v>8.7899999999999991</v>
      </c>
      <c r="BW239" s="11">
        <f t="shared" si="142"/>
        <v>0</v>
      </c>
      <c r="BX239" s="11">
        <f t="shared" si="143"/>
        <v>8.7899999999999991</v>
      </c>
      <c r="BY239" s="11">
        <f t="shared" si="144"/>
        <v>0</v>
      </c>
      <c r="BZ239" s="11">
        <f t="shared" si="145"/>
        <v>8.7899999999999991</v>
      </c>
      <c r="CA239" s="11">
        <f t="shared" si="146"/>
        <v>0</v>
      </c>
      <c r="CB239" s="11">
        <f t="shared" si="147"/>
        <v>0</v>
      </c>
      <c r="CC239" s="11">
        <f t="shared" si="148"/>
        <v>0</v>
      </c>
      <c r="CD239" s="11">
        <f t="shared" si="149"/>
        <v>0</v>
      </c>
      <c r="CE239" s="11">
        <f t="shared" si="150"/>
        <v>0</v>
      </c>
      <c r="CF239" s="11">
        <f t="shared" si="151"/>
        <v>8.7899999999999991</v>
      </c>
      <c r="CG239" s="11"/>
      <c r="CH239" s="41">
        <v>1</v>
      </c>
      <c r="CI239" s="1"/>
      <c r="CJ239" s="53">
        <f t="shared" si="152"/>
        <v>0</v>
      </c>
      <c r="CK239" s="53">
        <f t="shared" si="153"/>
        <v>5201</v>
      </c>
      <c r="CL239" s="53">
        <f t="shared" si="154"/>
        <v>0</v>
      </c>
      <c r="CM239" s="53">
        <f t="shared" si="155"/>
        <v>5201</v>
      </c>
      <c r="CN239" s="53">
        <f t="shared" si="156"/>
        <v>0</v>
      </c>
      <c r="CO239" s="53">
        <f t="shared" si="157"/>
        <v>5201</v>
      </c>
      <c r="CP239" s="53">
        <f t="shared" si="158"/>
        <v>0</v>
      </c>
      <c r="CQ239" s="53">
        <f t="shared" si="159"/>
        <v>0</v>
      </c>
      <c r="CR239" s="53">
        <f t="shared" si="160"/>
        <v>0</v>
      </c>
      <c r="CS239" s="53">
        <f t="shared" si="161"/>
        <v>0</v>
      </c>
      <c r="CT239" s="53">
        <f t="shared" si="162"/>
        <v>0</v>
      </c>
      <c r="CU239" s="53">
        <f t="shared" si="163"/>
        <v>5201</v>
      </c>
      <c r="CV239" s="53">
        <f t="shared" si="165"/>
        <v>20804</v>
      </c>
      <c r="CW239" s="1"/>
      <c r="CX239" s="1"/>
      <c r="CY239" s="1"/>
      <c r="CZ239" s="1"/>
      <c r="DA239" s="1"/>
      <c r="DB239" s="1"/>
      <c r="DC239" s="1"/>
      <c r="DD239" s="1"/>
      <c r="DE239" s="1"/>
      <c r="DF239" s="1"/>
      <c r="DG239" s="1"/>
      <c r="DH239" s="1"/>
      <c r="DI239" s="1"/>
      <c r="DJ239" s="1"/>
      <c r="DK239" s="1"/>
      <c r="DL239" s="1"/>
    </row>
    <row r="240" spans="1:116" ht="15.75" hidden="1" x14ac:dyDescent="0.25">
      <c r="A240" s="17"/>
      <c r="B240" s="17"/>
      <c r="C240" s="17"/>
      <c r="D240" s="17"/>
      <c r="E240" s="17"/>
      <c r="F240" s="32" t="s">
        <v>2947</v>
      </c>
      <c r="G240" s="55">
        <v>0</v>
      </c>
      <c r="H240" s="55">
        <v>9.57</v>
      </c>
      <c r="I240" s="55">
        <v>0</v>
      </c>
      <c r="J240" s="55">
        <v>9.57</v>
      </c>
      <c r="K240" s="55">
        <v>0</v>
      </c>
      <c r="L240" s="55">
        <v>9.57</v>
      </c>
      <c r="M240" s="55">
        <v>0</v>
      </c>
      <c r="N240" s="55">
        <v>0</v>
      </c>
      <c r="O240" s="55">
        <v>0</v>
      </c>
      <c r="P240" s="55">
        <v>0</v>
      </c>
      <c r="Q240" s="55">
        <v>0</v>
      </c>
      <c r="R240" s="55">
        <v>9.57</v>
      </c>
      <c r="S240" s="11">
        <f t="shared" si="127"/>
        <v>38.28</v>
      </c>
      <c r="T240" s="102"/>
      <c r="U240" s="1"/>
      <c r="V240" s="50">
        <f t="shared" si="164"/>
        <v>20804</v>
      </c>
      <c r="W240" s="36">
        <v>1.8400042087542088</v>
      </c>
      <c r="X240" s="36">
        <v>1.8400042087542088</v>
      </c>
      <c r="Y240" s="36">
        <v>1.8400042087542088</v>
      </c>
      <c r="Z240" s="36">
        <v>1.8400042087542088</v>
      </c>
      <c r="AA240" s="36">
        <v>1.8400042087542088</v>
      </c>
      <c r="AB240" s="36">
        <v>1.8400042087542088</v>
      </c>
      <c r="AC240" s="36">
        <v>1.8400042087542088</v>
      </c>
      <c r="AD240" s="36">
        <v>1.8400042087542088</v>
      </c>
      <c r="AE240" s="36">
        <v>1.8400042087542088</v>
      </c>
      <c r="AF240" s="36">
        <v>1.8400042087542088</v>
      </c>
      <c r="AG240" s="36">
        <v>1.8400042087542088</v>
      </c>
      <c r="AH240" s="36">
        <v>1.8400042087542088</v>
      </c>
      <c r="AI240" s="39">
        <v>0</v>
      </c>
      <c r="AJ240" s="39">
        <v>0</v>
      </c>
      <c r="AK240" s="39">
        <v>0</v>
      </c>
      <c r="AL240" s="39">
        <v>0</v>
      </c>
      <c r="AM240" s="39">
        <v>0</v>
      </c>
      <c r="AN240" s="39">
        <v>0</v>
      </c>
      <c r="AO240" s="39">
        <v>0</v>
      </c>
      <c r="AP240" s="39">
        <v>0</v>
      </c>
      <c r="AQ240" s="39">
        <v>0</v>
      </c>
      <c r="AR240" s="39">
        <v>0</v>
      </c>
      <c r="AS240" s="39">
        <v>0</v>
      </c>
      <c r="AT240" s="39">
        <v>0</v>
      </c>
      <c r="AU240" s="39">
        <v>0</v>
      </c>
      <c r="AV240" s="39">
        <v>0</v>
      </c>
      <c r="AW240" s="39">
        <v>0</v>
      </c>
      <c r="AX240" s="39">
        <v>0</v>
      </c>
      <c r="AY240" s="39">
        <v>0</v>
      </c>
      <c r="AZ240" s="39">
        <v>0</v>
      </c>
      <c r="BA240" s="39">
        <v>0</v>
      </c>
      <c r="BB240" s="39">
        <v>0</v>
      </c>
      <c r="BC240" s="39">
        <v>0</v>
      </c>
      <c r="BD240" s="39">
        <v>0</v>
      </c>
      <c r="BE240" s="39">
        <v>0</v>
      </c>
      <c r="BF240" s="39">
        <v>0</v>
      </c>
      <c r="BG240" s="1"/>
      <c r="BH240" s="12">
        <f t="shared" si="128"/>
        <v>0</v>
      </c>
      <c r="BI240" s="12">
        <f t="shared" si="129"/>
        <v>9.57</v>
      </c>
      <c r="BJ240" s="12">
        <f t="shared" si="130"/>
        <v>0</v>
      </c>
      <c r="BK240" s="12">
        <f t="shared" si="131"/>
        <v>9.57</v>
      </c>
      <c r="BL240" s="12">
        <f t="shared" si="132"/>
        <v>0</v>
      </c>
      <c r="BM240" s="12">
        <f t="shared" si="133"/>
        <v>9.57</v>
      </c>
      <c r="BN240" s="12">
        <f t="shared" si="134"/>
        <v>0</v>
      </c>
      <c r="BO240" s="12">
        <f t="shared" si="135"/>
        <v>0</v>
      </c>
      <c r="BP240" s="12">
        <f t="shared" si="136"/>
        <v>0</v>
      </c>
      <c r="BQ240" s="12">
        <f t="shared" si="137"/>
        <v>0</v>
      </c>
      <c r="BR240" s="12">
        <f t="shared" si="138"/>
        <v>0</v>
      </c>
      <c r="BS240" s="12">
        <f t="shared" si="139"/>
        <v>9.57</v>
      </c>
      <c r="BT240" s="1"/>
      <c r="BU240" s="11">
        <f t="shared" si="140"/>
        <v>0</v>
      </c>
      <c r="BV240" s="11">
        <f t="shared" si="141"/>
        <v>9.57</v>
      </c>
      <c r="BW240" s="11">
        <f t="shared" si="142"/>
        <v>0</v>
      </c>
      <c r="BX240" s="11">
        <f t="shared" si="143"/>
        <v>9.57</v>
      </c>
      <c r="BY240" s="11">
        <f t="shared" si="144"/>
        <v>0</v>
      </c>
      <c r="BZ240" s="11">
        <f t="shared" si="145"/>
        <v>9.57</v>
      </c>
      <c r="CA240" s="11">
        <f t="shared" si="146"/>
        <v>0</v>
      </c>
      <c r="CB240" s="11">
        <f t="shared" si="147"/>
        <v>0</v>
      </c>
      <c r="CC240" s="11">
        <f t="shared" si="148"/>
        <v>0</v>
      </c>
      <c r="CD240" s="11">
        <f t="shared" si="149"/>
        <v>0</v>
      </c>
      <c r="CE240" s="11">
        <f t="shared" si="150"/>
        <v>0</v>
      </c>
      <c r="CF240" s="11">
        <f t="shared" si="151"/>
        <v>9.57</v>
      </c>
      <c r="CG240" s="11"/>
      <c r="CH240" s="41">
        <v>1</v>
      </c>
      <c r="CI240" s="1"/>
      <c r="CJ240" s="53">
        <f t="shared" si="152"/>
        <v>0</v>
      </c>
      <c r="CK240" s="53">
        <f t="shared" si="153"/>
        <v>5201</v>
      </c>
      <c r="CL240" s="53">
        <f t="shared" si="154"/>
        <v>0</v>
      </c>
      <c r="CM240" s="53">
        <f t="shared" si="155"/>
        <v>5201</v>
      </c>
      <c r="CN240" s="53">
        <f t="shared" si="156"/>
        <v>0</v>
      </c>
      <c r="CO240" s="53">
        <f t="shared" si="157"/>
        <v>5201</v>
      </c>
      <c r="CP240" s="53">
        <f t="shared" si="158"/>
        <v>0</v>
      </c>
      <c r="CQ240" s="53">
        <f t="shared" si="159"/>
        <v>0</v>
      </c>
      <c r="CR240" s="53">
        <f t="shared" si="160"/>
        <v>0</v>
      </c>
      <c r="CS240" s="53">
        <f t="shared" si="161"/>
        <v>0</v>
      </c>
      <c r="CT240" s="53">
        <f t="shared" si="162"/>
        <v>0</v>
      </c>
      <c r="CU240" s="53">
        <f t="shared" si="163"/>
        <v>5201</v>
      </c>
      <c r="CV240" s="53">
        <f t="shared" si="165"/>
        <v>20804</v>
      </c>
      <c r="CW240" s="1"/>
      <c r="CX240" s="1"/>
      <c r="CY240" s="1"/>
      <c r="CZ240" s="1"/>
      <c r="DA240" s="1"/>
      <c r="DB240" s="1"/>
      <c r="DC240" s="1"/>
      <c r="DD240" s="1"/>
      <c r="DE240" s="1"/>
      <c r="DF240" s="1"/>
      <c r="DG240" s="1"/>
      <c r="DH240" s="1"/>
      <c r="DI240" s="1"/>
      <c r="DJ240" s="1"/>
      <c r="DK240" s="1"/>
      <c r="DL240" s="1"/>
    </row>
    <row r="241" spans="1:116" ht="15.75" hidden="1" x14ac:dyDescent="0.25">
      <c r="A241" s="17"/>
      <c r="B241" s="17"/>
      <c r="C241" s="17"/>
      <c r="D241" s="17"/>
      <c r="E241" s="17"/>
      <c r="F241" s="32" t="s">
        <v>2947</v>
      </c>
      <c r="G241" s="55">
        <v>0</v>
      </c>
      <c r="H241" s="55">
        <v>0</v>
      </c>
      <c r="I241" s="55">
        <v>0</v>
      </c>
      <c r="J241" s="55">
        <v>0</v>
      </c>
      <c r="K241" s="55">
        <v>0</v>
      </c>
      <c r="L241" s="55">
        <v>0</v>
      </c>
      <c r="M241" s="55">
        <v>0</v>
      </c>
      <c r="N241" s="55">
        <v>0</v>
      </c>
      <c r="O241" s="55">
        <v>0</v>
      </c>
      <c r="P241" s="55">
        <v>0</v>
      </c>
      <c r="Q241" s="55">
        <v>0</v>
      </c>
      <c r="R241" s="55">
        <v>0</v>
      </c>
      <c r="S241" s="11">
        <f>SUM(G241:R241)</f>
        <v>0</v>
      </c>
      <c r="T241" s="102"/>
      <c r="U241" s="1"/>
      <c r="V241" s="50">
        <f t="shared" si="164"/>
        <v>0</v>
      </c>
      <c r="W241" s="36">
        <v>11.423999999999999</v>
      </c>
      <c r="X241" s="36">
        <v>11.423999999999999</v>
      </c>
      <c r="Y241" s="36">
        <v>11.423999999999999</v>
      </c>
      <c r="Z241" s="36">
        <v>11.423999999999999</v>
      </c>
      <c r="AA241" s="36">
        <v>11.423999999999999</v>
      </c>
      <c r="AB241" s="36">
        <v>11.423999999999999</v>
      </c>
      <c r="AC241" s="36">
        <v>11.423999999999999</v>
      </c>
      <c r="AD241" s="36">
        <v>11.423999999999999</v>
      </c>
      <c r="AE241" s="36">
        <v>11.423999999999999</v>
      </c>
      <c r="AF241" s="36">
        <v>11.423999999999999</v>
      </c>
      <c r="AG241" s="36">
        <v>11.423999999999999</v>
      </c>
      <c r="AH241" s="36">
        <v>11.423999999999999</v>
      </c>
      <c r="AI241" s="39">
        <v>0.22999999999999998</v>
      </c>
      <c r="AJ241" s="39">
        <v>0.22999999999999998</v>
      </c>
      <c r="AK241" s="39">
        <v>0.22999999999999998</v>
      </c>
      <c r="AL241" s="39">
        <v>0.22999999999999998</v>
      </c>
      <c r="AM241" s="39">
        <v>0.22999999999999998</v>
      </c>
      <c r="AN241" s="39">
        <v>0.22999999999999998</v>
      </c>
      <c r="AO241" s="39">
        <v>0.22999999999999998</v>
      </c>
      <c r="AP241" s="39">
        <v>0.22999999999999998</v>
      </c>
      <c r="AQ241" s="39">
        <v>0.22999999999999998</v>
      </c>
      <c r="AR241" s="39">
        <v>0.22999999999999998</v>
      </c>
      <c r="AS241" s="39">
        <v>0.22999999999999998</v>
      </c>
      <c r="AT241" s="39">
        <v>0.22999999999999998</v>
      </c>
      <c r="AU241" s="39">
        <v>0</v>
      </c>
      <c r="AV241" s="39">
        <v>0</v>
      </c>
      <c r="AW241" s="39">
        <v>0</v>
      </c>
      <c r="AX241" s="39">
        <v>0</v>
      </c>
      <c r="AY241" s="39">
        <v>0</v>
      </c>
      <c r="AZ241" s="39">
        <v>0</v>
      </c>
      <c r="BA241" s="39">
        <v>0</v>
      </c>
      <c r="BB241" s="39">
        <v>0</v>
      </c>
      <c r="BC241" s="39">
        <v>0</v>
      </c>
      <c r="BD241" s="39">
        <v>0</v>
      </c>
      <c r="BE241" s="39">
        <v>0</v>
      </c>
      <c r="BF241" s="39">
        <v>0</v>
      </c>
      <c r="BG241" s="1"/>
      <c r="BH241" s="12">
        <f t="shared" si="128"/>
        <v>0</v>
      </c>
      <c r="BI241" s="12">
        <f t="shared" si="129"/>
        <v>0</v>
      </c>
      <c r="BJ241" s="12">
        <f t="shared" si="130"/>
        <v>0</v>
      </c>
      <c r="BK241" s="12">
        <f t="shared" si="131"/>
        <v>0</v>
      </c>
      <c r="BL241" s="12">
        <f t="shared" si="132"/>
        <v>0</v>
      </c>
      <c r="BM241" s="12">
        <f t="shared" si="133"/>
        <v>0</v>
      </c>
      <c r="BN241" s="12">
        <f t="shared" si="134"/>
        <v>0</v>
      </c>
      <c r="BO241" s="12">
        <f t="shared" si="135"/>
        <v>0</v>
      </c>
      <c r="BP241" s="12">
        <f t="shared" si="136"/>
        <v>0</v>
      </c>
      <c r="BQ241" s="12">
        <f t="shared" si="137"/>
        <v>0</v>
      </c>
      <c r="BR241" s="12">
        <f t="shared" si="138"/>
        <v>0</v>
      </c>
      <c r="BS241" s="12">
        <f t="shared" si="139"/>
        <v>0</v>
      </c>
      <c r="BT241" s="1"/>
      <c r="BU241" s="11">
        <f t="shared" si="140"/>
        <v>0</v>
      </c>
      <c r="BV241" s="11">
        <f t="shared" si="141"/>
        <v>0</v>
      </c>
      <c r="BW241" s="11">
        <f t="shared" si="142"/>
        <v>0</v>
      </c>
      <c r="BX241" s="11">
        <f t="shared" si="143"/>
        <v>0</v>
      </c>
      <c r="BY241" s="11">
        <f t="shared" si="144"/>
        <v>0</v>
      </c>
      <c r="BZ241" s="11">
        <f t="shared" si="145"/>
        <v>0</v>
      </c>
      <c r="CA241" s="11">
        <f t="shared" si="146"/>
        <v>0</v>
      </c>
      <c r="CB241" s="11">
        <f t="shared" si="147"/>
        <v>0</v>
      </c>
      <c r="CC241" s="11">
        <f t="shared" si="148"/>
        <v>0</v>
      </c>
      <c r="CD241" s="11">
        <f t="shared" si="149"/>
        <v>0</v>
      </c>
      <c r="CE241" s="11">
        <f t="shared" si="150"/>
        <v>0</v>
      </c>
      <c r="CF241" s="11">
        <f t="shared" si="151"/>
        <v>0</v>
      </c>
      <c r="CG241" s="11"/>
      <c r="CH241" s="41">
        <v>1</v>
      </c>
      <c r="CI241" s="1"/>
      <c r="CJ241" s="53">
        <f t="shared" si="152"/>
        <v>0</v>
      </c>
      <c r="CK241" s="53">
        <f t="shared" si="153"/>
        <v>0</v>
      </c>
      <c r="CL241" s="53">
        <f t="shared" si="154"/>
        <v>0</v>
      </c>
      <c r="CM241" s="53">
        <f t="shared" si="155"/>
        <v>0</v>
      </c>
      <c r="CN241" s="53">
        <f t="shared" si="156"/>
        <v>0</v>
      </c>
      <c r="CO241" s="53">
        <f t="shared" si="157"/>
        <v>0</v>
      </c>
      <c r="CP241" s="53">
        <f t="shared" si="158"/>
        <v>0</v>
      </c>
      <c r="CQ241" s="53">
        <f t="shared" si="159"/>
        <v>0</v>
      </c>
      <c r="CR241" s="53">
        <f t="shared" si="160"/>
        <v>0</v>
      </c>
      <c r="CS241" s="53">
        <f t="shared" si="161"/>
        <v>0</v>
      </c>
      <c r="CT241" s="53">
        <f t="shared" si="162"/>
        <v>0</v>
      </c>
      <c r="CU241" s="53">
        <f t="shared" si="163"/>
        <v>0</v>
      </c>
      <c r="CV241" s="53">
        <f t="shared" si="165"/>
        <v>0</v>
      </c>
      <c r="CW241" s="1"/>
      <c r="CX241" s="1"/>
      <c r="CY241" s="1"/>
      <c r="CZ241" s="1"/>
      <c r="DA241" s="1"/>
      <c r="DB241" s="1"/>
      <c r="DC241" s="1"/>
      <c r="DD241" s="1"/>
      <c r="DE241" s="1"/>
      <c r="DF241" s="1"/>
      <c r="DG241" s="1"/>
      <c r="DH241" s="1"/>
      <c r="DI241" s="1"/>
      <c r="DJ241" s="1"/>
      <c r="DK241" s="1"/>
      <c r="DL241" s="1"/>
    </row>
    <row r="242" spans="1:116" ht="15.75" hidden="1" x14ac:dyDescent="0.25">
      <c r="A242" s="17"/>
      <c r="B242" s="17"/>
      <c r="C242" s="17"/>
      <c r="D242" s="17"/>
      <c r="E242" s="17"/>
      <c r="F242" s="18" t="s">
        <v>32</v>
      </c>
      <c r="G242" s="57">
        <v>35</v>
      </c>
      <c r="H242" s="57">
        <v>35</v>
      </c>
      <c r="I242" s="57">
        <v>29.17</v>
      </c>
      <c r="J242" s="57">
        <v>17.190000000000001</v>
      </c>
      <c r="K242" s="57">
        <v>19.34</v>
      </c>
      <c r="L242" s="57">
        <v>29.35</v>
      </c>
      <c r="M242" s="57">
        <v>28.14</v>
      </c>
      <c r="N242" s="57">
        <v>43.7</v>
      </c>
      <c r="O242" s="57">
        <v>43.38</v>
      </c>
      <c r="P242" s="57">
        <v>46.66</v>
      </c>
      <c r="Q242" s="57">
        <v>58.99</v>
      </c>
      <c r="R242" s="57">
        <v>26.22</v>
      </c>
      <c r="S242" s="11">
        <f t="shared" si="127"/>
        <v>412.14</v>
      </c>
      <c r="T242" s="1"/>
      <c r="U242" s="1"/>
      <c r="V242" s="50">
        <f t="shared" si="164"/>
        <v>358644</v>
      </c>
      <c r="W242" s="36">
        <v>3.766</v>
      </c>
      <c r="X242" s="36">
        <v>3.766</v>
      </c>
      <c r="Y242" s="36">
        <v>3.766</v>
      </c>
      <c r="Z242" s="36">
        <v>3.766</v>
      </c>
      <c r="AA242" s="36">
        <v>3.766</v>
      </c>
      <c r="AB242" s="36">
        <v>3.766</v>
      </c>
      <c r="AC242" s="36">
        <v>3.766</v>
      </c>
      <c r="AD242" s="36">
        <v>3.766</v>
      </c>
      <c r="AE242" s="36">
        <v>3.766</v>
      </c>
      <c r="AF242" s="36">
        <v>3.766</v>
      </c>
      <c r="AG242" s="36">
        <v>3.766</v>
      </c>
      <c r="AH242" s="36">
        <v>3.766</v>
      </c>
      <c r="AI242" s="39">
        <v>1.33634708931066E-2</v>
      </c>
      <c r="AJ242" s="39">
        <v>1.33634708931066E-2</v>
      </c>
      <c r="AK242" s="39">
        <v>1.33634708931066E-2</v>
      </c>
      <c r="AL242" s="39">
        <v>1.33634708931066E-2</v>
      </c>
      <c r="AM242" s="39">
        <v>1.33634708931066E-2</v>
      </c>
      <c r="AN242" s="39">
        <v>1.33634708931066E-2</v>
      </c>
      <c r="AO242" s="39">
        <v>1.33634708931066E-2</v>
      </c>
      <c r="AP242" s="39">
        <v>1.33634708931066E-2</v>
      </c>
      <c r="AQ242" s="39">
        <v>1.33634708931066E-2</v>
      </c>
      <c r="AR242" s="39">
        <v>1.33634708931066E-2</v>
      </c>
      <c r="AS242" s="39">
        <v>1.33634708931066E-2</v>
      </c>
      <c r="AT242" s="39">
        <v>1.33634708931066E-2</v>
      </c>
      <c r="AU242" s="39">
        <v>1.2392217523121999E-3</v>
      </c>
      <c r="AV242" s="39">
        <v>1.2392217523121999E-3</v>
      </c>
      <c r="AW242" s="39">
        <v>1.2392217523121999E-3</v>
      </c>
      <c r="AX242" s="39">
        <v>1.2392217523121999E-3</v>
      </c>
      <c r="AY242" s="39">
        <v>1.2392217523121999E-3</v>
      </c>
      <c r="AZ242" s="39">
        <v>1.2392217523121999E-3</v>
      </c>
      <c r="BA242" s="39">
        <v>1.2392217523121999E-3</v>
      </c>
      <c r="BB242" s="39">
        <v>1.2392217523121999E-3</v>
      </c>
      <c r="BC242" s="39">
        <v>1.2392217523121999E-3</v>
      </c>
      <c r="BD242" s="39">
        <v>1.2392217523121999E-3</v>
      </c>
      <c r="BE242" s="39">
        <v>1.2392217523121999E-3</v>
      </c>
      <c r="BF242" s="39">
        <v>1.2392217523121999E-3</v>
      </c>
      <c r="BG242" s="1"/>
      <c r="BH242" s="12">
        <f t="shared" si="128"/>
        <v>113.05</v>
      </c>
      <c r="BI242" s="12">
        <f t="shared" si="129"/>
        <v>113.05</v>
      </c>
      <c r="BJ242" s="12">
        <f t="shared" si="130"/>
        <v>94.219100000000012</v>
      </c>
      <c r="BK242" s="12">
        <f t="shared" si="131"/>
        <v>55.523700000000005</v>
      </c>
      <c r="BL242" s="12">
        <f t="shared" si="132"/>
        <v>62.468199999999996</v>
      </c>
      <c r="BM242" s="12">
        <f t="shared" si="133"/>
        <v>94.8005</v>
      </c>
      <c r="BN242" s="12">
        <f t="shared" si="134"/>
        <v>90.892200000000003</v>
      </c>
      <c r="BO242" s="12">
        <f t="shared" si="135"/>
        <v>141.15100000000001</v>
      </c>
      <c r="BP242" s="12">
        <f t="shared" si="136"/>
        <v>140.1174</v>
      </c>
      <c r="BQ242" s="12">
        <f t="shared" si="137"/>
        <v>150.71179999999998</v>
      </c>
      <c r="BR242" s="12">
        <f t="shared" si="138"/>
        <v>190.5377</v>
      </c>
      <c r="BS242" s="12">
        <f t="shared" si="139"/>
        <v>84.690599999999989</v>
      </c>
      <c r="BT242" s="1"/>
      <c r="BU242" s="11">
        <f t="shared" si="140"/>
        <v>114.7008344035646</v>
      </c>
      <c r="BV242" s="11">
        <f t="shared" si="141"/>
        <v>114.7008344035646</v>
      </c>
      <c r="BW242" s="11">
        <f t="shared" si="142"/>
        <v>95.594952558627995</v>
      </c>
      <c r="BX242" s="11">
        <f t="shared" si="143"/>
        <v>56.334495525636449</v>
      </c>
      <c r="BY242" s="11">
        <f t="shared" si="144"/>
        <v>63.380403924712546</v>
      </c>
      <c r="BZ242" s="11">
        <f t="shared" si="145"/>
        <v>96.184842564132026</v>
      </c>
      <c r="CA242" s="11">
        <f t="shared" si="146"/>
        <v>92.219470860465933</v>
      </c>
      <c r="CB242" s="11">
        <f t="shared" si="147"/>
        <v>143.21218466959351</v>
      </c>
      <c r="CC242" s="11">
        <f t="shared" si="148"/>
        <v>142.1634913264752</v>
      </c>
      <c r="CD242" s="11">
        <f t="shared" si="149"/>
        <v>152.91259809343782</v>
      </c>
      <c r="CE242" s="11">
        <f t="shared" si="150"/>
        <v>193.32006347046502</v>
      </c>
      <c r="CF242" s="11">
        <f t="shared" si="151"/>
        <v>85.927310801756093</v>
      </c>
      <c r="CG242" s="11"/>
      <c r="CH242" s="41">
        <v>3.23</v>
      </c>
      <c r="CI242" s="1"/>
      <c r="CJ242" s="53">
        <f t="shared" si="152"/>
        <v>30457</v>
      </c>
      <c r="CK242" s="53">
        <f t="shared" si="153"/>
        <v>30457</v>
      </c>
      <c r="CL242" s="53">
        <f t="shared" si="154"/>
        <v>25384</v>
      </c>
      <c r="CM242" s="53">
        <f t="shared" si="155"/>
        <v>14959</v>
      </c>
      <c r="CN242" s="53">
        <f t="shared" si="156"/>
        <v>16830</v>
      </c>
      <c r="CO242" s="53">
        <f t="shared" si="157"/>
        <v>25540</v>
      </c>
      <c r="CP242" s="53">
        <f t="shared" si="158"/>
        <v>24487</v>
      </c>
      <c r="CQ242" s="53">
        <f t="shared" si="159"/>
        <v>38028</v>
      </c>
      <c r="CR242" s="53">
        <f t="shared" si="160"/>
        <v>37749</v>
      </c>
      <c r="CS242" s="53">
        <f t="shared" si="161"/>
        <v>40603</v>
      </c>
      <c r="CT242" s="53">
        <f t="shared" si="162"/>
        <v>51333</v>
      </c>
      <c r="CU242" s="53">
        <f t="shared" si="163"/>
        <v>22817</v>
      </c>
      <c r="CV242" s="53">
        <f t="shared" si="165"/>
        <v>358644</v>
      </c>
      <c r="CW242" s="1"/>
      <c r="CX242" s="1"/>
      <c r="CY242" s="1"/>
      <c r="CZ242" s="1"/>
      <c r="DA242" s="1"/>
      <c r="DB242" s="1"/>
      <c r="DC242" s="1"/>
      <c r="DD242" s="1"/>
      <c r="DE242" s="1"/>
      <c r="DF242" s="1"/>
      <c r="DG242" s="1"/>
      <c r="DH242" s="1"/>
      <c r="DI242" s="1"/>
      <c r="DJ242" s="1"/>
      <c r="DK242" s="1"/>
      <c r="DL242" s="1"/>
    </row>
    <row r="243" spans="1:116" ht="15.75" hidden="1" x14ac:dyDescent="0.25">
      <c r="A243" s="17"/>
      <c r="B243" s="17"/>
      <c r="C243" s="17"/>
      <c r="D243" s="17"/>
      <c r="E243" s="17"/>
      <c r="F243" s="18" t="s">
        <v>32</v>
      </c>
      <c r="G243" s="57">
        <v>0</v>
      </c>
      <c r="H243" s="57">
        <v>0</v>
      </c>
      <c r="I243" s="57">
        <v>0</v>
      </c>
      <c r="J243" s="57">
        <v>0</v>
      </c>
      <c r="K243" s="57">
        <v>0</v>
      </c>
      <c r="L243" s="57">
        <v>0</v>
      </c>
      <c r="M243" s="57">
        <v>0</v>
      </c>
      <c r="N243" s="57">
        <v>0</v>
      </c>
      <c r="O243" s="57">
        <v>0</v>
      </c>
      <c r="P243" s="57">
        <v>0</v>
      </c>
      <c r="Q243" s="57">
        <v>0</v>
      </c>
      <c r="R243" s="57">
        <v>0</v>
      </c>
      <c r="S243" s="11">
        <f t="shared" ref="S243:S308" si="166">SUM(G243:R243)</f>
        <v>0</v>
      </c>
      <c r="T243" s="1"/>
      <c r="U243" s="1"/>
      <c r="V243" s="50">
        <f t="shared" si="164"/>
        <v>0</v>
      </c>
      <c r="W243" s="36">
        <v>0.94</v>
      </c>
      <c r="X243" s="36">
        <v>0.94</v>
      </c>
      <c r="Y243" s="36">
        <v>0.94</v>
      </c>
      <c r="Z243" s="36">
        <v>0.94</v>
      </c>
      <c r="AA243" s="36">
        <v>0.94</v>
      </c>
      <c r="AB243" s="36">
        <v>0.94</v>
      </c>
      <c r="AC243" s="36">
        <v>0.94</v>
      </c>
      <c r="AD243" s="36">
        <v>0.94</v>
      </c>
      <c r="AE243" s="36">
        <v>0.94</v>
      </c>
      <c r="AF243" s="36">
        <v>0.94</v>
      </c>
      <c r="AG243" s="36">
        <v>0.94</v>
      </c>
      <c r="AH243" s="36">
        <v>0.94</v>
      </c>
      <c r="AI243" s="39">
        <v>1.33634708931066E-2</v>
      </c>
      <c r="AJ243" s="39">
        <v>1.33634708931066E-2</v>
      </c>
      <c r="AK243" s="39">
        <v>1.33634708931066E-2</v>
      </c>
      <c r="AL243" s="39">
        <v>1.33634708931066E-2</v>
      </c>
      <c r="AM243" s="39">
        <v>1.33634708931066E-2</v>
      </c>
      <c r="AN243" s="39">
        <v>1.33634708931066E-2</v>
      </c>
      <c r="AO243" s="39">
        <v>1.33634708931066E-2</v>
      </c>
      <c r="AP243" s="39">
        <v>1.33634708931066E-2</v>
      </c>
      <c r="AQ243" s="39">
        <v>1.33634708931066E-2</v>
      </c>
      <c r="AR243" s="39">
        <v>1.33634708931066E-2</v>
      </c>
      <c r="AS243" s="39">
        <v>1.33634708931066E-2</v>
      </c>
      <c r="AT243" s="39">
        <v>1.33634708931066E-2</v>
      </c>
      <c r="AU243" s="39">
        <v>1.2392217523121999E-3</v>
      </c>
      <c r="AV243" s="39">
        <v>1.2392217523121999E-3</v>
      </c>
      <c r="AW243" s="39">
        <v>1.2392217523121999E-3</v>
      </c>
      <c r="AX243" s="39">
        <v>1.2392217523121999E-3</v>
      </c>
      <c r="AY243" s="39">
        <v>1.2392217523121999E-3</v>
      </c>
      <c r="AZ243" s="39">
        <v>1.2392217523121999E-3</v>
      </c>
      <c r="BA243" s="39">
        <v>1.2392217523121999E-3</v>
      </c>
      <c r="BB243" s="39">
        <v>1.2392217523121999E-3</v>
      </c>
      <c r="BC243" s="39">
        <v>1.2392217523121999E-3</v>
      </c>
      <c r="BD243" s="39">
        <v>1.2392217523121999E-3</v>
      </c>
      <c r="BE243" s="39">
        <v>1.2392217523121999E-3</v>
      </c>
      <c r="BF243" s="39">
        <v>1.2392217523121999E-3</v>
      </c>
      <c r="BG243" s="1"/>
      <c r="BH243" s="12">
        <f t="shared" si="128"/>
        <v>0</v>
      </c>
      <c r="BI243" s="12">
        <f t="shared" si="129"/>
        <v>0</v>
      </c>
      <c r="BJ243" s="12">
        <f t="shared" si="130"/>
        <v>0</v>
      </c>
      <c r="BK243" s="12">
        <f t="shared" si="131"/>
        <v>0</v>
      </c>
      <c r="BL243" s="12">
        <f t="shared" si="132"/>
        <v>0</v>
      </c>
      <c r="BM243" s="12">
        <f t="shared" si="133"/>
        <v>0</v>
      </c>
      <c r="BN243" s="12">
        <f t="shared" si="134"/>
        <v>0</v>
      </c>
      <c r="BO243" s="12">
        <f t="shared" si="135"/>
        <v>0</v>
      </c>
      <c r="BP243" s="12">
        <f t="shared" si="136"/>
        <v>0</v>
      </c>
      <c r="BQ243" s="12">
        <f t="shared" si="137"/>
        <v>0</v>
      </c>
      <c r="BR243" s="12">
        <f t="shared" si="138"/>
        <v>0</v>
      </c>
      <c r="BS243" s="12">
        <f t="shared" si="139"/>
        <v>0</v>
      </c>
      <c r="BT243" s="1"/>
      <c r="BU243" s="11">
        <f t="shared" si="140"/>
        <v>0</v>
      </c>
      <c r="BV243" s="11">
        <f t="shared" si="141"/>
        <v>0</v>
      </c>
      <c r="BW243" s="11">
        <f t="shared" si="142"/>
        <v>0</v>
      </c>
      <c r="BX243" s="11">
        <f t="shared" si="143"/>
        <v>0</v>
      </c>
      <c r="BY243" s="11">
        <f t="shared" si="144"/>
        <v>0</v>
      </c>
      <c r="BZ243" s="11">
        <f t="shared" si="145"/>
        <v>0</v>
      </c>
      <c r="CA243" s="11">
        <f t="shared" si="146"/>
        <v>0</v>
      </c>
      <c r="CB243" s="11">
        <f t="shared" si="147"/>
        <v>0</v>
      </c>
      <c r="CC243" s="11">
        <f t="shared" si="148"/>
        <v>0</v>
      </c>
      <c r="CD243" s="11">
        <f t="shared" si="149"/>
        <v>0</v>
      </c>
      <c r="CE243" s="11">
        <f t="shared" si="150"/>
        <v>0</v>
      </c>
      <c r="CF243" s="11">
        <f t="shared" si="151"/>
        <v>0</v>
      </c>
      <c r="CG243" s="11"/>
      <c r="CH243" s="41">
        <v>3.23</v>
      </c>
      <c r="CI243" s="1"/>
      <c r="CJ243" s="53">
        <f t="shared" si="152"/>
        <v>0</v>
      </c>
      <c r="CK243" s="53">
        <f t="shared" si="153"/>
        <v>0</v>
      </c>
      <c r="CL243" s="53">
        <f t="shared" si="154"/>
        <v>0</v>
      </c>
      <c r="CM243" s="53">
        <f t="shared" si="155"/>
        <v>0</v>
      </c>
      <c r="CN243" s="53">
        <f t="shared" si="156"/>
        <v>0</v>
      </c>
      <c r="CO243" s="53">
        <f t="shared" si="157"/>
        <v>0</v>
      </c>
      <c r="CP243" s="53">
        <f t="shared" si="158"/>
        <v>0</v>
      </c>
      <c r="CQ243" s="53">
        <f t="shared" si="159"/>
        <v>0</v>
      </c>
      <c r="CR243" s="53">
        <f t="shared" si="160"/>
        <v>0</v>
      </c>
      <c r="CS243" s="53">
        <f t="shared" si="161"/>
        <v>0</v>
      </c>
      <c r="CT243" s="53">
        <f t="shared" si="162"/>
        <v>0</v>
      </c>
      <c r="CU243" s="53">
        <f t="shared" si="163"/>
        <v>0</v>
      </c>
      <c r="CV243" s="53">
        <f t="shared" si="165"/>
        <v>0</v>
      </c>
      <c r="CW243" s="1"/>
      <c r="CX243" s="1"/>
      <c r="CY243" s="1"/>
      <c r="CZ243" s="1"/>
      <c r="DA243" s="1"/>
      <c r="DB243" s="1"/>
      <c r="DC243" s="1"/>
      <c r="DD243" s="1"/>
      <c r="DE243" s="1"/>
      <c r="DF243" s="1"/>
      <c r="DG243" s="1"/>
      <c r="DH243" s="1"/>
      <c r="DI243" s="1"/>
      <c r="DJ243" s="1"/>
      <c r="DK243" s="1"/>
      <c r="DL243" s="1"/>
    </row>
    <row r="244" spans="1:116" ht="15.75" hidden="1" x14ac:dyDescent="0.25">
      <c r="A244" s="17"/>
      <c r="B244" s="17"/>
      <c r="C244" s="17"/>
      <c r="D244" s="17"/>
      <c r="E244" s="17"/>
      <c r="F244" s="18" t="s">
        <v>32</v>
      </c>
      <c r="G244" s="57">
        <v>0</v>
      </c>
      <c r="H244" s="57">
        <v>0</v>
      </c>
      <c r="I244" s="57">
        <v>0</v>
      </c>
      <c r="J244" s="57">
        <v>0</v>
      </c>
      <c r="K244" s="57">
        <v>0</v>
      </c>
      <c r="L244" s="57">
        <v>0</v>
      </c>
      <c r="M244" s="57">
        <v>0</v>
      </c>
      <c r="N244" s="57">
        <v>0</v>
      </c>
      <c r="O244" s="57">
        <v>0</v>
      </c>
      <c r="P244" s="57">
        <v>0</v>
      </c>
      <c r="Q244" s="57">
        <v>0</v>
      </c>
      <c r="R244" s="57">
        <v>0</v>
      </c>
      <c r="S244" s="11">
        <f t="shared" si="166"/>
        <v>0</v>
      </c>
      <c r="T244" s="1"/>
      <c r="U244" s="1"/>
      <c r="V244" s="50">
        <f t="shared" si="164"/>
        <v>0</v>
      </c>
      <c r="W244" s="36">
        <v>1.75</v>
      </c>
      <c r="X244" s="36">
        <v>1.75</v>
      </c>
      <c r="Y244" s="36">
        <v>1.75</v>
      </c>
      <c r="Z244" s="36">
        <v>1.75</v>
      </c>
      <c r="AA244" s="36">
        <v>1.75</v>
      </c>
      <c r="AB244" s="36">
        <v>1.75</v>
      </c>
      <c r="AC244" s="36">
        <v>1.75</v>
      </c>
      <c r="AD244" s="36">
        <v>1.75</v>
      </c>
      <c r="AE244" s="36">
        <v>1.75</v>
      </c>
      <c r="AF244" s="36">
        <v>1.75</v>
      </c>
      <c r="AG244" s="36">
        <v>1.75</v>
      </c>
      <c r="AH244" s="36">
        <v>1.75</v>
      </c>
      <c r="AI244" s="39">
        <v>1.33634708931066E-2</v>
      </c>
      <c r="AJ244" s="39">
        <v>1.33634708931066E-2</v>
      </c>
      <c r="AK244" s="39">
        <v>1.33634708931066E-2</v>
      </c>
      <c r="AL244" s="39">
        <v>1.33634708931066E-2</v>
      </c>
      <c r="AM244" s="39">
        <v>1.33634708931066E-2</v>
      </c>
      <c r="AN244" s="39">
        <v>1.33634708931066E-2</v>
      </c>
      <c r="AO244" s="39">
        <v>1.33634708931066E-2</v>
      </c>
      <c r="AP244" s="39">
        <v>1.33634708931066E-2</v>
      </c>
      <c r="AQ244" s="39">
        <v>1.33634708931066E-2</v>
      </c>
      <c r="AR244" s="39">
        <v>1.33634708931066E-2</v>
      </c>
      <c r="AS244" s="39">
        <v>1.33634708931066E-2</v>
      </c>
      <c r="AT244" s="39">
        <v>1.33634708931066E-2</v>
      </c>
      <c r="AU244" s="39">
        <v>1.2392217523121999E-3</v>
      </c>
      <c r="AV244" s="39">
        <v>1.2392217523121999E-3</v>
      </c>
      <c r="AW244" s="39">
        <v>1.2392217523121999E-3</v>
      </c>
      <c r="AX244" s="39">
        <v>1.2392217523121999E-3</v>
      </c>
      <c r="AY244" s="39">
        <v>1.2392217523121999E-3</v>
      </c>
      <c r="AZ244" s="39">
        <v>1.2392217523121999E-3</v>
      </c>
      <c r="BA244" s="39">
        <v>1.2392217523121999E-3</v>
      </c>
      <c r="BB244" s="39">
        <v>1.2392217523121999E-3</v>
      </c>
      <c r="BC244" s="39">
        <v>1.2392217523121999E-3</v>
      </c>
      <c r="BD244" s="39">
        <v>1.2392217523121999E-3</v>
      </c>
      <c r="BE244" s="39">
        <v>1.2392217523121999E-3</v>
      </c>
      <c r="BF244" s="39">
        <v>1.2392217523121999E-3</v>
      </c>
      <c r="BG244" s="1"/>
      <c r="BH244" s="12">
        <f t="shared" si="128"/>
        <v>0</v>
      </c>
      <c r="BI244" s="12">
        <f t="shared" si="129"/>
        <v>0</v>
      </c>
      <c r="BJ244" s="12">
        <f t="shared" si="130"/>
        <v>0</v>
      </c>
      <c r="BK244" s="12">
        <f t="shared" si="131"/>
        <v>0</v>
      </c>
      <c r="BL244" s="12">
        <f t="shared" si="132"/>
        <v>0</v>
      </c>
      <c r="BM244" s="12">
        <f t="shared" si="133"/>
        <v>0</v>
      </c>
      <c r="BN244" s="12">
        <f t="shared" si="134"/>
        <v>0</v>
      </c>
      <c r="BO244" s="12">
        <f t="shared" si="135"/>
        <v>0</v>
      </c>
      <c r="BP244" s="12">
        <f t="shared" si="136"/>
        <v>0</v>
      </c>
      <c r="BQ244" s="12">
        <f t="shared" si="137"/>
        <v>0</v>
      </c>
      <c r="BR244" s="12">
        <f t="shared" si="138"/>
        <v>0</v>
      </c>
      <c r="BS244" s="12">
        <f t="shared" si="139"/>
        <v>0</v>
      </c>
      <c r="BT244" s="1"/>
      <c r="BU244" s="11">
        <f t="shared" si="140"/>
        <v>0</v>
      </c>
      <c r="BV244" s="11">
        <f t="shared" si="141"/>
        <v>0</v>
      </c>
      <c r="BW244" s="11">
        <f t="shared" si="142"/>
        <v>0</v>
      </c>
      <c r="BX244" s="11">
        <f t="shared" si="143"/>
        <v>0</v>
      </c>
      <c r="BY244" s="11">
        <f t="shared" si="144"/>
        <v>0</v>
      </c>
      <c r="BZ244" s="11">
        <f t="shared" si="145"/>
        <v>0</v>
      </c>
      <c r="CA244" s="11">
        <f t="shared" si="146"/>
        <v>0</v>
      </c>
      <c r="CB244" s="11">
        <f t="shared" si="147"/>
        <v>0</v>
      </c>
      <c r="CC244" s="11">
        <f t="shared" si="148"/>
        <v>0</v>
      </c>
      <c r="CD244" s="11">
        <f t="shared" si="149"/>
        <v>0</v>
      </c>
      <c r="CE244" s="11">
        <f t="shared" si="150"/>
        <v>0</v>
      </c>
      <c r="CF244" s="11">
        <f t="shared" si="151"/>
        <v>0</v>
      </c>
      <c r="CG244" s="11"/>
      <c r="CH244" s="41">
        <v>3.23</v>
      </c>
      <c r="CI244" s="1"/>
      <c r="CJ244" s="53">
        <f t="shared" si="152"/>
        <v>0</v>
      </c>
      <c r="CK244" s="53">
        <f t="shared" si="153"/>
        <v>0</v>
      </c>
      <c r="CL244" s="53">
        <f t="shared" si="154"/>
        <v>0</v>
      </c>
      <c r="CM244" s="53">
        <f t="shared" si="155"/>
        <v>0</v>
      </c>
      <c r="CN244" s="53">
        <f t="shared" si="156"/>
        <v>0</v>
      </c>
      <c r="CO244" s="53">
        <f t="shared" si="157"/>
        <v>0</v>
      </c>
      <c r="CP244" s="53">
        <f t="shared" si="158"/>
        <v>0</v>
      </c>
      <c r="CQ244" s="53">
        <f t="shared" si="159"/>
        <v>0</v>
      </c>
      <c r="CR244" s="53">
        <f t="shared" si="160"/>
        <v>0</v>
      </c>
      <c r="CS244" s="53">
        <f t="shared" si="161"/>
        <v>0</v>
      </c>
      <c r="CT244" s="53">
        <f t="shared" si="162"/>
        <v>0</v>
      </c>
      <c r="CU244" s="53">
        <f t="shared" si="163"/>
        <v>0</v>
      </c>
      <c r="CV244" s="53">
        <f t="shared" si="165"/>
        <v>0</v>
      </c>
      <c r="CW244" s="1"/>
      <c r="CX244" s="1"/>
      <c r="CY244" s="1"/>
      <c r="CZ244" s="1"/>
      <c r="DA244" s="1"/>
      <c r="DB244" s="1"/>
      <c r="DC244" s="1"/>
      <c r="DD244" s="1"/>
      <c r="DE244" s="1"/>
      <c r="DF244" s="1"/>
      <c r="DG244" s="1"/>
      <c r="DH244" s="1"/>
      <c r="DI244" s="1"/>
      <c r="DJ244" s="1"/>
      <c r="DK244" s="1"/>
      <c r="DL244" s="1"/>
    </row>
    <row r="245" spans="1:116" ht="15.75" hidden="1" x14ac:dyDescent="0.25">
      <c r="A245" s="17"/>
      <c r="B245" s="17"/>
      <c r="C245" s="17"/>
      <c r="D245" s="17"/>
      <c r="E245" s="17"/>
      <c r="F245" s="18" t="s">
        <v>32</v>
      </c>
      <c r="G245" s="57">
        <v>0</v>
      </c>
      <c r="H245" s="57">
        <v>0</v>
      </c>
      <c r="I245" s="57">
        <v>0</v>
      </c>
      <c r="J245" s="57">
        <v>0</v>
      </c>
      <c r="K245" s="57">
        <v>0</v>
      </c>
      <c r="L245" s="57">
        <v>0</v>
      </c>
      <c r="M245" s="57">
        <v>0</v>
      </c>
      <c r="N245" s="57">
        <v>0</v>
      </c>
      <c r="O245" s="57">
        <v>0</v>
      </c>
      <c r="P245" s="57">
        <v>0</v>
      </c>
      <c r="Q245" s="57">
        <v>0</v>
      </c>
      <c r="R245" s="57">
        <v>0</v>
      </c>
      <c r="S245" s="11">
        <f t="shared" si="166"/>
        <v>0</v>
      </c>
      <c r="T245" s="1"/>
      <c r="U245" s="1"/>
      <c r="V245" s="50">
        <f t="shared" si="164"/>
        <v>0</v>
      </c>
      <c r="W245" s="36">
        <v>2.367</v>
      </c>
      <c r="X245" s="36">
        <v>2.367</v>
      </c>
      <c r="Y245" s="36">
        <v>2.367</v>
      </c>
      <c r="Z245" s="36">
        <v>2.367</v>
      </c>
      <c r="AA245" s="36">
        <v>2.367</v>
      </c>
      <c r="AB245" s="36">
        <v>2.367</v>
      </c>
      <c r="AC245" s="36">
        <v>2.367</v>
      </c>
      <c r="AD245" s="36">
        <v>2.367</v>
      </c>
      <c r="AE245" s="36">
        <v>2.367</v>
      </c>
      <c r="AF245" s="36">
        <v>2.367</v>
      </c>
      <c r="AG245" s="36">
        <v>2.367</v>
      </c>
      <c r="AH245" s="36">
        <v>2.367</v>
      </c>
      <c r="AI245" s="39">
        <v>1.33634708931066E-2</v>
      </c>
      <c r="AJ245" s="39">
        <v>1.33634708931066E-2</v>
      </c>
      <c r="AK245" s="39">
        <v>1.33634708931066E-2</v>
      </c>
      <c r="AL245" s="39">
        <v>1.33634708931066E-2</v>
      </c>
      <c r="AM245" s="39">
        <v>1.33634708931066E-2</v>
      </c>
      <c r="AN245" s="39">
        <v>1.33634708931066E-2</v>
      </c>
      <c r="AO245" s="39">
        <v>1.33634708931066E-2</v>
      </c>
      <c r="AP245" s="39">
        <v>1.33634708931066E-2</v>
      </c>
      <c r="AQ245" s="39">
        <v>1.33634708931066E-2</v>
      </c>
      <c r="AR245" s="39">
        <v>1.33634708931066E-2</v>
      </c>
      <c r="AS245" s="39">
        <v>1.33634708931066E-2</v>
      </c>
      <c r="AT245" s="39">
        <v>1.33634708931066E-2</v>
      </c>
      <c r="AU245" s="39">
        <v>1.2392217523121999E-3</v>
      </c>
      <c r="AV245" s="39">
        <v>1.2392217523121999E-3</v>
      </c>
      <c r="AW245" s="39">
        <v>1.2392217523121999E-3</v>
      </c>
      <c r="AX245" s="39">
        <v>1.2392217523121999E-3</v>
      </c>
      <c r="AY245" s="39">
        <v>1.2392217523121999E-3</v>
      </c>
      <c r="AZ245" s="39">
        <v>1.2392217523121999E-3</v>
      </c>
      <c r="BA245" s="39">
        <v>1.2392217523121999E-3</v>
      </c>
      <c r="BB245" s="39">
        <v>1.2392217523121999E-3</v>
      </c>
      <c r="BC245" s="39">
        <v>1.2392217523121999E-3</v>
      </c>
      <c r="BD245" s="39">
        <v>1.2392217523121999E-3</v>
      </c>
      <c r="BE245" s="39">
        <v>1.2392217523121999E-3</v>
      </c>
      <c r="BF245" s="39">
        <v>1.2392217523121999E-3</v>
      </c>
      <c r="BG245" s="1"/>
      <c r="BH245" s="12">
        <f t="shared" si="128"/>
        <v>0</v>
      </c>
      <c r="BI245" s="12">
        <f t="shared" si="129"/>
        <v>0</v>
      </c>
      <c r="BJ245" s="12">
        <f t="shared" si="130"/>
        <v>0</v>
      </c>
      <c r="BK245" s="12">
        <f t="shared" si="131"/>
        <v>0</v>
      </c>
      <c r="BL245" s="12">
        <f t="shared" si="132"/>
        <v>0</v>
      </c>
      <c r="BM245" s="12">
        <f t="shared" si="133"/>
        <v>0</v>
      </c>
      <c r="BN245" s="12">
        <f t="shared" si="134"/>
        <v>0</v>
      </c>
      <c r="BO245" s="12">
        <f t="shared" si="135"/>
        <v>0</v>
      </c>
      <c r="BP245" s="12">
        <f t="shared" si="136"/>
        <v>0</v>
      </c>
      <c r="BQ245" s="12">
        <f t="shared" si="137"/>
        <v>0</v>
      </c>
      <c r="BR245" s="12">
        <f t="shared" si="138"/>
        <v>0</v>
      </c>
      <c r="BS245" s="12">
        <f t="shared" si="139"/>
        <v>0</v>
      </c>
      <c r="BT245" s="1"/>
      <c r="BU245" s="11">
        <f t="shared" si="140"/>
        <v>0</v>
      </c>
      <c r="BV245" s="11">
        <f t="shared" si="141"/>
        <v>0</v>
      </c>
      <c r="BW245" s="11">
        <f t="shared" si="142"/>
        <v>0</v>
      </c>
      <c r="BX245" s="11">
        <f t="shared" si="143"/>
        <v>0</v>
      </c>
      <c r="BY245" s="11">
        <f t="shared" si="144"/>
        <v>0</v>
      </c>
      <c r="BZ245" s="11">
        <f t="shared" si="145"/>
        <v>0</v>
      </c>
      <c r="CA245" s="11">
        <f t="shared" si="146"/>
        <v>0</v>
      </c>
      <c r="CB245" s="11">
        <f t="shared" si="147"/>
        <v>0</v>
      </c>
      <c r="CC245" s="11">
        <f t="shared" si="148"/>
        <v>0</v>
      </c>
      <c r="CD245" s="11">
        <f t="shared" si="149"/>
        <v>0</v>
      </c>
      <c r="CE245" s="11">
        <f t="shared" si="150"/>
        <v>0</v>
      </c>
      <c r="CF245" s="11">
        <f t="shared" si="151"/>
        <v>0</v>
      </c>
      <c r="CG245" s="11"/>
      <c r="CH245" s="41">
        <v>3.23</v>
      </c>
      <c r="CI245" s="1"/>
      <c r="CJ245" s="53">
        <f t="shared" si="152"/>
        <v>0</v>
      </c>
      <c r="CK245" s="53">
        <f t="shared" si="153"/>
        <v>0</v>
      </c>
      <c r="CL245" s="53">
        <f t="shared" si="154"/>
        <v>0</v>
      </c>
      <c r="CM245" s="53">
        <f t="shared" si="155"/>
        <v>0</v>
      </c>
      <c r="CN245" s="53">
        <f t="shared" si="156"/>
        <v>0</v>
      </c>
      <c r="CO245" s="53">
        <f t="shared" si="157"/>
        <v>0</v>
      </c>
      <c r="CP245" s="53">
        <f t="shared" si="158"/>
        <v>0</v>
      </c>
      <c r="CQ245" s="53">
        <f t="shared" si="159"/>
        <v>0</v>
      </c>
      <c r="CR245" s="53">
        <f t="shared" si="160"/>
        <v>0</v>
      </c>
      <c r="CS245" s="53">
        <f t="shared" si="161"/>
        <v>0</v>
      </c>
      <c r="CT245" s="53">
        <f t="shared" si="162"/>
        <v>0</v>
      </c>
      <c r="CU245" s="53">
        <f t="shared" si="163"/>
        <v>0</v>
      </c>
      <c r="CV245" s="53">
        <f t="shared" si="165"/>
        <v>0</v>
      </c>
      <c r="CW245" s="1"/>
      <c r="CX245" s="1"/>
      <c r="CY245" s="1"/>
      <c r="CZ245" s="1"/>
      <c r="DA245" s="1"/>
      <c r="DB245" s="1"/>
      <c r="DC245" s="1"/>
      <c r="DD245" s="1"/>
      <c r="DE245" s="1"/>
      <c r="DF245" s="1"/>
      <c r="DG245" s="1"/>
      <c r="DH245" s="1"/>
      <c r="DI245" s="1"/>
      <c r="DJ245" s="1"/>
      <c r="DK245" s="1"/>
      <c r="DL245" s="1"/>
    </row>
    <row r="246" spans="1:116" ht="15.75" hidden="1" x14ac:dyDescent="0.25">
      <c r="A246" s="17"/>
      <c r="B246" s="17"/>
      <c r="C246" s="17"/>
      <c r="D246" s="17"/>
      <c r="E246" s="17"/>
      <c r="F246" s="18" t="s">
        <v>32</v>
      </c>
      <c r="G246" s="57">
        <v>0</v>
      </c>
      <c r="H246" s="57">
        <v>0</v>
      </c>
      <c r="I246" s="57">
        <v>0</v>
      </c>
      <c r="J246" s="57">
        <v>0</v>
      </c>
      <c r="K246" s="57">
        <v>0</v>
      </c>
      <c r="L246" s="57">
        <v>0</v>
      </c>
      <c r="M246" s="57">
        <v>0</v>
      </c>
      <c r="N246" s="57">
        <v>0</v>
      </c>
      <c r="O246" s="57">
        <v>0</v>
      </c>
      <c r="P246" s="57">
        <v>0</v>
      </c>
      <c r="Q246" s="57">
        <v>0</v>
      </c>
      <c r="R246" s="57">
        <v>0</v>
      </c>
      <c r="S246" s="11">
        <f t="shared" si="166"/>
        <v>0</v>
      </c>
      <c r="T246" s="1"/>
      <c r="U246" s="1"/>
      <c r="V246" s="50">
        <f t="shared" si="164"/>
        <v>0</v>
      </c>
      <c r="W246" s="36">
        <v>1.9370000000000001</v>
      </c>
      <c r="X246" s="36">
        <v>1.9370000000000001</v>
      </c>
      <c r="Y246" s="36">
        <v>1.9370000000000001</v>
      </c>
      <c r="Z246" s="36">
        <v>1.9370000000000001</v>
      </c>
      <c r="AA246" s="36">
        <v>1.9370000000000001</v>
      </c>
      <c r="AB246" s="36">
        <v>1.9370000000000001</v>
      </c>
      <c r="AC246" s="36">
        <v>1.9370000000000001</v>
      </c>
      <c r="AD246" s="36">
        <v>1.9370000000000001</v>
      </c>
      <c r="AE246" s="36">
        <v>1.9370000000000001</v>
      </c>
      <c r="AF246" s="36">
        <v>1.9370000000000001</v>
      </c>
      <c r="AG246" s="36">
        <v>1.9370000000000001</v>
      </c>
      <c r="AH246" s="36">
        <v>1.9370000000000001</v>
      </c>
      <c r="AI246" s="39">
        <v>1.33634708931066E-2</v>
      </c>
      <c r="AJ246" s="39">
        <v>1.33634708931066E-2</v>
      </c>
      <c r="AK246" s="39">
        <v>1.33634708931066E-2</v>
      </c>
      <c r="AL246" s="39">
        <v>1.33634708931066E-2</v>
      </c>
      <c r="AM246" s="39">
        <v>1.33634708931066E-2</v>
      </c>
      <c r="AN246" s="39">
        <v>1.33634708931066E-2</v>
      </c>
      <c r="AO246" s="39">
        <v>1.33634708931066E-2</v>
      </c>
      <c r="AP246" s="39">
        <v>1.33634708931066E-2</v>
      </c>
      <c r="AQ246" s="39">
        <v>1.33634708931066E-2</v>
      </c>
      <c r="AR246" s="39">
        <v>1.33634708931066E-2</v>
      </c>
      <c r="AS246" s="39">
        <v>1.33634708931066E-2</v>
      </c>
      <c r="AT246" s="39">
        <v>1.33634708931066E-2</v>
      </c>
      <c r="AU246" s="39">
        <v>1.2392217523121999E-3</v>
      </c>
      <c r="AV246" s="39">
        <v>1.2392217523121999E-3</v>
      </c>
      <c r="AW246" s="39">
        <v>1.2392217523121999E-3</v>
      </c>
      <c r="AX246" s="39">
        <v>1.2392217523121999E-3</v>
      </c>
      <c r="AY246" s="39">
        <v>1.2392217523121999E-3</v>
      </c>
      <c r="AZ246" s="39">
        <v>1.2392217523121999E-3</v>
      </c>
      <c r="BA246" s="39">
        <v>1.2392217523121999E-3</v>
      </c>
      <c r="BB246" s="39">
        <v>1.2392217523121999E-3</v>
      </c>
      <c r="BC246" s="39">
        <v>1.2392217523121999E-3</v>
      </c>
      <c r="BD246" s="39">
        <v>1.2392217523121999E-3</v>
      </c>
      <c r="BE246" s="39">
        <v>1.2392217523121999E-3</v>
      </c>
      <c r="BF246" s="39">
        <v>1.2392217523121999E-3</v>
      </c>
      <c r="BG246" s="1"/>
      <c r="BH246" s="12">
        <f t="shared" si="128"/>
        <v>0</v>
      </c>
      <c r="BI246" s="12">
        <f t="shared" si="129"/>
        <v>0</v>
      </c>
      <c r="BJ246" s="12">
        <f t="shared" si="130"/>
        <v>0</v>
      </c>
      <c r="BK246" s="12">
        <f t="shared" si="131"/>
        <v>0</v>
      </c>
      <c r="BL246" s="12">
        <f t="shared" si="132"/>
        <v>0</v>
      </c>
      <c r="BM246" s="12">
        <f t="shared" si="133"/>
        <v>0</v>
      </c>
      <c r="BN246" s="12">
        <f t="shared" si="134"/>
        <v>0</v>
      </c>
      <c r="BO246" s="12">
        <f t="shared" si="135"/>
        <v>0</v>
      </c>
      <c r="BP246" s="12">
        <f t="shared" si="136"/>
        <v>0</v>
      </c>
      <c r="BQ246" s="12">
        <f t="shared" si="137"/>
        <v>0</v>
      </c>
      <c r="BR246" s="12">
        <f t="shared" si="138"/>
        <v>0</v>
      </c>
      <c r="BS246" s="12">
        <f t="shared" si="139"/>
        <v>0</v>
      </c>
      <c r="BT246" s="1"/>
      <c r="BU246" s="11">
        <f t="shared" si="140"/>
        <v>0</v>
      </c>
      <c r="BV246" s="11">
        <f t="shared" si="141"/>
        <v>0</v>
      </c>
      <c r="BW246" s="11">
        <f t="shared" si="142"/>
        <v>0</v>
      </c>
      <c r="BX246" s="11">
        <f t="shared" si="143"/>
        <v>0</v>
      </c>
      <c r="BY246" s="11">
        <f t="shared" si="144"/>
        <v>0</v>
      </c>
      <c r="BZ246" s="11">
        <f t="shared" si="145"/>
        <v>0</v>
      </c>
      <c r="CA246" s="11">
        <f t="shared" si="146"/>
        <v>0</v>
      </c>
      <c r="CB246" s="11">
        <f t="shared" si="147"/>
        <v>0</v>
      </c>
      <c r="CC246" s="11">
        <f t="shared" si="148"/>
        <v>0</v>
      </c>
      <c r="CD246" s="11">
        <f t="shared" si="149"/>
        <v>0</v>
      </c>
      <c r="CE246" s="11">
        <f t="shared" si="150"/>
        <v>0</v>
      </c>
      <c r="CF246" s="11">
        <f t="shared" si="151"/>
        <v>0</v>
      </c>
      <c r="CG246" s="11"/>
      <c r="CH246" s="41">
        <v>3.23</v>
      </c>
      <c r="CI246" s="1"/>
      <c r="CJ246" s="53">
        <f t="shared" si="152"/>
        <v>0</v>
      </c>
      <c r="CK246" s="53">
        <f t="shared" si="153"/>
        <v>0</v>
      </c>
      <c r="CL246" s="53">
        <f t="shared" si="154"/>
        <v>0</v>
      </c>
      <c r="CM246" s="53">
        <f t="shared" si="155"/>
        <v>0</v>
      </c>
      <c r="CN246" s="53">
        <f t="shared" si="156"/>
        <v>0</v>
      </c>
      <c r="CO246" s="53">
        <f t="shared" si="157"/>
        <v>0</v>
      </c>
      <c r="CP246" s="53">
        <f t="shared" si="158"/>
        <v>0</v>
      </c>
      <c r="CQ246" s="53">
        <f t="shared" si="159"/>
        <v>0</v>
      </c>
      <c r="CR246" s="53">
        <f t="shared" si="160"/>
        <v>0</v>
      </c>
      <c r="CS246" s="53">
        <f t="shared" si="161"/>
        <v>0</v>
      </c>
      <c r="CT246" s="53">
        <f t="shared" si="162"/>
        <v>0</v>
      </c>
      <c r="CU246" s="53">
        <f t="shared" si="163"/>
        <v>0</v>
      </c>
      <c r="CV246" s="53">
        <f t="shared" si="165"/>
        <v>0</v>
      </c>
      <c r="CW246" s="1"/>
      <c r="CX246" s="1"/>
      <c r="CY246" s="1"/>
      <c r="CZ246" s="1"/>
      <c r="DA246" s="1"/>
      <c r="DB246" s="1"/>
      <c r="DC246" s="1"/>
      <c r="DD246" s="1"/>
      <c r="DE246" s="1"/>
      <c r="DF246" s="1"/>
      <c r="DG246" s="1"/>
      <c r="DH246" s="1"/>
      <c r="DI246" s="1"/>
      <c r="DJ246" s="1"/>
      <c r="DK246" s="1"/>
      <c r="DL246" s="1"/>
    </row>
    <row r="247" spans="1:116" ht="15.75" hidden="1" x14ac:dyDescent="0.25">
      <c r="A247" s="17"/>
      <c r="B247" s="17"/>
      <c r="C247" s="17"/>
      <c r="D247" s="17"/>
      <c r="E247" s="17"/>
      <c r="F247" s="18" t="s">
        <v>32</v>
      </c>
      <c r="G247" s="57">
        <v>151.6</v>
      </c>
      <c r="H247" s="57">
        <v>151.6</v>
      </c>
      <c r="I247" s="57">
        <v>151.6</v>
      </c>
      <c r="J247" s="57">
        <v>90.39</v>
      </c>
      <c r="K247" s="57">
        <v>90.39</v>
      </c>
      <c r="L247" s="57">
        <v>90.39</v>
      </c>
      <c r="M247" s="57">
        <v>90.39</v>
      </c>
      <c r="N247" s="57">
        <v>123.17</v>
      </c>
      <c r="O247" s="57">
        <v>123.17</v>
      </c>
      <c r="P247" s="57">
        <v>104.23</v>
      </c>
      <c r="Q247" s="57">
        <v>104.23</v>
      </c>
      <c r="R247" s="57">
        <v>94.75</v>
      </c>
      <c r="S247" s="11">
        <f t="shared" si="166"/>
        <v>1365.9099999999999</v>
      </c>
      <c r="T247" s="1"/>
      <c r="U247" s="1"/>
      <c r="V247" s="50">
        <f t="shared" si="164"/>
        <v>1683458</v>
      </c>
      <c r="W247" s="36">
        <v>2.6589999999999998</v>
      </c>
      <c r="X247" s="36">
        <v>2.6589999999999998</v>
      </c>
      <c r="Y247" s="36">
        <v>2.6589999999999998</v>
      </c>
      <c r="Z247" s="36">
        <v>2.6589999999999998</v>
      </c>
      <c r="AA247" s="36">
        <v>2.6589999999999998</v>
      </c>
      <c r="AB247" s="36">
        <v>2.6589999999999998</v>
      </c>
      <c r="AC247" s="36">
        <v>2.6589999999999998</v>
      </c>
      <c r="AD247" s="36">
        <v>2.6589999999999998</v>
      </c>
      <c r="AE247" s="36">
        <v>2.6589999999999998</v>
      </c>
      <c r="AF247" s="36">
        <v>2.6589999999999998</v>
      </c>
      <c r="AG247" s="36">
        <v>2.6589999999999998</v>
      </c>
      <c r="AH247" s="36">
        <v>2.6589999999999998</v>
      </c>
      <c r="AI247" s="39">
        <v>1.33634708931066E-2</v>
      </c>
      <c r="AJ247" s="39">
        <v>1.33634708931066E-2</v>
      </c>
      <c r="AK247" s="39">
        <v>1.33634708931066E-2</v>
      </c>
      <c r="AL247" s="39">
        <v>1.33634708931066E-2</v>
      </c>
      <c r="AM247" s="39">
        <v>1.33634708931066E-2</v>
      </c>
      <c r="AN247" s="39">
        <v>1.33634708931066E-2</v>
      </c>
      <c r="AO247" s="39">
        <v>1.33634708931066E-2</v>
      </c>
      <c r="AP247" s="39">
        <v>1.33634708931066E-2</v>
      </c>
      <c r="AQ247" s="39">
        <v>1.33634708931066E-2</v>
      </c>
      <c r="AR247" s="39">
        <v>1.33634708931066E-2</v>
      </c>
      <c r="AS247" s="39">
        <v>1.33634708931066E-2</v>
      </c>
      <c r="AT247" s="39">
        <v>1.33634708931066E-2</v>
      </c>
      <c r="AU247" s="39">
        <v>1.2392217523121999E-3</v>
      </c>
      <c r="AV247" s="39">
        <v>1.2392217523121999E-3</v>
      </c>
      <c r="AW247" s="39">
        <v>1.2392217523121999E-3</v>
      </c>
      <c r="AX247" s="39">
        <v>1.2392217523121999E-3</v>
      </c>
      <c r="AY247" s="39">
        <v>1.2392217523121999E-3</v>
      </c>
      <c r="AZ247" s="39">
        <v>1.2392217523121999E-3</v>
      </c>
      <c r="BA247" s="39">
        <v>1.2392217523121999E-3</v>
      </c>
      <c r="BB247" s="39">
        <v>1.2392217523121999E-3</v>
      </c>
      <c r="BC247" s="39">
        <v>1.2392217523121999E-3</v>
      </c>
      <c r="BD247" s="39">
        <v>1.2392217523121999E-3</v>
      </c>
      <c r="BE247" s="39">
        <v>1.2392217523121999E-3</v>
      </c>
      <c r="BF247" s="39">
        <v>1.2392217523121999E-3</v>
      </c>
      <c r="BG247" s="1"/>
      <c r="BH247" s="12">
        <f t="shared" si="128"/>
        <v>489.66800000000001</v>
      </c>
      <c r="BI247" s="12">
        <f t="shared" si="129"/>
        <v>489.66800000000001</v>
      </c>
      <c r="BJ247" s="12">
        <f t="shared" si="130"/>
        <v>489.66800000000001</v>
      </c>
      <c r="BK247" s="12">
        <f t="shared" si="131"/>
        <v>291.9597</v>
      </c>
      <c r="BL247" s="12">
        <f t="shared" si="132"/>
        <v>291.9597</v>
      </c>
      <c r="BM247" s="12">
        <f t="shared" si="133"/>
        <v>291.9597</v>
      </c>
      <c r="BN247" s="12">
        <f t="shared" si="134"/>
        <v>291.9597</v>
      </c>
      <c r="BO247" s="12">
        <f t="shared" si="135"/>
        <v>397.83910000000003</v>
      </c>
      <c r="BP247" s="12">
        <f t="shared" si="136"/>
        <v>397.83910000000003</v>
      </c>
      <c r="BQ247" s="12">
        <f t="shared" si="137"/>
        <v>336.66290000000004</v>
      </c>
      <c r="BR247" s="12">
        <f t="shared" si="138"/>
        <v>336.66290000000004</v>
      </c>
      <c r="BS247" s="12">
        <f t="shared" si="139"/>
        <v>306.04250000000002</v>
      </c>
      <c r="BT247" s="1"/>
      <c r="BU247" s="11">
        <f t="shared" si="140"/>
        <v>496.81847130229693</v>
      </c>
      <c r="BV247" s="11">
        <f t="shared" si="141"/>
        <v>496.81847130229693</v>
      </c>
      <c r="BW247" s="11">
        <f t="shared" si="142"/>
        <v>496.81847130229693</v>
      </c>
      <c r="BX247" s="11">
        <f t="shared" si="143"/>
        <v>296.22309776394866</v>
      </c>
      <c r="BY247" s="11">
        <f t="shared" si="144"/>
        <v>296.22309776394866</v>
      </c>
      <c r="BZ247" s="11">
        <f t="shared" si="145"/>
        <v>296.22309776394866</v>
      </c>
      <c r="CA247" s="11">
        <f t="shared" si="146"/>
        <v>296.22309776394866</v>
      </c>
      <c r="CB247" s="11">
        <f t="shared" si="147"/>
        <v>403.64862209963007</v>
      </c>
      <c r="CC247" s="11">
        <f t="shared" si="148"/>
        <v>403.64862209963007</v>
      </c>
      <c r="CD247" s="11">
        <f t="shared" si="149"/>
        <v>341.5790848538154</v>
      </c>
      <c r="CE247" s="11">
        <f t="shared" si="150"/>
        <v>341.5790848538154</v>
      </c>
      <c r="CF247" s="11">
        <f t="shared" si="151"/>
        <v>310.51154456393562</v>
      </c>
      <c r="CG247" s="11"/>
      <c r="CH247" s="41">
        <v>3.23</v>
      </c>
      <c r="CI247" s="1"/>
      <c r="CJ247" s="53">
        <f t="shared" si="152"/>
        <v>186844</v>
      </c>
      <c r="CK247" s="53">
        <f t="shared" si="153"/>
        <v>186844</v>
      </c>
      <c r="CL247" s="53">
        <f t="shared" si="154"/>
        <v>186844</v>
      </c>
      <c r="CM247" s="53">
        <f t="shared" si="155"/>
        <v>111404</v>
      </c>
      <c r="CN247" s="53">
        <f t="shared" si="156"/>
        <v>111404</v>
      </c>
      <c r="CO247" s="53">
        <f t="shared" si="157"/>
        <v>111404</v>
      </c>
      <c r="CP247" s="53">
        <f t="shared" si="158"/>
        <v>111404</v>
      </c>
      <c r="CQ247" s="53">
        <f t="shared" si="159"/>
        <v>151805</v>
      </c>
      <c r="CR247" s="53">
        <f t="shared" si="160"/>
        <v>151805</v>
      </c>
      <c r="CS247" s="53">
        <f t="shared" si="161"/>
        <v>128461</v>
      </c>
      <c r="CT247" s="53">
        <f t="shared" si="162"/>
        <v>128461</v>
      </c>
      <c r="CU247" s="53">
        <f t="shared" si="163"/>
        <v>116778</v>
      </c>
      <c r="CV247" s="53">
        <f t="shared" si="165"/>
        <v>1683458</v>
      </c>
      <c r="CW247" s="1"/>
      <c r="CX247" s="1"/>
      <c r="CY247" s="1"/>
      <c r="CZ247" s="1"/>
      <c r="DA247" s="1"/>
      <c r="DB247" s="1"/>
      <c r="DC247" s="1"/>
      <c r="DD247" s="1"/>
      <c r="DE247" s="1"/>
      <c r="DF247" s="1"/>
      <c r="DG247" s="1"/>
      <c r="DH247" s="1"/>
      <c r="DI247" s="1"/>
      <c r="DJ247" s="1"/>
      <c r="DK247" s="1"/>
      <c r="DL247" s="1"/>
    </row>
    <row r="248" spans="1:116" ht="15.75" hidden="1" x14ac:dyDescent="0.25">
      <c r="A248" s="17"/>
      <c r="B248" s="17"/>
      <c r="C248" s="17"/>
      <c r="D248" s="17"/>
      <c r="E248" s="17"/>
      <c r="F248" s="18" t="s">
        <v>32</v>
      </c>
      <c r="G248" s="57">
        <v>156.63</v>
      </c>
      <c r="H248" s="57">
        <v>128.43</v>
      </c>
      <c r="I248" s="57">
        <v>128.43</v>
      </c>
      <c r="J248" s="57">
        <v>78.849999999999994</v>
      </c>
      <c r="K248" s="57">
        <v>174.59</v>
      </c>
      <c r="L248" s="57">
        <v>189.47</v>
      </c>
      <c r="M248" s="57">
        <v>60.24</v>
      </c>
      <c r="N248" s="57">
        <v>167.29</v>
      </c>
      <c r="O248" s="57">
        <v>78.28</v>
      </c>
      <c r="P248" s="57">
        <v>196.1</v>
      </c>
      <c r="Q248" s="57">
        <v>429.66</v>
      </c>
      <c r="R248" s="57">
        <v>100.84</v>
      </c>
      <c r="S248" s="11">
        <f t="shared" si="166"/>
        <v>1888.81</v>
      </c>
      <c r="T248" s="1"/>
      <c r="U248" s="1"/>
      <c r="V248" s="50">
        <f t="shared" si="164"/>
        <v>1020979</v>
      </c>
      <c r="W248" s="36">
        <v>1.8500010816189674</v>
      </c>
      <c r="X248" s="36">
        <v>1.8500010816189674</v>
      </c>
      <c r="Y248" s="36">
        <v>1.8500010816189674</v>
      </c>
      <c r="Z248" s="36">
        <v>1.8500010816189674</v>
      </c>
      <c r="AA248" s="36">
        <v>1.8500010816189674</v>
      </c>
      <c r="AB248" s="36">
        <v>1.8500010816189674</v>
      </c>
      <c r="AC248" s="36">
        <v>1.8500010816189674</v>
      </c>
      <c r="AD248" s="36">
        <v>1.8500010816189674</v>
      </c>
      <c r="AE248" s="36">
        <v>1.8500010816189674</v>
      </c>
      <c r="AF248" s="36">
        <v>1.8500010816189674</v>
      </c>
      <c r="AG248" s="36">
        <v>1.8500010816189674</v>
      </c>
      <c r="AH248" s="36">
        <v>1.8500010816189674</v>
      </c>
      <c r="AI248" s="39">
        <v>0</v>
      </c>
      <c r="AJ248" s="39">
        <v>0</v>
      </c>
      <c r="AK248" s="39">
        <v>0</v>
      </c>
      <c r="AL248" s="39">
        <v>0</v>
      </c>
      <c r="AM248" s="39">
        <v>0</v>
      </c>
      <c r="AN248" s="39">
        <v>0</v>
      </c>
      <c r="AO248" s="39">
        <v>0</v>
      </c>
      <c r="AP248" s="39">
        <v>0</v>
      </c>
      <c r="AQ248" s="39">
        <v>0</v>
      </c>
      <c r="AR248" s="39">
        <v>0</v>
      </c>
      <c r="AS248" s="39">
        <v>0</v>
      </c>
      <c r="AT248" s="39">
        <v>0</v>
      </c>
      <c r="AU248" s="39">
        <v>0</v>
      </c>
      <c r="AV248" s="39">
        <v>0</v>
      </c>
      <c r="AW248" s="39">
        <v>0</v>
      </c>
      <c r="AX248" s="39">
        <v>0</v>
      </c>
      <c r="AY248" s="39">
        <v>0</v>
      </c>
      <c r="AZ248" s="39">
        <v>0</v>
      </c>
      <c r="BA248" s="39">
        <v>0</v>
      </c>
      <c r="BB248" s="39">
        <v>0</v>
      </c>
      <c r="BC248" s="39">
        <v>0</v>
      </c>
      <c r="BD248" s="39">
        <v>0</v>
      </c>
      <c r="BE248" s="39">
        <v>0</v>
      </c>
      <c r="BF248" s="39">
        <v>0</v>
      </c>
      <c r="BG248" s="1"/>
      <c r="BH248" s="12">
        <f t="shared" si="128"/>
        <v>156.63</v>
      </c>
      <c r="BI248" s="12">
        <f t="shared" si="129"/>
        <v>128.43</v>
      </c>
      <c r="BJ248" s="12">
        <f t="shared" si="130"/>
        <v>128.43</v>
      </c>
      <c r="BK248" s="12">
        <f t="shared" si="131"/>
        <v>78.849999999999994</v>
      </c>
      <c r="BL248" s="12">
        <f t="shared" si="132"/>
        <v>174.59</v>
      </c>
      <c r="BM248" s="12">
        <f t="shared" si="133"/>
        <v>189.47</v>
      </c>
      <c r="BN248" s="12">
        <f t="shared" si="134"/>
        <v>60.24</v>
      </c>
      <c r="BO248" s="12">
        <f t="shared" si="135"/>
        <v>167.29</v>
      </c>
      <c r="BP248" s="12">
        <f t="shared" si="136"/>
        <v>78.28</v>
      </c>
      <c r="BQ248" s="12">
        <f t="shared" si="137"/>
        <v>196.1</v>
      </c>
      <c r="BR248" s="12">
        <f t="shared" si="138"/>
        <v>429.66</v>
      </c>
      <c r="BS248" s="12">
        <f t="shared" si="139"/>
        <v>100.84</v>
      </c>
      <c r="BT248" s="1"/>
      <c r="BU248" s="11">
        <f t="shared" si="140"/>
        <v>156.63</v>
      </c>
      <c r="BV248" s="11">
        <f t="shared" si="141"/>
        <v>128.43</v>
      </c>
      <c r="BW248" s="11">
        <f t="shared" si="142"/>
        <v>128.43</v>
      </c>
      <c r="BX248" s="11">
        <f t="shared" si="143"/>
        <v>78.849999999999994</v>
      </c>
      <c r="BY248" s="11">
        <f t="shared" si="144"/>
        <v>174.59</v>
      </c>
      <c r="BZ248" s="11">
        <f t="shared" si="145"/>
        <v>189.47</v>
      </c>
      <c r="CA248" s="11">
        <f t="shared" si="146"/>
        <v>60.24</v>
      </c>
      <c r="CB248" s="11">
        <f t="shared" si="147"/>
        <v>167.29</v>
      </c>
      <c r="CC248" s="11">
        <f t="shared" si="148"/>
        <v>78.28</v>
      </c>
      <c r="CD248" s="11">
        <f t="shared" si="149"/>
        <v>196.1</v>
      </c>
      <c r="CE248" s="11">
        <f t="shared" si="150"/>
        <v>429.66</v>
      </c>
      <c r="CF248" s="11">
        <f t="shared" si="151"/>
        <v>100.84</v>
      </c>
      <c r="CG248" s="11"/>
      <c r="CH248" s="41">
        <v>1</v>
      </c>
      <c r="CI248" s="1"/>
      <c r="CJ248" s="53">
        <f t="shared" si="152"/>
        <v>84665</v>
      </c>
      <c r="CK248" s="53">
        <f t="shared" si="153"/>
        <v>69422</v>
      </c>
      <c r="CL248" s="53">
        <f t="shared" si="154"/>
        <v>69422</v>
      </c>
      <c r="CM248" s="53">
        <f t="shared" si="155"/>
        <v>42622</v>
      </c>
      <c r="CN248" s="53">
        <f t="shared" si="156"/>
        <v>94373</v>
      </c>
      <c r="CO248" s="53">
        <f t="shared" si="157"/>
        <v>102416</v>
      </c>
      <c r="CP248" s="53">
        <f t="shared" si="158"/>
        <v>32562</v>
      </c>
      <c r="CQ248" s="53">
        <f t="shared" si="159"/>
        <v>90427</v>
      </c>
      <c r="CR248" s="53">
        <f t="shared" si="160"/>
        <v>42313</v>
      </c>
      <c r="CS248" s="53">
        <f t="shared" si="161"/>
        <v>106000</v>
      </c>
      <c r="CT248" s="53">
        <f t="shared" si="162"/>
        <v>232249</v>
      </c>
      <c r="CU248" s="53">
        <f t="shared" si="163"/>
        <v>54508</v>
      </c>
      <c r="CV248" s="53">
        <f t="shared" si="165"/>
        <v>1020979</v>
      </c>
      <c r="CW248" s="1"/>
      <c r="CX248" s="1"/>
      <c r="CY248" s="1"/>
      <c r="CZ248" s="1"/>
      <c r="DA248" s="1"/>
      <c r="DB248" s="1"/>
      <c r="DC248" s="1"/>
      <c r="DD248" s="1"/>
      <c r="DE248" s="1"/>
      <c r="DF248" s="1"/>
      <c r="DG248" s="1"/>
      <c r="DH248" s="1"/>
      <c r="DI248" s="1"/>
      <c r="DJ248" s="1"/>
      <c r="DK248" s="1"/>
      <c r="DL248" s="1"/>
    </row>
    <row r="249" spans="1:116" ht="15.75" hidden="1" x14ac:dyDescent="0.25">
      <c r="A249" s="17"/>
      <c r="B249" s="17"/>
      <c r="C249" s="17"/>
      <c r="D249" s="17"/>
      <c r="E249" s="17"/>
      <c r="F249" s="18" t="s">
        <v>32</v>
      </c>
      <c r="G249" s="57">
        <v>26.88</v>
      </c>
      <c r="H249" s="57">
        <v>26.88</v>
      </c>
      <c r="I249" s="57">
        <v>26.88</v>
      </c>
      <c r="J249" s="57">
        <v>26.88</v>
      </c>
      <c r="K249" s="57">
        <v>26.88</v>
      </c>
      <c r="L249" s="57">
        <v>26.88</v>
      </c>
      <c r="M249" s="57">
        <v>26.88</v>
      </c>
      <c r="N249" s="57">
        <v>26.88</v>
      </c>
      <c r="O249" s="57">
        <v>33.6</v>
      </c>
      <c r="P249" s="57">
        <v>33.6</v>
      </c>
      <c r="Q249" s="57">
        <v>33.6</v>
      </c>
      <c r="R249" s="57">
        <v>33.6</v>
      </c>
      <c r="S249" s="11">
        <f t="shared" si="166"/>
        <v>349.44000000000005</v>
      </c>
      <c r="T249" s="1"/>
      <c r="U249" s="1"/>
      <c r="V249" s="50">
        <f t="shared" si="164"/>
        <v>110228</v>
      </c>
      <c r="W249" s="36">
        <v>3.17</v>
      </c>
      <c r="X249" s="36">
        <v>3.17</v>
      </c>
      <c r="Y249" s="36">
        <v>3.17</v>
      </c>
      <c r="Z249" s="36">
        <v>3.17</v>
      </c>
      <c r="AA249" s="36">
        <v>3.17</v>
      </c>
      <c r="AB249" s="36">
        <v>3.17</v>
      </c>
      <c r="AC249" s="36">
        <v>3.17</v>
      </c>
      <c r="AD249" s="36">
        <v>3.17</v>
      </c>
      <c r="AE249" s="36">
        <v>3.17</v>
      </c>
      <c r="AF249" s="36">
        <v>3.17</v>
      </c>
      <c r="AG249" s="36">
        <v>3.17</v>
      </c>
      <c r="AH249" s="36">
        <v>3.17</v>
      </c>
      <c r="AI249" s="39">
        <v>0</v>
      </c>
      <c r="AJ249" s="39">
        <v>0</v>
      </c>
      <c r="AK249" s="39">
        <v>0</v>
      </c>
      <c r="AL249" s="39">
        <v>0</v>
      </c>
      <c r="AM249" s="39">
        <v>0</v>
      </c>
      <c r="AN249" s="39">
        <v>0</v>
      </c>
      <c r="AO249" s="39">
        <v>0</v>
      </c>
      <c r="AP249" s="39">
        <v>0</v>
      </c>
      <c r="AQ249" s="39">
        <v>0</v>
      </c>
      <c r="AR249" s="39">
        <v>0</v>
      </c>
      <c r="AS249" s="39">
        <v>0</v>
      </c>
      <c r="AT249" s="39">
        <v>0</v>
      </c>
      <c r="AU249" s="39">
        <v>0</v>
      </c>
      <c r="AV249" s="39">
        <v>0</v>
      </c>
      <c r="AW249" s="39">
        <v>0</v>
      </c>
      <c r="AX249" s="39">
        <v>0</v>
      </c>
      <c r="AY249" s="39">
        <v>0</v>
      </c>
      <c r="AZ249" s="39">
        <v>0</v>
      </c>
      <c r="BA249" s="39">
        <v>0</v>
      </c>
      <c r="BB249" s="39">
        <v>0</v>
      </c>
      <c r="BC249" s="39">
        <v>0</v>
      </c>
      <c r="BD249" s="39">
        <v>0</v>
      </c>
      <c r="BE249" s="39">
        <v>0</v>
      </c>
      <c r="BF249" s="39">
        <v>0</v>
      </c>
      <c r="BG249" s="1"/>
      <c r="BH249" s="12">
        <f t="shared" si="128"/>
        <v>26.88</v>
      </c>
      <c r="BI249" s="12">
        <f t="shared" si="129"/>
        <v>26.88</v>
      </c>
      <c r="BJ249" s="12">
        <f t="shared" si="130"/>
        <v>26.88</v>
      </c>
      <c r="BK249" s="12">
        <f t="shared" si="131"/>
        <v>26.88</v>
      </c>
      <c r="BL249" s="12">
        <f t="shared" si="132"/>
        <v>26.88</v>
      </c>
      <c r="BM249" s="12">
        <f t="shared" si="133"/>
        <v>26.88</v>
      </c>
      <c r="BN249" s="12">
        <f t="shared" si="134"/>
        <v>26.88</v>
      </c>
      <c r="BO249" s="12">
        <f t="shared" si="135"/>
        <v>26.88</v>
      </c>
      <c r="BP249" s="12">
        <f t="shared" si="136"/>
        <v>33.6</v>
      </c>
      <c r="BQ249" s="12">
        <f t="shared" si="137"/>
        <v>33.6</v>
      </c>
      <c r="BR249" s="12">
        <f t="shared" si="138"/>
        <v>33.6</v>
      </c>
      <c r="BS249" s="12">
        <f t="shared" si="139"/>
        <v>33.6</v>
      </c>
      <c r="BT249" s="1"/>
      <c r="BU249" s="11">
        <f t="shared" si="140"/>
        <v>26.88</v>
      </c>
      <c r="BV249" s="11">
        <f t="shared" si="141"/>
        <v>26.88</v>
      </c>
      <c r="BW249" s="11">
        <f t="shared" si="142"/>
        <v>26.88</v>
      </c>
      <c r="BX249" s="11">
        <f t="shared" si="143"/>
        <v>26.88</v>
      </c>
      <c r="BY249" s="11">
        <f t="shared" si="144"/>
        <v>26.88</v>
      </c>
      <c r="BZ249" s="11">
        <f t="shared" si="145"/>
        <v>26.88</v>
      </c>
      <c r="CA249" s="11">
        <f t="shared" si="146"/>
        <v>26.88</v>
      </c>
      <c r="CB249" s="11">
        <f t="shared" si="147"/>
        <v>26.88</v>
      </c>
      <c r="CC249" s="11">
        <f t="shared" si="148"/>
        <v>33.6</v>
      </c>
      <c r="CD249" s="11">
        <f t="shared" si="149"/>
        <v>33.6</v>
      </c>
      <c r="CE249" s="11">
        <f t="shared" si="150"/>
        <v>33.6</v>
      </c>
      <c r="CF249" s="11">
        <f t="shared" si="151"/>
        <v>33.6</v>
      </c>
      <c r="CG249" s="11"/>
      <c r="CH249" s="41">
        <v>1</v>
      </c>
      <c r="CI249" s="1"/>
      <c r="CJ249" s="53">
        <f t="shared" si="152"/>
        <v>8479</v>
      </c>
      <c r="CK249" s="53">
        <f t="shared" si="153"/>
        <v>8479</v>
      </c>
      <c r="CL249" s="53">
        <f t="shared" si="154"/>
        <v>8479</v>
      </c>
      <c r="CM249" s="53">
        <f t="shared" si="155"/>
        <v>8479</v>
      </c>
      <c r="CN249" s="53">
        <f t="shared" si="156"/>
        <v>8479</v>
      </c>
      <c r="CO249" s="53">
        <f t="shared" si="157"/>
        <v>8479</v>
      </c>
      <c r="CP249" s="53">
        <f t="shared" si="158"/>
        <v>8479</v>
      </c>
      <c r="CQ249" s="53">
        <f t="shared" si="159"/>
        <v>8479</v>
      </c>
      <c r="CR249" s="53">
        <f t="shared" si="160"/>
        <v>10599</v>
      </c>
      <c r="CS249" s="53">
        <f t="shared" si="161"/>
        <v>10599</v>
      </c>
      <c r="CT249" s="53">
        <f t="shared" si="162"/>
        <v>10599</v>
      </c>
      <c r="CU249" s="53">
        <f t="shared" si="163"/>
        <v>10599</v>
      </c>
      <c r="CV249" s="53">
        <f t="shared" si="165"/>
        <v>110228</v>
      </c>
      <c r="CW249" s="1"/>
      <c r="CX249" s="1"/>
      <c r="CY249" s="1"/>
      <c r="CZ249" s="1"/>
      <c r="DA249" s="1"/>
      <c r="DB249" s="1"/>
      <c r="DC249" s="1"/>
      <c r="DD249" s="1"/>
      <c r="DE249" s="1"/>
      <c r="DF249" s="1"/>
      <c r="DG249" s="1"/>
      <c r="DH249" s="1"/>
      <c r="DI249" s="1"/>
      <c r="DJ249" s="1"/>
      <c r="DK249" s="1"/>
      <c r="DL249" s="1"/>
    </row>
    <row r="250" spans="1:116" ht="15.75" hidden="1" x14ac:dyDescent="0.25">
      <c r="A250" s="17"/>
      <c r="B250" s="17"/>
      <c r="C250" s="17"/>
      <c r="D250" s="17"/>
      <c r="E250" s="17"/>
      <c r="F250" s="18" t="s">
        <v>32</v>
      </c>
      <c r="G250" s="57">
        <v>0</v>
      </c>
      <c r="H250" s="57">
        <v>0</v>
      </c>
      <c r="I250" s="57">
        <v>0</v>
      </c>
      <c r="J250" s="57">
        <v>0</v>
      </c>
      <c r="K250" s="57">
        <v>0</v>
      </c>
      <c r="L250" s="57">
        <v>0</v>
      </c>
      <c r="M250" s="57">
        <v>0</v>
      </c>
      <c r="N250" s="57">
        <v>0</v>
      </c>
      <c r="O250" s="57">
        <v>0</v>
      </c>
      <c r="P250" s="57">
        <v>0</v>
      </c>
      <c r="Q250" s="57">
        <v>0</v>
      </c>
      <c r="R250" s="57">
        <v>0</v>
      </c>
      <c r="S250" s="11">
        <f t="shared" si="166"/>
        <v>0</v>
      </c>
      <c r="T250" s="1"/>
      <c r="U250" s="1"/>
      <c r="V250" s="50">
        <f t="shared" si="164"/>
        <v>0</v>
      </c>
      <c r="W250" s="36">
        <v>3.149</v>
      </c>
      <c r="X250" s="36">
        <v>3.149</v>
      </c>
      <c r="Y250" s="36">
        <v>3.149</v>
      </c>
      <c r="Z250" s="36">
        <v>3.149</v>
      </c>
      <c r="AA250" s="36">
        <v>3.149</v>
      </c>
      <c r="AB250" s="36">
        <v>3.149</v>
      </c>
      <c r="AC250" s="36">
        <v>3.149</v>
      </c>
      <c r="AD250" s="36">
        <v>3.149</v>
      </c>
      <c r="AE250" s="36">
        <v>3.149</v>
      </c>
      <c r="AF250" s="36">
        <v>3.149</v>
      </c>
      <c r="AG250" s="36">
        <v>3.149</v>
      </c>
      <c r="AH250" s="36">
        <v>3.149</v>
      </c>
      <c r="AI250" s="39">
        <v>1.33634708931066E-2</v>
      </c>
      <c r="AJ250" s="39">
        <v>1.33634708931066E-2</v>
      </c>
      <c r="AK250" s="39">
        <v>1.33634708931066E-2</v>
      </c>
      <c r="AL250" s="39">
        <v>1.33634708931066E-2</v>
      </c>
      <c r="AM250" s="39">
        <v>1.33634708931066E-2</v>
      </c>
      <c r="AN250" s="39">
        <v>1.33634708931066E-2</v>
      </c>
      <c r="AO250" s="39">
        <v>1.33634708931066E-2</v>
      </c>
      <c r="AP250" s="39">
        <v>1.33634708931066E-2</v>
      </c>
      <c r="AQ250" s="39">
        <v>1.33634708931066E-2</v>
      </c>
      <c r="AR250" s="39">
        <v>1.33634708931066E-2</v>
      </c>
      <c r="AS250" s="39">
        <v>1.33634708931066E-2</v>
      </c>
      <c r="AT250" s="39">
        <v>1.33634708931066E-2</v>
      </c>
      <c r="AU250" s="39">
        <v>1.2392217523121999E-3</v>
      </c>
      <c r="AV250" s="39">
        <v>1.2392217523121999E-3</v>
      </c>
      <c r="AW250" s="39">
        <v>1.2392217523121999E-3</v>
      </c>
      <c r="AX250" s="39">
        <v>1.2392217523121999E-3</v>
      </c>
      <c r="AY250" s="39">
        <v>1.2392217523121999E-3</v>
      </c>
      <c r="AZ250" s="39">
        <v>1.2392217523121999E-3</v>
      </c>
      <c r="BA250" s="39">
        <v>1.2392217523121999E-3</v>
      </c>
      <c r="BB250" s="39">
        <v>1.2392217523121999E-3</v>
      </c>
      <c r="BC250" s="39">
        <v>1.2392217523121999E-3</v>
      </c>
      <c r="BD250" s="39">
        <v>1.2392217523121999E-3</v>
      </c>
      <c r="BE250" s="39">
        <v>1.2392217523121999E-3</v>
      </c>
      <c r="BF250" s="39">
        <v>1.2392217523121999E-3</v>
      </c>
      <c r="BG250" s="1"/>
      <c r="BH250" s="12">
        <f t="shared" si="128"/>
        <v>0</v>
      </c>
      <c r="BI250" s="12">
        <f t="shared" si="129"/>
        <v>0</v>
      </c>
      <c r="BJ250" s="12">
        <f t="shared" si="130"/>
        <v>0</v>
      </c>
      <c r="BK250" s="12">
        <f t="shared" si="131"/>
        <v>0</v>
      </c>
      <c r="BL250" s="12">
        <f t="shared" si="132"/>
        <v>0</v>
      </c>
      <c r="BM250" s="12">
        <f t="shared" si="133"/>
        <v>0</v>
      </c>
      <c r="BN250" s="12">
        <f t="shared" si="134"/>
        <v>0</v>
      </c>
      <c r="BO250" s="12">
        <f t="shared" si="135"/>
        <v>0</v>
      </c>
      <c r="BP250" s="12">
        <f t="shared" si="136"/>
        <v>0</v>
      </c>
      <c r="BQ250" s="12">
        <f t="shared" si="137"/>
        <v>0</v>
      </c>
      <c r="BR250" s="12">
        <f t="shared" si="138"/>
        <v>0</v>
      </c>
      <c r="BS250" s="12">
        <f t="shared" si="139"/>
        <v>0</v>
      </c>
      <c r="BT250" s="1"/>
      <c r="BU250" s="11">
        <f t="shared" si="140"/>
        <v>0</v>
      </c>
      <c r="BV250" s="11">
        <f t="shared" si="141"/>
        <v>0</v>
      </c>
      <c r="BW250" s="11">
        <f t="shared" si="142"/>
        <v>0</v>
      </c>
      <c r="BX250" s="11">
        <f t="shared" si="143"/>
        <v>0</v>
      </c>
      <c r="BY250" s="11">
        <f t="shared" si="144"/>
        <v>0</v>
      </c>
      <c r="BZ250" s="11">
        <f t="shared" si="145"/>
        <v>0</v>
      </c>
      <c r="CA250" s="11">
        <f t="shared" si="146"/>
        <v>0</v>
      </c>
      <c r="CB250" s="11">
        <f t="shared" si="147"/>
        <v>0</v>
      </c>
      <c r="CC250" s="11">
        <f t="shared" si="148"/>
        <v>0</v>
      </c>
      <c r="CD250" s="11">
        <f t="shared" si="149"/>
        <v>0</v>
      </c>
      <c r="CE250" s="11">
        <f t="shared" si="150"/>
        <v>0</v>
      </c>
      <c r="CF250" s="11">
        <f t="shared" si="151"/>
        <v>0</v>
      </c>
      <c r="CG250" s="11"/>
      <c r="CH250" s="41">
        <v>3.23</v>
      </c>
      <c r="CI250" s="1"/>
      <c r="CJ250" s="53">
        <f t="shared" si="152"/>
        <v>0</v>
      </c>
      <c r="CK250" s="53">
        <f t="shared" si="153"/>
        <v>0</v>
      </c>
      <c r="CL250" s="53">
        <f t="shared" si="154"/>
        <v>0</v>
      </c>
      <c r="CM250" s="53">
        <f t="shared" si="155"/>
        <v>0</v>
      </c>
      <c r="CN250" s="53">
        <f t="shared" si="156"/>
        <v>0</v>
      </c>
      <c r="CO250" s="53">
        <f t="shared" si="157"/>
        <v>0</v>
      </c>
      <c r="CP250" s="53">
        <f t="shared" si="158"/>
        <v>0</v>
      </c>
      <c r="CQ250" s="53">
        <f t="shared" si="159"/>
        <v>0</v>
      </c>
      <c r="CR250" s="53">
        <f t="shared" si="160"/>
        <v>0</v>
      </c>
      <c r="CS250" s="53">
        <f t="shared" si="161"/>
        <v>0</v>
      </c>
      <c r="CT250" s="53">
        <f t="shared" si="162"/>
        <v>0</v>
      </c>
      <c r="CU250" s="53">
        <f t="shared" si="163"/>
        <v>0</v>
      </c>
      <c r="CV250" s="53">
        <f t="shared" si="165"/>
        <v>0</v>
      </c>
      <c r="CW250" s="1"/>
      <c r="CX250" s="1"/>
      <c r="CY250" s="1"/>
      <c r="CZ250" s="1"/>
      <c r="DA250" s="1"/>
      <c r="DB250" s="1"/>
      <c r="DC250" s="1"/>
      <c r="DD250" s="1"/>
      <c r="DE250" s="1"/>
      <c r="DF250" s="1"/>
      <c r="DG250" s="1"/>
      <c r="DH250" s="1"/>
      <c r="DI250" s="1"/>
      <c r="DJ250" s="1"/>
      <c r="DK250" s="1"/>
      <c r="DL250" s="1"/>
    </row>
    <row r="251" spans="1:116" ht="15.75" hidden="1" x14ac:dyDescent="0.25">
      <c r="A251" s="17"/>
      <c r="B251" s="17"/>
      <c r="C251" s="17"/>
      <c r="D251" s="17"/>
      <c r="E251" s="17"/>
      <c r="F251" s="18" t="s">
        <v>32</v>
      </c>
      <c r="G251" s="57">
        <v>0</v>
      </c>
      <c r="H251" s="57">
        <v>0</v>
      </c>
      <c r="I251" s="57">
        <v>0</v>
      </c>
      <c r="J251" s="57">
        <v>0</v>
      </c>
      <c r="K251" s="57">
        <v>0</v>
      </c>
      <c r="L251" s="57">
        <v>0</v>
      </c>
      <c r="M251" s="57">
        <v>0</v>
      </c>
      <c r="N251" s="57">
        <v>0</v>
      </c>
      <c r="O251" s="57">
        <v>0</v>
      </c>
      <c r="P251" s="57">
        <v>0</v>
      </c>
      <c r="Q251" s="57">
        <v>0</v>
      </c>
      <c r="R251" s="57">
        <v>0</v>
      </c>
      <c r="S251" s="11">
        <f t="shared" si="166"/>
        <v>0</v>
      </c>
      <c r="T251" s="1"/>
      <c r="U251" s="1"/>
      <c r="V251" s="50">
        <f t="shared" si="164"/>
        <v>0</v>
      </c>
      <c r="W251" s="36">
        <v>1.4379999999999999</v>
      </c>
      <c r="X251" s="36">
        <v>1.4379999999999999</v>
      </c>
      <c r="Y251" s="36">
        <v>1.4379999999999999</v>
      </c>
      <c r="Z251" s="36">
        <v>1.4379999999999999</v>
      </c>
      <c r="AA251" s="36">
        <v>1.4379999999999999</v>
      </c>
      <c r="AB251" s="36">
        <v>1.4379999999999999</v>
      </c>
      <c r="AC251" s="36">
        <v>1.4379999999999999</v>
      </c>
      <c r="AD251" s="36">
        <v>1.4379999999999999</v>
      </c>
      <c r="AE251" s="36">
        <v>1.4379999999999999</v>
      </c>
      <c r="AF251" s="36">
        <v>1.4379999999999999</v>
      </c>
      <c r="AG251" s="36">
        <v>1.4379999999999999</v>
      </c>
      <c r="AH251" s="36">
        <v>1.4379999999999999</v>
      </c>
      <c r="AI251" s="39">
        <v>1.33634708931066E-2</v>
      </c>
      <c r="AJ251" s="39">
        <v>1.33634708931066E-2</v>
      </c>
      <c r="AK251" s="39">
        <v>1.33634708931066E-2</v>
      </c>
      <c r="AL251" s="39">
        <v>1.33634708931066E-2</v>
      </c>
      <c r="AM251" s="39">
        <v>1.33634708931066E-2</v>
      </c>
      <c r="AN251" s="39">
        <v>1.33634708931066E-2</v>
      </c>
      <c r="AO251" s="39">
        <v>1.33634708931066E-2</v>
      </c>
      <c r="AP251" s="39">
        <v>1.33634708931066E-2</v>
      </c>
      <c r="AQ251" s="39">
        <v>1.33634708931066E-2</v>
      </c>
      <c r="AR251" s="39">
        <v>1.33634708931066E-2</v>
      </c>
      <c r="AS251" s="39">
        <v>1.33634708931066E-2</v>
      </c>
      <c r="AT251" s="39">
        <v>1.33634708931066E-2</v>
      </c>
      <c r="AU251" s="39">
        <v>1.2392217523121999E-3</v>
      </c>
      <c r="AV251" s="39">
        <v>1.2392217523121999E-3</v>
      </c>
      <c r="AW251" s="39">
        <v>1.2392217523121999E-3</v>
      </c>
      <c r="AX251" s="39">
        <v>1.2392217523121999E-3</v>
      </c>
      <c r="AY251" s="39">
        <v>1.2392217523121999E-3</v>
      </c>
      <c r="AZ251" s="39">
        <v>1.2392217523121999E-3</v>
      </c>
      <c r="BA251" s="39">
        <v>1.2392217523121999E-3</v>
      </c>
      <c r="BB251" s="39">
        <v>1.2392217523121999E-3</v>
      </c>
      <c r="BC251" s="39">
        <v>1.2392217523121999E-3</v>
      </c>
      <c r="BD251" s="39">
        <v>1.2392217523121999E-3</v>
      </c>
      <c r="BE251" s="39">
        <v>1.2392217523121999E-3</v>
      </c>
      <c r="BF251" s="39">
        <v>1.2392217523121999E-3</v>
      </c>
      <c r="BG251" s="1"/>
      <c r="BH251" s="12">
        <f t="shared" si="128"/>
        <v>0</v>
      </c>
      <c r="BI251" s="12">
        <f t="shared" si="129"/>
        <v>0</v>
      </c>
      <c r="BJ251" s="12">
        <f t="shared" si="130"/>
        <v>0</v>
      </c>
      <c r="BK251" s="12">
        <f t="shared" si="131"/>
        <v>0</v>
      </c>
      <c r="BL251" s="12">
        <f t="shared" si="132"/>
        <v>0</v>
      </c>
      <c r="BM251" s="12">
        <f t="shared" si="133"/>
        <v>0</v>
      </c>
      <c r="BN251" s="12">
        <f t="shared" si="134"/>
        <v>0</v>
      </c>
      <c r="BO251" s="12">
        <f t="shared" si="135"/>
        <v>0</v>
      </c>
      <c r="BP251" s="12">
        <f t="shared" si="136"/>
        <v>0</v>
      </c>
      <c r="BQ251" s="12">
        <f t="shared" si="137"/>
        <v>0</v>
      </c>
      <c r="BR251" s="12">
        <f t="shared" si="138"/>
        <v>0</v>
      </c>
      <c r="BS251" s="12">
        <f t="shared" si="139"/>
        <v>0</v>
      </c>
      <c r="BT251" s="1"/>
      <c r="BU251" s="11">
        <f t="shared" si="140"/>
        <v>0</v>
      </c>
      <c r="BV251" s="11">
        <f t="shared" si="141"/>
        <v>0</v>
      </c>
      <c r="BW251" s="11">
        <f t="shared" si="142"/>
        <v>0</v>
      </c>
      <c r="BX251" s="11">
        <f t="shared" si="143"/>
        <v>0</v>
      </c>
      <c r="BY251" s="11">
        <f t="shared" si="144"/>
        <v>0</v>
      </c>
      <c r="BZ251" s="11">
        <f t="shared" si="145"/>
        <v>0</v>
      </c>
      <c r="CA251" s="11">
        <f t="shared" si="146"/>
        <v>0</v>
      </c>
      <c r="CB251" s="11">
        <f t="shared" si="147"/>
        <v>0</v>
      </c>
      <c r="CC251" s="11">
        <f t="shared" si="148"/>
        <v>0</v>
      </c>
      <c r="CD251" s="11">
        <f t="shared" si="149"/>
        <v>0</v>
      </c>
      <c r="CE251" s="11">
        <f t="shared" si="150"/>
        <v>0</v>
      </c>
      <c r="CF251" s="11">
        <f t="shared" si="151"/>
        <v>0</v>
      </c>
      <c r="CG251" s="11"/>
      <c r="CH251" s="41">
        <v>3.23</v>
      </c>
      <c r="CI251" s="1"/>
      <c r="CJ251" s="53">
        <f t="shared" si="152"/>
        <v>0</v>
      </c>
      <c r="CK251" s="53">
        <f t="shared" si="153"/>
        <v>0</v>
      </c>
      <c r="CL251" s="53">
        <f t="shared" si="154"/>
        <v>0</v>
      </c>
      <c r="CM251" s="53">
        <f t="shared" si="155"/>
        <v>0</v>
      </c>
      <c r="CN251" s="53">
        <f t="shared" si="156"/>
        <v>0</v>
      </c>
      <c r="CO251" s="53">
        <f t="shared" si="157"/>
        <v>0</v>
      </c>
      <c r="CP251" s="53">
        <f t="shared" si="158"/>
        <v>0</v>
      </c>
      <c r="CQ251" s="53">
        <f t="shared" si="159"/>
        <v>0</v>
      </c>
      <c r="CR251" s="53">
        <f t="shared" si="160"/>
        <v>0</v>
      </c>
      <c r="CS251" s="53">
        <f t="shared" si="161"/>
        <v>0</v>
      </c>
      <c r="CT251" s="53">
        <f t="shared" si="162"/>
        <v>0</v>
      </c>
      <c r="CU251" s="53">
        <f t="shared" si="163"/>
        <v>0</v>
      </c>
      <c r="CV251" s="53">
        <f t="shared" si="165"/>
        <v>0</v>
      </c>
      <c r="CW251" s="1"/>
      <c r="CX251" s="1"/>
      <c r="CY251" s="1"/>
      <c r="CZ251" s="1"/>
      <c r="DA251" s="1"/>
      <c r="DB251" s="1"/>
      <c r="DC251" s="1"/>
      <c r="DD251" s="1"/>
      <c r="DE251" s="1"/>
      <c r="DF251" s="1"/>
      <c r="DG251" s="1"/>
      <c r="DH251" s="1"/>
      <c r="DI251" s="1"/>
      <c r="DJ251" s="1"/>
      <c r="DK251" s="1"/>
      <c r="DL251" s="1"/>
    </row>
    <row r="252" spans="1:116" ht="15.75" hidden="1" x14ac:dyDescent="0.25">
      <c r="A252" s="17"/>
      <c r="B252" s="17"/>
      <c r="C252" s="17"/>
      <c r="D252" s="17"/>
      <c r="E252" s="17"/>
      <c r="F252" s="18" t="s">
        <v>32</v>
      </c>
      <c r="G252" s="57">
        <v>134.47</v>
      </c>
      <c r="H252" s="57">
        <v>120.07</v>
      </c>
      <c r="I252" s="57">
        <v>96.05</v>
      </c>
      <c r="J252" s="57">
        <v>76.84</v>
      </c>
      <c r="K252" s="57">
        <v>62.44</v>
      </c>
      <c r="L252" s="57">
        <v>48.03</v>
      </c>
      <c r="M252" s="57">
        <v>48.03</v>
      </c>
      <c r="N252" s="57">
        <v>48.03</v>
      </c>
      <c r="O252" s="57">
        <v>86.45</v>
      </c>
      <c r="P252" s="57">
        <v>86.45</v>
      </c>
      <c r="Q252" s="57">
        <v>96.05</v>
      </c>
      <c r="R252" s="57">
        <v>72.040000000000006</v>
      </c>
      <c r="S252" s="11">
        <f t="shared" si="166"/>
        <v>974.94999999999993</v>
      </c>
      <c r="T252" s="1"/>
      <c r="U252" s="1"/>
      <c r="V252" s="50">
        <f t="shared" si="164"/>
        <v>1955368</v>
      </c>
      <c r="W252" s="36">
        <v>1.6339999999999999</v>
      </c>
      <c r="X252" s="36">
        <v>1.6339999999999999</v>
      </c>
      <c r="Y252" s="36">
        <v>1.6339999999999999</v>
      </c>
      <c r="Z252" s="36">
        <v>1.6339999999999999</v>
      </c>
      <c r="AA252" s="36">
        <v>1.6339999999999999</v>
      </c>
      <c r="AB252" s="36">
        <v>1.6339999999999999</v>
      </c>
      <c r="AC252" s="36">
        <v>1.6339999999999999</v>
      </c>
      <c r="AD252" s="36">
        <v>1.6339999999999999</v>
      </c>
      <c r="AE252" s="36">
        <v>1.6339999999999999</v>
      </c>
      <c r="AF252" s="36">
        <v>1.6339999999999999</v>
      </c>
      <c r="AG252" s="36">
        <v>1.6339999999999999</v>
      </c>
      <c r="AH252" s="36">
        <v>1.6339999999999999</v>
      </c>
      <c r="AI252" s="39">
        <v>1.33634708931066E-2</v>
      </c>
      <c r="AJ252" s="39">
        <v>1.33634708931066E-2</v>
      </c>
      <c r="AK252" s="39">
        <v>1.33634708931066E-2</v>
      </c>
      <c r="AL252" s="39">
        <v>1.33634708931066E-2</v>
      </c>
      <c r="AM252" s="39">
        <v>1.33634708931066E-2</v>
      </c>
      <c r="AN252" s="39">
        <v>1.33634708931066E-2</v>
      </c>
      <c r="AO252" s="39">
        <v>1.33634708931066E-2</v>
      </c>
      <c r="AP252" s="39">
        <v>1.33634708931066E-2</v>
      </c>
      <c r="AQ252" s="39">
        <v>1.33634708931066E-2</v>
      </c>
      <c r="AR252" s="39">
        <v>1.33634708931066E-2</v>
      </c>
      <c r="AS252" s="39">
        <v>1.33634708931066E-2</v>
      </c>
      <c r="AT252" s="39">
        <v>1.33634708931066E-2</v>
      </c>
      <c r="AU252" s="39">
        <v>1.2392217523121999E-3</v>
      </c>
      <c r="AV252" s="39">
        <v>1.2392217523121999E-3</v>
      </c>
      <c r="AW252" s="39">
        <v>1.2392217523121999E-3</v>
      </c>
      <c r="AX252" s="39">
        <v>1.2392217523121999E-3</v>
      </c>
      <c r="AY252" s="39">
        <v>1.2392217523121999E-3</v>
      </c>
      <c r="AZ252" s="39">
        <v>1.2392217523121999E-3</v>
      </c>
      <c r="BA252" s="39">
        <v>1.2392217523121999E-3</v>
      </c>
      <c r="BB252" s="39">
        <v>1.2392217523121999E-3</v>
      </c>
      <c r="BC252" s="39">
        <v>1.2392217523121999E-3</v>
      </c>
      <c r="BD252" s="39">
        <v>1.2392217523121999E-3</v>
      </c>
      <c r="BE252" s="39">
        <v>1.2392217523121999E-3</v>
      </c>
      <c r="BF252" s="39">
        <v>1.2392217523121999E-3</v>
      </c>
      <c r="BG252" s="1"/>
      <c r="BH252" s="12">
        <f t="shared" si="128"/>
        <v>434.3381</v>
      </c>
      <c r="BI252" s="12">
        <f t="shared" si="129"/>
        <v>387.8261</v>
      </c>
      <c r="BJ252" s="12">
        <f t="shared" si="130"/>
        <v>310.24149999999997</v>
      </c>
      <c r="BK252" s="12">
        <f t="shared" si="131"/>
        <v>248.19320000000002</v>
      </c>
      <c r="BL252" s="12">
        <f t="shared" si="132"/>
        <v>201.68119999999999</v>
      </c>
      <c r="BM252" s="12">
        <f t="shared" si="133"/>
        <v>155.1369</v>
      </c>
      <c r="BN252" s="12">
        <f t="shared" si="134"/>
        <v>155.1369</v>
      </c>
      <c r="BO252" s="12">
        <f t="shared" si="135"/>
        <v>155.1369</v>
      </c>
      <c r="BP252" s="12">
        <f t="shared" si="136"/>
        <v>279.23349999999999</v>
      </c>
      <c r="BQ252" s="12">
        <f t="shared" si="137"/>
        <v>279.23349999999999</v>
      </c>
      <c r="BR252" s="12">
        <f t="shared" si="138"/>
        <v>310.24149999999997</v>
      </c>
      <c r="BS252" s="12">
        <f t="shared" si="139"/>
        <v>232.68920000000003</v>
      </c>
      <c r="BT252" s="1"/>
      <c r="BU252" s="11">
        <f t="shared" si="140"/>
        <v>440.68060577849519</v>
      </c>
      <c r="BV252" s="11">
        <f t="shared" si="141"/>
        <v>393.48940533817148</v>
      </c>
      <c r="BW252" s="11">
        <f t="shared" si="142"/>
        <v>314.77186127035367</v>
      </c>
      <c r="BX252" s="11">
        <f t="shared" si="143"/>
        <v>251.81748901628296</v>
      </c>
      <c r="BY252" s="11">
        <f t="shared" si="144"/>
        <v>204.62628857595922</v>
      </c>
      <c r="BZ252" s="11">
        <f t="shared" si="145"/>
        <v>157.40231646866306</v>
      </c>
      <c r="CA252" s="11">
        <f t="shared" si="146"/>
        <v>157.40231646866306</v>
      </c>
      <c r="CB252" s="11">
        <f t="shared" si="147"/>
        <v>157.40231646866306</v>
      </c>
      <c r="CC252" s="11">
        <f t="shared" si="148"/>
        <v>283.31106097680453</v>
      </c>
      <c r="CD252" s="11">
        <f t="shared" si="149"/>
        <v>283.31106097680453</v>
      </c>
      <c r="CE252" s="11">
        <f t="shared" si="150"/>
        <v>314.77186127035367</v>
      </c>
      <c r="CF252" s="11">
        <f t="shared" si="151"/>
        <v>236.08708886950842</v>
      </c>
      <c r="CG252" s="11"/>
      <c r="CH252" s="41">
        <v>3.23</v>
      </c>
      <c r="CI252" s="1"/>
      <c r="CJ252" s="53">
        <f t="shared" si="152"/>
        <v>269694</v>
      </c>
      <c r="CK252" s="53">
        <f t="shared" si="153"/>
        <v>240814</v>
      </c>
      <c r="CL252" s="53">
        <f t="shared" si="154"/>
        <v>192639</v>
      </c>
      <c r="CM252" s="53">
        <f t="shared" si="155"/>
        <v>154111</v>
      </c>
      <c r="CN252" s="53">
        <f t="shared" si="156"/>
        <v>125230</v>
      </c>
      <c r="CO252" s="53">
        <f t="shared" si="157"/>
        <v>96329</v>
      </c>
      <c r="CP252" s="53">
        <f t="shared" si="158"/>
        <v>96329</v>
      </c>
      <c r="CQ252" s="53">
        <f t="shared" si="159"/>
        <v>96329</v>
      </c>
      <c r="CR252" s="53">
        <f t="shared" si="160"/>
        <v>173385</v>
      </c>
      <c r="CS252" s="53">
        <f t="shared" si="161"/>
        <v>173385</v>
      </c>
      <c r="CT252" s="53">
        <f t="shared" si="162"/>
        <v>192639</v>
      </c>
      <c r="CU252" s="53">
        <f t="shared" si="163"/>
        <v>144484</v>
      </c>
      <c r="CV252" s="53">
        <f t="shared" si="165"/>
        <v>1955368</v>
      </c>
      <c r="CW252" s="1"/>
      <c r="CX252" s="1"/>
      <c r="CY252" s="1"/>
      <c r="CZ252" s="1"/>
      <c r="DA252" s="1"/>
      <c r="DB252" s="1"/>
      <c r="DC252" s="1"/>
      <c r="DD252" s="1"/>
      <c r="DE252" s="1"/>
      <c r="DF252" s="1"/>
      <c r="DG252" s="1"/>
      <c r="DH252" s="1"/>
      <c r="DI252" s="1"/>
      <c r="DJ252" s="1"/>
      <c r="DK252" s="1"/>
      <c r="DL252" s="1"/>
    </row>
    <row r="253" spans="1:116" ht="15.75" hidden="1" x14ac:dyDescent="0.25">
      <c r="A253" s="17"/>
      <c r="B253" s="17"/>
      <c r="C253" s="17"/>
      <c r="D253" s="17"/>
      <c r="E253" s="17"/>
      <c r="F253" s="18" t="s">
        <v>32</v>
      </c>
      <c r="G253" s="57">
        <v>72.64</v>
      </c>
      <c r="H253" s="57">
        <v>72.64</v>
      </c>
      <c r="I253" s="57">
        <v>72.64</v>
      </c>
      <c r="J253" s="57">
        <v>55.6</v>
      </c>
      <c r="K253" s="57">
        <v>39.71</v>
      </c>
      <c r="L253" s="57">
        <v>39.71</v>
      </c>
      <c r="M253" s="57">
        <v>39.71</v>
      </c>
      <c r="N253" s="57">
        <v>52.9</v>
      </c>
      <c r="O253" s="57">
        <v>61.71</v>
      </c>
      <c r="P253" s="57">
        <v>70.53</v>
      </c>
      <c r="Q253" s="57">
        <v>70.53</v>
      </c>
      <c r="R253" s="57">
        <v>61.71</v>
      </c>
      <c r="S253" s="11">
        <f t="shared" si="166"/>
        <v>710.03</v>
      </c>
      <c r="T253" s="1"/>
      <c r="U253" s="1"/>
      <c r="V253" s="50">
        <f t="shared" si="164"/>
        <v>879397</v>
      </c>
      <c r="W253" s="36">
        <v>2.6459999999999999</v>
      </c>
      <c r="X253" s="36">
        <v>2.6459999999999999</v>
      </c>
      <c r="Y253" s="36">
        <v>2.6459999999999999</v>
      </c>
      <c r="Z253" s="36">
        <v>2.6459999999999999</v>
      </c>
      <c r="AA253" s="36">
        <v>2.6459999999999999</v>
      </c>
      <c r="AB253" s="36">
        <v>2.6459999999999999</v>
      </c>
      <c r="AC253" s="36">
        <v>2.6459999999999999</v>
      </c>
      <c r="AD253" s="36">
        <v>2.6459999999999999</v>
      </c>
      <c r="AE253" s="36">
        <v>2.6459999999999999</v>
      </c>
      <c r="AF253" s="36">
        <v>2.6459999999999999</v>
      </c>
      <c r="AG253" s="36">
        <v>2.6459999999999999</v>
      </c>
      <c r="AH253" s="36">
        <v>2.6459999999999999</v>
      </c>
      <c r="AI253" s="39">
        <v>1.33634708931066E-2</v>
      </c>
      <c r="AJ253" s="39">
        <v>1.33634708931066E-2</v>
      </c>
      <c r="AK253" s="39">
        <v>1.33634708931066E-2</v>
      </c>
      <c r="AL253" s="39">
        <v>1.33634708931066E-2</v>
      </c>
      <c r="AM253" s="39">
        <v>1.33634708931066E-2</v>
      </c>
      <c r="AN253" s="39">
        <v>1.33634708931066E-2</v>
      </c>
      <c r="AO253" s="39">
        <v>1.33634708931066E-2</v>
      </c>
      <c r="AP253" s="39">
        <v>1.33634708931066E-2</v>
      </c>
      <c r="AQ253" s="39">
        <v>1.33634708931066E-2</v>
      </c>
      <c r="AR253" s="39">
        <v>1.33634708931066E-2</v>
      </c>
      <c r="AS253" s="39">
        <v>1.33634708931066E-2</v>
      </c>
      <c r="AT253" s="39">
        <v>1.33634708931066E-2</v>
      </c>
      <c r="AU253" s="39">
        <v>1.2392217523121999E-3</v>
      </c>
      <c r="AV253" s="39">
        <v>1.2392217523121999E-3</v>
      </c>
      <c r="AW253" s="39">
        <v>1.2392217523121999E-3</v>
      </c>
      <c r="AX253" s="39">
        <v>1.2392217523121999E-3</v>
      </c>
      <c r="AY253" s="39">
        <v>1.2392217523121999E-3</v>
      </c>
      <c r="AZ253" s="39">
        <v>1.2392217523121999E-3</v>
      </c>
      <c r="BA253" s="39">
        <v>1.2392217523121999E-3</v>
      </c>
      <c r="BB253" s="39">
        <v>1.2392217523121999E-3</v>
      </c>
      <c r="BC253" s="39">
        <v>1.2392217523121999E-3</v>
      </c>
      <c r="BD253" s="39">
        <v>1.2392217523121999E-3</v>
      </c>
      <c r="BE253" s="39">
        <v>1.2392217523121999E-3</v>
      </c>
      <c r="BF253" s="39">
        <v>1.2392217523121999E-3</v>
      </c>
      <c r="BG253" s="1"/>
      <c r="BH253" s="12">
        <f t="shared" si="128"/>
        <v>234.62719999999999</v>
      </c>
      <c r="BI253" s="12">
        <f t="shared" si="129"/>
        <v>234.62719999999999</v>
      </c>
      <c r="BJ253" s="12">
        <f t="shared" si="130"/>
        <v>234.62719999999999</v>
      </c>
      <c r="BK253" s="12">
        <f t="shared" si="131"/>
        <v>179.58799999999999</v>
      </c>
      <c r="BL253" s="12">
        <f t="shared" si="132"/>
        <v>128.26330000000002</v>
      </c>
      <c r="BM253" s="12">
        <f t="shared" si="133"/>
        <v>128.26330000000002</v>
      </c>
      <c r="BN253" s="12">
        <f t="shared" si="134"/>
        <v>128.26330000000002</v>
      </c>
      <c r="BO253" s="12">
        <f t="shared" si="135"/>
        <v>170.86699999999999</v>
      </c>
      <c r="BP253" s="12">
        <f t="shared" si="136"/>
        <v>199.32329999999999</v>
      </c>
      <c r="BQ253" s="12">
        <f t="shared" si="137"/>
        <v>227.81190000000001</v>
      </c>
      <c r="BR253" s="12">
        <f t="shared" si="138"/>
        <v>227.81190000000001</v>
      </c>
      <c r="BS253" s="12">
        <f t="shared" si="139"/>
        <v>199.32329999999999</v>
      </c>
      <c r="BT253" s="1"/>
      <c r="BU253" s="11">
        <f t="shared" si="140"/>
        <v>238.05338888785519</v>
      </c>
      <c r="BV253" s="11">
        <f t="shared" si="141"/>
        <v>238.05338888785519</v>
      </c>
      <c r="BW253" s="11">
        <f t="shared" si="142"/>
        <v>238.05338888785519</v>
      </c>
      <c r="BX253" s="11">
        <f t="shared" si="143"/>
        <v>182.21046836680546</v>
      </c>
      <c r="BY253" s="11">
        <f t="shared" si="144"/>
        <v>130.13628954758715</v>
      </c>
      <c r="BZ253" s="11">
        <f t="shared" si="145"/>
        <v>130.13628954758715</v>
      </c>
      <c r="CA253" s="11">
        <f t="shared" si="146"/>
        <v>130.13628954758715</v>
      </c>
      <c r="CB253" s="11">
        <f t="shared" si="147"/>
        <v>173.36211828424476</v>
      </c>
      <c r="CC253" s="11">
        <f t="shared" si="148"/>
        <v>202.23395688697059</v>
      </c>
      <c r="CD253" s="11">
        <f t="shared" si="149"/>
        <v>231.1385671566689</v>
      </c>
      <c r="CE253" s="11">
        <f t="shared" si="150"/>
        <v>231.1385671566689</v>
      </c>
      <c r="CF253" s="11">
        <f t="shared" si="151"/>
        <v>202.23395688697059</v>
      </c>
      <c r="CG253" s="11"/>
      <c r="CH253" s="41">
        <v>3.23</v>
      </c>
      <c r="CI253" s="1"/>
      <c r="CJ253" s="53">
        <f t="shared" si="152"/>
        <v>89967</v>
      </c>
      <c r="CK253" s="53">
        <f t="shared" si="153"/>
        <v>89967</v>
      </c>
      <c r="CL253" s="53">
        <f t="shared" si="154"/>
        <v>89967</v>
      </c>
      <c r="CM253" s="53">
        <f t="shared" si="155"/>
        <v>68863</v>
      </c>
      <c r="CN253" s="53">
        <f t="shared" si="156"/>
        <v>49182</v>
      </c>
      <c r="CO253" s="53">
        <f t="shared" si="157"/>
        <v>49182</v>
      </c>
      <c r="CP253" s="53">
        <f t="shared" si="158"/>
        <v>49182</v>
      </c>
      <c r="CQ253" s="53">
        <f t="shared" si="159"/>
        <v>65519</v>
      </c>
      <c r="CR253" s="53">
        <f t="shared" si="160"/>
        <v>76430</v>
      </c>
      <c r="CS253" s="53">
        <f t="shared" si="161"/>
        <v>87354</v>
      </c>
      <c r="CT253" s="53">
        <f t="shared" si="162"/>
        <v>87354</v>
      </c>
      <c r="CU253" s="53">
        <f t="shared" si="163"/>
        <v>76430</v>
      </c>
      <c r="CV253" s="53">
        <f t="shared" si="165"/>
        <v>879397</v>
      </c>
      <c r="CW253" s="1"/>
      <c r="CX253" s="1"/>
      <c r="CY253" s="1"/>
      <c r="CZ253" s="1"/>
      <c r="DA253" s="1"/>
      <c r="DB253" s="1"/>
      <c r="DC253" s="1"/>
      <c r="DD253" s="1"/>
      <c r="DE253" s="1"/>
      <c r="DF253" s="1"/>
      <c r="DG253" s="1"/>
      <c r="DH253" s="1"/>
      <c r="DI253" s="1"/>
      <c r="DJ253" s="1"/>
      <c r="DK253" s="1"/>
      <c r="DL253" s="1"/>
    </row>
    <row r="254" spans="1:116" ht="15.75" hidden="1" x14ac:dyDescent="0.25">
      <c r="A254" s="17"/>
      <c r="B254" s="17"/>
      <c r="C254" s="17"/>
      <c r="D254" s="17"/>
      <c r="E254" s="17"/>
      <c r="F254" s="18" t="s">
        <v>32</v>
      </c>
      <c r="G254" s="57">
        <v>50.78</v>
      </c>
      <c r="H254" s="57">
        <v>50.78</v>
      </c>
      <c r="I254" s="57">
        <v>42.97</v>
      </c>
      <c r="J254" s="57">
        <v>27.34</v>
      </c>
      <c r="K254" s="57">
        <v>27.34</v>
      </c>
      <c r="L254" s="57">
        <v>23.44</v>
      </c>
      <c r="M254" s="57">
        <v>23.44</v>
      </c>
      <c r="N254" s="57">
        <v>23.44</v>
      </c>
      <c r="O254" s="57">
        <v>50.78</v>
      </c>
      <c r="P254" s="57">
        <v>50.78</v>
      </c>
      <c r="Q254" s="57">
        <v>50.78</v>
      </c>
      <c r="R254" s="57">
        <v>35.159999999999997</v>
      </c>
      <c r="S254" s="11">
        <f t="shared" si="166"/>
        <v>457.03</v>
      </c>
      <c r="T254" s="1"/>
      <c r="U254" s="1"/>
      <c r="V254" s="50">
        <f t="shared" si="164"/>
        <v>632768</v>
      </c>
      <c r="W254" s="36">
        <v>2.367</v>
      </c>
      <c r="X254" s="36">
        <v>2.367</v>
      </c>
      <c r="Y254" s="36">
        <v>2.367</v>
      </c>
      <c r="Z254" s="36">
        <v>2.367</v>
      </c>
      <c r="AA254" s="36">
        <v>2.367</v>
      </c>
      <c r="AB254" s="36">
        <v>2.367</v>
      </c>
      <c r="AC254" s="36">
        <v>2.367</v>
      </c>
      <c r="AD254" s="36">
        <v>2.367</v>
      </c>
      <c r="AE254" s="36">
        <v>2.367</v>
      </c>
      <c r="AF254" s="36">
        <v>2.367</v>
      </c>
      <c r="AG254" s="36">
        <v>2.367</v>
      </c>
      <c r="AH254" s="36">
        <v>2.367</v>
      </c>
      <c r="AI254" s="39">
        <v>1.33634708931066E-2</v>
      </c>
      <c r="AJ254" s="39">
        <v>1.33634708931066E-2</v>
      </c>
      <c r="AK254" s="39">
        <v>1.33634708931066E-2</v>
      </c>
      <c r="AL254" s="39">
        <v>1.33634708931066E-2</v>
      </c>
      <c r="AM254" s="39">
        <v>1.33634708931066E-2</v>
      </c>
      <c r="AN254" s="39">
        <v>1.33634708931066E-2</v>
      </c>
      <c r="AO254" s="39">
        <v>1.33634708931066E-2</v>
      </c>
      <c r="AP254" s="39">
        <v>1.33634708931066E-2</v>
      </c>
      <c r="AQ254" s="39">
        <v>1.33634708931066E-2</v>
      </c>
      <c r="AR254" s="39">
        <v>1.33634708931066E-2</v>
      </c>
      <c r="AS254" s="39">
        <v>1.33634708931066E-2</v>
      </c>
      <c r="AT254" s="39">
        <v>1.33634708931066E-2</v>
      </c>
      <c r="AU254" s="39">
        <v>1.2392217523121999E-3</v>
      </c>
      <c r="AV254" s="39">
        <v>1.2392217523121999E-3</v>
      </c>
      <c r="AW254" s="39">
        <v>1.2392217523121999E-3</v>
      </c>
      <c r="AX254" s="39">
        <v>1.2392217523121999E-3</v>
      </c>
      <c r="AY254" s="39">
        <v>1.2392217523121999E-3</v>
      </c>
      <c r="AZ254" s="39">
        <v>1.2392217523121999E-3</v>
      </c>
      <c r="BA254" s="39">
        <v>1.2392217523121999E-3</v>
      </c>
      <c r="BB254" s="39">
        <v>1.2392217523121999E-3</v>
      </c>
      <c r="BC254" s="39">
        <v>1.2392217523121999E-3</v>
      </c>
      <c r="BD254" s="39">
        <v>1.2392217523121999E-3</v>
      </c>
      <c r="BE254" s="39">
        <v>1.2392217523121999E-3</v>
      </c>
      <c r="BF254" s="39">
        <v>1.2392217523121999E-3</v>
      </c>
      <c r="BG254" s="1"/>
      <c r="BH254" s="12">
        <f t="shared" si="128"/>
        <v>164.01939999999999</v>
      </c>
      <c r="BI254" s="12">
        <f t="shared" si="129"/>
        <v>164.01939999999999</v>
      </c>
      <c r="BJ254" s="12">
        <f t="shared" si="130"/>
        <v>138.79310000000001</v>
      </c>
      <c r="BK254" s="12">
        <f t="shared" si="131"/>
        <v>88.308199999999999</v>
      </c>
      <c r="BL254" s="12">
        <f t="shared" si="132"/>
        <v>88.308199999999999</v>
      </c>
      <c r="BM254" s="12">
        <f t="shared" si="133"/>
        <v>75.711200000000005</v>
      </c>
      <c r="BN254" s="12">
        <f t="shared" si="134"/>
        <v>75.711200000000005</v>
      </c>
      <c r="BO254" s="12">
        <f t="shared" si="135"/>
        <v>75.711200000000005</v>
      </c>
      <c r="BP254" s="12">
        <f t="shared" si="136"/>
        <v>164.01939999999999</v>
      </c>
      <c r="BQ254" s="12">
        <f t="shared" si="137"/>
        <v>164.01939999999999</v>
      </c>
      <c r="BR254" s="12">
        <f t="shared" si="138"/>
        <v>164.01939999999999</v>
      </c>
      <c r="BS254" s="12">
        <f t="shared" si="139"/>
        <v>113.56679999999999</v>
      </c>
      <c r="BT254" s="1"/>
      <c r="BU254" s="11">
        <f t="shared" si="140"/>
        <v>166.41452488608599</v>
      </c>
      <c r="BV254" s="11">
        <f t="shared" si="141"/>
        <v>166.41452488608599</v>
      </c>
      <c r="BW254" s="11">
        <f t="shared" si="142"/>
        <v>140.81985298060488</v>
      </c>
      <c r="BX254" s="11">
        <f t="shared" si="143"/>
        <v>89.597737502670171</v>
      </c>
      <c r="BY254" s="11">
        <f t="shared" si="144"/>
        <v>89.597737502670171</v>
      </c>
      <c r="BZ254" s="11">
        <f t="shared" si="145"/>
        <v>76.816787383415843</v>
      </c>
      <c r="CA254" s="11">
        <f t="shared" si="146"/>
        <v>76.816787383415843</v>
      </c>
      <c r="CB254" s="11">
        <f t="shared" si="147"/>
        <v>76.816787383415843</v>
      </c>
      <c r="CC254" s="11">
        <f t="shared" si="148"/>
        <v>166.41452488608599</v>
      </c>
      <c r="CD254" s="11">
        <f t="shared" si="149"/>
        <v>166.41452488608599</v>
      </c>
      <c r="CE254" s="11">
        <f t="shared" si="150"/>
        <v>166.41452488608599</v>
      </c>
      <c r="CF254" s="11">
        <f t="shared" si="151"/>
        <v>115.22518107512373</v>
      </c>
      <c r="CG254" s="11"/>
      <c r="CH254" s="41">
        <v>3.23</v>
      </c>
      <c r="CI254" s="1"/>
      <c r="CJ254" s="53">
        <f t="shared" si="152"/>
        <v>70306</v>
      </c>
      <c r="CK254" s="53">
        <f t="shared" si="153"/>
        <v>70306</v>
      </c>
      <c r="CL254" s="53">
        <f t="shared" si="154"/>
        <v>59493</v>
      </c>
      <c r="CM254" s="53">
        <f t="shared" si="155"/>
        <v>37853</v>
      </c>
      <c r="CN254" s="53">
        <f t="shared" si="156"/>
        <v>37853</v>
      </c>
      <c r="CO254" s="53">
        <f t="shared" si="157"/>
        <v>32453</v>
      </c>
      <c r="CP254" s="53">
        <f t="shared" si="158"/>
        <v>32453</v>
      </c>
      <c r="CQ254" s="53">
        <f t="shared" si="159"/>
        <v>32453</v>
      </c>
      <c r="CR254" s="53">
        <f t="shared" si="160"/>
        <v>70306</v>
      </c>
      <c r="CS254" s="53">
        <f t="shared" si="161"/>
        <v>70306</v>
      </c>
      <c r="CT254" s="53">
        <f t="shared" si="162"/>
        <v>70306</v>
      </c>
      <c r="CU254" s="53">
        <f t="shared" si="163"/>
        <v>48680</v>
      </c>
      <c r="CV254" s="53">
        <f t="shared" si="165"/>
        <v>632768</v>
      </c>
      <c r="CW254" s="1"/>
      <c r="CX254" s="1"/>
      <c r="CY254" s="1"/>
      <c r="CZ254" s="1"/>
      <c r="DA254" s="1"/>
      <c r="DB254" s="1"/>
      <c r="DC254" s="1"/>
      <c r="DD254" s="1"/>
      <c r="DE254" s="1"/>
      <c r="DF254" s="1"/>
      <c r="DG254" s="1"/>
      <c r="DH254" s="1"/>
      <c r="DI254" s="1"/>
      <c r="DJ254" s="1"/>
      <c r="DK254" s="1"/>
      <c r="DL254" s="1"/>
    </row>
    <row r="255" spans="1:116" ht="15.75" hidden="1" x14ac:dyDescent="0.25">
      <c r="A255" s="17"/>
      <c r="B255" s="17"/>
      <c r="C255" s="17"/>
      <c r="D255" s="17"/>
      <c r="E255" s="17"/>
      <c r="F255" s="18" t="s">
        <v>32</v>
      </c>
      <c r="G255" s="57">
        <v>260.89</v>
      </c>
      <c r="H255" s="57">
        <v>260.89</v>
      </c>
      <c r="I255" s="57">
        <v>186.35</v>
      </c>
      <c r="J255" s="57">
        <v>90.85</v>
      </c>
      <c r="K255" s="57">
        <v>90.85</v>
      </c>
      <c r="L255" s="57">
        <v>90.85</v>
      </c>
      <c r="M255" s="57">
        <v>86.66</v>
      </c>
      <c r="N255" s="57">
        <v>90.85</v>
      </c>
      <c r="O255" s="57">
        <v>186.35</v>
      </c>
      <c r="P255" s="57">
        <v>232.94</v>
      </c>
      <c r="Q255" s="57">
        <v>186.35</v>
      </c>
      <c r="R255" s="57">
        <v>167.72</v>
      </c>
      <c r="S255" s="11">
        <f t="shared" si="166"/>
        <v>1931.55</v>
      </c>
      <c r="T255" s="1"/>
      <c r="U255" s="1"/>
      <c r="V255" s="50">
        <f t="shared" si="164"/>
        <v>2065933</v>
      </c>
      <c r="W255" s="36">
        <v>3.0640000000000001</v>
      </c>
      <c r="X255" s="36">
        <v>3.0640000000000001</v>
      </c>
      <c r="Y255" s="36">
        <v>3.0640000000000001</v>
      </c>
      <c r="Z255" s="36">
        <v>3.0640000000000001</v>
      </c>
      <c r="AA255" s="36">
        <v>3.0640000000000001</v>
      </c>
      <c r="AB255" s="36">
        <v>3.0640000000000001</v>
      </c>
      <c r="AC255" s="36">
        <v>3.0640000000000001</v>
      </c>
      <c r="AD255" s="36">
        <v>3.0640000000000001</v>
      </c>
      <c r="AE255" s="36">
        <v>3.0640000000000001</v>
      </c>
      <c r="AF255" s="36">
        <v>3.0640000000000001</v>
      </c>
      <c r="AG255" s="36">
        <v>3.0640000000000001</v>
      </c>
      <c r="AH255" s="36">
        <v>3.0640000000000001</v>
      </c>
      <c r="AI255" s="39">
        <v>1.33634708931066E-2</v>
      </c>
      <c r="AJ255" s="39">
        <v>1.33634708931066E-2</v>
      </c>
      <c r="AK255" s="39">
        <v>1.33634708931066E-2</v>
      </c>
      <c r="AL255" s="39">
        <v>1.33634708931066E-2</v>
      </c>
      <c r="AM255" s="39">
        <v>1.33634708931066E-2</v>
      </c>
      <c r="AN255" s="39">
        <v>1.33634708931066E-2</v>
      </c>
      <c r="AO255" s="39">
        <v>1.33634708931066E-2</v>
      </c>
      <c r="AP255" s="39">
        <v>1.33634708931066E-2</v>
      </c>
      <c r="AQ255" s="39">
        <v>1.33634708931066E-2</v>
      </c>
      <c r="AR255" s="39">
        <v>1.33634708931066E-2</v>
      </c>
      <c r="AS255" s="39">
        <v>1.33634708931066E-2</v>
      </c>
      <c r="AT255" s="39">
        <v>1.33634708931066E-2</v>
      </c>
      <c r="AU255" s="39">
        <v>1.2392217523121999E-3</v>
      </c>
      <c r="AV255" s="39">
        <v>1.2392217523121999E-3</v>
      </c>
      <c r="AW255" s="39">
        <v>1.2392217523121999E-3</v>
      </c>
      <c r="AX255" s="39">
        <v>1.2392217523121999E-3</v>
      </c>
      <c r="AY255" s="39">
        <v>1.2392217523121999E-3</v>
      </c>
      <c r="AZ255" s="39">
        <v>1.2392217523121999E-3</v>
      </c>
      <c r="BA255" s="39">
        <v>1.2392217523121999E-3</v>
      </c>
      <c r="BB255" s="39">
        <v>1.2392217523121999E-3</v>
      </c>
      <c r="BC255" s="39">
        <v>1.2392217523121999E-3</v>
      </c>
      <c r="BD255" s="39">
        <v>1.2392217523121999E-3</v>
      </c>
      <c r="BE255" s="39">
        <v>1.2392217523121999E-3</v>
      </c>
      <c r="BF255" s="39">
        <v>1.2392217523121999E-3</v>
      </c>
      <c r="BG255" s="1"/>
      <c r="BH255" s="12">
        <f t="shared" si="128"/>
        <v>842.67469999999992</v>
      </c>
      <c r="BI255" s="12">
        <f t="shared" si="129"/>
        <v>842.67469999999992</v>
      </c>
      <c r="BJ255" s="12">
        <f t="shared" si="130"/>
        <v>601.91049999999996</v>
      </c>
      <c r="BK255" s="12">
        <f t="shared" si="131"/>
        <v>293.44549999999998</v>
      </c>
      <c r="BL255" s="12">
        <f t="shared" si="132"/>
        <v>293.44549999999998</v>
      </c>
      <c r="BM255" s="12">
        <f t="shared" si="133"/>
        <v>293.44549999999998</v>
      </c>
      <c r="BN255" s="12">
        <f t="shared" si="134"/>
        <v>279.91179999999997</v>
      </c>
      <c r="BO255" s="12">
        <f t="shared" si="135"/>
        <v>293.44549999999998</v>
      </c>
      <c r="BP255" s="12">
        <f t="shared" si="136"/>
        <v>601.91049999999996</v>
      </c>
      <c r="BQ255" s="12">
        <f t="shared" si="137"/>
        <v>752.39620000000002</v>
      </c>
      <c r="BR255" s="12">
        <f t="shared" si="138"/>
        <v>601.91049999999996</v>
      </c>
      <c r="BS255" s="12">
        <f t="shared" si="139"/>
        <v>541.73559999999998</v>
      </c>
      <c r="BT255" s="1"/>
      <c r="BU255" s="11">
        <f t="shared" si="140"/>
        <v>854.9800196441704</v>
      </c>
      <c r="BV255" s="11">
        <f t="shared" si="141"/>
        <v>854.9800196441704</v>
      </c>
      <c r="BW255" s="11">
        <f t="shared" si="142"/>
        <v>610.70001403155027</v>
      </c>
      <c r="BX255" s="11">
        <f t="shared" si="143"/>
        <v>297.73059444468123</v>
      </c>
      <c r="BY255" s="11">
        <f t="shared" si="144"/>
        <v>297.73059444468123</v>
      </c>
      <c r="BZ255" s="11">
        <f t="shared" si="145"/>
        <v>297.73059444468123</v>
      </c>
      <c r="CA255" s="11">
        <f t="shared" si="146"/>
        <v>283.99926598322588</v>
      </c>
      <c r="CB255" s="11">
        <f t="shared" si="147"/>
        <v>297.73059444468123</v>
      </c>
      <c r="CC255" s="11">
        <f t="shared" si="148"/>
        <v>610.70001403155027</v>
      </c>
      <c r="CD255" s="11">
        <f t="shared" si="149"/>
        <v>763.38321045618113</v>
      </c>
      <c r="CE255" s="11">
        <f t="shared" si="150"/>
        <v>610.70001403155027</v>
      </c>
      <c r="CF255" s="11">
        <f t="shared" si="151"/>
        <v>549.64639846188152</v>
      </c>
      <c r="CG255" s="11"/>
      <c r="CH255" s="41">
        <v>3.23</v>
      </c>
      <c r="CI255" s="1"/>
      <c r="CJ255" s="53">
        <f t="shared" si="152"/>
        <v>279040</v>
      </c>
      <c r="CK255" s="53">
        <f t="shared" si="153"/>
        <v>279040</v>
      </c>
      <c r="CL255" s="53">
        <f t="shared" si="154"/>
        <v>199315</v>
      </c>
      <c r="CM255" s="53">
        <f t="shared" si="155"/>
        <v>97171</v>
      </c>
      <c r="CN255" s="53">
        <f t="shared" si="156"/>
        <v>97171</v>
      </c>
      <c r="CO255" s="53">
        <f t="shared" si="157"/>
        <v>97171</v>
      </c>
      <c r="CP255" s="53">
        <f t="shared" si="158"/>
        <v>92689</v>
      </c>
      <c r="CQ255" s="53">
        <f t="shared" si="159"/>
        <v>97171</v>
      </c>
      <c r="CR255" s="53">
        <f t="shared" si="160"/>
        <v>199315</v>
      </c>
      <c r="CS255" s="53">
        <f t="shared" si="161"/>
        <v>249146</v>
      </c>
      <c r="CT255" s="53">
        <f t="shared" si="162"/>
        <v>199315</v>
      </c>
      <c r="CU255" s="53">
        <f t="shared" si="163"/>
        <v>179389</v>
      </c>
      <c r="CV255" s="53">
        <f t="shared" si="165"/>
        <v>2065933</v>
      </c>
      <c r="CW255" s="1"/>
      <c r="CX255" s="1"/>
      <c r="CY255" s="1"/>
      <c r="CZ255" s="1"/>
      <c r="DA255" s="1"/>
      <c r="DB255" s="1"/>
      <c r="DC255" s="1"/>
      <c r="DD255" s="1"/>
      <c r="DE255" s="1"/>
      <c r="DF255" s="1"/>
      <c r="DG255" s="1"/>
      <c r="DH255" s="1"/>
      <c r="DI255" s="1"/>
      <c r="DJ255" s="1"/>
      <c r="DK255" s="1"/>
      <c r="DL255" s="1"/>
    </row>
    <row r="256" spans="1:116" ht="15.75" hidden="1" x14ac:dyDescent="0.25">
      <c r="A256" s="17"/>
      <c r="B256" s="17"/>
      <c r="C256" s="17"/>
      <c r="D256" s="17"/>
      <c r="E256" s="17"/>
      <c r="F256" s="18" t="s">
        <v>32</v>
      </c>
      <c r="G256" s="57">
        <v>924.43</v>
      </c>
      <c r="H256" s="57">
        <v>847.39</v>
      </c>
      <c r="I256" s="57">
        <v>731.84</v>
      </c>
      <c r="J256" s="57">
        <v>489.95</v>
      </c>
      <c r="K256" s="57">
        <v>489.95</v>
      </c>
      <c r="L256" s="57">
        <v>449.12</v>
      </c>
      <c r="M256" s="57">
        <v>449.12</v>
      </c>
      <c r="N256" s="57">
        <v>693.32</v>
      </c>
      <c r="O256" s="57">
        <v>731.84</v>
      </c>
      <c r="P256" s="57">
        <v>847.39</v>
      </c>
      <c r="Q256" s="57">
        <v>847.39</v>
      </c>
      <c r="R256" s="57">
        <v>616.28</v>
      </c>
      <c r="S256" s="11">
        <f t="shared" si="166"/>
        <v>8118.0199999999995</v>
      </c>
      <c r="T256" s="1"/>
      <c r="U256" s="1"/>
      <c r="V256" s="50">
        <f t="shared" si="164"/>
        <v>10123328</v>
      </c>
      <c r="W256" s="36">
        <v>2.6280000000000001</v>
      </c>
      <c r="X256" s="36">
        <v>2.6280000000000001</v>
      </c>
      <c r="Y256" s="36">
        <v>2.6280000000000001</v>
      </c>
      <c r="Z256" s="36">
        <v>2.6280000000000001</v>
      </c>
      <c r="AA256" s="36">
        <v>2.6280000000000001</v>
      </c>
      <c r="AB256" s="36">
        <v>2.6280000000000001</v>
      </c>
      <c r="AC256" s="36">
        <v>2.6280000000000001</v>
      </c>
      <c r="AD256" s="36">
        <v>2.6280000000000001</v>
      </c>
      <c r="AE256" s="36">
        <v>2.6280000000000001</v>
      </c>
      <c r="AF256" s="36">
        <v>2.6280000000000001</v>
      </c>
      <c r="AG256" s="36">
        <v>2.6280000000000001</v>
      </c>
      <c r="AH256" s="36">
        <v>2.6280000000000001</v>
      </c>
      <c r="AI256" s="39">
        <v>1.33634708931066E-2</v>
      </c>
      <c r="AJ256" s="39">
        <v>1.33634708931066E-2</v>
      </c>
      <c r="AK256" s="39">
        <v>1.33634708931066E-2</v>
      </c>
      <c r="AL256" s="39">
        <v>1.33634708931066E-2</v>
      </c>
      <c r="AM256" s="39">
        <v>1.33634708931066E-2</v>
      </c>
      <c r="AN256" s="39">
        <v>1.33634708931066E-2</v>
      </c>
      <c r="AO256" s="39">
        <v>1.33634708931066E-2</v>
      </c>
      <c r="AP256" s="39">
        <v>1.33634708931066E-2</v>
      </c>
      <c r="AQ256" s="39">
        <v>1.33634708931066E-2</v>
      </c>
      <c r="AR256" s="39">
        <v>1.33634708931066E-2</v>
      </c>
      <c r="AS256" s="39">
        <v>1.33634708931066E-2</v>
      </c>
      <c r="AT256" s="39">
        <v>1.33634708931066E-2</v>
      </c>
      <c r="AU256" s="39">
        <v>1.2392217523121999E-3</v>
      </c>
      <c r="AV256" s="39">
        <v>1.2392217523121999E-3</v>
      </c>
      <c r="AW256" s="39">
        <v>1.2392217523121999E-3</v>
      </c>
      <c r="AX256" s="39">
        <v>1.2392217523121999E-3</v>
      </c>
      <c r="AY256" s="39">
        <v>1.2392217523121999E-3</v>
      </c>
      <c r="AZ256" s="39">
        <v>1.2392217523121999E-3</v>
      </c>
      <c r="BA256" s="39">
        <v>1.2392217523121999E-3</v>
      </c>
      <c r="BB256" s="39">
        <v>1.2392217523121999E-3</v>
      </c>
      <c r="BC256" s="39">
        <v>1.2392217523121999E-3</v>
      </c>
      <c r="BD256" s="39">
        <v>1.2392217523121999E-3</v>
      </c>
      <c r="BE256" s="39">
        <v>1.2392217523121999E-3</v>
      </c>
      <c r="BF256" s="39">
        <v>1.2392217523121999E-3</v>
      </c>
      <c r="BG256" s="1"/>
      <c r="BH256" s="12">
        <f t="shared" si="128"/>
        <v>2985.9088999999999</v>
      </c>
      <c r="BI256" s="12">
        <f t="shared" si="129"/>
        <v>2737.0697</v>
      </c>
      <c r="BJ256" s="12">
        <f t="shared" si="130"/>
        <v>2363.8432000000003</v>
      </c>
      <c r="BK256" s="12">
        <f t="shared" si="131"/>
        <v>1582.5384999999999</v>
      </c>
      <c r="BL256" s="12">
        <f t="shared" si="132"/>
        <v>1582.5384999999999</v>
      </c>
      <c r="BM256" s="12">
        <f t="shared" si="133"/>
        <v>1450.6576</v>
      </c>
      <c r="BN256" s="12">
        <f t="shared" si="134"/>
        <v>1450.6576</v>
      </c>
      <c r="BO256" s="12">
        <f t="shared" si="135"/>
        <v>2239.4236000000001</v>
      </c>
      <c r="BP256" s="12">
        <f t="shared" si="136"/>
        <v>2363.8432000000003</v>
      </c>
      <c r="BQ256" s="12">
        <f t="shared" si="137"/>
        <v>2737.0697</v>
      </c>
      <c r="BR256" s="12">
        <f t="shared" si="138"/>
        <v>2737.0697</v>
      </c>
      <c r="BS256" s="12">
        <f t="shared" si="139"/>
        <v>1990.5844</v>
      </c>
      <c r="BT256" s="1"/>
      <c r="BU256" s="11">
        <f t="shared" si="140"/>
        <v>3029.5112099339203</v>
      </c>
      <c r="BV256" s="11">
        <f t="shared" si="141"/>
        <v>2777.0382875781888</v>
      </c>
      <c r="BW256" s="11">
        <f t="shared" si="142"/>
        <v>2398.3616757115633</v>
      </c>
      <c r="BX256" s="11">
        <f t="shared" si="143"/>
        <v>1605.6478233150419</v>
      </c>
      <c r="BY256" s="11">
        <f t="shared" si="144"/>
        <v>1605.6478233150419</v>
      </c>
      <c r="BZ256" s="11">
        <f t="shared" si="145"/>
        <v>1471.8411070665409</v>
      </c>
      <c r="CA256" s="11">
        <f t="shared" si="146"/>
        <v>1471.8411070665409</v>
      </c>
      <c r="CB256" s="11">
        <f t="shared" si="147"/>
        <v>2272.1252145336975</v>
      </c>
      <c r="CC256" s="11">
        <f t="shared" si="148"/>
        <v>2398.3616757115633</v>
      </c>
      <c r="CD256" s="11">
        <f t="shared" si="149"/>
        <v>2777.0382875781888</v>
      </c>
      <c r="CE256" s="11">
        <f t="shared" si="150"/>
        <v>2777.0382875781888</v>
      </c>
      <c r="CF256" s="11">
        <f t="shared" si="151"/>
        <v>2019.6522921779654</v>
      </c>
      <c r="CG256" s="11"/>
      <c r="CH256" s="41">
        <v>3.23</v>
      </c>
      <c r="CI256" s="1"/>
      <c r="CJ256" s="53">
        <f t="shared" si="152"/>
        <v>1152782</v>
      </c>
      <c r="CK256" s="53">
        <f t="shared" si="153"/>
        <v>1056712</v>
      </c>
      <c r="CL256" s="53">
        <f t="shared" si="154"/>
        <v>912619</v>
      </c>
      <c r="CM256" s="53">
        <f t="shared" si="155"/>
        <v>610977</v>
      </c>
      <c r="CN256" s="53">
        <f t="shared" si="156"/>
        <v>610977</v>
      </c>
      <c r="CO256" s="53">
        <f t="shared" si="157"/>
        <v>560061</v>
      </c>
      <c r="CP256" s="53">
        <f t="shared" si="158"/>
        <v>560061</v>
      </c>
      <c r="CQ256" s="53">
        <f t="shared" si="159"/>
        <v>864583</v>
      </c>
      <c r="CR256" s="53">
        <f t="shared" si="160"/>
        <v>912619</v>
      </c>
      <c r="CS256" s="53">
        <f t="shared" si="161"/>
        <v>1056712</v>
      </c>
      <c r="CT256" s="53">
        <f t="shared" si="162"/>
        <v>1056712</v>
      </c>
      <c r="CU256" s="53">
        <f t="shared" si="163"/>
        <v>768513</v>
      </c>
      <c r="CV256" s="53">
        <f t="shared" si="165"/>
        <v>10123328</v>
      </c>
      <c r="CW256" s="1"/>
      <c r="CX256" s="1"/>
      <c r="CY256" s="1"/>
      <c r="CZ256" s="1"/>
      <c r="DA256" s="1"/>
      <c r="DB256" s="1"/>
      <c r="DC256" s="1"/>
      <c r="DD256" s="1"/>
      <c r="DE256" s="1"/>
      <c r="DF256" s="1"/>
      <c r="DG256" s="1"/>
      <c r="DH256" s="1"/>
      <c r="DI256" s="1"/>
      <c r="DJ256" s="1"/>
      <c r="DK256" s="1"/>
      <c r="DL256" s="1"/>
    </row>
    <row r="257" spans="1:116" ht="15.75" hidden="1" x14ac:dyDescent="0.25">
      <c r="A257" s="17"/>
      <c r="B257" s="17"/>
      <c r="C257" s="17"/>
      <c r="D257" s="17"/>
      <c r="E257" s="17"/>
      <c r="F257" s="18" t="s">
        <v>32</v>
      </c>
      <c r="G257" s="57">
        <v>24.58</v>
      </c>
      <c r="H257" s="57">
        <v>24.58</v>
      </c>
      <c r="I257" s="57">
        <v>24.58</v>
      </c>
      <c r="J257" s="57">
        <v>24.58</v>
      </c>
      <c r="K257" s="57">
        <v>24.58</v>
      </c>
      <c r="L257" s="57">
        <v>24.58</v>
      </c>
      <c r="M257" s="57">
        <v>24.58</v>
      </c>
      <c r="N257" s="57">
        <v>24.58</v>
      </c>
      <c r="O257" s="57">
        <v>24.58</v>
      </c>
      <c r="P257" s="57">
        <v>24.58</v>
      </c>
      <c r="Q257" s="57">
        <v>24.58</v>
      </c>
      <c r="R257" s="57">
        <v>24.58</v>
      </c>
      <c r="S257" s="11">
        <f t="shared" si="166"/>
        <v>294.95999999999992</v>
      </c>
      <c r="T257" s="1"/>
      <c r="U257" s="1"/>
      <c r="V257" s="50">
        <f t="shared" si="164"/>
        <v>189276</v>
      </c>
      <c r="W257" s="36">
        <v>5.1070000000000002</v>
      </c>
      <c r="X257" s="36">
        <v>5.1070000000000002</v>
      </c>
      <c r="Y257" s="36">
        <v>5.1070000000000002</v>
      </c>
      <c r="Z257" s="36">
        <v>5.1070000000000002</v>
      </c>
      <c r="AA257" s="36">
        <v>5.1070000000000002</v>
      </c>
      <c r="AB257" s="36">
        <v>5.1070000000000002</v>
      </c>
      <c r="AC257" s="36">
        <v>5.1070000000000002</v>
      </c>
      <c r="AD257" s="36">
        <v>5.1070000000000002</v>
      </c>
      <c r="AE257" s="36">
        <v>5.1070000000000002</v>
      </c>
      <c r="AF257" s="36">
        <v>5.1070000000000002</v>
      </c>
      <c r="AG257" s="36">
        <v>5.1070000000000002</v>
      </c>
      <c r="AH257" s="36">
        <v>5.1070000000000002</v>
      </c>
      <c r="AI257" s="39">
        <v>1.33634708931066E-2</v>
      </c>
      <c r="AJ257" s="39">
        <v>1.33634708931066E-2</v>
      </c>
      <c r="AK257" s="39">
        <v>1.33634708931066E-2</v>
      </c>
      <c r="AL257" s="39">
        <v>1.33634708931066E-2</v>
      </c>
      <c r="AM257" s="39">
        <v>1.33634708931066E-2</v>
      </c>
      <c r="AN257" s="39">
        <v>1.33634708931066E-2</v>
      </c>
      <c r="AO257" s="39">
        <v>1.33634708931066E-2</v>
      </c>
      <c r="AP257" s="39">
        <v>1.33634708931066E-2</v>
      </c>
      <c r="AQ257" s="39">
        <v>1.33634708931066E-2</v>
      </c>
      <c r="AR257" s="39">
        <v>1.33634708931066E-2</v>
      </c>
      <c r="AS257" s="39">
        <v>1.33634708931066E-2</v>
      </c>
      <c r="AT257" s="39">
        <v>1.33634708931066E-2</v>
      </c>
      <c r="AU257" s="39">
        <v>1.2392217523121999E-3</v>
      </c>
      <c r="AV257" s="39">
        <v>1.2392217523121999E-3</v>
      </c>
      <c r="AW257" s="39">
        <v>1.2392217523121999E-3</v>
      </c>
      <c r="AX257" s="39">
        <v>1.2392217523121999E-3</v>
      </c>
      <c r="AY257" s="39">
        <v>1.2392217523121999E-3</v>
      </c>
      <c r="AZ257" s="39">
        <v>1.2392217523121999E-3</v>
      </c>
      <c r="BA257" s="39">
        <v>1.2392217523121999E-3</v>
      </c>
      <c r="BB257" s="39">
        <v>1.2392217523121999E-3</v>
      </c>
      <c r="BC257" s="39">
        <v>1.2392217523121999E-3</v>
      </c>
      <c r="BD257" s="39">
        <v>1.2392217523121999E-3</v>
      </c>
      <c r="BE257" s="39">
        <v>1.2392217523121999E-3</v>
      </c>
      <c r="BF257" s="39">
        <v>1.2392217523121999E-3</v>
      </c>
      <c r="BG257" s="1"/>
      <c r="BH257" s="12">
        <f t="shared" si="128"/>
        <v>79.3934</v>
      </c>
      <c r="BI257" s="12">
        <f t="shared" si="129"/>
        <v>79.3934</v>
      </c>
      <c r="BJ257" s="12">
        <f t="shared" si="130"/>
        <v>79.3934</v>
      </c>
      <c r="BK257" s="12">
        <f t="shared" si="131"/>
        <v>79.3934</v>
      </c>
      <c r="BL257" s="12">
        <f t="shared" si="132"/>
        <v>79.3934</v>
      </c>
      <c r="BM257" s="12">
        <f t="shared" si="133"/>
        <v>79.3934</v>
      </c>
      <c r="BN257" s="12">
        <f t="shared" si="134"/>
        <v>79.3934</v>
      </c>
      <c r="BO257" s="12">
        <f t="shared" si="135"/>
        <v>79.3934</v>
      </c>
      <c r="BP257" s="12">
        <f t="shared" si="136"/>
        <v>79.3934</v>
      </c>
      <c r="BQ257" s="12">
        <f t="shared" si="137"/>
        <v>79.3934</v>
      </c>
      <c r="BR257" s="12">
        <f t="shared" si="138"/>
        <v>79.3934</v>
      </c>
      <c r="BS257" s="12">
        <f t="shared" si="139"/>
        <v>79.3934</v>
      </c>
      <c r="BT257" s="1"/>
      <c r="BU257" s="11">
        <f t="shared" si="140"/>
        <v>80.552757418274794</v>
      </c>
      <c r="BV257" s="11">
        <f t="shared" si="141"/>
        <v>80.552757418274794</v>
      </c>
      <c r="BW257" s="11">
        <f t="shared" si="142"/>
        <v>80.552757418274794</v>
      </c>
      <c r="BX257" s="11">
        <f t="shared" si="143"/>
        <v>80.552757418274794</v>
      </c>
      <c r="BY257" s="11">
        <f t="shared" si="144"/>
        <v>80.552757418274794</v>
      </c>
      <c r="BZ257" s="11">
        <f t="shared" si="145"/>
        <v>80.552757418274794</v>
      </c>
      <c r="CA257" s="11">
        <f t="shared" si="146"/>
        <v>80.552757418274794</v>
      </c>
      <c r="CB257" s="11">
        <f t="shared" si="147"/>
        <v>80.552757418274794</v>
      </c>
      <c r="CC257" s="11">
        <f t="shared" si="148"/>
        <v>80.552757418274794</v>
      </c>
      <c r="CD257" s="11">
        <f t="shared" si="149"/>
        <v>80.552757418274794</v>
      </c>
      <c r="CE257" s="11">
        <f t="shared" si="150"/>
        <v>80.552757418274794</v>
      </c>
      <c r="CF257" s="11">
        <f t="shared" si="151"/>
        <v>80.552757418274794</v>
      </c>
      <c r="CG257" s="11"/>
      <c r="CH257" s="41">
        <v>3.23</v>
      </c>
      <c r="CI257" s="1"/>
      <c r="CJ257" s="53">
        <f t="shared" si="152"/>
        <v>15773</v>
      </c>
      <c r="CK257" s="53">
        <f t="shared" si="153"/>
        <v>15773</v>
      </c>
      <c r="CL257" s="53">
        <f t="shared" si="154"/>
        <v>15773</v>
      </c>
      <c r="CM257" s="53">
        <f t="shared" si="155"/>
        <v>15773</v>
      </c>
      <c r="CN257" s="53">
        <f t="shared" si="156"/>
        <v>15773</v>
      </c>
      <c r="CO257" s="53">
        <f t="shared" si="157"/>
        <v>15773</v>
      </c>
      <c r="CP257" s="53">
        <f t="shared" si="158"/>
        <v>15773</v>
      </c>
      <c r="CQ257" s="53">
        <f t="shared" si="159"/>
        <v>15773</v>
      </c>
      <c r="CR257" s="53">
        <f t="shared" si="160"/>
        <v>15773</v>
      </c>
      <c r="CS257" s="53">
        <f t="shared" si="161"/>
        <v>15773</v>
      </c>
      <c r="CT257" s="53">
        <f t="shared" si="162"/>
        <v>15773</v>
      </c>
      <c r="CU257" s="53">
        <f t="shared" si="163"/>
        <v>15773</v>
      </c>
      <c r="CV257" s="53">
        <f t="shared" si="165"/>
        <v>189276</v>
      </c>
      <c r="CW257" s="1"/>
      <c r="CX257" s="1"/>
      <c r="CY257" s="1"/>
      <c r="CZ257" s="1"/>
      <c r="DA257" s="1"/>
      <c r="DB257" s="1"/>
      <c r="DC257" s="1"/>
      <c r="DD257" s="1"/>
      <c r="DE257" s="1"/>
      <c r="DF257" s="1"/>
      <c r="DG257" s="1"/>
      <c r="DH257" s="1"/>
      <c r="DI257" s="1"/>
      <c r="DJ257" s="1"/>
      <c r="DK257" s="1"/>
      <c r="DL257" s="1"/>
    </row>
    <row r="258" spans="1:116" ht="15.75" hidden="1" x14ac:dyDescent="0.25">
      <c r="A258" s="17"/>
      <c r="B258" s="17"/>
      <c r="C258" s="17"/>
      <c r="D258" s="17"/>
      <c r="E258" s="17"/>
      <c r="F258" s="18" t="s">
        <v>32</v>
      </c>
      <c r="G258" s="57">
        <v>30.26</v>
      </c>
      <c r="H258" s="57">
        <v>25.22</v>
      </c>
      <c r="I258" s="57">
        <v>25.22</v>
      </c>
      <c r="J258" s="57">
        <v>26.48</v>
      </c>
      <c r="K258" s="57">
        <v>21.18</v>
      </c>
      <c r="L258" s="57">
        <v>4.24</v>
      </c>
      <c r="M258" s="57">
        <v>4.24</v>
      </c>
      <c r="N258" s="57">
        <v>3.18</v>
      </c>
      <c r="O258" s="57">
        <v>12.1</v>
      </c>
      <c r="P258" s="57">
        <v>20.170000000000002</v>
      </c>
      <c r="Q258" s="57">
        <v>26.48</v>
      </c>
      <c r="R258" s="57">
        <v>26.48</v>
      </c>
      <c r="S258" s="11">
        <f t="shared" si="166"/>
        <v>225.25</v>
      </c>
      <c r="T258" s="1"/>
      <c r="U258" s="1"/>
      <c r="V258" s="50">
        <f t="shared" si="164"/>
        <v>226716</v>
      </c>
      <c r="W258" s="36">
        <v>3.2559999999999998</v>
      </c>
      <c r="X258" s="36">
        <v>3.2559999999999998</v>
      </c>
      <c r="Y258" s="36">
        <v>3.2559999999999998</v>
      </c>
      <c r="Z258" s="36">
        <v>3.2559999999999998</v>
      </c>
      <c r="AA258" s="36">
        <v>3.2559999999999998</v>
      </c>
      <c r="AB258" s="36">
        <v>3.2559999999999998</v>
      </c>
      <c r="AC258" s="36">
        <v>3.2559999999999998</v>
      </c>
      <c r="AD258" s="36">
        <v>3.2559999999999998</v>
      </c>
      <c r="AE258" s="36">
        <v>3.2559999999999998</v>
      </c>
      <c r="AF258" s="36">
        <v>3.2559999999999998</v>
      </c>
      <c r="AG258" s="36">
        <v>3.2559999999999998</v>
      </c>
      <c r="AH258" s="36">
        <v>3.2559999999999998</v>
      </c>
      <c r="AI258" s="39">
        <v>1.33634708931066E-2</v>
      </c>
      <c r="AJ258" s="39">
        <v>1.33634708931066E-2</v>
      </c>
      <c r="AK258" s="39">
        <v>1.33634708931066E-2</v>
      </c>
      <c r="AL258" s="39">
        <v>1.33634708931066E-2</v>
      </c>
      <c r="AM258" s="39">
        <v>1.33634708931066E-2</v>
      </c>
      <c r="AN258" s="39">
        <v>1.33634708931066E-2</v>
      </c>
      <c r="AO258" s="39">
        <v>1.33634708931066E-2</v>
      </c>
      <c r="AP258" s="39">
        <v>1.33634708931066E-2</v>
      </c>
      <c r="AQ258" s="39">
        <v>1.33634708931066E-2</v>
      </c>
      <c r="AR258" s="39">
        <v>1.33634708931066E-2</v>
      </c>
      <c r="AS258" s="39">
        <v>1.33634708931066E-2</v>
      </c>
      <c r="AT258" s="39">
        <v>1.33634708931066E-2</v>
      </c>
      <c r="AU258" s="39">
        <v>1.2392217523121999E-3</v>
      </c>
      <c r="AV258" s="39">
        <v>1.2392217523121999E-3</v>
      </c>
      <c r="AW258" s="39">
        <v>1.2392217523121999E-3</v>
      </c>
      <c r="AX258" s="39">
        <v>1.2392217523121999E-3</v>
      </c>
      <c r="AY258" s="39">
        <v>1.2392217523121999E-3</v>
      </c>
      <c r="AZ258" s="39">
        <v>1.2392217523121999E-3</v>
      </c>
      <c r="BA258" s="39">
        <v>1.2392217523121999E-3</v>
      </c>
      <c r="BB258" s="39">
        <v>1.2392217523121999E-3</v>
      </c>
      <c r="BC258" s="39">
        <v>1.2392217523121999E-3</v>
      </c>
      <c r="BD258" s="39">
        <v>1.2392217523121999E-3</v>
      </c>
      <c r="BE258" s="39">
        <v>1.2392217523121999E-3</v>
      </c>
      <c r="BF258" s="39">
        <v>1.2392217523121999E-3</v>
      </c>
      <c r="BG258" s="1"/>
      <c r="BH258" s="12">
        <f t="shared" si="128"/>
        <v>97.739800000000002</v>
      </c>
      <c r="BI258" s="12">
        <f t="shared" si="129"/>
        <v>81.460599999999999</v>
      </c>
      <c r="BJ258" s="12">
        <f t="shared" si="130"/>
        <v>81.460599999999999</v>
      </c>
      <c r="BK258" s="12">
        <f t="shared" si="131"/>
        <v>85.5304</v>
      </c>
      <c r="BL258" s="12">
        <f t="shared" si="132"/>
        <v>68.4114</v>
      </c>
      <c r="BM258" s="12">
        <f t="shared" si="133"/>
        <v>13.6952</v>
      </c>
      <c r="BN258" s="12">
        <f t="shared" si="134"/>
        <v>13.6952</v>
      </c>
      <c r="BO258" s="12">
        <f t="shared" si="135"/>
        <v>10.2714</v>
      </c>
      <c r="BP258" s="12">
        <f t="shared" si="136"/>
        <v>39.082999999999998</v>
      </c>
      <c r="BQ258" s="12">
        <f t="shared" si="137"/>
        <v>65.149100000000004</v>
      </c>
      <c r="BR258" s="12">
        <f t="shared" si="138"/>
        <v>85.5304</v>
      </c>
      <c r="BS258" s="12">
        <f t="shared" si="139"/>
        <v>85.5304</v>
      </c>
      <c r="BT258" s="1"/>
      <c r="BU258" s="11">
        <f t="shared" si="140"/>
        <v>99.167064258624706</v>
      </c>
      <c r="BV258" s="11">
        <f t="shared" si="141"/>
        <v>82.650144104511398</v>
      </c>
      <c r="BW258" s="11">
        <f t="shared" si="142"/>
        <v>82.650144104511398</v>
      </c>
      <c r="BX258" s="11">
        <f t="shared" si="143"/>
        <v>86.779374143039732</v>
      </c>
      <c r="BY258" s="11">
        <f t="shared" si="144"/>
        <v>69.410390647642799</v>
      </c>
      <c r="BZ258" s="11">
        <f t="shared" si="145"/>
        <v>13.895186796317539</v>
      </c>
      <c r="CA258" s="11">
        <f t="shared" si="146"/>
        <v>13.895186796317539</v>
      </c>
      <c r="CB258" s="11">
        <f t="shared" si="147"/>
        <v>10.421390097238154</v>
      </c>
      <c r="CC258" s="11">
        <f t="shared" si="148"/>
        <v>39.6537170366609</v>
      </c>
      <c r="CD258" s="11">
        <f t="shared" si="149"/>
        <v>66.100452283425653</v>
      </c>
      <c r="CE258" s="11">
        <f t="shared" si="150"/>
        <v>86.779374143039732</v>
      </c>
      <c r="CF258" s="11">
        <f t="shared" si="151"/>
        <v>86.779374143039732</v>
      </c>
      <c r="CG258" s="11"/>
      <c r="CH258" s="41">
        <v>3.23</v>
      </c>
      <c r="CI258" s="1"/>
      <c r="CJ258" s="53">
        <f t="shared" si="152"/>
        <v>30457</v>
      </c>
      <c r="CK258" s="53">
        <f t="shared" si="153"/>
        <v>25384</v>
      </c>
      <c r="CL258" s="53">
        <f t="shared" si="154"/>
        <v>25384</v>
      </c>
      <c r="CM258" s="53">
        <f t="shared" si="155"/>
        <v>26652</v>
      </c>
      <c r="CN258" s="53">
        <f t="shared" si="156"/>
        <v>21318</v>
      </c>
      <c r="CO258" s="53">
        <f t="shared" si="157"/>
        <v>4268</v>
      </c>
      <c r="CP258" s="53">
        <f t="shared" si="158"/>
        <v>4268</v>
      </c>
      <c r="CQ258" s="53">
        <f t="shared" si="159"/>
        <v>3201</v>
      </c>
      <c r="CR258" s="53">
        <f t="shared" si="160"/>
        <v>12179</v>
      </c>
      <c r="CS258" s="53">
        <f t="shared" si="161"/>
        <v>20301</v>
      </c>
      <c r="CT258" s="53">
        <f t="shared" si="162"/>
        <v>26652</v>
      </c>
      <c r="CU258" s="53">
        <f t="shared" si="163"/>
        <v>26652</v>
      </c>
      <c r="CV258" s="53">
        <f t="shared" si="165"/>
        <v>226716</v>
      </c>
      <c r="CW258" s="1"/>
      <c r="CX258" s="1"/>
      <c r="CY258" s="1"/>
      <c r="CZ258" s="1"/>
      <c r="DA258" s="1"/>
      <c r="DB258" s="1"/>
      <c r="DC258" s="1"/>
      <c r="DD258" s="1"/>
      <c r="DE258" s="1"/>
      <c r="DF258" s="1"/>
      <c r="DG258" s="1"/>
      <c r="DH258" s="1"/>
      <c r="DI258" s="1"/>
      <c r="DJ258" s="1"/>
      <c r="DK258" s="1"/>
      <c r="DL258" s="1"/>
    </row>
    <row r="259" spans="1:116" ht="15.75" hidden="1" x14ac:dyDescent="0.25">
      <c r="A259" s="17"/>
      <c r="B259" s="17"/>
      <c r="C259" s="17"/>
      <c r="D259" s="17"/>
      <c r="E259" s="17"/>
      <c r="F259" s="18" t="s">
        <v>32</v>
      </c>
      <c r="G259" s="57">
        <v>18.39</v>
      </c>
      <c r="H259" s="57">
        <v>13.79</v>
      </c>
      <c r="I259" s="57">
        <v>10.57</v>
      </c>
      <c r="J259" s="57">
        <v>7.47</v>
      </c>
      <c r="K259" s="57">
        <v>8.27</v>
      </c>
      <c r="L259" s="57">
        <v>3.86</v>
      </c>
      <c r="M259" s="57">
        <v>3.86</v>
      </c>
      <c r="N259" s="57">
        <v>4.5999999999999996</v>
      </c>
      <c r="O259" s="57">
        <v>9.19</v>
      </c>
      <c r="P259" s="57">
        <v>13.79</v>
      </c>
      <c r="Q259" s="57">
        <v>13.79</v>
      </c>
      <c r="R259" s="57">
        <v>10.11</v>
      </c>
      <c r="S259" s="11">
        <f t="shared" si="166"/>
        <v>117.68999999999998</v>
      </c>
      <c r="T259" s="1"/>
      <c r="U259" s="1"/>
      <c r="V259" s="50">
        <f t="shared" si="164"/>
        <v>268775</v>
      </c>
      <c r="W259" s="36">
        <v>1.4350000000000001</v>
      </c>
      <c r="X259" s="36">
        <v>1.4350000000000001</v>
      </c>
      <c r="Y259" s="36">
        <v>1.4350000000000001</v>
      </c>
      <c r="Z259" s="36">
        <v>1.4350000000000001</v>
      </c>
      <c r="AA259" s="36">
        <v>1.4350000000000001</v>
      </c>
      <c r="AB259" s="36">
        <v>1.4350000000000001</v>
      </c>
      <c r="AC259" s="36">
        <v>1.4350000000000001</v>
      </c>
      <c r="AD259" s="36">
        <v>1.4350000000000001</v>
      </c>
      <c r="AE259" s="36">
        <v>1.4350000000000001</v>
      </c>
      <c r="AF259" s="36">
        <v>1.4350000000000001</v>
      </c>
      <c r="AG259" s="36">
        <v>1.4350000000000001</v>
      </c>
      <c r="AH259" s="36">
        <v>1.4350000000000001</v>
      </c>
      <c r="AI259" s="39">
        <v>1.33634708931066E-2</v>
      </c>
      <c r="AJ259" s="39">
        <v>1.33634708931066E-2</v>
      </c>
      <c r="AK259" s="39">
        <v>1.33634708931066E-2</v>
      </c>
      <c r="AL259" s="39">
        <v>1.33634708931066E-2</v>
      </c>
      <c r="AM259" s="39">
        <v>1.33634708931066E-2</v>
      </c>
      <c r="AN259" s="39">
        <v>1.33634708931066E-2</v>
      </c>
      <c r="AO259" s="39">
        <v>1.33634708931066E-2</v>
      </c>
      <c r="AP259" s="39">
        <v>1.33634708931066E-2</v>
      </c>
      <c r="AQ259" s="39">
        <v>1.33634708931066E-2</v>
      </c>
      <c r="AR259" s="39">
        <v>1.33634708931066E-2</v>
      </c>
      <c r="AS259" s="39">
        <v>1.33634708931066E-2</v>
      </c>
      <c r="AT259" s="39">
        <v>1.33634708931066E-2</v>
      </c>
      <c r="AU259" s="39">
        <v>1.2392217523121999E-3</v>
      </c>
      <c r="AV259" s="39">
        <v>1.2392217523121999E-3</v>
      </c>
      <c r="AW259" s="39">
        <v>1.2392217523121999E-3</v>
      </c>
      <c r="AX259" s="39">
        <v>1.2392217523121999E-3</v>
      </c>
      <c r="AY259" s="39">
        <v>1.2392217523121999E-3</v>
      </c>
      <c r="AZ259" s="39">
        <v>1.2392217523121999E-3</v>
      </c>
      <c r="BA259" s="39">
        <v>1.2392217523121999E-3</v>
      </c>
      <c r="BB259" s="39">
        <v>1.2392217523121999E-3</v>
      </c>
      <c r="BC259" s="39">
        <v>1.2392217523121999E-3</v>
      </c>
      <c r="BD259" s="39">
        <v>1.2392217523121999E-3</v>
      </c>
      <c r="BE259" s="39">
        <v>1.2392217523121999E-3</v>
      </c>
      <c r="BF259" s="39">
        <v>1.2392217523121999E-3</v>
      </c>
      <c r="BG259" s="1"/>
      <c r="BH259" s="12">
        <f t="shared" si="128"/>
        <v>59.399700000000003</v>
      </c>
      <c r="BI259" s="12">
        <f t="shared" si="129"/>
        <v>44.541699999999999</v>
      </c>
      <c r="BJ259" s="12">
        <f t="shared" si="130"/>
        <v>34.141100000000002</v>
      </c>
      <c r="BK259" s="12">
        <f t="shared" si="131"/>
        <v>24.1281</v>
      </c>
      <c r="BL259" s="12">
        <f t="shared" si="132"/>
        <v>26.7121</v>
      </c>
      <c r="BM259" s="12">
        <f t="shared" si="133"/>
        <v>12.467799999999999</v>
      </c>
      <c r="BN259" s="12">
        <f t="shared" si="134"/>
        <v>12.467799999999999</v>
      </c>
      <c r="BO259" s="12">
        <f t="shared" si="135"/>
        <v>14.857999999999999</v>
      </c>
      <c r="BP259" s="12">
        <f t="shared" si="136"/>
        <v>29.683699999999998</v>
      </c>
      <c r="BQ259" s="12">
        <f t="shared" si="137"/>
        <v>44.541699999999999</v>
      </c>
      <c r="BR259" s="12">
        <f t="shared" si="138"/>
        <v>44.541699999999999</v>
      </c>
      <c r="BS259" s="12">
        <f t="shared" si="139"/>
        <v>32.655299999999997</v>
      </c>
      <c r="BT259" s="1"/>
      <c r="BU259" s="11">
        <f t="shared" si="140"/>
        <v>60.267095562330084</v>
      </c>
      <c r="BV259" s="11">
        <f t="shared" si="141"/>
        <v>45.192128755004447</v>
      </c>
      <c r="BW259" s="11">
        <f t="shared" si="142"/>
        <v>34.639651989876512</v>
      </c>
      <c r="BX259" s="11">
        <f t="shared" si="143"/>
        <v>24.480435228417928</v>
      </c>
      <c r="BY259" s="11">
        <f t="shared" si="144"/>
        <v>27.10216858621369</v>
      </c>
      <c r="BZ259" s="11">
        <f t="shared" si="145"/>
        <v>12.649863451364551</v>
      </c>
      <c r="CA259" s="11">
        <f t="shared" si="146"/>
        <v>12.649863451364551</v>
      </c>
      <c r="CB259" s="11">
        <f t="shared" si="147"/>
        <v>15.074966807325632</v>
      </c>
      <c r="CC259" s="11">
        <f t="shared" si="148"/>
        <v>30.117161947678817</v>
      </c>
      <c r="CD259" s="11">
        <f t="shared" si="149"/>
        <v>45.192128755004447</v>
      </c>
      <c r="CE259" s="11">
        <f t="shared" si="150"/>
        <v>45.192128755004447</v>
      </c>
      <c r="CF259" s="11">
        <f t="shared" si="151"/>
        <v>33.13215530914394</v>
      </c>
      <c r="CG259" s="11"/>
      <c r="CH259" s="41">
        <v>3.23</v>
      </c>
      <c r="CI259" s="1"/>
      <c r="CJ259" s="53">
        <f t="shared" si="152"/>
        <v>41998</v>
      </c>
      <c r="CK259" s="53">
        <f t="shared" si="153"/>
        <v>31493</v>
      </c>
      <c r="CL259" s="53">
        <f t="shared" si="154"/>
        <v>24139</v>
      </c>
      <c r="CM259" s="53">
        <f t="shared" si="155"/>
        <v>17060</v>
      </c>
      <c r="CN259" s="53">
        <f t="shared" si="156"/>
        <v>18887</v>
      </c>
      <c r="CO259" s="53">
        <f t="shared" si="157"/>
        <v>8815</v>
      </c>
      <c r="CP259" s="53">
        <f t="shared" si="158"/>
        <v>8815</v>
      </c>
      <c r="CQ259" s="53">
        <f t="shared" si="159"/>
        <v>10505</v>
      </c>
      <c r="CR259" s="53">
        <f t="shared" si="160"/>
        <v>20988</v>
      </c>
      <c r="CS259" s="53">
        <f t="shared" si="161"/>
        <v>31493</v>
      </c>
      <c r="CT259" s="53">
        <f t="shared" si="162"/>
        <v>31493</v>
      </c>
      <c r="CU259" s="53">
        <f t="shared" si="163"/>
        <v>23089</v>
      </c>
      <c r="CV259" s="53">
        <f t="shared" si="165"/>
        <v>268775</v>
      </c>
      <c r="CW259" s="1"/>
      <c r="CX259" s="1"/>
      <c r="CY259" s="1"/>
      <c r="CZ259" s="1"/>
      <c r="DA259" s="1"/>
      <c r="DB259" s="1"/>
      <c r="DC259" s="1"/>
      <c r="DD259" s="1"/>
      <c r="DE259" s="1"/>
      <c r="DF259" s="1"/>
      <c r="DG259" s="1"/>
      <c r="DH259" s="1"/>
      <c r="DI259" s="1"/>
      <c r="DJ259" s="1"/>
      <c r="DK259" s="1"/>
      <c r="DL259" s="1"/>
    </row>
    <row r="260" spans="1:116" ht="15.75" hidden="1" x14ac:dyDescent="0.25">
      <c r="A260" s="17"/>
      <c r="B260" s="17"/>
      <c r="C260" s="17"/>
      <c r="D260" s="17"/>
      <c r="E260" s="17"/>
      <c r="F260" s="18" t="s">
        <v>32</v>
      </c>
      <c r="G260" s="57">
        <v>11.47</v>
      </c>
      <c r="H260" s="57">
        <v>8.41</v>
      </c>
      <c r="I260" s="57">
        <v>7.36</v>
      </c>
      <c r="J260" s="57">
        <v>7.36</v>
      </c>
      <c r="K260" s="57">
        <v>7.36</v>
      </c>
      <c r="L260" s="57">
        <v>4.21</v>
      </c>
      <c r="M260" s="57">
        <v>4.21</v>
      </c>
      <c r="N260" s="57">
        <v>12.62</v>
      </c>
      <c r="O260" s="57">
        <v>15.77</v>
      </c>
      <c r="P260" s="57">
        <v>15.77</v>
      </c>
      <c r="Q260" s="57">
        <v>15.77</v>
      </c>
      <c r="R260" s="57">
        <v>15.77</v>
      </c>
      <c r="S260" s="11">
        <f t="shared" si="166"/>
        <v>126.07999999999998</v>
      </c>
      <c r="T260" s="1"/>
      <c r="U260" s="1"/>
      <c r="V260" s="50">
        <f t="shared" si="164"/>
        <v>139777</v>
      </c>
      <c r="W260" s="36">
        <v>2.956</v>
      </c>
      <c r="X260" s="36">
        <v>2.956</v>
      </c>
      <c r="Y260" s="36">
        <v>2.956</v>
      </c>
      <c r="Z260" s="36">
        <v>2.956</v>
      </c>
      <c r="AA260" s="36">
        <v>2.956</v>
      </c>
      <c r="AB260" s="36">
        <v>2.956</v>
      </c>
      <c r="AC260" s="36">
        <v>2.956</v>
      </c>
      <c r="AD260" s="36">
        <v>2.956</v>
      </c>
      <c r="AE260" s="36">
        <v>2.956</v>
      </c>
      <c r="AF260" s="36">
        <v>2.956</v>
      </c>
      <c r="AG260" s="36">
        <v>2.956</v>
      </c>
      <c r="AH260" s="36">
        <v>2.956</v>
      </c>
      <c r="AI260" s="39">
        <v>1.33634708931066E-2</v>
      </c>
      <c r="AJ260" s="39">
        <v>1.33634708931066E-2</v>
      </c>
      <c r="AK260" s="39">
        <v>1.33634708931066E-2</v>
      </c>
      <c r="AL260" s="39">
        <v>1.33634708931066E-2</v>
      </c>
      <c r="AM260" s="39">
        <v>1.33634708931066E-2</v>
      </c>
      <c r="AN260" s="39">
        <v>1.33634708931066E-2</v>
      </c>
      <c r="AO260" s="39">
        <v>1.33634708931066E-2</v>
      </c>
      <c r="AP260" s="39">
        <v>1.33634708931066E-2</v>
      </c>
      <c r="AQ260" s="39">
        <v>1.33634708931066E-2</v>
      </c>
      <c r="AR260" s="39">
        <v>1.33634708931066E-2</v>
      </c>
      <c r="AS260" s="39">
        <v>1.33634708931066E-2</v>
      </c>
      <c r="AT260" s="39">
        <v>1.33634708931066E-2</v>
      </c>
      <c r="AU260" s="39">
        <v>1.2392217523121999E-3</v>
      </c>
      <c r="AV260" s="39">
        <v>1.2392217523121999E-3</v>
      </c>
      <c r="AW260" s="39">
        <v>1.2392217523121999E-3</v>
      </c>
      <c r="AX260" s="39">
        <v>1.2392217523121999E-3</v>
      </c>
      <c r="AY260" s="39">
        <v>1.2392217523121999E-3</v>
      </c>
      <c r="AZ260" s="39">
        <v>1.2392217523121999E-3</v>
      </c>
      <c r="BA260" s="39">
        <v>1.2392217523121999E-3</v>
      </c>
      <c r="BB260" s="39">
        <v>1.2392217523121999E-3</v>
      </c>
      <c r="BC260" s="39">
        <v>1.2392217523121999E-3</v>
      </c>
      <c r="BD260" s="39">
        <v>1.2392217523121999E-3</v>
      </c>
      <c r="BE260" s="39">
        <v>1.2392217523121999E-3</v>
      </c>
      <c r="BF260" s="39">
        <v>1.2392217523121999E-3</v>
      </c>
      <c r="BG260" s="1"/>
      <c r="BH260" s="12">
        <f t="shared" si="128"/>
        <v>37.048100000000005</v>
      </c>
      <c r="BI260" s="12">
        <f t="shared" si="129"/>
        <v>27.164300000000001</v>
      </c>
      <c r="BJ260" s="12">
        <f t="shared" si="130"/>
        <v>23.7728</v>
      </c>
      <c r="BK260" s="12">
        <f t="shared" si="131"/>
        <v>23.7728</v>
      </c>
      <c r="BL260" s="12">
        <f t="shared" si="132"/>
        <v>23.7728</v>
      </c>
      <c r="BM260" s="12">
        <f t="shared" si="133"/>
        <v>13.5983</v>
      </c>
      <c r="BN260" s="12">
        <f t="shared" si="134"/>
        <v>13.5983</v>
      </c>
      <c r="BO260" s="12">
        <f t="shared" si="135"/>
        <v>40.762599999999999</v>
      </c>
      <c r="BP260" s="12">
        <f t="shared" si="136"/>
        <v>50.937100000000001</v>
      </c>
      <c r="BQ260" s="12">
        <f t="shared" si="137"/>
        <v>50.937100000000001</v>
      </c>
      <c r="BR260" s="12">
        <f t="shared" si="138"/>
        <v>50.937100000000001</v>
      </c>
      <c r="BS260" s="12">
        <f t="shared" si="139"/>
        <v>50.937100000000001</v>
      </c>
      <c r="BT260" s="1"/>
      <c r="BU260" s="11">
        <f t="shared" si="140"/>
        <v>37.589102017396748</v>
      </c>
      <c r="BV260" s="11">
        <f t="shared" si="141"/>
        <v>27.56097192382795</v>
      </c>
      <c r="BW260" s="11">
        <f t="shared" si="142"/>
        <v>24.119946891721014</v>
      </c>
      <c r="BX260" s="11">
        <f t="shared" si="143"/>
        <v>24.119946891721014</v>
      </c>
      <c r="BY260" s="11">
        <f t="shared" si="144"/>
        <v>24.119946891721014</v>
      </c>
      <c r="BZ260" s="11">
        <f t="shared" si="145"/>
        <v>13.796871795400198</v>
      </c>
      <c r="CA260" s="11">
        <f t="shared" si="146"/>
        <v>13.796871795400198</v>
      </c>
      <c r="CB260" s="11">
        <f t="shared" si="147"/>
        <v>41.35784371922815</v>
      </c>
      <c r="CC260" s="11">
        <f t="shared" si="148"/>
        <v>51.680918815548964</v>
      </c>
      <c r="CD260" s="11">
        <f t="shared" si="149"/>
        <v>51.680918815548964</v>
      </c>
      <c r="CE260" s="11">
        <f t="shared" si="150"/>
        <v>51.680918815548964</v>
      </c>
      <c r="CF260" s="11">
        <f t="shared" si="151"/>
        <v>51.680918815548964</v>
      </c>
      <c r="CG260" s="11"/>
      <c r="CH260" s="41">
        <v>3.23</v>
      </c>
      <c r="CI260" s="1"/>
      <c r="CJ260" s="53">
        <f t="shared" si="152"/>
        <v>12716</v>
      </c>
      <c r="CK260" s="53">
        <f t="shared" si="153"/>
        <v>9324</v>
      </c>
      <c r="CL260" s="53">
        <f t="shared" si="154"/>
        <v>8160</v>
      </c>
      <c r="CM260" s="53">
        <f t="shared" si="155"/>
        <v>8160</v>
      </c>
      <c r="CN260" s="53">
        <f t="shared" si="156"/>
        <v>8160</v>
      </c>
      <c r="CO260" s="53">
        <f t="shared" si="157"/>
        <v>4667</v>
      </c>
      <c r="CP260" s="53">
        <f t="shared" si="158"/>
        <v>4667</v>
      </c>
      <c r="CQ260" s="53">
        <f t="shared" si="159"/>
        <v>13991</v>
      </c>
      <c r="CR260" s="53">
        <f t="shared" si="160"/>
        <v>17483</v>
      </c>
      <c r="CS260" s="53">
        <f t="shared" si="161"/>
        <v>17483</v>
      </c>
      <c r="CT260" s="53">
        <f t="shared" si="162"/>
        <v>17483</v>
      </c>
      <c r="CU260" s="53">
        <f t="shared" si="163"/>
        <v>17483</v>
      </c>
      <c r="CV260" s="53">
        <f t="shared" si="165"/>
        <v>139777</v>
      </c>
      <c r="CW260" s="1"/>
      <c r="CX260" s="1"/>
      <c r="CY260" s="1"/>
      <c r="CZ260" s="1"/>
      <c r="DA260" s="1"/>
      <c r="DB260" s="1"/>
      <c r="DC260" s="1"/>
      <c r="DD260" s="1"/>
      <c r="DE260" s="1"/>
      <c r="DF260" s="1"/>
      <c r="DG260" s="1"/>
      <c r="DH260" s="1"/>
      <c r="DI260" s="1"/>
      <c r="DJ260" s="1"/>
      <c r="DK260" s="1"/>
      <c r="DL260" s="1"/>
    </row>
    <row r="261" spans="1:116" ht="15.75" hidden="1" x14ac:dyDescent="0.25">
      <c r="A261" s="17"/>
      <c r="B261" s="17"/>
      <c r="C261" s="17"/>
      <c r="D261" s="17"/>
      <c r="E261" s="17"/>
      <c r="F261" s="18" t="s">
        <v>32</v>
      </c>
      <c r="G261" s="57">
        <v>106.18</v>
      </c>
      <c r="H261" s="57">
        <v>153.51</v>
      </c>
      <c r="I261" s="57">
        <v>110.95</v>
      </c>
      <c r="J261" s="57">
        <v>66.569999999999993</v>
      </c>
      <c r="K261" s="57">
        <v>66.569999999999993</v>
      </c>
      <c r="L261" s="57">
        <v>66.569999999999993</v>
      </c>
      <c r="M261" s="57">
        <v>66.569999999999993</v>
      </c>
      <c r="N261" s="57">
        <v>88.76</v>
      </c>
      <c r="O261" s="57">
        <v>144.22999999999999</v>
      </c>
      <c r="P261" s="57">
        <v>155.32</v>
      </c>
      <c r="Q261" s="57">
        <v>155.32</v>
      </c>
      <c r="R261" s="57">
        <v>88.76</v>
      </c>
      <c r="S261" s="11">
        <f t="shared" si="166"/>
        <v>1269.3099999999997</v>
      </c>
      <c r="T261" s="1"/>
      <c r="U261" s="1"/>
      <c r="V261" s="50">
        <f t="shared" si="164"/>
        <v>1196702</v>
      </c>
      <c r="W261" s="36">
        <v>3.476</v>
      </c>
      <c r="X261" s="36">
        <v>3.476</v>
      </c>
      <c r="Y261" s="36">
        <v>3.476</v>
      </c>
      <c r="Z261" s="36">
        <v>3.476</v>
      </c>
      <c r="AA261" s="36">
        <v>3.476</v>
      </c>
      <c r="AB261" s="36">
        <v>3.476</v>
      </c>
      <c r="AC261" s="36">
        <v>3.476</v>
      </c>
      <c r="AD261" s="36">
        <v>3.476</v>
      </c>
      <c r="AE261" s="36">
        <v>3.476</v>
      </c>
      <c r="AF261" s="36">
        <v>3.476</v>
      </c>
      <c r="AG261" s="36">
        <v>3.476</v>
      </c>
      <c r="AH261" s="36">
        <v>3.476</v>
      </c>
      <c r="AI261" s="39">
        <v>1.33634708931066E-2</v>
      </c>
      <c r="AJ261" s="39">
        <v>1.33634708931066E-2</v>
      </c>
      <c r="AK261" s="39">
        <v>1.33634708931066E-2</v>
      </c>
      <c r="AL261" s="39">
        <v>1.33634708931066E-2</v>
      </c>
      <c r="AM261" s="39">
        <v>1.33634708931066E-2</v>
      </c>
      <c r="AN261" s="39">
        <v>1.33634708931066E-2</v>
      </c>
      <c r="AO261" s="39">
        <v>1.33634708931066E-2</v>
      </c>
      <c r="AP261" s="39">
        <v>1.33634708931066E-2</v>
      </c>
      <c r="AQ261" s="39">
        <v>1.33634708931066E-2</v>
      </c>
      <c r="AR261" s="39">
        <v>1.33634708931066E-2</v>
      </c>
      <c r="AS261" s="39">
        <v>1.33634708931066E-2</v>
      </c>
      <c r="AT261" s="39">
        <v>1.33634708931066E-2</v>
      </c>
      <c r="AU261" s="39">
        <v>1.2392217523121999E-3</v>
      </c>
      <c r="AV261" s="39">
        <v>1.2392217523121999E-3</v>
      </c>
      <c r="AW261" s="39">
        <v>1.2392217523121999E-3</v>
      </c>
      <c r="AX261" s="39">
        <v>1.2392217523121999E-3</v>
      </c>
      <c r="AY261" s="39">
        <v>1.2392217523121999E-3</v>
      </c>
      <c r="AZ261" s="39">
        <v>1.2392217523121999E-3</v>
      </c>
      <c r="BA261" s="39">
        <v>1.2392217523121999E-3</v>
      </c>
      <c r="BB261" s="39">
        <v>1.2392217523121999E-3</v>
      </c>
      <c r="BC261" s="39">
        <v>1.2392217523121999E-3</v>
      </c>
      <c r="BD261" s="39">
        <v>1.2392217523121999E-3</v>
      </c>
      <c r="BE261" s="39">
        <v>1.2392217523121999E-3</v>
      </c>
      <c r="BF261" s="39">
        <v>1.2392217523121999E-3</v>
      </c>
      <c r="BG261" s="1"/>
      <c r="BH261" s="12">
        <f t="shared" si="128"/>
        <v>342.96140000000003</v>
      </c>
      <c r="BI261" s="12">
        <f t="shared" si="129"/>
        <v>495.83729999999997</v>
      </c>
      <c r="BJ261" s="12">
        <f t="shared" si="130"/>
        <v>358.36849999999998</v>
      </c>
      <c r="BK261" s="12">
        <f t="shared" si="131"/>
        <v>215.02109999999999</v>
      </c>
      <c r="BL261" s="12">
        <f t="shared" si="132"/>
        <v>215.02109999999999</v>
      </c>
      <c r="BM261" s="12">
        <f t="shared" si="133"/>
        <v>215.02109999999999</v>
      </c>
      <c r="BN261" s="12">
        <f t="shared" si="134"/>
        <v>215.02109999999999</v>
      </c>
      <c r="BO261" s="12">
        <f t="shared" si="135"/>
        <v>286.69479999999999</v>
      </c>
      <c r="BP261" s="12">
        <f t="shared" si="136"/>
        <v>465.86289999999997</v>
      </c>
      <c r="BQ261" s="12">
        <f t="shared" si="137"/>
        <v>501.68359999999996</v>
      </c>
      <c r="BR261" s="12">
        <f t="shared" si="138"/>
        <v>501.68359999999996</v>
      </c>
      <c r="BS261" s="12">
        <f t="shared" si="139"/>
        <v>286.69479999999999</v>
      </c>
      <c r="BT261" s="1"/>
      <c r="BU261" s="11">
        <f t="shared" si="140"/>
        <v>347.96955991344254</v>
      </c>
      <c r="BV261" s="11">
        <f t="shared" si="141"/>
        <v>503.07785969403426</v>
      </c>
      <c r="BW261" s="11">
        <f t="shared" si="142"/>
        <v>363.60164505929976</v>
      </c>
      <c r="BX261" s="11">
        <f t="shared" si="143"/>
        <v>218.16098703557984</v>
      </c>
      <c r="BY261" s="11">
        <f t="shared" si="144"/>
        <v>218.16098703557984</v>
      </c>
      <c r="BZ261" s="11">
        <f t="shared" si="145"/>
        <v>218.16098703557984</v>
      </c>
      <c r="CA261" s="11">
        <f t="shared" si="146"/>
        <v>218.16098703557984</v>
      </c>
      <c r="CB261" s="11">
        <f t="shared" si="147"/>
        <v>290.88131604743978</v>
      </c>
      <c r="CC261" s="11">
        <f t="shared" si="148"/>
        <v>472.66575274360343</v>
      </c>
      <c r="CD261" s="11">
        <f t="shared" si="149"/>
        <v>509.0095314160472</v>
      </c>
      <c r="CE261" s="11">
        <f t="shared" si="150"/>
        <v>509.0095314160472</v>
      </c>
      <c r="CF261" s="11">
        <f t="shared" si="151"/>
        <v>290.88131604743978</v>
      </c>
      <c r="CG261" s="11"/>
      <c r="CH261" s="41">
        <v>3.23</v>
      </c>
      <c r="CI261" s="1"/>
      <c r="CJ261" s="53">
        <f t="shared" si="152"/>
        <v>100106</v>
      </c>
      <c r="CK261" s="53">
        <f t="shared" si="153"/>
        <v>144729</v>
      </c>
      <c r="CL261" s="53">
        <f t="shared" si="154"/>
        <v>104603</v>
      </c>
      <c r="CM261" s="53">
        <f t="shared" si="155"/>
        <v>62762</v>
      </c>
      <c r="CN261" s="53">
        <f t="shared" si="156"/>
        <v>62762</v>
      </c>
      <c r="CO261" s="53">
        <f t="shared" si="157"/>
        <v>62762</v>
      </c>
      <c r="CP261" s="53">
        <f t="shared" si="158"/>
        <v>62762</v>
      </c>
      <c r="CQ261" s="53">
        <f t="shared" si="159"/>
        <v>83683</v>
      </c>
      <c r="CR261" s="53">
        <f t="shared" si="160"/>
        <v>135980</v>
      </c>
      <c r="CS261" s="53">
        <f t="shared" si="161"/>
        <v>146435</v>
      </c>
      <c r="CT261" s="53">
        <f t="shared" si="162"/>
        <v>146435</v>
      </c>
      <c r="CU261" s="53">
        <f t="shared" si="163"/>
        <v>83683</v>
      </c>
      <c r="CV261" s="53">
        <f t="shared" si="165"/>
        <v>1196702</v>
      </c>
      <c r="CW261" s="1"/>
      <c r="CX261" s="1"/>
      <c r="CY261" s="1"/>
      <c r="CZ261" s="1"/>
      <c r="DA261" s="1"/>
      <c r="DB261" s="1"/>
      <c r="DC261" s="1"/>
      <c r="DD261" s="1"/>
      <c r="DE261" s="1"/>
      <c r="DF261" s="1"/>
      <c r="DG261" s="1"/>
      <c r="DH261" s="1"/>
      <c r="DI261" s="1"/>
      <c r="DJ261" s="1"/>
      <c r="DK261" s="1"/>
      <c r="DL261" s="1"/>
    </row>
    <row r="262" spans="1:116" ht="15.75" hidden="1" x14ac:dyDescent="0.25">
      <c r="A262" s="17"/>
      <c r="B262" s="17"/>
      <c r="C262" s="17"/>
      <c r="D262" s="17"/>
      <c r="E262" s="17"/>
      <c r="F262" s="18" t="s">
        <v>32</v>
      </c>
      <c r="G262" s="57">
        <v>253.21</v>
      </c>
      <c r="H262" s="67">
        <v>227.89</v>
      </c>
      <c r="I262" s="67">
        <v>189.91</v>
      </c>
      <c r="J262" s="67">
        <v>88.62</v>
      </c>
      <c r="K262" s="67">
        <v>92.17</v>
      </c>
      <c r="L262" s="67">
        <v>79</v>
      </c>
      <c r="M262" s="67">
        <v>79</v>
      </c>
      <c r="N262" s="67">
        <v>79</v>
      </c>
      <c r="O262" s="67">
        <v>158</v>
      </c>
      <c r="P262" s="67">
        <v>184.34</v>
      </c>
      <c r="Q262" s="67">
        <v>184.34</v>
      </c>
      <c r="R262" s="67">
        <v>131.66999999999999</v>
      </c>
      <c r="S262" s="11">
        <f t="shared" si="166"/>
        <v>1747.1499999999999</v>
      </c>
      <c r="T262" s="1"/>
      <c r="U262" s="1"/>
      <c r="V262" s="50">
        <f t="shared" si="164"/>
        <v>1462503</v>
      </c>
      <c r="W262" s="36">
        <v>3.915</v>
      </c>
      <c r="X262" s="36">
        <v>3.915</v>
      </c>
      <c r="Y262" s="36">
        <v>3.915</v>
      </c>
      <c r="Z262" s="36">
        <v>3.915</v>
      </c>
      <c r="AA262" s="36">
        <v>3.915</v>
      </c>
      <c r="AB262" s="36">
        <v>3.915</v>
      </c>
      <c r="AC262" s="36">
        <v>3.915</v>
      </c>
      <c r="AD262" s="36">
        <v>3.915</v>
      </c>
      <c r="AE262" s="36">
        <v>3.915</v>
      </c>
      <c r="AF262" s="36">
        <v>3.915</v>
      </c>
      <c r="AG262" s="36">
        <v>3.915</v>
      </c>
      <c r="AH262" s="36">
        <v>3.915</v>
      </c>
      <c r="AI262" s="39">
        <v>1.33634708931066E-2</v>
      </c>
      <c r="AJ262" s="39">
        <v>1.33634708931066E-2</v>
      </c>
      <c r="AK262" s="39">
        <v>1.33634708931066E-2</v>
      </c>
      <c r="AL262" s="39">
        <v>1.33634708931066E-2</v>
      </c>
      <c r="AM262" s="39">
        <v>1.33634708931066E-2</v>
      </c>
      <c r="AN262" s="39">
        <v>1.33634708931066E-2</v>
      </c>
      <c r="AO262" s="39">
        <v>1.33634708931066E-2</v>
      </c>
      <c r="AP262" s="39">
        <v>1.33634708931066E-2</v>
      </c>
      <c r="AQ262" s="39">
        <v>1.33634708931066E-2</v>
      </c>
      <c r="AR262" s="39">
        <v>1.33634708931066E-2</v>
      </c>
      <c r="AS262" s="39">
        <v>1.33634708931066E-2</v>
      </c>
      <c r="AT262" s="39">
        <v>1.33634708931066E-2</v>
      </c>
      <c r="AU262" s="39">
        <v>1.2392217523121999E-3</v>
      </c>
      <c r="AV262" s="39">
        <v>1.2392217523121999E-3</v>
      </c>
      <c r="AW262" s="39">
        <v>1.2392217523121999E-3</v>
      </c>
      <c r="AX262" s="39">
        <v>1.2392217523121999E-3</v>
      </c>
      <c r="AY262" s="39">
        <v>1.2392217523121999E-3</v>
      </c>
      <c r="AZ262" s="39">
        <v>1.2392217523121999E-3</v>
      </c>
      <c r="BA262" s="39">
        <v>1.2392217523121999E-3</v>
      </c>
      <c r="BB262" s="39">
        <v>1.2392217523121999E-3</v>
      </c>
      <c r="BC262" s="39">
        <v>1.2392217523121999E-3</v>
      </c>
      <c r="BD262" s="39">
        <v>1.2392217523121999E-3</v>
      </c>
      <c r="BE262" s="39">
        <v>1.2392217523121999E-3</v>
      </c>
      <c r="BF262" s="39">
        <v>1.2392217523121999E-3</v>
      </c>
      <c r="BG262" s="1"/>
      <c r="BH262" s="12">
        <f t="shared" si="128"/>
        <v>817.86829999999998</v>
      </c>
      <c r="BI262" s="12">
        <f t="shared" si="129"/>
        <v>736.0847</v>
      </c>
      <c r="BJ262" s="12">
        <f t="shared" si="130"/>
        <v>613.40930000000003</v>
      </c>
      <c r="BK262" s="12">
        <f t="shared" si="131"/>
        <v>286.24260000000004</v>
      </c>
      <c r="BL262" s="12">
        <f t="shared" si="132"/>
        <v>297.70909999999998</v>
      </c>
      <c r="BM262" s="12">
        <f t="shared" si="133"/>
        <v>255.17</v>
      </c>
      <c r="BN262" s="12">
        <f t="shared" si="134"/>
        <v>255.17</v>
      </c>
      <c r="BO262" s="12">
        <f t="shared" si="135"/>
        <v>255.17</v>
      </c>
      <c r="BP262" s="12">
        <f t="shared" si="136"/>
        <v>510.34</v>
      </c>
      <c r="BQ262" s="12">
        <f t="shared" si="137"/>
        <v>595.41819999999996</v>
      </c>
      <c r="BR262" s="12">
        <f t="shared" si="138"/>
        <v>595.41819999999996</v>
      </c>
      <c r="BS262" s="12">
        <f t="shared" si="139"/>
        <v>425.29409999999996</v>
      </c>
      <c r="BT262" s="1"/>
      <c r="BU262" s="11">
        <f t="shared" si="140"/>
        <v>829.81137940933115</v>
      </c>
      <c r="BV262" s="11">
        <f t="shared" si="141"/>
        <v>746.83351863509529</v>
      </c>
      <c r="BW262" s="11">
        <f t="shared" si="142"/>
        <v>622.36672747374155</v>
      </c>
      <c r="BX262" s="11">
        <f t="shared" si="143"/>
        <v>290.42251270982558</v>
      </c>
      <c r="BY262" s="11">
        <f t="shared" si="144"/>
        <v>302.05645448504424</v>
      </c>
      <c r="BZ262" s="11">
        <f t="shared" si="145"/>
        <v>258.89616908233148</v>
      </c>
      <c r="CA262" s="11">
        <f t="shared" si="146"/>
        <v>258.89616908233148</v>
      </c>
      <c r="CB262" s="11">
        <f t="shared" si="147"/>
        <v>258.89616908233148</v>
      </c>
      <c r="CC262" s="11">
        <f t="shared" si="148"/>
        <v>517.79233816466297</v>
      </c>
      <c r="CD262" s="11">
        <f t="shared" si="149"/>
        <v>604.11290897008848</v>
      </c>
      <c r="CE262" s="11">
        <f t="shared" si="150"/>
        <v>604.11290897008848</v>
      </c>
      <c r="CF262" s="11">
        <f t="shared" si="151"/>
        <v>431.50453902620995</v>
      </c>
      <c r="CG262" s="11"/>
      <c r="CH262" s="41">
        <v>3.23</v>
      </c>
      <c r="CI262" s="1"/>
      <c r="CJ262" s="53">
        <f t="shared" si="152"/>
        <v>211957</v>
      </c>
      <c r="CK262" s="53">
        <f t="shared" si="153"/>
        <v>190762</v>
      </c>
      <c r="CL262" s="53">
        <f t="shared" si="154"/>
        <v>158970</v>
      </c>
      <c r="CM262" s="53">
        <f t="shared" si="155"/>
        <v>74182</v>
      </c>
      <c r="CN262" s="53">
        <f t="shared" si="156"/>
        <v>77154</v>
      </c>
      <c r="CO262" s="53">
        <f t="shared" si="157"/>
        <v>66129</v>
      </c>
      <c r="CP262" s="53">
        <f t="shared" si="158"/>
        <v>66129</v>
      </c>
      <c r="CQ262" s="53">
        <f t="shared" si="159"/>
        <v>66129</v>
      </c>
      <c r="CR262" s="53">
        <f t="shared" si="160"/>
        <v>132259</v>
      </c>
      <c r="CS262" s="53">
        <f t="shared" si="161"/>
        <v>154307</v>
      </c>
      <c r="CT262" s="53">
        <f t="shared" si="162"/>
        <v>154307</v>
      </c>
      <c r="CU262" s="53">
        <f t="shared" si="163"/>
        <v>110218</v>
      </c>
      <c r="CV262" s="53">
        <f t="shared" si="165"/>
        <v>1462503</v>
      </c>
      <c r="CW262" s="1"/>
      <c r="CX262" s="1"/>
      <c r="CY262" s="1"/>
      <c r="CZ262" s="1"/>
      <c r="DA262" s="1"/>
      <c r="DB262" s="1"/>
      <c r="DC262" s="1"/>
      <c r="DD262" s="1"/>
      <c r="DE262" s="1"/>
      <c r="DF262" s="1"/>
      <c r="DG262" s="1"/>
      <c r="DH262" s="1"/>
      <c r="DI262" s="1"/>
      <c r="DJ262" s="1"/>
      <c r="DK262" s="1"/>
      <c r="DL262" s="1"/>
    </row>
    <row r="263" spans="1:116" ht="15.75" hidden="1" x14ac:dyDescent="0.25">
      <c r="A263" s="17"/>
      <c r="B263" s="17"/>
      <c r="C263" s="17"/>
      <c r="D263" s="17"/>
      <c r="E263" s="17"/>
      <c r="F263" s="18" t="s">
        <v>32</v>
      </c>
      <c r="G263" s="57">
        <v>41.1</v>
      </c>
      <c r="H263" s="68">
        <v>0</v>
      </c>
      <c r="I263" s="68">
        <v>82.19</v>
      </c>
      <c r="J263" s="68">
        <v>0</v>
      </c>
      <c r="K263" s="68">
        <v>0</v>
      </c>
      <c r="L263" s="68">
        <v>0</v>
      </c>
      <c r="M263" s="68">
        <v>0</v>
      </c>
      <c r="N263" s="68">
        <v>41.1</v>
      </c>
      <c r="O263" s="68">
        <v>0</v>
      </c>
      <c r="P263" s="68">
        <v>41.1</v>
      </c>
      <c r="Q263" s="68">
        <v>41.1</v>
      </c>
      <c r="R263" s="68">
        <v>41.1</v>
      </c>
      <c r="S263" s="11">
        <f t="shared" si="166"/>
        <v>287.69</v>
      </c>
      <c r="T263" s="1"/>
      <c r="U263" s="1"/>
      <c r="V263" s="50">
        <f t="shared" si="164"/>
        <v>31752</v>
      </c>
      <c r="W263" s="36">
        <v>9.06</v>
      </c>
      <c r="X263" s="36">
        <v>9.06</v>
      </c>
      <c r="Y263" s="36">
        <v>9.06</v>
      </c>
      <c r="Z263" s="36">
        <v>9.06</v>
      </c>
      <c r="AA263" s="36">
        <v>9.06</v>
      </c>
      <c r="AB263" s="36">
        <v>9.06</v>
      </c>
      <c r="AC263" s="36">
        <v>9.06</v>
      </c>
      <c r="AD263" s="36">
        <v>9.06</v>
      </c>
      <c r="AE263" s="36">
        <v>9.06</v>
      </c>
      <c r="AF263" s="36">
        <v>9.06</v>
      </c>
      <c r="AG263" s="36">
        <v>9.06</v>
      </c>
      <c r="AH263" s="36">
        <v>9.06</v>
      </c>
      <c r="AI263" s="39">
        <v>0</v>
      </c>
      <c r="AJ263" s="39">
        <v>0</v>
      </c>
      <c r="AK263" s="39">
        <v>0</v>
      </c>
      <c r="AL263" s="39">
        <v>0</v>
      </c>
      <c r="AM263" s="39">
        <v>0</v>
      </c>
      <c r="AN263" s="39">
        <v>0</v>
      </c>
      <c r="AO263" s="39">
        <v>0</v>
      </c>
      <c r="AP263" s="39">
        <v>0</v>
      </c>
      <c r="AQ263" s="39">
        <v>0</v>
      </c>
      <c r="AR263" s="39">
        <v>0</v>
      </c>
      <c r="AS263" s="39">
        <v>0</v>
      </c>
      <c r="AT263" s="39">
        <v>0</v>
      </c>
      <c r="AU263" s="39">
        <v>0</v>
      </c>
      <c r="AV263" s="39">
        <v>0</v>
      </c>
      <c r="AW263" s="39">
        <v>0</v>
      </c>
      <c r="AX263" s="39">
        <v>0</v>
      </c>
      <c r="AY263" s="39">
        <v>0</v>
      </c>
      <c r="AZ263" s="39">
        <v>0</v>
      </c>
      <c r="BA263" s="39">
        <v>0</v>
      </c>
      <c r="BB263" s="39">
        <v>0</v>
      </c>
      <c r="BC263" s="39">
        <v>0</v>
      </c>
      <c r="BD263" s="39">
        <v>0</v>
      </c>
      <c r="BE263" s="39">
        <v>0</v>
      </c>
      <c r="BF263" s="39">
        <v>0</v>
      </c>
      <c r="BG263" s="1"/>
      <c r="BH263" s="12">
        <f t="shared" si="128"/>
        <v>41.1</v>
      </c>
      <c r="BI263" s="12">
        <f t="shared" si="129"/>
        <v>0</v>
      </c>
      <c r="BJ263" s="12">
        <f t="shared" si="130"/>
        <v>82.19</v>
      </c>
      <c r="BK263" s="12">
        <f t="shared" si="131"/>
        <v>0</v>
      </c>
      <c r="BL263" s="12">
        <f t="shared" si="132"/>
        <v>0</v>
      </c>
      <c r="BM263" s="12">
        <f t="shared" si="133"/>
        <v>0</v>
      </c>
      <c r="BN263" s="12">
        <f t="shared" si="134"/>
        <v>0</v>
      </c>
      <c r="BO263" s="12">
        <f t="shared" si="135"/>
        <v>41.1</v>
      </c>
      <c r="BP263" s="12">
        <f t="shared" si="136"/>
        <v>0</v>
      </c>
      <c r="BQ263" s="12">
        <f t="shared" si="137"/>
        <v>41.1</v>
      </c>
      <c r="BR263" s="12">
        <f t="shared" si="138"/>
        <v>41.1</v>
      </c>
      <c r="BS263" s="12">
        <f t="shared" si="139"/>
        <v>41.1</v>
      </c>
      <c r="BT263" s="1"/>
      <c r="BU263" s="11">
        <f t="shared" si="140"/>
        <v>41.1</v>
      </c>
      <c r="BV263" s="11">
        <f t="shared" si="141"/>
        <v>0</v>
      </c>
      <c r="BW263" s="11">
        <f t="shared" si="142"/>
        <v>82.19</v>
      </c>
      <c r="BX263" s="11">
        <f t="shared" si="143"/>
        <v>0</v>
      </c>
      <c r="BY263" s="11">
        <f t="shared" si="144"/>
        <v>0</v>
      </c>
      <c r="BZ263" s="11">
        <f t="shared" si="145"/>
        <v>0</v>
      </c>
      <c r="CA263" s="11">
        <f t="shared" si="146"/>
        <v>0</v>
      </c>
      <c r="CB263" s="11">
        <f t="shared" si="147"/>
        <v>41.1</v>
      </c>
      <c r="CC263" s="11">
        <f t="shared" si="148"/>
        <v>0</v>
      </c>
      <c r="CD263" s="11">
        <f t="shared" si="149"/>
        <v>41.1</v>
      </c>
      <c r="CE263" s="11">
        <f t="shared" si="150"/>
        <v>41.1</v>
      </c>
      <c r="CF263" s="11">
        <f t="shared" si="151"/>
        <v>41.1</v>
      </c>
      <c r="CG263" s="11"/>
      <c r="CH263" s="41">
        <v>1</v>
      </c>
      <c r="CI263" s="1"/>
      <c r="CJ263" s="53">
        <f t="shared" si="152"/>
        <v>4536</v>
      </c>
      <c r="CK263" s="53">
        <f t="shared" si="153"/>
        <v>0</v>
      </c>
      <c r="CL263" s="53">
        <f t="shared" si="154"/>
        <v>9072</v>
      </c>
      <c r="CM263" s="53">
        <f t="shared" si="155"/>
        <v>0</v>
      </c>
      <c r="CN263" s="53">
        <f t="shared" si="156"/>
        <v>0</v>
      </c>
      <c r="CO263" s="53">
        <f t="shared" si="157"/>
        <v>0</v>
      </c>
      <c r="CP263" s="53">
        <f t="shared" si="158"/>
        <v>0</v>
      </c>
      <c r="CQ263" s="53">
        <f t="shared" si="159"/>
        <v>4536</v>
      </c>
      <c r="CR263" s="53">
        <f t="shared" si="160"/>
        <v>0</v>
      </c>
      <c r="CS263" s="53">
        <f t="shared" si="161"/>
        <v>4536</v>
      </c>
      <c r="CT263" s="53">
        <f t="shared" si="162"/>
        <v>4536</v>
      </c>
      <c r="CU263" s="53">
        <f t="shared" si="163"/>
        <v>4536</v>
      </c>
      <c r="CV263" s="53">
        <f t="shared" si="165"/>
        <v>31752</v>
      </c>
      <c r="CW263" s="1"/>
      <c r="CX263" s="1"/>
      <c r="CY263" s="1"/>
      <c r="CZ263" s="1"/>
      <c r="DA263" s="1"/>
      <c r="DB263" s="1"/>
      <c r="DC263" s="1"/>
      <c r="DD263" s="1"/>
      <c r="DE263" s="1"/>
      <c r="DF263" s="1"/>
      <c r="DG263" s="1"/>
      <c r="DH263" s="1"/>
      <c r="DI263" s="1"/>
      <c r="DJ263" s="1"/>
      <c r="DK263" s="1"/>
      <c r="DL263" s="1"/>
    </row>
    <row r="264" spans="1:116" ht="15.75" hidden="1" x14ac:dyDescent="0.25">
      <c r="A264" s="17"/>
      <c r="B264" s="17"/>
      <c r="C264" s="17"/>
      <c r="D264" s="17"/>
      <c r="E264" s="17"/>
      <c r="F264" s="18" t="s">
        <v>32</v>
      </c>
      <c r="G264" s="57">
        <v>0</v>
      </c>
      <c r="H264" s="68">
        <v>17.579999999999998</v>
      </c>
      <c r="I264" s="68">
        <v>0</v>
      </c>
      <c r="J264" s="68">
        <v>0</v>
      </c>
      <c r="K264" s="68">
        <v>17.579999999999998</v>
      </c>
      <c r="L264" s="68">
        <v>0</v>
      </c>
      <c r="M264" s="68">
        <v>8.7899999999999991</v>
      </c>
      <c r="N264" s="68">
        <v>0</v>
      </c>
      <c r="O264" s="68">
        <v>17.579999999999998</v>
      </c>
      <c r="P264" s="68">
        <v>0</v>
      </c>
      <c r="Q264" s="68">
        <v>17.579999999999998</v>
      </c>
      <c r="R264" s="68">
        <v>8.7899999999999991</v>
      </c>
      <c r="S264" s="11">
        <f t="shared" si="166"/>
        <v>87.899999999999977</v>
      </c>
      <c r="T264" s="1"/>
      <c r="U264" s="1"/>
      <c r="V264" s="50">
        <f t="shared" si="164"/>
        <v>52010</v>
      </c>
      <c r="W264" s="36">
        <v>1.69</v>
      </c>
      <c r="X264" s="36">
        <v>1.69</v>
      </c>
      <c r="Y264" s="36">
        <v>1.69</v>
      </c>
      <c r="Z264" s="36">
        <v>1.69</v>
      </c>
      <c r="AA264" s="36">
        <v>1.69</v>
      </c>
      <c r="AB264" s="36">
        <v>1.69</v>
      </c>
      <c r="AC264" s="36">
        <v>1.69</v>
      </c>
      <c r="AD264" s="36">
        <v>1.69</v>
      </c>
      <c r="AE264" s="36">
        <v>1.69</v>
      </c>
      <c r="AF264" s="36">
        <v>1.69</v>
      </c>
      <c r="AG264" s="36">
        <v>1.69</v>
      </c>
      <c r="AH264" s="36">
        <v>1.69</v>
      </c>
      <c r="AI264" s="39">
        <v>0</v>
      </c>
      <c r="AJ264" s="39">
        <v>0</v>
      </c>
      <c r="AK264" s="39">
        <v>0</v>
      </c>
      <c r="AL264" s="39">
        <v>0</v>
      </c>
      <c r="AM264" s="39">
        <v>0</v>
      </c>
      <c r="AN264" s="39">
        <v>0</v>
      </c>
      <c r="AO264" s="39">
        <v>0</v>
      </c>
      <c r="AP264" s="39">
        <v>0</v>
      </c>
      <c r="AQ264" s="39">
        <v>0</v>
      </c>
      <c r="AR264" s="39">
        <v>0</v>
      </c>
      <c r="AS264" s="39">
        <v>0</v>
      </c>
      <c r="AT264" s="39">
        <v>0</v>
      </c>
      <c r="AU264" s="39">
        <v>0</v>
      </c>
      <c r="AV264" s="39">
        <v>0</v>
      </c>
      <c r="AW264" s="39">
        <v>0</v>
      </c>
      <c r="AX264" s="39">
        <v>0</v>
      </c>
      <c r="AY264" s="39">
        <v>0</v>
      </c>
      <c r="AZ264" s="39">
        <v>0</v>
      </c>
      <c r="BA264" s="39">
        <v>0</v>
      </c>
      <c r="BB264" s="39">
        <v>0</v>
      </c>
      <c r="BC264" s="39">
        <v>0</v>
      </c>
      <c r="BD264" s="39">
        <v>0</v>
      </c>
      <c r="BE264" s="39">
        <v>0</v>
      </c>
      <c r="BF264" s="39">
        <v>0</v>
      </c>
      <c r="BG264" s="1"/>
      <c r="BH264" s="12">
        <f t="shared" si="128"/>
        <v>0</v>
      </c>
      <c r="BI264" s="12">
        <f t="shared" si="129"/>
        <v>17.579999999999998</v>
      </c>
      <c r="BJ264" s="12">
        <f t="shared" si="130"/>
        <v>0</v>
      </c>
      <c r="BK264" s="12">
        <f t="shared" si="131"/>
        <v>0</v>
      </c>
      <c r="BL264" s="12">
        <f t="shared" si="132"/>
        <v>17.579999999999998</v>
      </c>
      <c r="BM264" s="12">
        <f t="shared" si="133"/>
        <v>0</v>
      </c>
      <c r="BN264" s="12">
        <f t="shared" si="134"/>
        <v>8.7899999999999991</v>
      </c>
      <c r="BO264" s="12">
        <f t="shared" si="135"/>
        <v>0</v>
      </c>
      <c r="BP264" s="12">
        <f t="shared" si="136"/>
        <v>17.579999999999998</v>
      </c>
      <c r="BQ264" s="12">
        <f t="shared" si="137"/>
        <v>0</v>
      </c>
      <c r="BR264" s="12">
        <f t="shared" si="138"/>
        <v>17.579999999999998</v>
      </c>
      <c r="BS264" s="12">
        <f t="shared" si="139"/>
        <v>8.7899999999999991</v>
      </c>
      <c r="BT264" s="1"/>
      <c r="BU264" s="11">
        <f t="shared" si="140"/>
        <v>0</v>
      </c>
      <c r="BV264" s="11">
        <f t="shared" si="141"/>
        <v>17.579999999999998</v>
      </c>
      <c r="BW264" s="11">
        <f t="shared" si="142"/>
        <v>0</v>
      </c>
      <c r="BX264" s="11">
        <f t="shared" si="143"/>
        <v>0</v>
      </c>
      <c r="BY264" s="11">
        <f t="shared" si="144"/>
        <v>17.579999999999998</v>
      </c>
      <c r="BZ264" s="11">
        <f t="shared" si="145"/>
        <v>0</v>
      </c>
      <c r="CA264" s="11">
        <f t="shared" si="146"/>
        <v>8.7899999999999991</v>
      </c>
      <c r="CB264" s="11">
        <f t="shared" si="147"/>
        <v>0</v>
      </c>
      <c r="CC264" s="11">
        <f t="shared" si="148"/>
        <v>17.579999999999998</v>
      </c>
      <c r="CD264" s="11">
        <f t="shared" si="149"/>
        <v>0</v>
      </c>
      <c r="CE264" s="11">
        <f t="shared" si="150"/>
        <v>17.579999999999998</v>
      </c>
      <c r="CF264" s="11">
        <f t="shared" si="151"/>
        <v>8.7899999999999991</v>
      </c>
      <c r="CG264" s="11"/>
      <c r="CH264" s="41">
        <v>1</v>
      </c>
      <c r="CI264" s="1"/>
      <c r="CJ264" s="53">
        <f t="shared" si="152"/>
        <v>0</v>
      </c>
      <c r="CK264" s="53">
        <f t="shared" si="153"/>
        <v>10402</v>
      </c>
      <c r="CL264" s="53">
        <f t="shared" si="154"/>
        <v>0</v>
      </c>
      <c r="CM264" s="53">
        <f t="shared" si="155"/>
        <v>0</v>
      </c>
      <c r="CN264" s="53">
        <f t="shared" si="156"/>
        <v>10402</v>
      </c>
      <c r="CO264" s="53">
        <f t="shared" si="157"/>
        <v>0</v>
      </c>
      <c r="CP264" s="53">
        <f t="shared" si="158"/>
        <v>5201</v>
      </c>
      <c r="CQ264" s="53">
        <f t="shared" si="159"/>
        <v>0</v>
      </c>
      <c r="CR264" s="53">
        <f t="shared" si="160"/>
        <v>10402</v>
      </c>
      <c r="CS264" s="53">
        <f t="shared" si="161"/>
        <v>0</v>
      </c>
      <c r="CT264" s="53">
        <f t="shared" si="162"/>
        <v>10402</v>
      </c>
      <c r="CU264" s="53">
        <f t="shared" si="163"/>
        <v>5201</v>
      </c>
      <c r="CV264" s="53">
        <f t="shared" si="165"/>
        <v>52010</v>
      </c>
      <c r="CW264" s="1"/>
      <c r="CX264" s="1"/>
      <c r="CY264" s="1"/>
      <c r="CZ264" s="1"/>
      <c r="DA264" s="1"/>
      <c r="DB264" s="1"/>
      <c r="DC264" s="1"/>
      <c r="DD264" s="1"/>
      <c r="DE264" s="1"/>
      <c r="DF264" s="1"/>
      <c r="DG264" s="1"/>
      <c r="DH264" s="1"/>
      <c r="DI264" s="1"/>
      <c r="DJ264" s="1"/>
      <c r="DK264" s="1"/>
      <c r="DL264" s="1"/>
    </row>
    <row r="265" spans="1:116" ht="15.75" hidden="1" x14ac:dyDescent="0.25">
      <c r="A265" s="17"/>
      <c r="B265" s="17"/>
      <c r="C265" s="17"/>
      <c r="D265" s="17"/>
      <c r="E265" s="17"/>
      <c r="F265" s="18" t="s">
        <v>32</v>
      </c>
      <c r="G265" s="57">
        <v>19.14</v>
      </c>
      <c r="H265" s="68">
        <v>19.14</v>
      </c>
      <c r="I265" s="68">
        <v>0</v>
      </c>
      <c r="J265" s="68">
        <v>19.14</v>
      </c>
      <c r="K265" s="68">
        <v>0</v>
      </c>
      <c r="L265" s="68">
        <v>19.14</v>
      </c>
      <c r="M265" s="68">
        <v>0</v>
      </c>
      <c r="N265" s="68">
        <v>0</v>
      </c>
      <c r="O265" s="68">
        <v>19.14</v>
      </c>
      <c r="P265" s="68">
        <v>0</v>
      </c>
      <c r="Q265" s="68">
        <v>19.14</v>
      </c>
      <c r="R265" s="68">
        <v>9.57</v>
      </c>
      <c r="S265" s="11">
        <f t="shared" si="166"/>
        <v>124.41</v>
      </c>
      <c r="T265" s="1"/>
      <c r="U265" s="1"/>
      <c r="V265" s="50">
        <f t="shared" si="164"/>
        <v>67613</v>
      </c>
      <c r="W265" s="36">
        <v>1.8400042087542088</v>
      </c>
      <c r="X265" s="36">
        <v>1.8400042087542088</v>
      </c>
      <c r="Y265" s="36">
        <v>1.8400042087542088</v>
      </c>
      <c r="Z265" s="36">
        <v>1.8400042087542088</v>
      </c>
      <c r="AA265" s="36">
        <v>1.8400042087542088</v>
      </c>
      <c r="AB265" s="36">
        <v>1.8400042087542088</v>
      </c>
      <c r="AC265" s="36">
        <v>1.8400042087542088</v>
      </c>
      <c r="AD265" s="36">
        <v>1.8400042087542088</v>
      </c>
      <c r="AE265" s="36">
        <v>1.8400042087542088</v>
      </c>
      <c r="AF265" s="36">
        <v>1.8400042087542088</v>
      </c>
      <c r="AG265" s="36">
        <v>1.8400042087542088</v>
      </c>
      <c r="AH265" s="36">
        <v>1.8400042087542088</v>
      </c>
      <c r="AI265" s="39">
        <v>0</v>
      </c>
      <c r="AJ265" s="39">
        <v>0</v>
      </c>
      <c r="AK265" s="39">
        <v>0</v>
      </c>
      <c r="AL265" s="39">
        <v>0</v>
      </c>
      <c r="AM265" s="39">
        <v>0</v>
      </c>
      <c r="AN265" s="39">
        <v>0</v>
      </c>
      <c r="AO265" s="39">
        <v>0</v>
      </c>
      <c r="AP265" s="39">
        <v>0</v>
      </c>
      <c r="AQ265" s="39">
        <v>0</v>
      </c>
      <c r="AR265" s="39">
        <v>0</v>
      </c>
      <c r="AS265" s="39">
        <v>0</v>
      </c>
      <c r="AT265" s="39">
        <v>0</v>
      </c>
      <c r="AU265" s="39">
        <v>0</v>
      </c>
      <c r="AV265" s="39">
        <v>0</v>
      </c>
      <c r="AW265" s="39">
        <v>0</v>
      </c>
      <c r="AX265" s="39">
        <v>0</v>
      </c>
      <c r="AY265" s="39">
        <v>0</v>
      </c>
      <c r="AZ265" s="39">
        <v>0</v>
      </c>
      <c r="BA265" s="39">
        <v>0</v>
      </c>
      <c r="BB265" s="39">
        <v>0</v>
      </c>
      <c r="BC265" s="39">
        <v>0</v>
      </c>
      <c r="BD265" s="39">
        <v>0</v>
      </c>
      <c r="BE265" s="39">
        <v>0</v>
      </c>
      <c r="BF265" s="39">
        <v>0</v>
      </c>
      <c r="BG265" s="1"/>
      <c r="BH265" s="12">
        <f t="shared" si="128"/>
        <v>19.14</v>
      </c>
      <c r="BI265" s="12">
        <f t="shared" si="129"/>
        <v>19.14</v>
      </c>
      <c r="BJ265" s="12">
        <f t="shared" si="130"/>
        <v>0</v>
      </c>
      <c r="BK265" s="12">
        <f t="shared" si="131"/>
        <v>19.14</v>
      </c>
      <c r="BL265" s="12">
        <f t="shared" si="132"/>
        <v>0</v>
      </c>
      <c r="BM265" s="12">
        <f t="shared" si="133"/>
        <v>19.14</v>
      </c>
      <c r="BN265" s="12">
        <f t="shared" si="134"/>
        <v>0</v>
      </c>
      <c r="BO265" s="12">
        <f t="shared" si="135"/>
        <v>0</v>
      </c>
      <c r="BP265" s="12">
        <f t="shared" si="136"/>
        <v>19.14</v>
      </c>
      <c r="BQ265" s="12">
        <f t="shared" si="137"/>
        <v>0</v>
      </c>
      <c r="BR265" s="12">
        <f t="shared" si="138"/>
        <v>19.14</v>
      </c>
      <c r="BS265" s="12">
        <f t="shared" si="139"/>
        <v>9.57</v>
      </c>
      <c r="BT265" s="1"/>
      <c r="BU265" s="11">
        <f t="shared" si="140"/>
        <v>19.14</v>
      </c>
      <c r="BV265" s="11">
        <f t="shared" si="141"/>
        <v>19.14</v>
      </c>
      <c r="BW265" s="11">
        <f t="shared" si="142"/>
        <v>0</v>
      </c>
      <c r="BX265" s="11">
        <f t="shared" si="143"/>
        <v>19.14</v>
      </c>
      <c r="BY265" s="11">
        <f t="shared" si="144"/>
        <v>0</v>
      </c>
      <c r="BZ265" s="11">
        <f t="shared" si="145"/>
        <v>19.14</v>
      </c>
      <c r="CA265" s="11">
        <f t="shared" si="146"/>
        <v>0</v>
      </c>
      <c r="CB265" s="11">
        <f t="shared" si="147"/>
        <v>0</v>
      </c>
      <c r="CC265" s="11">
        <f t="shared" si="148"/>
        <v>19.14</v>
      </c>
      <c r="CD265" s="11">
        <f t="shared" si="149"/>
        <v>0</v>
      </c>
      <c r="CE265" s="11">
        <f t="shared" si="150"/>
        <v>19.14</v>
      </c>
      <c r="CF265" s="11">
        <f t="shared" si="151"/>
        <v>9.57</v>
      </c>
      <c r="CG265" s="11"/>
      <c r="CH265" s="41">
        <v>1</v>
      </c>
      <c r="CI265" s="1"/>
      <c r="CJ265" s="53">
        <f t="shared" si="152"/>
        <v>10402</v>
      </c>
      <c r="CK265" s="53">
        <f t="shared" si="153"/>
        <v>10402</v>
      </c>
      <c r="CL265" s="53">
        <f t="shared" si="154"/>
        <v>0</v>
      </c>
      <c r="CM265" s="53">
        <f t="shared" si="155"/>
        <v>10402</v>
      </c>
      <c r="CN265" s="53">
        <f t="shared" si="156"/>
        <v>0</v>
      </c>
      <c r="CO265" s="53">
        <f t="shared" si="157"/>
        <v>10402</v>
      </c>
      <c r="CP265" s="53">
        <f t="shared" si="158"/>
        <v>0</v>
      </c>
      <c r="CQ265" s="53">
        <f t="shared" si="159"/>
        <v>0</v>
      </c>
      <c r="CR265" s="53">
        <f t="shared" si="160"/>
        <v>10402</v>
      </c>
      <c r="CS265" s="53">
        <f t="shared" si="161"/>
        <v>0</v>
      </c>
      <c r="CT265" s="53">
        <f t="shared" si="162"/>
        <v>10402</v>
      </c>
      <c r="CU265" s="53">
        <f t="shared" si="163"/>
        <v>5201</v>
      </c>
      <c r="CV265" s="53">
        <f t="shared" si="165"/>
        <v>67613</v>
      </c>
      <c r="CW265" s="1"/>
      <c r="CX265" s="1"/>
      <c r="CY265" s="1"/>
      <c r="CZ265" s="1"/>
      <c r="DA265" s="1"/>
      <c r="DB265" s="1"/>
      <c r="DC265" s="1"/>
      <c r="DD265" s="1"/>
      <c r="DE265" s="1"/>
      <c r="DF265" s="1"/>
      <c r="DG265" s="1"/>
      <c r="DH265" s="1"/>
      <c r="DI265" s="1"/>
      <c r="DJ265" s="1"/>
      <c r="DK265" s="1"/>
      <c r="DL265" s="1"/>
    </row>
    <row r="266" spans="1:116" ht="15.75" hidden="1" x14ac:dyDescent="0.25">
      <c r="A266" s="17"/>
      <c r="B266" s="17"/>
      <c r="C266" s="17"/>
      <c r="D266" s="17"/>
      <c r="E266" s="17"/>
      <c r="F266" s="18" t="s">
        <v>32</v>
      </c>
      <c r="G266" s="57">
        <v>0</v>
      </c>
      <c r="H266" s="68">
        <v>0</v>
      </c>
      <c r="I266" s="68">
        <v>0</v>
      </c>
      <c r="J266" s="68">
        <v>0</v>
      </c>
      <c r="K266" s="68">
        <v>0</v>
      </c>
      <c r="L266" s="68">
        <v>0</v>
      </c>
      <c r="M266" s="68">
        <v>0</v>
      </c>
      <c r="N266" s="68">
        <v>0</v>
      </c>
      <c r="O266" s="68">
        <v>0</v>
      </c>
      <c r="P266" s="68">
        <v>0</v>
      </c>
      <c r="Q266" s="68">
        <v>0</v>
      </c>
      <c r="R266" s="68">
        <v>0</v>
      </c>
      <c r="S266" s="11">
        <f>SUM(G266:R266)</f>
        <v>0</v>
      </c>
      <c r="T266" s="1"/>
      <c r="U266" s="1"/>
      <c r="V266" s="50">
        <f t="shared" si="164"/>
        <v>0</v>
      </c>
      <c r="W266" s="36">
        <v>11.423999999999999</v>
      </c>
      <c r="X266" s="36">
        <v>11.423999999999999</v>
      </c>
      <c r="Y266" s="36">
        <v>11.423999999999999</v>
      </c>
      <c r="Z266" s="36">
        <v>11.423999999999999</v>
      </c>
      <c r="AA266" s="36">
        <v>11.423999999999999</v>
      </c>
      <c r="AB266" s="36">
        <v>11.423999999999999</v>
      </c>
      <c r="AC266" s="36">
        <v>11.423999999999999</v>
      </c>
      <c r="AD266" s="36">
        <v>11.423999999999999</v>
      </c>
      <c r="AE266" s="36">
        <v>11.423999999999999</v>
      </c>
      <c r="AF266" s="36">
        <v>11.423999999999999</v>
      </c>
      <c r="AG266" s="36">
        <v>11.423999999999999</v>
      </c>
      <c r="AH266" s="36">
        <v>11.423999999999999</v>
      </c>
      <c r="AI266" s="39">
        <v>0.22999999999999998</v>
      </c>
      <c r="AJ266" s="39">
        <v>0.22999999999999998</v>
      </c>
      <c r="AK266" s="39">
        <v>0.22999999999999998</v>
      </c>
      <c r="AL266" s="39">
        <v>0.22999999999999998</v>
      </c>
      <c r="AM266" s="39">
        <v>0.22999999999999998</v>
      </c>
      <c r="AN266" s="39">
        <v>0.22999999999999998</v>
      </c>
      <c r="AO266" s="39">
        <v>0.22999999999999998</v>
      </c>
      <c r="AP266" s="39">
        <v>0.22999999999999998</v>
      </c>
      <c r="AQ266" s="39">
        <v>0.22999999999999998</v>
      </c>
      <c r="AR266" s="39">
        <v>0.22999999999999998</v>
      </c>
      <c r="AS266" s="39">
        <v>0.22999999999999998</v>
      </c>
      <c r="AT266" s="39">
        <v>0.22999999999999998</v>
      </c>
      <c r="AU266" s="39">
        <v>0</v>
      </c>
      <c r="AV266" s="39">
        <v>0</v>
      </c>
      <c r="AW266" s="39">
        <v>0</v>
      </c>
      <c r="AX266" s="39">
        <v>0</v>
      </c>
      <c r="AY266" s="39">
        <v>0</v>
      </c>
      <c r="AZ266" s="39">
        <v>0</v>
      </c>
      <c r="BA266" s="39">
        <v>0</v>
      </c>
      <c r="BB266" s="39">
        <v>0</v>
      </c>
      <c r="BC266" s="39">
        <v>0</v>
      </c>
      <c r="BD266" s="39">
        <v>0</v>
      </c>
      <c r="BE266" s="39">
        <v>0</v>
      </c>
      <c r="BF266" s="39">
        <v>0</v>
      </c>
      <c r="BG266" s="1"/>
      <c r="BH266" s="12">
        <f t="shared" si="128"/>
        <v>0</v>
      </c>
      <c r="BI266" s="12">
        <f t="shared" si="129"/>
        <v>0</v>
      </c>
      <c r="BJ266" s="12">
        <f t="shared" si="130"/>
        <v>0</v>
      </c>
      <c r="BK266" s="12">
        <f t="shared" si="131"/>
        <v>0</v>
      </c>
      <c r="BL266" s="12">
        <f t="shared" si="132"/>
        <v>0</v>
      </c>
      <c r="BM266" s="12">
        <f t="shared" si="133"/>
        <v>0</v>
      </c>
      <c r="BN266" s="12">
        <f t="shared" si="134"/>
        <v>0</v>
      </c>
      <c r="BO266" s="12">
        <f t="shared" si="135"/>
        <v>0</v>
      </c>
      <c r="BP266" s="12">
        <f t="shared" si="136"/>
        <v>0</v>
      </c>
      <c r="BQ266" s="12">
        <f t="shared" si="137"/>
        <v>0</v>
      </c>
      <c r="BR266" s="12">
        <f t="shared" si="138"/>
        <v>0</v>
      </c>
      <c r="BS266" s="12">
        <f t="shared" si="139"/>
        <v>0</v>
      </c>
      <c r="BT266" s="1"/>
      <c r="BU266" s="11">
        <f t="shared" si="140"/>
        <v>0</v>
      </c>
      <c r="BV266" s="11">
        <f t="shared" si="141"/>
        <v>0</v>
      </c>
      <c r="BW266" s="11">
        <f t="shared" si="142"/>
        <v>0</v>
      </c>
      <c r="BX266" s="11">
        <f t="shared" si="143"/>
        <v>0</v>
      </c>
      <c r="BY266" s="11">
        <f t="shared" si="144"/>
        <v>0</v>
      </c>
      <c r="BZ266" s="11">
        <f t="shared" si="145"/>
        <v>0</v>
      </c>
      <c r="CA266" s="11">
        <f t="shared" si="146"/>
        <v>0</v>
      </c>
      <c r="CB266" s="11">
        <f t="shared" si="147"/>
        <v>0</v>
      </c>
      <c r="CC266" s="11">
        <f t="shared" si="148"/>
        <v>0</v>
      </c>
      <c r="CD266" s="11">
        <f t="shared" si="149"/>
        <v>0</v>
      </c>
      <c r="CE266" s="11">
        <f t="shared" si="150"/>
        <v>0</v>
      </c>
      <c r="CF266" s="11">
        <f t="shared" si="151"/>
        <v>0</v>
      </c>
      <c r="CG266" s="11"/>
      <c r="CH266" s="41">
        <v>1</v>
      </c>
      <c r="CI266" s="1"/>
      <c r="CJ266" s="53">
        <f t="shared" si="152"/>
        <v>0</v>
      </c>
      <c r="CK266" s="53">
        <f t="shared" si="153"/>
        <v>0</v>
      </c>
      <c r="CL266" s="53">
        <f t="shared" si="154"/>
        <v>0</v>
      </c>
      <c r="CM266" s="53">
        <f t="shared" si="155"/>
        <v>0</v>
      </c>
      <c r="CN266" s="53">
        <f t="shared" si="156"/>
        <v>0</v>
      </c>
      <c r="CO266" s="53">
        <f t="shared" si="157"/>
        <v>0</v>
      </c>
      <c r="CP266" s="53">
        <f t="shared" si="158"/>
        <v>0</v>
      </c>
      <c r="CQ266" s="53">
        <f t="shared" si="159"/>
        <v>0</v>
      </c>
      <c r="CR266" s="53">
        <f t="shared" si="160"/>
        <v>0</v>
      </c>
      <c r="CS266" s="53">
        <f t="shared" si="161"/>
        <v>0</v>
      </c>
      <c r="CT266" s="53">
        <f t="shared" si="162"/>
        <v>0</v>
      </c>
      <c r="CU266" s="53">
        <f t="shared" si="163"/>
        <v>0</v>
      </c>
      <c r="CV266" s="53">
        <f t="shared" si="165"/>
        <v>0</v>
      </c>
      <c r="CW266" s="1"/>
      <c r="CX266" s="1"/>
      <c r="CY266" s="1"/>
      <c r="CZ266" s="1"/>
      <c r="DA266" s="1"/>
      <c r="DB266" s="1"/>
      <c r="DC266" s="1"/>
      <c r="DD266" s="1"/>
      <c r="DE266" s="1"/>
      <c r="DF266" s="1"/>
      <c r="DG266" s="1"/>
      <c r="DH266" s="1"/>
      <c r="DI266" s="1"/>
      <c r="DJ266" s="1"/>
      <c r="DK266" s="1"/>
      <c r="DL266" s="1"/>
    </row>
    <row r="267" spans="1:116" ht="15.75" hidden="1" x14ac:dyDescent="0.25">
      <c r="A267" s="16"/>
      <c r="B267" s="44"/>
      <c r="C267" s="44"/>
      <c r="D267" s="44"/>
      <c r="E267" s="44"/>
      <c r="F267" s="45" t="s">
        <v>2948</v>
      </c>
      <c r="G267" s="58">
        <v>35</v>
      </c>
      <c r="H267" s="58">
        <v>35</v>
      </c>
      <c r="I267" s="58">
        <v>29.17</v>
      </c>
      <c r="J267" s="58">
        <v>17.190000000000001</v>
      </c>
      <c r="K267" s="58">
        <v>19.34</v>
      </c>
      <c r="L267" s="58">
        <v>29.35</v>
      </c>
      <c r="M267" s="58">
        <v>28.14</v>
      </c>
      <c r="N267" s="58">
        <v>43.7</v>
      </c>
      <c r="O267" s="58">
        <v>43.38</v>
      </c>
      <c r="P267" s="58">
        <v>46.66</v>
      </c>
      <c r="Q267" s="58">
        <v>58.99</v>
      </c>
      <c r="R267" s="58">
        <v>26.22</v>
      </c>
      <c r="S267" s="11">
        <f t="shared" si="166"/>
        <v>412.14</v>
      </c>
      <c r="T267" s="8">
        <f t="shared" ref="T267:T291" si="167">IFERROR(((S267-S167)/S167),0)</f>
        <v>5.7772758771141831E-2</v>
      </c>
      <c r="U267" s="13" t="s">
        <v>2951</v>
      </c>
      <c r="V267" s="50">
        <f t="shared" si="164"/>
        <v>358644</v>
      </c>
      <c r="W267" s="36">
        <v>3.766</v>
      </c>
      <c r="X267" s="36">
        <v>3.766</v>
      </c>
      <c r="Y267" s="36">
        <v>3.766</v>
      </c>
      <c r="Z267" s="36">
        <v>3.766</v>
      </c>
      <c r="AA267" s="36">
        <v>3.766</v>
      </c>
      <c r="AB267" s="36">
        <v>3.766</v>
      </c>
      <c r="AC267" s="36">
        <v>3.766</v>
      </c>
      <c r="AD267" s="36">
        <v>3.766</v>
      </c>
      <c r="AE267" s="36">
        <v>3.766</v>
      </c>
      <c r="AF267" s="36">
        <v>3.766</v>
      </c>
      <c r="AG267" s="36">
        <v>3.766</v>
      </c>
      <c r="AH267" s="36">
        <v>3.766</v>
      </c>
      <c r="AI267" s="39">
        <v>1.33634708931066E-2</v>
      </c>
      <c r="AJ267" s="39">
        <v>1.33634708931066E-2</v>
      </c>
      <c r="AK267" s="39">
        <v>1.33634708931066E-2</v>
      </c>
      <c r="AL267" s="39">
        <v>1.33634708931066E-2</v>
      </c>
      <c r="AM267" s="39">
        <v>1.33634708931066E-2</v>
      </c>
      <c r="AN267" s="39">
        <v>1.33634708931066E-2</v>
      </c>
      <c r="AO267" s="39">
        <v>1.33634708931066E-2</v>
      </c>
      <c r="AP267" s="39">
        <v>1.33634708931066E-2</v>
      </c>
      <c r="AQ267" s="39">
        <v>1.33634708931066E-2</v>
      </c>
      <c r="AR267" s="39">
        <v>1.33634708931066E-2</v>
      </c>
      <c r="AS267" s="39">
        <v>1.33634708931066E-2</v>
      </c>
      <c r="AT267" s="39">
        <v>1.33634708931066E-2</v>
      </c>
      <c r="AU267" s="39">
        <v>1.2392217523121999E-3</v>
      </c>
      <c r="AV267" s="39">
        <v>1.2392217523121999E-3</v>
      </c>
      <c r="AW267" s="39">
        <v>1.2392217523121999E-3</v>
      </c>
      <c r="AX267" s="39">
        <v>1.2392217523121999E-3</v>
      </c>
      <c r="AY267" s="39">
        <v>1.2392217523121999E-3</v>
      </c>
      <c r="AZ267" s="39">
        <v>1.2392217523121999E-3</v>
      </c>
      <c r="BA267" s="39">
        <v>1.2392217523121999E-3</v>
      </c>
      <c r="BB267" s="39">
        <v>1.2392217523121999E-3</v>
      </c>
      <c r="BC267" s="39">
        <v>1.2392217523121999E-3</v>
      </c>
      <c r="BD267" s="39">
        <v>1.2392217523121999E-3</v>
      </c>
      <c r="BE267" s="39">
        <v>1.2392217523121999E-3</v>
      </c>
      <c r="BF267" s="39">
        <v>1.2392217523121999E-3</v>
      </c>
      <c r="BG267" s="1"/>
      <c r="BH267" s="12">
        <f t="shared" si="128"/>
        <v>113.05</v>
      </c>
      <c r="BI267" s="12">
        <f t="shared" si="129"/>
        <v>113.05</v>
      </c>
      <c r="BJ267" s="12">
        <f t="shared" si="130"/>
        <v>94.219100000000012</v>
      </c>
      <c r="BK267" s="12">
        <f t="shared" si="131"/>
        <v>55.523700000000005</v>
      </c>
      <c r="BL267" s="12">
        <f t="shared" si="132"/>
        <v>62.468199999999996</v>
      </c>
      <c r="BM267" s="12">
        <f t="shared" si="133"/>
        <v>94.8005</v>
      </c>
      <c r="BN267" s="12">
        <f t="shared" si="134"/>
        <v>90.892200000000003</v>
      </c>
      <c r="BO267" s="12">
        <f t="shared" si="135"/>
        <v>141.15100000000001</v>
      </c>
      <c r="BP267" s="12">
        <f t="shared" si="136"/>
        <v>140.1174</v>
      </c>
      <c r="BQ267" s="12">
        <f t="shared" si="137"/>
        <v>150.71179999999998</v>
      </c>
      <c r="BR267" s="12">
        <f t="shared" si="138"/>
        <v>190.5377</v>
      </c>
      <c r="BS267" s="12">
        <f t="shared" si="139"/>
        <v>84.690599999999989</v>
      </c>
      <c r="BT267" s="1"/>
      <c r="BU267" s="11">
        <f t="shared" si="140"/>
        <v>114.7008344035646</v>
      </c>
      <c r="BV267" s="11">
        <f t="shared" si="141"/>
        <v>114.7008344035646</v>
      </c>
      <c r="BW267" s="11">
        <f t="shared" si="142"/>
        <v>95.594952558627995</v>
      </c>
      <c r="BX267" s="11">
        <f t="shared" si="143"/>
        <v>56.334495525636449</v>
      </c>
      <c r="BY267" s="11">
        <f t="shared" si="144"/>
        <v>63.380403924712546</v>
      </c>
      <c r="BZ267" s="11">
        <f t="shared" si="145"/>
        <v>96.184842564132026</v>
      </c>
      <c r="CA267" s="11">
        <f t="shared" si="146"/>
        <v>92.219470860465933</v>
      </c>
      <c r="CB267" s="11">
        <f t="shared" si="147"/>
        <v>143.21218466959351</v>
      </c>
      <c r="CC267" s="11">
        <f t="shared" si="148"/>
        <v>142.1634913264752</v>
      </c>
      <c r="CD267" s="11">
        <f t="shared" si="149"/>
        <v>152.91259809343782</v>
      </c>
      <c r="CE267" s="11">
        <f t="shared" si="150"/>
        <v>193.32006347046502</v>
      </c>
      <c r="CF267" s="11">
        <f t="shared" si="151"/>
        <v>85.927310801756093</v>
      </c>
      <c r="CG267" s="11"/>
      <c r="CH267" s="41">
        <v>3.23</v>
      </c>
      <c r="CI267" s="1"/>
      <c r="CJ267" s="53">
        <f t="shared" si="152"/>
        <v>30457</v>
      </c>
      <c r="CK267" s="53">
        <f t="shared" si="153"/>
        <v>30457</v>
      </c>
      <c r="CL267" s="53">
        <f t="shared" si="154"/>
        <v>25384</v>
      </c>
      <c r="CM267" s="53">
        <f t="shared" si="155"/>
        <v>14959</v>
      </c>
      <c r="CN267" s="53">
        <f t="shared" si="156"/>
        <v>16830</v>
      </c>
      <c r="CO267" s="53">
        <f t="shared" si="157"/>
        <v>25540</v>
      </c>
      <c r="CP267" s="53">
        <f t="shared" si="158"/>
        <v>24487</v>
      </c>
      <c r="CQ267" s="53">
        <f t="shared" si="159"/>
        <v>38028</v>
      </c>
      <c r="CR267" s="53">
        <f t="shared" si="160"/>
        <v>37749</v>
      </c>
      <c r="CS267" s="53">
        <f t="shared" si="161"/>
        <v>40603</v>
      </c>
      <c r="CT267" s="53">
        <f t="shared" si="162"/>
        <v>51333</v>
      </c>
      <c r="CU267" s="53">
        <f t="shared" si="163"/>
        <v>22817</v>
      </c>
      <c r="CV267" s="53">
        <f t="shared" si="165"/>
        <v>358644</v>
      </c>
      <c r="CW267" s="1"/>
      <c r="CX267" s="1"/>
      <c r="CY267" s="1"/>
      <c r="CZ267" s="1"/>
      <c r="DA267" s="1"/>
      <c r="DB267" s="1"/>
      <c r="DC267" s="1"/>
      <c r="DD267" s="1"/>
      <c r="DE267" s="1"/>
      <c r="DF267" s="1"/>
      <c r="DG267" s="1"/>
      <c r="DH267" s="1"/>
      <c r="DI267" s="1"/>
      <c r="DJ267" s="1"/>
      <c r="DK267" s="1"/>
      <c r="DL267" s="1"/>
    </row>
    <row r="268" spans="1:116" ht="15.75" hidden="1" x14ac:dyDescent="0.25">
      <c r="A268" s="16"/>
      <c r="B268" s="44"/>
      <c r="C268" s="44"/>
      <c r="D268" s="44"/>
      <c r="E268" s="44"/>
      <c r="F268" s="45" t="s">
        <v>2948</v>
      </c>
      <c r="G268" s="58">
        <v>0</v>
      </c>
      <c r="H268" s="58">
        <v>0</v>
      </c>
      <c r="I268" s="58">
        <v>0</v>
      </c>
      <c r="J268" s="58">
        <v>0</v>
      </c>
      <c r="K268" s="58">
        <v>0</v>
      </c>
      <c r="L268" s="58">
        <v>0</v>
      </c>
      <c r="M268" s="58">
        <v>0</v>
      </c>
      <c r="N268" s="58">
        <v>0</v>
      </c>
      <c r="O268" s="58">
        <v>0</v>
      </c>
      <c r="P268" s="58">
        <v>0</v>
      </c>
      <c r="Q268" s="58">
        <v>0</v>
      </c>
      <c r="R268" s="58">
        <v>0</v>
      </c>
      <c r="S268" s="11">
        <f t="shared" si="166"/>
        <v>0</v>
      </c>
      <c r="T268" s="10">
        <f t="shared" si="167"/>
        <v>0</v>
      </c>
      <c r="U268" s="13" t="s">
        <v>2951</v>
      </c>
      <c r="V268" s="50">
        <f t="shared" si="164"/>
        <v>0</v>
      </c>
      <c r="W268" s="36">
        <v>0.94</v>
      </c>
      <c r="X268" s="36">
        <v>0.94</v>
      </c>
      <c r="Y268" s="36">
        <v>0.94</v>
      </c>
      <c r="Z268" s="36">
        <v>0.94</v>
      </c>
      <c r="AA268" s="36">
        <v>0.94</v>
      </c>
      <c r="AB268" s="36">
        <v>0.94</v>
      </c>
      <c r="AC268" s="36">
        <v>0.94</v>
      </c>
      <c r="AD268" s="36">
        <v>0.94</v>
      </c>
      <c r="AE268" s="36">
        <v>0.94</v>
      </c>
      <c r="AF268" s="36">
        <v>0.94</v>
      </c>
      <c r="AG268" s="36">
        <v>0.94</v>
      </c>
      <c r="AH268" s="36">
        <v>0.94</v>
      </c>
      <c r="AI268" s="39">
        <v>1.33634708931066E-2</v>
      </c>
      <c r="AJ268" s="39">
        <v>1.33634708931066E-2</v>
      </c>
      <c r="AK268" s="39">
        <v>1.33634708931066E-2</v>
      </c>
      <c r="AL268" s="39">
        <v>1.33634708931066E-2</v>
      </c>
      <c r="AM268" s="39">
        <v>1.33634708931066E-2</v>
      </c>
      <c r="AN268" s="39">
        <v>1.33634708931066E-2</v>
      </c>
      <c r="AO268" s="39">
        <v>1.33634708931066E-2</v>
      </c>
      <c r="AP268" s="39">
        <v>1.33634708931066E-2</v>
      </c>
      <c r="AQ268" s="39">
        <v>1.33634708931066E-2</v>
      </c>
      <c r="AR268" s="39">
        <v>1.33634708931066E-2</v>
      </c>
      <c r="AS268" s="39">
        <v>1.33634708931066E-2</v>
      </c>
      <c r="AT268" s="39">
        <v>1.33634708931066E-2</v>
      </c>
      <c r="AU268" s="39">
        <v>1.2392217523121999E-3</v>
      </c>
      <c r="AV268" s="39">
        <v>1.2392217523121999E-3</v>
      </c>
      <c r="AW268" s="39">
        <v>1.2392217523121999E-3</v>
      </c>
      <c r="AX268" s="39">
        <v>1.2392217523121999E-3</v>
      </c>
      <c r="AY268" s="39">
        <v>1.2392217523121999E-3</v>
      </c>
      <c r="AZ268" s="39">
        <v>1.2392217523121999E-3</v>
      </c>
      <c r="BA268" s="39">
        <v>1.2392217523121999E-3</v>
      </c>
      <c r="BB268" s="39">
        <v>1.2392217523121999E-3</v>
      </c>
      <c r="BC268" s="39">
        <v>1.2392217523121999E-3</v>
      </c>
      <c r="BD268" s="39">
        <v>1.2392217523121999E-3</v>
      </c>
      <c r="BE268" s="39">
        <v>1.2392217523121999E-3</v>
      </c>
      <c r="BF268" s="39">
        <v>1.2392217523121999E-3</v>
      </c>
      <c r="BG268" s="1"/>
      <c r="BH268" s="12">
        <f t="shared" si="128"/>
        <v>0</v>
      </c>
      <c r="BI268" s="12">
        <f t="shared" si="129"/>
        <v>0</v>
      </c>
      <c r="BJ268" s="12">
        <f t="shared" si="130"/>
        <v>0</v>
      </c>
      <c r="BK268" s="12">
        <f t="shared" si="131"/>
        <v>0</v>
      </c>
      <c r="BL268" s="12">
        <f t="shared" si="132"/>
        <v>0</v>
      </c>
      <c r="BM268" s="12">
        <f t="shared" si="133"/>
        <v>0</v>
      </c>
      <c r="BN268" s="12">
        <f t="shared" si="134"/>
        <v>0</v>
      </c>
      <c r="BO268" s="12">
        <f t="shared" si="135"/>
        <v>0</v>
      </c>
      <c r="BP268" s="12">
        <f t="shared" si="136"/>
        <v>0</v>
      </c>
      <c r="BQ268" s="12">
        <f t="shared" si="137"/>
        <v>0</v>
      </c>
      <c r="BR268" s="12">
        <f t="shared" si="138"/>
        <v>0</v>
      </c>
      <c r="BS268" s="12">
        <f t="shared" si="139"/>
        <v>0</v>
      </c>
      <c r="BT268" s="1"/>
      <c r="BU268" s="11">
        <f t="shared" si="140"/>
        <v>0</v>
      </c>
      <c r="BV268" s="11">
        <f t="shared" si="141"/>
        <v>0</v>
      </c>
      <c r="BW268" s="11">
        <f t="shared" si="142"/>
        <v>0</v>
      </c>
      <c r="BX268" s="11">
        <f t="shared" si="143"/>
        <v>0</v>
      </c>
      <c r="BY268" s="11">
        <f t="shared" si="144"/>
        <v>0</v>
      </c>
      <c r="BZ268" s="11">
        <f t="shared" si="145"/>
        <v>0</v>
      </c>
      <c r="CA268" s="11">
        <f t="shared" si="146"/>
        <v>0</v>
      </c>
      <c r="CB268" s="11">
        <f t="shared" si="147"/>
        <v>0</v>
      </c>
      <c r="CC268" s="11">
        <f t="shared" si="148"/>
        <v>0</v>
      </c>
      <c r="CD268" s="11">
        <f t="shared" si="149"/>
        <v>0</v>
      </c>
      <c r="CE268" s="11">
        <f t="shared" si="150"/>
        <v>0</v>
      </c>
      <c r="CF268" s="11">
        <f t="shared" si="151"/>
        <v>0</v>
      </c>
      <c r="CG268" s="11"/>
      <c r="CH268" s="41">
        <v>3.23</v>
      </c>
      <c r="CI268" s="1"/>
      <c r="CJ268" s="53">
        <f t="shared" si="152"/>
        <v>0</v>
      </c>
      <c r="CK268" s="53">
        <f t="shared" si="153"/>
        <v>0</v>
      </c>
      <c r="CL268" s="53">
        <f t="shared" si="154"/>
        <v>0</v>
      </c>
      <c r="CM268" s="53">
        <f t="shared" si="155"/>
        <v>0</v>
      </c>
      <c r="CN268" s="53">
        <f t="shared" si="156"/>
        <v>0</v>
      </c>
      <c r="CO268" s="53">
        <f t="shared" si="157"/>
        <v>0</v>
      </c>
      <c r="CP268" s="53">
        <f t="shared" si="158"/>
        <v>0</v>
      </c>
      <c r="CQ268" s="53">
        <f t="shared" si="159"/>
        <v>0</v>
      </c>
      <c r="CR268" s="53">
        <f t="shared" si="160"/>
        <v>0</v>
      </c>
      <c r="CS268" s="53">
        <f t="shared" si="161"/>
        <v>0</v>
      </c>
      <c r="CT268" s="53">
        <f t="shared" si="162"/>
        <v>0</v>
      </c>
      <c r="CU268" s="53">
        <f t="shared" si="163"/>
        <v>0</v>
      </c>
      <c r="CV268" s="53">
        <f t="shared" si="165"/>
        <v>0</v>
      </c>
      <c r="CW268" s="1"/>
      <c r="CX268" s="1"/>
      <c r="CY268" s="1"/>
      <c r="CZ268" s="1"/>
      <c r="DA268" s="1"/>
      <c r="DB268" s="1"/>
      <c r="DC268" s="1"/>
      <c r="DD268" s="1"/>
      <c r="DE268" s="1"/>
      <c r="DF268" s="1"/>
      <c r="DG268" s="1"/>
      <c r="DH268" s="1"/>
      <c r="DI268" s="1"/>
      <c r="DJ268" s="1"/>
      <c r="DK268" s="1"/>
      <c r="DL268" s="1"/>
    </row>
    <row r="269" spans="1:116" ht="15.75" hidden="1" x14ac:dyDescent="0.25">
      <c r="A269" s="16"/>
      <c r="B269" s="44"/>
      <c r="C269" s="44"/>
      <c r="D269" s="44"/>
      <c r="E269" s="44"/>
      <c r="F269" s="45" t="s">
        <v>2948</v>
      </c>
      <c r="G269" s="58">
        <v>0</v>
      </c>
      <c r="H269" s="58">
        <v>0</v>
      </c>
      <c r="I269" s="58">
        <v>0</v>
      </c>
      <c r="J269" s="58">
        <v>0</v>
      </c>
      <c r="K269" s="58">
        <v>0</v>
      </c>
      <c r="L269" s="58">
        <v>0</v>
      </c>
      <c r="M269" s="58">
        <v>0</v>
      </c>
      <c r="N269" s="58">
        <v>0</v>
      </c>
      <c r="O269" s="58">
        <v>0</v>
      </c>
      <c r="P269" s="58">
        <v>0</v>
      </c>
      <c r="Q269" s="58">
        <v>0</v>
      </c>
      <c r="R269" s="58">
        <v>0</v>
      </c>
      <c r="S269" s="11">
        <f t="shared" si="166"/>
        <v>0</v>
      </c>
      <c r="T269" s="10">
        <f t="shared" si="167"/>
        <v>0</v>
      </c>
      <c r="U269" s="13" t="s">
        <v>2951</v>
      </c>
      <c r="V269" s="50">
        <f t="shared" si="164"/>
        <v>0</v>
      </c>
      <c r="W269" s="36">
        <v>1.75</v>
      </c>
      <c r="X269" s="36">
        <v>1.75</v>
      </c>
      <c r="Y269" s="36">
        <v>1.75</v>
      </c>
      <c r="Z269" s="36">
        <v>1.75</v>
      </c>
      <c r="AA269" s="36">
        <v>1.75</v>
      </c>
      <c r="AB269" s="36">
        <v>1.75</v>
      </c>
      <c r="AC269" s="36">
        <v>1.75</v>
      </c>
      <c r="AD269" s="36">
        <v>1.75</v>
      </c>
      <c r="AE269" s="36">
        <v>1.75</v>
      </c>
      <c r="AF269" s="36">
        <v>1.75</v>
      </c>
      <c r="AG269" s="36">
        <v>1.75</v>
      </c>
      <c r="AH269" s="36">
        <v>1.75</v>
      </c>
      <c r="AI269" s="39">
        <v>1.33634708931066E-2</v>
      </c>
      <c r="AJ269" s="39">
        <v>1.33634708931066E-2</v>
      </c>
      <c r="AK269" s="39">
        <v>1.33634708931066E-2</v>
      </c>
      <c r="AL269" s="39">
        <v>1.33634708931066E-2</v>
      </c>
      <c r="AM269" s="39">
        <v>1.33634708931066E-2</v>
      </c>
      <c r="AN269" s="39">
        <v>1.33634708931066E-2</v>
      </c>
      <c r="AO269" s="39">
        <v>1.33634708931066E-2</v>
      </c>
      <c r="AP269" s="39">
        <v>1.33634708931066E-2</v>
      </c>
      <c r="AQ269" s="39">
        <v>1.33634708931066E-2</v>
      </c>
      <c r="AR269" s="39">
        <v>1.33634708931066E-2</v>
      </c>
      <c r="AS269" s="39">
        <v>1.33634708931066E-2</v>
      </c>
      <c r="AT269" s="39">
        <v>1.33634708931066E-2</v>
      </c>
      <c r="AU269" s="39">
        <v>1.2392217523121999E-3</v>
      </c>
      <c r="AV269" s="39">
        <v>1.2392217523121999E-3</v>
      </c>
      <c r="AW269" s="39">
        <v>1.2392217523121999E-3</v>
      </c>
      <c r="AX269" s="39">
        <v>1.2392217523121999E-3</v>
      </c>
      <c r="AY269" s="39">
        <v>1.2392217523121999E-3</v>
      </c>
      <c r="AZ269" s="39">
        <v>1.2392217523121999E-3</v>
      </c>
      <c r="BA269" s="39">
        <v>1.2392217523121999E-3</v>
      </c>
      <c r="BB269" s="39">
        <v>1.2392217523121999E-3</v>
      </c>
      <c r="BC269" s="39">
        <v>1.2392217523121999E-3</v>
      </c>
      <c r="BD269" s="39">
        <v>1.2392217523121999E-3</v>
      </c>
      <c r="BE269" s="39">
        <v>1.2392217523121999E-3</v>
      </c>
      <c r="BF269" s="39">
        <v>1.2392217523121999E-3</v>
      </c>
      <c r="BG269" s="1"/>
      <c r="BH269" s="12">
        <f t="shared" si="128"/>
        <v>0</v>
      </c>
      <c r="BI269" s="12">
        <f t="shared" si="129"/>
        <v>0</v>
      </c>
      <c r="BJ269" s="12">
        <f t="shared" si="130"/>
        <v>0</v>
      </c>
      <c r="BK269" s="12">
        <f t="shared" si="131"/>
        <v>0</v>
      </c>
      <c r="BL269" s="12">
        <f t="shared" si="132"/>
        <v>0</v>
      </c>
      <c r="BM269" s="12">
        <f t="shared" si="133"/>
        <v>0</v>
      </c>
      <c r="BN269" s="12">
        <f t="shared" si="134"/>
        <v>0</v>
      </c>
      <c r="BO269" s="12">
        <f t="shared" si="135"/>
        <v>0</v>
      </c>
      <c r="BP269" s="12">
        <f t="shared" si="136"/>
        <v>0</v>
      </c>
      <c r="BQ269" s="12">
        <f t="shared" si="137"/>
        <v>0</v>
      </c>
      <c r="BR269" s="12">
        <f t="shared" si="138"/>
        <v>0</v>
      </c>
      <c r="BS269" s="12">
        <f t="shared" si="139"/>
        <v>0</v>
      </c>
      <c r="BT269" s="1"/>
      <c r="BU269" s="11">
        <f t="shared" si="140"/>
        <v>0</v>
      </c>
      <c r="BV269" s="11">
        <f t="shared" si="141"/>
        <v>0</v>
      </c>
      <c r="BW269" s="11">
        <f t="shared" si="142"/>
        <v>0</v>
      </c>
      <c r="BX269" s="11">
        <f t="shared" si="143"/>
        <v>0</v>
      </c>
      <c r="BY269" s="11">
        <f t="shared" si="144"/>
        <v>0</v>
      </c>
      <c r="BZ269" s="11">
        <f t="shared" si="145"/>
        <v>0</v>
      </c>
      <c r="CA269" s="11">
        <f t="shared" si="146"/>
        <v>0</v>
      </c>
      <c r="CB269" s="11">
        <f t="shared" si="147"/>
        <v>0</v>
      </c>
      <c r="CC269" s="11">
        <f t="shared" si="148"/>
        <v>0</v>
      </c>
      <c r="CD269" s="11">
        <f t="shared" si="149"/>
        <v>0</v>
      </c>
      <c r="CE269" s="11">
        <f t="shared" si="150"/>
        <v>0</v>
      </c>
      <c r="CF269" s="11">
        <f t="shared" si="151"/>
        <v>0</v>
      </c>
      <c r="CG269" s="11"/>
      <c r="CH269" s="41">
        <v>3.23</v>
      </c>
      <c r="CI269" s="1"/>
      <c r="CJ269" s="53">
        <f t="shared" si="152"/>
        <v>0</v>
      </c>
      <c r="CK269" s="53">
        <f t="shared" si="153"/>
        <v>0</v>
      </c>
      <c r="CL269" s="53">
        <f t="shared" si="154"/>
        <v>0</v>
      </c>
      <c r="CM269" s="53">
        <f t="shared" si="155"/>
        <v>0</v>
      </c>
      <c r="CN269" s="53">
        <f t="shared" si="156"/>
        <v>0</v>
      </c>
      <c r="CO269" s="53">
        <f t="shared" si="157"/>
        <v>0</v>
      </c>
      <c r="CP269" s="53">
        <f t="shared" si="158"/>
        <v>0</v>
      </c>
      <c r="CQ269" s="53">
        <f t="shared" si="159"/>
        <v>0</v>
      </c>
      <c r="CR269" s="53">
        <f t="shared" si="160"/>
        <v>0</v>
      </c>
      <c r="CS269" s="53">
        <f t="shared" si="161"/>
        <v>0</v>
      </c>
      <c r="CT269" s="53">
        <f t="shared" si="162"/>
        <v>0</v>
      </c>
      <c r="CU269" s="53">
        <f t="shared" si="163"/>
        <v>0</v>
      </c>
      <c r="CV269" s="53">
        <f t="shared" si="165"/>
        <v>0</v>
      </c>
      <c r="CW269" s="1"/>
      <c r="CX269" s="1"/>
      <c r="CY269" s="1"/>
      <c r="CZ269" s="1"/>
      <c r="DA269" s="1"/>
      <c r="DB269" s="1"/>
      <c r="DC269" s="1"/>
      <c r="DD269" s="1"/>
      <c r="DE269" s="1"/>
      <c r="DF269" s="1"/>
      <c r="DG269" s="1"/>
      <c r="DH269" s="1"/>
      <c r="DI269" s="1"/>
      <c r="DJ269" s="1"/>
      <c r="DK269" s="1"/>
      <c r="DL269" s="1"/>
    </row>
    <row r="270" spans="1:116" ht="15.75" hidden="1" x14ac:dyDescent="0.25">
      <c r="A270" s="16"/>
      <c r="B270" s="44"/>
      <c r="C270" s="44"/>
      <c r="D270" s="44"/>
      <c r="E270" s="44"/>
      <c r="F270" s="45" t="s">
        <v>2948</v>
      </c>
      <c r="G270" s="58">
        <v>0</v>
      </c>
      <c r="H270" s="58">
        <v>0</v>
      </c>
      <c r="I270" s="58">
        <v>0</v>
      </c>
      <c r="J270" s="58">
        <v>0</v>
      </c>
      <c r="K270" s="58">
        <v>0</v>
      </c>
      <c r="L270" s="58">
        <v>0</v>
      </c>
      <c r="M270" s="58">
        <v>0</v>
      </c>
      <c r="N270" s="58">
        <v>0</v>
      </c>
      <c r="O270" s="58">
        <v>0</v>
      </c>
      <c r="P270" s="58">
        <v>0</v>
      </c>
      <c r="Q270" s="58">
        <v>0</v>
      </c>
      <c r="R270" s="58">
        <v>0</v>
      </c>
      <c r="S270" s="11">
        <f t="shared" si="166"/>
        <v>0</v>
      </c>
      <c r="T270" s="10">
        <f t="shared" si="167"/>
        <v>0</v>
      </c>
      <c r="U270" s="13" t="s">
        <v>2951</v>
      </c>
      <c r="V270" s="50">
        <f t="shared" si="164"/>
        <v>0</v>
      </c>
      <c r="W270" s="36">
        <v>2.367</v>
      </c>
      <c r="X270" s="36">
        <v>2.367</v>
      </c>
      <c r="Y270" s="36">
        <v>2.367</v>
      </c>
      <c r="Z270" s="36">
        <v>2.367</v>
      </c>
      <c r="AA270" s="36">
        <v>2.367</v>
      </c>
      <c r="AB270" s="36">
        <v>2.367</v>
      </c>
      <c r="AC270" s="36">
        <v>2.367</v>
      </c>
      <c r="AD270" s="36">
        <v>2.367</v>
      </c>
      <c r="AE270" s="36">
        <v>2.367</v>
      </c>
      <c r="AF270" s="36">
        <v>2.367</v>
      </c>
      <c r="AG270" s="36">
        <v>2.367</v>
      </c>
      <c r="AH270" s="36">
        <v>2.367</v>
      </c>
      <c r="AI270" s="39">
        <v>1.33634708931066E-2</v>
      </c>
      <c r="AJ270" s="39">
        <v>1.33634708931066E-2</v>
      </c>
      <c r="AK270" s="39">
        <v>1.33634708931066E-2</v>
      </c>
      <c r="AL270" s="39">
        <v>1.33634708931066E-2</v>
      </c>
      <c r="AM270" s="39">
        <v>1.33634708931066E-2</v>
      </c>
      <c r="AN270" s="39">
        <v>1.33634708931066E-2</v>
      </c>
      <c r="AO270" s="39">
        <v>1.33634708931066E-2</v>
      </c>
      <c r="AP270" s="39">
        <v>1.33634708931066E-2</v>
      </c>
      <c r="AQ270" s="39">
        <v>1.33634708931066E-2</v>
      </c>
      <c r="AR270" s="39">
        <v>1.33634708931066E-2</v>
      </c>
      <c r="AS270" s="39">
        <v>1.33634708931066E-2</v>
      </c>
      <c r="AT270" s="39">
        <v>1.33634708931066E-2</v>
      </c>
      <c r="AU270" s="39">
        <v>1.2392217523121999E-3</v>
      </c>
      <c r="AV270" s="39">
        <v>1.2392217523121999E-3</v>
      </c>
      <c r="AW270" s="39">
        <v>1.2392217523121999E-3</v>
      </c>
      <c r="AX270" s="39">
        <v>1.2392217523121999E-3</v>
      </c>
      <c r="AY270" s="39">
        <v>1.2392217523121999E-3</v>
      </c>
      <c r="AZ270" s="39">
        <v>1.2392217523121999E-3</v>
      </c>
      <c r="BA270" s="39">
        <v>1.2392217523121999E-3</v>
      </c>
      <c r="BB270" s="39">
        <v>1.2392217523121999E-3</v>
      </c>
      <c r="BC270" s="39">
        <v>1.2392217523121999E-3</v>
      </c>
      <c r="BD270" s="39">
        <v>1.2392217523121999E-3</v>
      </c>
      <c r="BE270" s="39">
        <v>1.2392217523121999E-3</v>
      </c>
      <c r="BF270" s="39">
        <v>1.2392217523121999E-3</v>
      </c>
      <c r="BG270" s="1"/>
      <c r="BH270" s="12">
        <f t="shared" si="128"/>
        <v>0</v>
      </c>
      <c r="BI270" s="12">
        <f t="shared" si="129"/>
        <v>0</v>
      </c>
      <c r="BJ270" s="12">
        <f t="shared" si="130"/>
        <v>0</v>
      </c>
      <c r="BK270" s="12">
        <f t="shared" si="131"/>
        <v>0</v>
      </c>
      <c r="BL270" s="12">
        <f t="shared" si="132"/>
        <v>0</v>
      </c>
      <c r="BM270" s="12">
        <f t="shared" si="133"/>
        <v>0</v>
      </c>
      <c r="BN270" s="12">
        <f t="shared" si="134"/>
        <v>0</v>
      </c>
      <c r="BO270" s="12">
        <f t="shared" si="135"/>
        <v>0</v>
      </c>
      <c r="BP270" s="12">
        <f t="shared" si="136"/>
        <v>0</v>
      </c>
      <c r="BQ270" s="12">
        <f t="shared" si="137"/>
        <v>0</v>
      </c>
      <c r="BR270" s="12">
        <f t="shared" si="138"/>
        <v>0</v>
      </c>
      <c r="BS270" s="12">
        <f t="shared" si="139"/>
        <v>0</v>
      </c>
      <c r="BT270" s="1"/>
      <c r="BU270" s="11">
        <f t="shared" si="140"/>
        <v>0</v>
      </c>
      <c r="BV270" s="11">
        <f t="shared" si="141"/>
        <v>0</v>
      </c>
      <c r="BW270" s="11">
        <f t="shared" si="142"/>
        <v>0</v>
      </c>
      <c r="BX270" s="11">
        <f t="shared" si="143"/>
        <v>0</v>
      </c>
      <c r="BY270" s="11">
        <f t="shared" si="144"/>
        <v>0</v>
      </c>
      <c r="BZ270" s="11">
        <f t="shared" si="145"/>
        <v>0</v>
      </c>
      <c r="CA270" s="11">
        <f t="shared" si="146"/>
        <v>0</v>
      </c>
      <c r="CB270" s="11">
        <f t="shared" si="147"/>
        <v>0</v>
      </c>
      <c r="CC270" s="11">
        <f t="shared" si="148"/>
        <v>0</v>
      </c>
      <c r="CD270" s="11">
        <f t="shared" si="149"/>
        <v>0</v>
      </c>
      <c r="CE270" s="11">
        <f t="shared" si="150"/>
        <v>0</v>
      </c>
      <c r="CF270" s="11">
        <f t="shared" si="151"/>
        <v>0</v>
      </c>
      <c r="CG270" s="11"/>
      <c r="CH270" s="41">
        <v>3.23</v>
      </c>
      <c r="CI270" s="1"/>
      <c r="CJ270" s="53">
        <f t="shared" si="152"/>
        <v>0</v>
      </c>
      <c r="CK270" s="53">
        <f t="shared" si="153"/>
        <v>0</v>
      </c>
      <c r="CL270" s="53">
        <f t="shared" si="154"/>
        <v>0</v>
      </c>
      <c r="CM270" s="53">
        <f t="shared" si="155"/>
        <v>0</v>
      </c>
      <c r="CN270" s="53">
        <f t="shared" si="156"/>
        <v>0</v>
      </c>
      <c r="CO270" s="53">
        <f t="shared" si="157"/>
        <v>0</v>
      </c>
      <c r="CP270" s="53">
        <f t="shared" si="158"/>
        <v>0</v>
      </c>
      <c r="CQ270" s="53">
        <f t="shared" si="159"/>
        <v>0</v>
      </c>
      <c r="CR270" s="53">
        <f t="shared" si="160"/>
        <v>0</v>
      </c>
      <c r="CS270" s="53">
        <f t="shared" si="161"/>
        <v>0</v>
      </c>
      <c r="CT270" s="53">
        <f t="shared" si="162"/>
        <v>0</v>
      </c>
      <c r="CU270" s="53">
        <f t="shared" si="163"/>
        <v>0</v>
      </c>
      <c r="CV270" s="53">
        <f t="shared" si="165"/>
        <v>0</v>
      </c>
      <c r="CW270" s="1"/>
      <c r="CX270" s="1"/>
      <c r="CY270" s="1"/>
      <c r="CZ270" s="1"/>
      <c r="DA270" s="1"/>
      <c r="DB270" s="1"/>
      <c r="DC270" s="1"/>
      <c r="DD270" s="1"/>
      <c r="DE270" s="1"/>
      <c r="DF270" s="1"/>
      <c r="DG270" s="1"/>
      <c r="DH270" s="1"/>
      <c r="DI270" s="1"/>
      <c r="DJ270" s="1"/>
      <c r="DK270" s="1"/>
      <c r="DL270" s="1"/>
    </row>
    <row r="271" spans="1:116" ht="15.75" hidden="1" x14ac:dyDescent="0.25">
      <c r="A271" s="16"/>
      <c r="B271" s="44"/>
      <c r="C271" s="44"/>
      <c r="D271" s="44"/>
      <c r="E271" s="44"/>
      <c r="F271" s="45" t="s">
        <v>2948</v>
      </c>
      <c r="G271" s="58">
        <v>0</v>
      </c>
      <c r="H271" s="58">
        <v>0</v>
      </c>
      <c r="I271" s="58">
        <v>0</v>
      </c>
      <c r="J271" s="58">
        <v>0</v>
      </c>
      <c r="K271" s="58">
        <v>0</v>
      </c>
      <c r="L271" s="58">
        <v>0</v>
      </c>
      <c r="M271" s="58">
        <v>0</v>
      </c>
      <c r="N271" s="58">
        <v>0</v>
      </c>
      <c r="O271" s="58">
        <v>0</v>
      </c>
      <c r="P271" s="58">
        <v>0</v>
      </c>
      <c r="Q271" s="58">
        <v>0</v>
      </c>
      <c r="R271" s="58">
        <v>0</v>
      </c>
      <c r="S271" s="11">
        <f t="shared" si="166"/>
        <v>0</v>
      </c>
      <c r="T271" s="10">
        <f t="shared" si="167"/>
        <v>0</v>
      </c>
      <c r="U271" s="13" t="s">
        <v>2951</v>
      </c>
      <c r="V271" s="50">
        <f t="shared" si="164"/>
        <v>0</v>
      </c>
      <c r="W271" s="36">
        <v>1.9370000000000001</v>
      </c>
      <c r="X271" s="36">
        <v>1.9370000000000001</v>
      </c>
      <c r="Y271" s="36">
        <v>1.9370000000000001</v>
      </c>
      <c r="Z271" s="36">
        <v>1.9370000000000001</v>
      </c>
      <c r="AA271" s="36">
        <v>1.9370000000000001</v>
      </c>
      <c r="AB271" s="36">
        <v>1.9370000000000001</v>
      </c>
      <c r="AC271" s="36">
        <v>1.9370000000000001</v>
      </c>
      <c r="AD271" s="36">
        <v>1.9370000000000001</v>
      </c>
      <c r="AE271" s="36">
        <v>1.9370000000000001</v>
      </c>
      <c r="AF271" s="36">
        <v>1.9370000000000001</v>
      </c>
      <c r="AG271" s="36">
        <v>1.9370000000000001</v>
      </c>
      <c r="AH271" s="36">
        <v>1.9370000000000001</v>
      </c>
      <c r="AI271" s="39">
        <v>1.33634708931066E-2</v>
      </c>
      <c r="AJ271" s="39">
        <v>1.33634708931066E-2</v>
      </c>
      <c r="AK271" s="39">
        <v>1.33634708931066E-2</v>
      </c>
      <c r="AL271" s="39">
        <v>1.33634708931066E-2</v>
      </c>
      <c r="AM271" s="39">
        <v>1.33634708931066E-2</v>
      </c>
      <c r="AN271" s="39">
        <v>1.33634708931066E-2</v>
      </c>
      <c r="AO271" s="39">
        <v>1.33634708931066E-2</v>
      </c>
      <c r="AP271" s="39">
        <v>1.33634708931066E-2</v>
      </c>
      <c r="AQ271" s="39">
        <v>1.33634708931066E-2</v>
      </c>
      <c r="AR271" s="39">
        <v>1.33634708931066E-2</v>
      </c>
      <c r="AS271" s="39">
        <v>1.33634708931066E-2</v>
      </c>
      <c r="AT271" s="39">
        <v>1.33634708931066E-2</v>
      </c>
      <c r="AU271" s="39">
        <v>1.2392217523121999E-3</v>
      </c>
      <c r="AV271" s="39">
        <v>1.2392217523121999E-3</v>
      </c>
      <c r="AW271" s="39">
        <v>1.2392217523121999E-3</v>
      </c>
      <c r="AX271" s="39">
        <v>1.2392217523121999E-3</v>
      </c>
      <c r="AY271" s="39">
        <v>1.2392217523121999E-3</v>
      </c>
      <c r="AZ271" s="39">
        <v>1.2392217523121999E-3</v>
      </c>
      <c r="BA271" s="39">
        <v>1.2392217523121999E-3</v>
      </c>
      <c r="BB271" s="39">
        <v>1.2392217523121999E-3</v>
      </c>
      <c r="BC271" s="39">
        <v>1.2392217523121999E-3</v>
      </c>
      <c r="BD271" s="39">
        <v>1.2392217523121999E-3</v>
      </c>
      <c r="BE271" s="39">
        <v>1.2392217523121999E-3</v>
      </c>
      <c r="BF271" s="39">
        <v>1.2392217523121999E-3</v>
      </c>
      <c r="BG271" s="1"/>
      <c r="BH271" s="12">
        <f t="shared" si="128"/>
        <v>0</v>
      </c>
      <c r="BI271" s="12">
        <f t="shared" si="129"/>
        <v>0</v>
      </c>
      <c r="BJ271" s="12">
        <f t="shared" si="130"/>
        <v>0</v>
      </c>
      <c r="BK271" s="12">
        <f t="shared" si="131"/>
        <v>0</v>
      </c>
      <c r="BL271" s="12">
        <f t="shared" si="132"/>
        <v>0</v>
      </c>
      <c r="BM271" s="12">
        <f t="shared" si="133"/>
        <v>0</v>
      </c>
      <c r="BN271" s="12">
        <f t="shared" si="134"/>
        <v>0</v>
      </c>
      <c r="BO271" s="12">
        <f t="shared" si="135"/>
        <v>0</v>
      </c>
      <c r="BP271" s="12">
        <f t="shared" si="136"/>
        <v>0</v>
      </c>
      <c r="BQ271" s="12">
        <f t="shared" si="137"/>
        <v>0</v>
      </c>
      <c r="BR271" s="12">
        <f t="shared" si="138"/>
        <v>0</v>
      </c>
      <c r="BS271" s="12">
        <f t="shared" si="139"/>
        <v>0</v>
      </c>
      <c r="BT271" s="1"/>
      <c r="BU271" s="11">
        <f t="shared" si="140"/>
        <v>0</v>
      </c>
      <c r="BV271" s="11">
        <f t="shared" si="141"/>
        <v>0</v>
      </c>
      <c r="BW271" s="11">
        <f t="shared" si="142"/>
        <v>0</v>
      </c>
      <c r="BX271" s="11">
        <f t="shared" si="143"/>
        <v>0</v>
      </c>
      <c r="BY271" s="11">
        <f t="shared" si="144"/>
        <v>0</v>
      </c>
      <c r="BZ271" s="11">
        <f t="shared" si="145"/>
        <v>0</v>
      </c>
      <c r="CA271" s="11">
        <f t="shared" si="146"/>
        <v>0</v>
      </c>
      <c r="CB271" s="11">
        <f t="shared" si="147"/>
        <v>0</v>
      </c>
      <c r="CC271" s="11">
        <f t="shared" si="148"/>
        <v>0</v>
      </c>
      <c r="CD271" s="11">
        <f t="shared" si="149"/>
        <v>0</v>
      </c>
      <c r="CE271" s="11">
        <f t="shared" si="150"/>
        <v>0</v>
      </c>
      <c r="CF271" s="11">
        <f t="shared" si="151"/>
        <v>0</v>
      </c>
      <c r="CG271" s="11"/>
      <c r="CH271" s="41">
        <v>3.23</v>
      </c>
      <c r="CI271" s="1"/>
      <c r="CJ271" s="53">
        <f t="shared" si="152"/>
        <v>0</v>
      </c>
      <c r="CK271" s="53">
        <f t="shared" si="153"/>
        <v>0</v>
      </c>
      <c r="CL271" s="53">
        <f t="shared" si="154"/>
        <v>0</v>
      </c>
      <c r="CM271" s="53">
        <f t="shared" si="155"/>
        <v>0</v>
      </c>
      <c r="CN271" s="53">
        <f t="shared" si="156"/>
        <v>0</v>
      </c>
      <c r="CO271" s="53">
        <f t="shared" si="157"/>
        <v>0</v>
      </c>
      <c r="CP271" s="53">
        <f t="shared" si="158"/>
        <v>0</v>
      </c>
      <c r="CQ271" s="53">
        <f t="shared" si="159"/>
        <v>0</v>
      </c>
      <c r="CR271" s="53">
        <f t="shared" si="160"/>
        <v>0</v>
      </c>
      <c r="CS271" s="53">
        <f t="shared" si="161"/>
        <v>0</v>
      </c>
      <c r="CT271" s="53">
        <f t="shared" si="162"/>
        <v>0</v>
      </c>
      <c r="CU271" s="53">
        <f t="shared" si="163"/>
        <v>0</v>
      </c>
      <c r="CV271" s="53">
        <f t="shared" si="165"/>
        <v>0</v>
      </c>
      <c r="CW271" s="1"/>
      <c r="CX271" s="1"/>
      <c r="CY271" s="1"/>
      <c r="CZ271" s="1"/>
      <c r="DA271" s="1"/>
      <c r="DB271" s="1"/>
      <c r="DC271" s="1"/>
      <c r="DD271" s="1"/>
      <c r="DE271" s="1"/>
      <c r="DF271" s="1"/>
      <c r="DG271" s="1"/>
      <c r="DH271" s="1"/>
      <c r="DI271" s="1"/>
      <c r="DJ271" s="1"/>
      <c r="DK271" s="1"/>
      <c r="DL271" s="1"/>
    </row>
    <row r="272" spans="1:116" ht="15.75" hidden="1" x14ac:dyDescent="0.25">
      <c r="A272" s="16"/>
      <c r="B272" s="44"/>
      <c r="C272" s="44"/>
      <c r="D272" s="44"/>
      <c r="E272" s="44"/>
      <c r="F272" s="45" t="s">
        <v>2948</v>
      </c>
      <c r="G272" s="58">
        <v>151.6</v>
      </c>
      <c r="H272" s="58">
        <v>151.6</v>
      </c>
      <c r="I272" s="58">
        <v>151.6</v>
      </c>
      <c r="J272" s="58">
        <v>90.39</v>
      </c>
      <c r="K272" s="58">
        <v>90.39</v>
      </c>
      <c r="L272" s="58">
        <v>90.39</v>
      </c>
      <c r="M272" s="58">
        <v>90.39</v>
      </c>
      <c r="N272" s="58">
        <v>123.17</v>
      </c>
      <c r="O272" s="58">
        <v>123.17</v>
      </c>
      <c r="P272" s="58">
        <v>104.23</v>
      </c>
      <c r="Q272" s="58">
        <v>104.23</v>
      </c>
      <c r="R272" s="58">
        <v>94.75</v>
      </c>
      <c r="S272" s="11">
        <f t="shared" si="166"/>
        <v>1365.9099999999999</v>
      </c>
      <c r="T272" s="10">
        <f t="shared" si="167"/>
        <v>6.029156057877421E-2</v>
      </c>
      <c r="U272" s="13" t="s">
        <v>2951</v>
      </c>
      <c r="V272" s="50">
        <f t="shared" si="164"/>
        <v>1683458</v>
      </c>
      <c r="W272" s="36">
        <v>2.6589999999999998</v>
      </c>
      <c r="X272" s="36">
        <v>2.6589999999999998</v>
      </c>
      <c r="Y272" s="36">
        <v>2.6589999999999998</v>
      </c>
      <c r="Z272" s="36">
        <v>2.6589999999999998</v>
      </c>
      <c r="AA272" s="36">
        <v>2.6589999999999998</v>
      </c>
      <c r="AB272" s="36">
        <v>2.6589999999999998</v>
      </c>
      <c r="AC272" s="36">
        <v>2.6589999999999998</v>
      </c>
      <c r="AD272" s="36">
        <v>2.6589999999999998</v>
      </c>
      <c r="AE272" s="36">
        <v>2.6589999999999998</v>
      </c>
      <c r="AF272" s="36">
        <v>2.6589999999999998</v>
      </c>
      <c r="AG272" s="36">
        <v>2.6589999999999998</v>
      </c>
      <c r="AH272" s="36">
        <v>2.6589999999999998</v>
      </c>
      <c r="AI272" s="39">
        <v>1.33634708931066E-2</v>
      </c>
      <c r="AJ272" s="39">
        <v>1.33634708931066E-2</v>
      </c>
      <c r="AK272" s="39">
        <v>1.33634708931066E-2</v>
      </c>
      <c r="AL272" s="39">
        <v>1.33634708931066E-2</v>
      </c>
      <c r="AM272" s="39">
        <v>1.33634708931066E-2</v>
      </c>
      <c r="AN272" s="39">
        <v>1.33634708931066E-2</v>
      </c>
      <c r="AO272" s="39">
        <v>1.33634708931066E-2</v>
      </c>
      <c r="AP272" s="39">
        <v>1.33634708931066E-2</v>
      </c>
      <c r="AQ272" s="39">
        <v>1.33634708931066E-2</v>
      </c>
      <c r="AR272" s="39">
        <v>1.33634708931066E-2</v>
      </c>
      <c r="AS272" s="39">
        <v>1.33634708931066E-2</v>
      </c>
      <c r="AT272" s="39">
        <v>1.33634708931066E-2</v>
      </c>
      <c r="AU272" s="39">
        <v>1.2392217523121999E-3</v>
      </c>
      <c r="AV272" s="39">
        <v>1.2392217523121999E-3</v>
      </c>
      <c r="AW272" s="39">
        <v>1.2392217523121999E-3</v>
      </c>
      <c r="AX272" s="39">
        <v>1.2392217523121999E-3</v>
      </c>
      <c r="AY272" s="39">
        <v>1.2392217523121999E-3</v>
      </c>
      <c r="AZ272" s="39">
        <v>1.2392217523121999E-3</v>
      </c>
      <c r="BA272" s="39">
        <v>1.2392217523121999E-3</v>
      </c>
      <c r="BB272" s="39">
        <v>1.2392217523121999E-3</v>
      </c>
      <c r="BC272" s="39">
        <v>1.2392217523121999E-3</v>
      </c>
      <c r="BD272" s="39">
        <v>1.2392217523121999E-3</v>
      </c>
      <c r="BE272" s="39">
        <v>1.2392217523121999E-3</v>
      </c>
      <c r="BF272" s="39">
        <v>1.2392217523121999E-3</v>
      </c>
      <c r="BG272" s="1"/>
      <c r="BH272" s="12">
        <f t="shared" si="128"/>
        <v>489.66800000000001</v>
      </c>
      <c r="BI272" s="12">
        <f t="shared" si="129"/>
        <v>489.66800000000001</v>
      </c>
      <c r="BJ272" s="12">
        <f t="shared" si="130"/>
        <v>489.66800000000001</v>
      </c>
      <c r="BK272" s="12">
        <f t="shared" si="131"/>
        <v>291.9597</v>
      </c>
      <c r="BL272" s="12">
        <f t="shared" si="132"/>
        <v>291.9597</v>
      </c>
      <c r="BM272" s="12">
        <f t="shared" si="133"/>
        <v>291.9597</v>
      </c>
      <c r="BN272" s="12">
        <f t="shared" si="134"/>
        <v>291.9597</v>
      </c>
      <c r="BO272" s="12">
        <f t="shared" si="135"/>
        <v>397.83910000000003</v>
      </c>
      <c r="BP272" s="12">
        <f t="shared" si="136"/>
        <v>397.83910000000003</v>
      </c>
      <c r="BQ272" s="12">
        <f t="shared" si="137"/>
        <v>336.66290000000004</v>
      </c>
      <c r="BR272" s="12">
        <f t="shared" si="138"/>
        <v>336.66290000000004</v>
      </c>
      <c r="BS272" s="12">
        <f t="shared" si="139"/>
        <v>306.04250000000002</v>
      </c>
      <c r="BT272" s="1"/>
      <c r="BU272" s="11">
        <f t="shared" si="140"/>
        <v>496.81847130229693</v>
      </c>
      <c r="BV272" s="11">
        <f t="shared" si="141"/>
        <v>496.81847130229693</v>
      </c>
      <c r="BW272" s="11">
        <f t="shared" si="142"/>
        <v>496.81847130229693</v>
      </c>
      <c r="BX272" s="11">
        <f t="shared" si="143"/>
        <v>296.22309776394866</v>
      </c>
      <c r="BY272" s="11">
        <f t="shared" si="144"/>
        <v>296.22309776394866</v>
      </c>
      <c r="BZ272" s="11">
        <f t="shared" si="145"/>
        <v>296.22309776394866</v>
      </c>
      <c r="CA272" s="11">
        <f t="shared" si="146"/>
        <v>296.22309776394866</v>
      </c>
      <c r="CB272" s="11">
        <f t="shared" si="147"/>
        <v>403.64862209963007</v>
      </c>
      <c r="CC272" s="11">
        <f t="shared" si="148"/>
        <v>403.64862209963007</v>
      </c>
      <c r="CD272" s="11">
        <f t="shared" si="149"/>
        <v>341.5790848538154</v>
      </c>
      <c r="CE272" s="11">
        <f t="shared" si="150"/>
        <v>341.5790848538154</v>
      </c>
      <c r="CF272" s="11">
        <f t="shared" si="151"/>
        <v>310.51154456393562</v>
      </c>
      <c r="CG272" s="11"/>
      <c r="CH272" s="41">
        <v>3.23</v>
      </c>
      <c r="CI272" s="1"/>
      <c r="CJ272" s="53">
        <f t="shared" si="152"/>
        <v>186844</v>
      </c>
      <c r="CK272" s="53">
        <f t="shared" si="153"/>
        <v>186844</v>
      </c>
      <c r="CL272" s="53">
        <f t="shared" si="154"/>
        <v>186844</v>
      </c>
      <c r="CM272" s="53">
        <f t="shared" si="155"/>
        <v>111404</v>
      </c>
      <c r="CN272" s="53">
        <f t="shared" si="156"/>
        <v>111404</v>
      </c>
      <c r="CO272" s="53">
        <f t="shared" si="157"/>
        <v>111404</v>
      </c>
      <c r="CP272" s="53">
        <f t="shared" si="158"/>
        <v>111404</v>
      </c>
      <c r="CQ272" s="53">
        <f t="shared" si="159"/>
        <v>151805</v>
      </c>
      <c r="CR272" s="53">
        <f t="shared" si="160"/>
        <v>151805</v>
      </c>
      <c r="CS272" s="53">
        <f t="shared" si="161"/>
        <v>128461</v>
      </c>
      <c r="CT272" s="53">
        <f t="shared" si="162"/>
        <v>128461</v>
      </c>
      <c r="CU272" s="53">
        <f t="shared" si="163"/>
        <v>116778</v>
      </c>
      <c r="CV272" s="53">
        <f t="shared" si="165"/>
        <v>1683458</v>
      </c>
      <c r="CW272" s="1"/>
      <c r="CX272" s="1"/>
      <c r="CY272" s="1"/>
      <c r="CZ272" s="1"/>
      <c r="DA272" s="1"/>
      <c r="DB272" s="1"/>
      <c r="DC272" s="1"/>
      <c r="DD272" s="1"/>
      <c r="DE272" s="1"/>
      <c r="DF272" s="1"/>
      <c r="DG272" s="1"/>
      <c r="DH272" s="1"/>
      <c r="DI272" s="1"/>
      <c r="DJ272" s="1"/>
      <c r="DK272" s="1"/>
      <c r="DL272" s="1"/>
    </row>
    <row r="273" spans="1:116" ht="15.75" hidden="1" x14ac:dyDescent="0.25">
      <c r="A273" s="16"/>
      <c r="B273" s="44"/>
      <c r="C273" s="44"/>
      <c r="D273" s="44"/>
      <c r="E273" s="44"/>
      <c r="F273" s="45" t="s">
        <v>2948</v>
      </c>
      <c r="G273" s="58">
        <v>156.63</v>
      </c>
      <c r="H273" s="58">
        <v>128.43</v>
      </c>
      <c r="I273" s="58">
        <v>128.43</v>
      </c>
      <c r="J273" s="58">
        <v>78.849999999999994</v>
      </c>
      <c r="K273" s="58">
        <v>174.59</v>
      </c>
      <c r="L273" s="58">
        <v>189.47</v>
      </c>
      <c r="M273" s="58">
        <v>60.24</v>
      </c>
      <c r="N273" s="58">
        <v>167.29</v>
      </c>
      <c r="O273" s="58">
        <v>78.28</v>
      </c>
      <c r="P273" s="58">
        <v>196.1</v>
      </c>
      <c r="Q273" s="58">
        <v>429.66</v>
      </c>
      <c r="R273" s="58">
        <v>100.84</v>
      </c>
      <c r="S273" s="11">
        <f t="shared" si="166"/>
        <v>1888.81</v>
      </c>
      <c r="T273" s="10">
        <f t="shared" si="167"/>
        <v>6.000370393234155E-2</v>
      </c>
      <c r="U273" s="13" t="s">
        <v>2951</v>
      </c>
      <c r="V273" s="50">
        <f t="shared" si="164"/>
        <v>1020979</v>
      </c>
      <c r="W273" s="36">
        <v>1.8500010816189674</v>
      </c>
      <c r="X273" s="36">
        <v>1.8500010816189674</v>
      </c>
      <c r="Y273" s="36">
        <v>1.8500010816189674</v>
      </c>
      <c r="Z273" s="36">
        <v>1.8500010816189674</v>
      </c>
      <c r="AA273" s="36">
        <v>1.8500010816189674</v>
      </c>
      <c r="AB273" s="36">
        <v>1.8500010816189674</v>
      </c>
      <c r="AC273" s="36">
        <v>1.8500010816189674</v>
      </c>
      <c r="AD273" s="36">
        <v>1.8500010816189674</v>
      </c>
      <c r="AE273" s="36">
        <v>1.8500010816189674</v>
      </c>
      <c r="AF273" s="36">
        <v>1.8500010816189674</v>
      </c>
      <c r="AG273" s="36">
        <v>1.8500010816189674</v>
      </c>
      <c r="AH273" s="36">
        <v>1.8500010816189674</v>
      </c>
      <c r="AI273" s="39">
        <v>0</v>
      </c>
      <c r="AJ273" s="39">
        <v>0</v>
      </c>
      <c r="AK273" s="39">
        <v>0</v>
      </c>
      <c r="AL273" s="39">
        <v>0</v>
      </c>
      <c r="AM273" s="39">
        <v>0</v>
      </c>
      <c r="AN273" s="39">
        <v>0</v>
      </c>
      <c r="AO273" s="39">
        <v>0</v>
      </c>
      <c r="AP273" s="39">
        <v>0</v>
      </c>
      <c r="AQ273" s="39">
        <v>0</v>
      </c>
      <c r="AR273" s="39">
        <v>0</v>
      </c>
      <c r="AS273" s="39">
        <v>0</v>
      </c>
      <c r="AT273" s="39">
        <v>0</v>
      </c>
      <c r="AU273" s="39">
        <v>0</v>
      </c>
      <c r="AV273" s="39">
        <v>0</v>
      </c>
      <c r="AW273" s="39">
        <v>0</v>
      </c>
      <c r="AX273" s="39">
        <v>0</v>
      </c>
      <c r="AY273" s="39">
        <v>0</v>
      </c>
      <c r="AZ273" s="39">
        <v>0</v>
      </c>
      <c r="BA273" s="39">
        <v>0</v>
      </c>
      <c r="BB273" s="39">
        <v>0</v>
      </c>
      <c r="BC273" s="39">
        <v>0</v>
      </c>
      <c r="BD273" s="39">
        <v>0</v>
      </c>
      <c r="BE273" s="39">
        <v>0</v>
      </c>
      <c r="BF273" s="39">
        <v>0</v>
      </c>
      <c r="BG273" s="1"/>
      <c r="BH273" s="12">
        <f t="shared" si="128"/>
        <v>156.63</v>
      </c>
      <c r="BI273" s="12">
        <f t="shared" si="129"/>
        <v>128.43</v>
      </c>
      <c r="BJ273" s="12">
        <f t="shared" si="130"/>
        <v>128.43</v>
      </c>
      <c r="BK273" s="12">
        <f t="shared" si="131"/>
        <v>78.849999999999994</v>
      </c>
      <c r="BL273" s="12">
        <f t="shared" si="132"/>
        <v>174.59</v>
      </c>
      <c r="BM273" s="12">
        <f t="shared" si="133"/>
        <v>189.47</v>
      </c>
      <c r="BN273" s="12">
        <f t="shared" si="134"/>
        <v>60.24</v>
      </c>
      <c r="BO273" s="12">
        <f t="shared" si="135"/>
        <v>167.29</v>
      </c>
      <c r="BP273" s="12">
        <f t="shared" si="136"/>
        <v>78.28</v>
      </c>
      <c r="BQ273" s="12">
        <f t="shared" si="137"/>
        <v>196.1</v>
      </c>
      <c r="BR273" s="12">
        <f t="shared" si="138"/>
        <v>429.66</v>
      </c>
      <c r="BS273" s="12">
        <f t="shared" si="139"/>
        <v>100.84</v>
      </c>
      <c r="BT273" s="1"/>
      <c r="BU273" s="11">
        <f t="shared" si="140"/>
        <v>156.63</v>
      </c>
      <c r="BV273" s="11">
        <f t="shared" si="141"/>
        <v>128.43</v>
      </c>
      <c r="BW273" s="11">
        <f t="shared" si="142"/>
        <v>128.43</v>
      </c>
      <c r="BX273" s="11">
        <f t="shared" si="143"/>
        <v>78.849999999999994</v>
      </c>
      <c r="BY273" s="11">
        <f t="shared" si="144"/>
        <v>174.59</v>
      </c>
      <c r="BZ273" s="11">
        <f t="shared" si="145"/>
        <v>189.47</v>
      </c>
      <c r="CA273" s="11">
        <f t="shared" si="146"/>
        <v>60.24</v>
      </c>
      <c r="CB273" s="11">
        <f t="shared" si="147"/>
        <v>167.29</v>
      </c>
      <c r="CC273" s="11">
        <f t="shared" si="148"/>
        <v>78.28</v>
      </c>
      <c r="CD273" s="11">
        <f t="shared" si="149"/>
        <v>196.1</v>
      </c>
      <c r="CE273" s="11">
        <f t="shared" si="150"/>
        <v>429.66</v>
      </c>
      <c r="CF273" s="11">
        <f t="shared" si="151"/>
        <v>100.84</v>
      </c>
      <c r="CG273" s="11"/>
      <c r="CH273" s="41">
        <v>1</v>
      </c>
      <c r="CI273" s="1"/>
      <c r="CJ273" s="53">
        <f t="shared" si="152"/>
        <v>84665</v>
      </c>
      <c r="CK273" s="53">
        <f t="shared" si="153"/>
        <v>69422</v>
      </c>
      <c r="CL273" s="53">
        <f t="shared" si="154"/>
        <v>69422</v>
      </c>
      <c r="CM273" s="53">
        <f t="shared" si="155"/>
        <v>42622</v>
      </c>
      <c r="CN273" s="53">
        <f t="shared" si="156"/>
        <v>94373</v>
      </c>
      <c r="CO273" s="53">
        <f t="shared" si="157"/>
        <v>102416</v>
      </c>
      <c r="CP273" s="53">
        <f t="shared" si="158"/>
        <v>32562</v>
      </c>
      <c r="CQ273" s="53">
        <f t="shared" si="159"/>
        <v>90427</v>
      </c>
      <c r="CR273" s="53">
        <f t="shared" si="160"/>
        <v>42313</v>
      </c>
      <c r="CS273" s="53">
        <f t="shared" si="161"/>
        <v>106000</v>
      </c>
      <c r="CT273" s="53">
        <f t="shared" si="162"/>
        <v>232249</v>
      </c>
      <c r="CU273" s="53">
        <f t="shared" si="163"/>
        <v>54508</v>
      </c>
      <c r="CV273" s="53">
        <f t="shared" si="165"/>
        <v>1020979</v>
      </c>
      <c r="CW273" s="1"/>
      <c r="CX273" s="1"/>
      <c r="CY273" s="1"/>
      <c r="CZ273" s="1"/>
      <c r="DA273" s="1"/>
      <c r="DB273" s="1"/>
      <c r="DC273" s="1"/>
      <c r="DD273" s="1"/>
      <c r="DE273" s="1"/>
      <c r="DF273" s="1"/>
      <c r="DG273" s="1"/>
      <c r="DH273" s="1"/>
      <c r="DI273" s="1"/>
      <c r="DJ273" s="1"/>
      <c r="DK273" s="1"/>
      <c r="DL273" s="1"/>
    </row>
    <row r="274" spans="1:116" ht="15.75" hidden="1" x14ac:dyDescent="0.25">
      <c r="A274" s="16"/>
      <c r="B274" s="44"/>
      <c r="C274" s="44"/>
      <c r="D274" s="44"/>
      <c r="E274" s="44"/>
      <c r="F274" s="45" t="s">
        <v>2948</v>
      </c>
      <c r="G274" s="58">
        <v>26.88</v>
      </c>
      <c r="H274" s="58">
        <v>26.88</v>
      </c>
      <c r="I274" s="58">
        <v>26.88</v>
      </c>
      <c r="J274" s="58">
        <v>26.88</v>
      </c>
      <c r="K274" s="58">
        <v>26.88</v>
      </c>
      <c r="L274" s="58">
        <v>26.88</v>
      </c>
      <c r="M274" s="58">
        <v>26.88</v>
      </c>
      <c r="N274" s="58">
        <v>26.88</v>
      </c>
      <c r="O274" s="58">
        <v>33.6</v>
      </c>
      <c r="P274" s="58">
        <v>33.6</v>
      </c>
      <c r="Q274" s="58">
        <v>33.6</v>
      </c>
      <c r="R274" s="58">
        <v>33.6</v>
      </c>
      <c r="S274" s="11">
        <f t="shared" si="166"/>
        <v>349.44000000000005</v>
      </c>
      <c r="T274" s="10">
        <f t="shared" si="167"/>
        <v>5.9936908517350486E-2</v>
      </c>
      <c r="U274" s="13" t="s">
        <v>2951</v>
      </c>
      <c r="V274" s="50">
        <f t="shared" si="164"/>
        <v>110228</v>
      </c>
      <c r="W274" s="36">
        <v>3.17</v>
      </c>
      <c r="X274" s="36">
        <v>3.17</v>
      </c>
      <c r="Y274" s="36">
        <v>3.17</v>
      </c>
      <c r="Z274" s="36">
        <v>3.17</v>
      </c>
      <c r="AA274" s="36">
        <v>3.17</v>
      </c>
      <c r="AB274" s="36">
        <v>3.17</v>
      </c>
      <c r="AC274" s="36">
        <v>3.17</v>
      </c>
      <c r="AD274" s="36">
        <v>3.17</v>
      </c>
      <c r="AE274" s="36">
        <v>3.17</v>
      </c>
      <c r="AF274" s="36">
        <v>3.17</v>
      </c>
      <c r="AG274" s="36">
        <v>3.17</v>
      </c>
      <c r="AH274" s="36">
        <v>3.17</v>
      </c>
      <c r="AI274" s="39">
        <v>0</v>
      </c>
      <c r="AJ274" s="39">
        <v>0</v>
      </c>
      <c r="AK274" s="39">
        <v>0</v>
      </c>
      <c r="AL274" s="39">
        <v>0</v>
      </c>
      <c r="AM274" s="39">
        <v>0</v>
      </c>
      <c r="AN274" s="39">
        <v>0</v>
      </c>
      <c r="AO274" s="39">
        <v>0</v>
      </c>
      <c r="AP274" s="39">
        <v>0</v>
      </c>
      <c r="AQ274" s="39">
        <v>0</v>
      </c>
      <c r="AR274" s="39">
        <v>0</v>
      </c>
      <c r="AS274" s="39">
        <v>0</v>
      </c>
      <c r="AT274" s="39">
        <v>0</v>
      </c>
      <c r="AU274" s="39">
        <v>0</v>
      </c>
      <c r="AV274" s="39">
        <v>0</v>
      </c>
      <c r="AW274" s="39">
        <v>0</v>
      </c>
      <c r="AX274" s="39">
        <v>0</v>
      </c>
      <c r="AY274" s="39">
        <v>0</v>
      </c>
      <c r="AZ274" s="39">
        <v>0</v>
      </c>
      <c r="BA274" s="39">
        <v>0</v>
      </c>
      <c r="BB274" s="39">
        <v>0</v>
      </c>
      <c r="BC274" s="39">
        <v>0</v>
      </c>
      <c r="BD274" s="39">
        <v>0</v>
      </c>
      <c r="BE274" s="39">
        <v>0</v>
      </c>
      <c r="BF274" s="39">
        <v>0</v>
      </c>
      <c r="BG274" s="1"/>
      <c r="BH274" s="12">
        <f t="shared" ref="BH274:BH337" si="168">G274*$CH274</f>
        <v>26.88</v>
      </c>
      <c r="BI274" s="12">
        <f t="shared" ref="BI274:BI337" si="169">H274*$CH274</f>
        <v>26.88</v>
      </c>
      <c r="BJ274" s="12">
        <f t="shared" ref="BJ274:BJ337" si="170">I274*$CH274</f>
        <v>26.88</v>
      </c>
      <c r="BK274" s="12">
        <f t="shared" ref="BK274:BK337" si="171">J274*$CH274</f>
        <v>26.88</v>
      </c>
      <c r="BL274" s="12">
        <f t="shared" ref="BL274:BL337" si="172">K274*$CH274</f>
        <v>26.88</v>
      </c>
      <c r="BM274" s="12">
        <f t="shared" ref="BM274:BM337" si="173">L274*$CH274</f>
        <v>26.88</v>
      </c>
      <c r="BN274" s="12">
        <f t="shared" ref="BN274:BN337" si="174">M274*$CH274</f>
        <v>26.88</v>
      </c>
      <c r="BO274" s="12">
        <f t="shared" ref="BO274:BO337" si="175">N274*$CH274</f>
        <v>26.88</v>
      </c>
      <c r="BP274" s="12">
        <f t="shared" ref="BP274:BP337" si="176">O274*$CH274</f>
        <v>33.6</v>
      </c>
      <c r="BQ274" s="12">
        <f t="shared" ref="BQ274:BQ337" si="177">P274*$CH274</f>
        <v>33.6</v>
      </c>
      <c r="BR274" s="12">
        <f t="shared" ref="BR274:BR337" si="178">Q274*$CH274</f>
        <v>33.6</v>
      </c>
      <c r="BS274" s="12">
        <f t="shared" ref="BS274:BS337" si="179">R274*$CH274</f>
        <v>33.6</v>
      </c>
      <c r="BT274" s="1"/>
      <c r="BU274" s="11">
        <f t="shared" ref="BU274:BU337" si="180">BH274*(1+(AI274+AU274))</f>
        <v>26.88</v>
      </c>
      <c r="BV274" s="11">
        <f t="shared" ref="BV274:BV337" si="181">BI274*(1+(AJ274+AV274))</f>
        <v>26.88</v>
      </c>
      <c r="BW274" s="11">
        <f t="shared" ref="BW274:BW337" si="182">BJ274*(1+(AK274+AW274))</f>
        <v>26.88</v>
      </c>
      <c r="BX274" s="11">
        <f t="shared" ref="BX274:BX337" si="183">BK274*(1+(AL274+AX274))</f>
        <v>26.88</v>
      </c>
      <c r="BY274" s="11">
        <f t="shared" ref="BY274:BY337" si="184">BL274*(1+(AM274+AY274))</f>
        <v>26.88</v>
      </c>
      <c r="BZ274" s="11">
        <f t="shared" ref="BZ274:BZ337" si="185">BM274*(1+(AN274+AZ274))</f>
        <v>26.88</v>
      </c>
      <c r="CA274" s="11">
        <f t="shared" ref="CA274:CA337" si="186">BN274*(1+(AO274+BA274))</f>
        <v>26.88</v>
      </c>
      <c r="CB274" s="11">
        <f t="shared" ref="CB274:CB337" si="187">BO274*(1+(AP274+BB274))</f>
        <v>26.88</v>
      </c>
      <c r="CC274" s="11">
        <f t="shared" ref="CC274:CC337" si="188">BP274*(1+(AQ274+BC274))</f>
        <v>33.6</v>
      </c>
      <c r="CD274" s="11">
        <f t="shared" ref="CD274:CD337" si="189">BQ274*(1+(AR274+BD274))</f>
        <v>33.6</v>
      </c>
      <c r="CE274" s="11">
        <f t="shared" ref="CE274:CE337" si="190">BR274*(1+(AS274+BE274))</f>
        <v>33.6</v>
      </c>
      <c r="CF274" s="11">
        <f t="shared" ref="CF274:CF337" si="191">BS274*(1+(AT274+BF274))</f>
        <v>33.6</v>
      </c>
      <c r="CG274" s="11"/>
      <c r="CH274" s="41">
        <v>1</v>
      </c>
      <c r="CI274" s="1"/>
      <c r="CJ274" s="53">
        <f t="shared" ref="CJ274:CJ337" si="192">IFERROR(ROUND((BU274*1000)/W274,),0)</f>
        <v>8479</v>
      </c>
      <c r="CK274" s="53">
        <f t="shared" ref="CK274:CK337" si="193">IFERROR(ROUND((BV274*1000)/X274,),0)</f>
        <v>8479</v>
      </c>
      <c r="CL274" s="53">
        <f t="shared" ref="CL274:CL337" si="194">IFERROR(ROUND((BW274*1000)/Y274,),0)</f>
        <v>8479</v>
      </c>
      <c r="CM274" s="53">
        <f t="shared" ref="CM274:CM337" si="195">IFERROR(ROUND((BX274*1000)/Z274,),0)</f>
        <v>8479</v>
      </c>
      <c r="CN274" s="53">
        <f t="shared" ref="CN274:CN337" si="196">IFERROR(ROUND((BY274*1000)/AA274,),0)</f>
        <v>8479</v>
      </c>
      <c r="CO274" s="53">
        <f t="shared" ref="CO274:CO337" si="197">IFERROR(ROUND((BZ274*1000)/AB274,),0)</f>
        <v>8479</v>
      </c>
      <c r="CP274" s="53">
        <f t="shared" ref="CP274:CP337" si="198">IFERROR(ROUND((CA274*1000)/AC274,),0)</f>
        <v>8479</v>
      </c>
      <c r="CQ274" s="53">
        <f t="shared" ref="CQ274:CQ337" si="199">IFERROR(ROUND((CB274*1000)/AD274,),0)</f>
        <v>8479</v>
      </c>
      <c r="CR274" s="53">
        <f t="shared" ref="CR274:CR337" si="200">IFERROR(ROUND((CC274*1000)/AE274,),0)</f>
        <v>10599</v>
      </c>
      <c r="CS274" s="53">
        <f t="shared" ref="CS274:CS337" si="201">IFERROR(ROUND((CD274*1000)/AF274,),0)</f>
        <v>10599</v>
      </c>
      <c r="CT274" s="53">
        <f t="shared" ref="CT274:CT337" si="202">IFERROR(ROUND((CE274*1000)/AG274,),0)</f>
        <v>10599</v>
      </c>
      <c r="CU274" s="53">
        <f t="shared" ref="CU274:CU337" si="203">IFERROR(ROUND((CF274*1000)/AH274,),0)</f>
        <v>10599</v>
      </c>
      <c r="CV274" s="53">
        <f t="shared" si="165"/>
        <v>110228</v>
      </c>
      <c r="CW274" s="1"/>
      <c r="CX274" s="1"/>
      <c r="CY274" s="1"/>
      <c r="CZ274" s="1"/>
      <c r="DA274" s="1"/>
      <c r="DB274" s="1"/>
      <c r="DC274" s="1"/>
      <c r="DD274" s="1"/>
      <c r="DE274" s="1"/>
      <c r="DF274" s="1"/>
      <c r="DG274" s="1"/>
      <c r="DH274" s="1"/>
      <c r="DI274" s="1"/>
      <c r="DJ274" s="1"/>
      <c r="DK274" s="1"/>
      <c r="DL274" s="1"/>
    </row>
    <row r="275" spans="1:116" ht="15.75" hidden="1" x14ac:dyDescent="0.25">
      <c r="A275" s="16"/>
      <c r="B275" s="44"/>
      <c r="C275" s="44"/>
      <c r="D275" s="44"/>
      <c r="E275" s="44"/>
      <c r="F275" s="45" t="s">
        <v>2948</v>
      </c>
      <c r="G275" s="58">
        <v>0</v>
      </c>
      <c r="H275" s="58">
        <v>0</v>
      </c>
      <c r="I275" s="58">
        <v>0</v>
      </c>
      <c r="J275" s="58">
        <v>0</v>
      </c>
      <c r="K275" s="58">
        <v>0</v>
      </c>
      <c r="L275" s="58">
        <v>0</v>
      </c>
      <c r="M275" s="58">
        <v>0</v>
      </c>
      <c r="N275" s="58">
        <v>0</v>
      </c>
      <c r="O275" s="58">
        <v>0</v>
      </c>
      <c r="P275" s="58">
        <v>0</v>
      </c>
      <c r="Q275" s="58">
        <v>0</v>
      </c>
      <c r="R275" s="58">
        <v>0</v>
      </c>
      <c r="S275" s="11">
        <f t="shared" si="166"/>
        <v>0</v>
      </c>
      <c r="T275" s="10">
        <f t="shared" si="167"/>
        <v>0</v>
      </c>
      <c r="U275" s="13" t="s">
        <v>2951</v>
      </c>
      <c r="V275" s="50">
        <f t="shared" si="164"/>
        <v>0</v>
      </c>
      <c r="W275" s="36">
        <v>3.149</v>
      </c>
      <c r="X275" s="36">
        <v>3.149</v>
      </c>
      <c r="Y275" s="36">
        <v>3.149</v>
      </c>
      <c r="Z275" s="36">
        <v>3.149</v>
      </c>
      <c r="AA275" s="36">
        <v>3.149</v>
      </c>
      <c r="AB275" s="36">
        <v>3.149</v>
      </c>
      <c r="AC275" s="36">
        <v>3.149</v>
      </c>
      <c r="AD275" s="36">
        <v>3.149</v>
      </c>
      <c r="AE275" s="36">
        <v>3.149</v>
      </c>
      <c r="AF275" s="36">
        <v>3.149</v>
      </c>
      <c r="AG275" s="36">
        <v>3.149</v>
      </c>
      <c r="AH275" s="36">
        <v>3.149</v>
      </c>
      <c r="AI275" s="39">
        <v>1.33634708931066E-2</v>
      </c>
      <c r="AJ275" s="39">
        <v>1.33634708931066E-2</v>
      </c>
      <c r="AK275" s="39">
        <v>1.33634708931066E-2</v>
      </c>
      <c r="AL275" s="39">
        <v>1.33634708931066E-2</v>
      </c>
      <c r="AM275" s="39">
        <v>1.33634708931066E-2</v>
      </c>
      <c r="AN275" s="39">
        <v>1.33634708931066E-2</v>
      </c>
      <c r="AO275" s="39">
        <v>1.33634708931066E-2</v>
      </c>
      <c r="AP275" s="39">
        <v>1.33634708931066E-2</v>
      </c>
      <c r="AQ275" s="39">
        <v>1.33634708931066E-2</v>
      </c>
      <c r="AR275" s="39">
        <v>1.33634708931066E-2</v>
      </c>
      <c r="AS275" s="39">
        <v>1.33634708931066E-2</v>
      </c>
      <c r="AT275" s="39">
        <v>1.33634708931066E-2</v>
      </c>
      <c r="AU275" s="39">
        <v>1.2392217523121999E-3</v>
      </c>
      <c r="AV275" s="39">
        <v>1.2392217523121999E-3</v>
      </c>
      <c r="AW275" s="39">
        <v>1.2392217523121999E-3</v>
      </c>
      <c r="AX275" s="39">
        <v>1.2392217523121999E-3</v>
      </c>
      <c r="AY275" s="39">
        <v>1.2392217523121999E-3</v>
      </c>
      <c r="AZ275" s="39">
        <v>1.2392217523121999E-3</v>
      </c>
      <c r="BA275" s="39">
        <v>1.2392217523121999E-3</v>
      </c>
      <c r="BB275" s="39">
        <v>1.2392217523121999E-3</v>
      </c>
      <c r="BC275" s="39">
        <v>1.2392217523121999E-3</v>
      </c>
      <c r="BD275" s="39">
        <v>1.2392217523121999E-3</v>
      </c>
      <c r="BE275" s="39">
        <v>1.2392217523121999E-3</v>
      </c>
      <c r="BF275" s="39">
        <v>1.2392217523121999E-3</v>
      </c>
      <c r="BG275" s="1"/>
      <c r="BH275" s="12">
        <f t="shared" si="168"/>
        <v>0</v>
      </c>
      <c r="BI275" s="12">
        <f t="shared" si="169"/>
        <v>0</v>
      </c>
      <c r="BJ275" s="12">
        <f t="shared" si="170"/>
        <v>0</v>
      </c>
      <c r="BK275" s="12">
        <f t="shared" si="171"/>
        <v>0</v>
      </c>
      <c r="BL275" s="12">
        <f t="shared" si="172"/>
        <v>0</v>
      </c>
      <c r="BM275" s="12">
        <f t="shared" si="173"/>
        <v>0</v>
      </c>
      <c r="BN275" s="12">
        <f t="shared" si="174"/>
        <v>0</v>
      </c>
      <c r="BO275" s="12">
        <f t="shared" si="175"/>
        <v>0</v>
      </c>
      <c r="BP275" s="12">
        <f t="shared" si="176"/>
        <v>0</v>
      </c>
      <c r="BQ275" s="12">
        <f t="shared" si="177"/>
        <v>0</v>
      </c>
      <c r="BR275" s="12">
        <f t="shared" si="178"/>
        <v>0</v>
      </c>
      <c r="BS275" s="12">
        <f t="shared" si="179"/>
        <v>0</v>
      </c>
      <c r="BT275" s="1"/>
      <c r="BU275" s="11">
        <f t="shared" si="180"/>
        <v>0</v>
      </c>
      <c r="BV275" s="11">
        <f t="shared" si="181"/>
        <v>0</v>
      </c>
      <c r="BW275" s="11">
        <f t="shared" si="182"/>
        <v>0</v>
      </c>
      <c r="BX275" s="11">
        <f t="shared" si="183"/>
        <v>0</v>
      </c>
      <c r="BY275" s="11">
        <f t="shared" si="184"/>
        <v>0</v>
      </c>
      <c r="BZ275" s="11">
        <f t="shared" si="185"/>
        <v>0</v>
      </c>
      <c r="CA275" s="11">
        <f t="shared" si="186"/>
        <v>0</v>
      </c>
      <c r="CB275" s="11">
        <f t="shared" si="187"/>
        <v>0</v>
      </c>
      <c r="CC275" s="11">
        <f t="shared" si="188"/>
        <v>0</v>
      </c>
      <c r="CD275" s="11">
        <f t="shared" si="189"/>
        <v>0</v>
      </c>
      <c r="CE275" s="11">
        <f t="shared" si="190"/>
        <v>0</v>
      </c>
      <c r="CF275" s="11">
        <f t="shared" si="191"/>
        <v>0</v>
      </c>
      <c r="CG275" s="11"/>
      <c r="CH275" s="41">
        <v>3.23</v>
      </c>
      <c r="CI275" s="1"/>
      <c r="CJ275" s="53">
        <f t="shared" si="192"/>
        <v>0</v>
      </c>
      <c r="CK275" s="53">
        <f t="shared" si="193"/>
        <v>0</v>
      </c>
      <c r="CL275" s="53">
        <f t="shared" si="194"/>
        <v>0</v>
      </c>
      <c r="CM275" s="53">
        <f t="shared" si="195"/>
        <v>0</v>
      </c>
      <c r="CN275" s="53">
        <f t="shared" si="196"/>
        <v>0</v>
      </c>
      <c r="CO275" s="53">
        <f t="shared" si="197"/>
        <v>0</v>
      </c>
      <c r="CP275" s="53">
        <f t="shared" si="198"/>
        <v>0</v>
      </c>
      <c r="CQ275" s="53">
        <f t="shared" si="199"/>
        <v>0</v>
      </c>
      <c r="CR275" s="53">
        <f t="shared" si="200"/>
        <v>0</v>
      </c>
      <c r="CS275" s="53">
        <f t="shared" si="201"/>
        <v>0</v>
      </c>
      <c r="CT275" s="53">
        <f t="shared" si="202"/>
        <v>0</v>
      </c>
      <c r="CU275" s="53">
        <f t="shared" si="203"/>
        <v>0</v>
      </c>
      <c r="CV275" s="53">
        <f t="shared" si="165"/>
        <v>0</v>
      </c>
      <c r="CW275" s="1"/>
      <c r="CX275" s="1"/>
      <c r="CY275" s="1"/>
      <c r="CZ275" s="1"/>
      <c r="DA275" s="1"/>
      <c r="DB275" s="1"/>
      <c r="DC275" s="1"/>
      <c r="DD275" s="1"/>
      <c r="DE275" s="1"/>
      <c r="DF275" s="1"/>
      <c r="DG275" s="1"/>
      <c r="DH275" s="1"/>
      <c r="DI275" s="1"/>
      <c r="DJ275" s="1"/>
      <c r="DK275" s="1"/>
      <c r="DL275" s="1"/>
    </row>
    <row r="276" spans="1:116" ht="15.75" hidden="1" x14ac:dyDescent="0.25">
      <c r="A276" s="16"/>
      <c r="B276" s="44"/>
      <c r="C276" s="44"/>
      <c r="D276" s="44"/>
      <c r="E276" s="44"/>
      <c r="F276" s="45" t="s">
        <v>2948</v>
      </c>
      <c r="G276" s="58">
        <v>0</v>
      </c>
      <c r="H276" s="58">
        <v>0</v>
      </c>
      <c r="I276" s="58">
        <v>0</v>
      </c>
      <c r="J276" s="58">
        <v>0</v>
      </c>
      <c r="K276" s="58">
        <v>0</v>
      </c>
      <c r="L276" s="58">
        <v>0</v>
      </c>
      <c r="M276" s="58">
        <v>0</v>
      </c>
      <c r="N276" s="58">
        <v>0</v>
      </c>
      <c r="O276" s="58">
        <v>0</v>
      </c>
      <c r="P276" s="58">
        <v>0</v>
      </c>
      <c r="Q276" s="58">
        <v>0</v>
      </c>
      <c r="R276" s="58">
        <v>0</v>
      </c>
      <c r="S276" s="11">
        <f t="shared" si="166"/>
        <v>0</v>
      </c>
      <c r="T276" s="10">
        <f t="shared" si="167"/>
        <v>0</v>
      </c>
      <c r="U276" s="13" t="s">
        <v>2951</v>
      </c>
      <c r="V276" s="50">
        <f t="shared" si="164"/>
        <v>0</v>
      </c>
      <c r="W276" s="36">
        <v>1.4379999999999999</v>
      </c>
      <c r="X276" s="36">
        <v>1.4379999999999999</v>
      </c>
      <c r="Y276" s="36">
        <v>1.4379999999999999</v>
      </c>
      <c r="Z276" s="36">
        <v>1.4379999999999999</v>
      </c>
      <c r="AA276" s="36">
        <v>1.4379999999999999</v>
      </c>
      <c r="AB276" s="36">
        <v>1.4379999999999999</v>
      </c>
      <c r="AC276" s="36">
        <v>1.4379999999999999</v>
      </c>
      <c r="AD276" s="36">
        <v>1.4379999999999999</v>
      </c>
      <c r="AE276" s="36">
        <v>1.4379999999999999</v>
      </c>
      <c r="AF276" s="36">
        <v>1.4379999999999999</v>
      </c>
      <c r="AG276" s="36">
        <v>1.4379999999999999</v>
      </c>
      <c r="AH276" s="36">
        <v>1.4379999999999999</v>
      </c>
      <c r="AI276" s="39">
        <v>1.33634708931066E-2</v>
      </c>
      <c r="AJ276" s="39">
        <v>1.33634708931066E-2</v>
      </c>
      <c r="AK276" s="39">
        <v>1.33634708931066E-2</v>
      </c>
      <c r="AL276" s="39">
        <v>1.33634708931066E-2</v>
      </c>
      <c r="AM276" s="39">
        <v>1.33634708931066E-2</v>
      </c>
      <c r="AN276" s="39">
        <v>1.33634708931066E-2</v>
      </c>
      <c r="AO276" s="39">
        <v>1.33634708931066E-2</v>
      </c>
      <c r="AP276" s="39">
        <v>1.33634708931066E-2</v>
      </c>
      <c r="AQ276" s="39">
        <v>1.33634708931066E-2</v>
      </c>
      <c r="AR276" s="39">
        <v>1.33634708931066E-2</v>
      </c>
      <c r="AS276" s="39">
        <v>1.33634708931066E-2</v>
      </c>
      <c r="AT276" s="39">
        <v>1.33634708931066E-2</v>
      </c>
      <c r="AU276" s="39">
        <v>1.2392217523121999E-3</v>
      </c>
      <c r="AV276" s="39">
        <v>1.2392217523121999E-3</v>
      </c>
      <c r="AW276" s="39">
        <v>1.2392217523121999E-3</v>
      </c>
      <c r="AX276" s="39">
        <v>1.2392217523121999E-3</v>
      </c>
      <c r="AY276" s="39">
        <v>1.2392217523121999E-3</v>
      </c>
      <c r="AZ276" s="39">
        <v>1.2392217523121999E-3</v>
      </c>
      <c r="BA276" s="39">
        <v>1.2392217523121999E-3</v>
      </c>
      <c r="BB276" s="39">
        <v>1.2392217523121999E-3</v>
      </c>
      <c r="BC276" s="39">
        <v>1.2392217523121999E-3</v>
      </c>
      <c r="BD276" s="39">
        <v>1.2392217523121999E-3</v>
      </c>
      <c r="BE276" s="39">
        <v>1.2392217523121999E-3</v>
      </c>
      <c r="BF276" s="39">
        <v>1.2392217523121999E-3</v>
      </c>
      <c r="BG276" s="1"/>
      <c r="BH276" s="12">
        <f t="shared" si="168"/>
        <v>0</v>
      </c>
      <c r="BI276" s="12">
        <f t="shared" si="169"/>
        <v>0</v>
      </c>
      <c r="BJ276" s="12">
        <f t="shared" si="170"/>
        <v>0</v>
      </c>
      <c r="BK276" s="12">
        <f t="shared" si="171"/>
        <v>0</v>
      </c>
      <c r="BL276" s="12">
        <f t="shared" si="172"/>
        <v>0</v>
      </c>
      <c r="BM276" s="12">
        <f t="shared" si="173"/>
        <v>0</v>
      </c>
      <c r="BN276" s="12">
        <f t="shared" si="174"/>
        <v>0</v>
      </c>
      <c r="BO276" s="12">
        <f t="shared" si="175"/>
        <v>0</v>
      </c>
      <c r="BP276" s="12">
        <f t="shared" si="176"/>
        <v>0</v>
      </c>
      <c r="BQ276" s="12">
        <f t="shared" si="177"/>
        <v>0</v>
      </c>
      <c r="BR276" s="12">
        <f t="shared" si="178"/>
        <v>0</v>
      </c>
      <c r="BS276" s="12">
        <f t="shared" si="179"/>
        <v>0</v>
      </c>
      <c r="BT276" s="1"/>
      <c r="BU276" s="11">
        <f t="shared" si="180"/>
        <v>0</v>
      </c>
      <c r="BV276" s="11">
        <f t="shared" si="181"/>
        <v>0</v>
      </c>
      <c r="BW276" s="11">
        <f t="shared" si="182"/>
        <v>0</v>
      </c>
      <c r="BX276" s="11">
        <f t="shared" si="183"/>
        <v>0</v>
      </c>
      <c r="BY276" s="11">
        <f t="shared" si="184"/>
        <v>0</v>
      </c>
      <c r="BZ276" s="11">
        <f t="shared" si="185"/>
        <v>0</v>
      </c>
      <c r="CA276" s="11">
        <f t="shared" si="186"/>
        <v>0</v>
      </c>
      <c r="CB276" s="11">
        <f t="shared" si="187"/>
        <v>0</v>
      </c>
      <c r="CC276" s="11">
        <f t="shared" si="188"/>
        <v>0</v>
      </c>
      <c r="CD276" s="11">
        <f t="shared" si="189"/>
        <v>0</v>
      </c>
      <c r="CE276" s="11">
        <f t="shared" si="190"/>
        <v>0</v>
      </c>
      <c r="CF276" s="11">
        <f t="shared" si="191"/>
        <v>0</v>
      </c>
      <c r="CG276" s="11"/>
      <c r="CH276" s="41">
        <v>3.23</v>
      </c>
      <c r="CI276" s="1"/>
      <c r="CJ276" s="53">
        <f t="shared" si="192"/>
        <v>0</v>
      </c>
      <c r="CK276" s="53">
        <f t="shared" si="193"/>
        <v>0</v>
      </c>
      <c r="CL276" s="53">
        <f t="shared" si="194"/>
        <v>0</v>
      </c>
      <c r="CM276" s="53">
        <f t="shared" si="195"/>
        <v>0</v>
      </c>
      <c r="CN276" s="53">
        <f t="shared" si="196"/>
        <v>0</v>
      </c>
      <c r="CO276" s="53">
        <f t="shared" si="197"/>
        <v>0</v>
      </c>
      <c r="CP276" s="53">
        <f t="shared" si="198"/>
        <v>0</v>
      </c>
      <c r="CQ276" s="53">
        <f t="shared" si="199"/>
        <v>0</v>
      </c>
      <c r="CR276" s="53">
        <f t="shared" si="200"/>
        <v>0</v>
      </c>
      <c r="CS276" s="53">
        <f t="shared" si="201"/>
        <v>0</v>
      </c>
      <c r="CT276" s="53">
        <f t="shared" si="202"/>
        <v>0</v>
      </c>
      <c r="CU276" s="53">
        <f t="shared" si="203"/>
        <v>0</v>
      </c>
      <c r="CV276" s="53">
        <f t="shared" si="165"/>
        <v>0</v>
      </c>
      <c r="CW276" s="1"/>
      <c r="CX276" s="1"/>
      <c r="CY276" s="1"/>
      <c r="CZ276" s="1"/>
      <c r="DA276" s="1"/>
      <c r="DB276" s="1"/>
      <c r="DC276" s="1"/>
      <c r="DD276" s="1"/>
      <c r="DE276" s="1"/>
      <c r="DF276" s="1"/>
      <c r="DG276" s="1"/>
      <c r="DH276" s="1"/>
      <c r="DI276" s="1"/>
      <c r="DJ276" s="1"/>
      <c r="DK276" s="1"/>
      <c r="DL276" s="1"/>
    </row>
    <row r="277" spans="1:116" ht="15.75" hidden="1" x14ac:dyDescent="0.25">
      <c r="A277" s="16"/>
      <c r="B277" s="44"/>
      <c r="C277" s="44"/>
      <c r="D277" s="44"/>
      <c r="E277" s="44"/>
      <c r="F277" s="45" t="s">
        <v>2948</v>
      </c>
      <c r="G277" s="58">
        <v>134.47</v>
      </c>
      <c r="H277" s="58">
        <v>120.07</v>
      </c>
      <c r="I277" s="58">
        <v>96.05</v>
      </c>
      <c r="J277" s="58">
        <v>76.84</v>
      </c>
      <c r="K277" s="58">
        <v>62.44</v>
      </c>
      <c r="L277" s="58">
        <v>48.03</v>
      </c>
      <c r="M277" s="58">
        <v>48.03</v>
      </c>
      <c r="N277" s="58">
        <v>48.03</v>
      </c>
      <c r="O277" s="58">
        <v>86.45</v>
      </c>
      <c r="P277" s="58">
        <v>86.45</v>
      </c>
      <c r="Q277" s="58">
        <v>96.05</v>
      </c>
      <c r="R277" s="58">
        <v>72.040000000000006</v>
      </c>
      <c r="S277" s="11">
        <f t="shared" si="166"/>
        <v>974.94999999999993</v>
      </c>
      <c r="T277" s="10">
        <f t="shared" si="167"/>
        <v>6.3264771958906799E-2</v>
      </c>
      <c r="U277" s="13" t="s">
        <v>2951</v>
      </c>
      <c r="V277" s="50">
        <f t="shared" si="164"/>
        <v>1955368</v>
      </c>
      <c r="W277" s="36">
        <v>1.6339999999999999</v>
      </c>
      <c r="X277" s="36">
        <v>1.6339999999999999</v>
      </c>
      <c r="Y277" s="36">
        <v>1.6339999999999999</v>
      </c>
      <c r="Z277" s="36">
        <v>1.6339999999999999</v>
      </c>
      <c r="AA277" s="36">
        <v>1.6339999999999999</v>
      </c>
      <c r="AB277" s="36">
        <v>1.6339999999999999</v>
      </c>
      <c r="AC277" s="36">
        <v>1.6339999999999999</v>
      </c>
      <c r="AD277" s="36">
        <v>1.6339999999999999</v>
      </c>
      <c r="AE277" s="36">
        <v>1.6339999999999999</v>
      </c>
      <c r="AF277" s="36">
        <v>1.6339999999999999</v>
      </c>
      <c r="AG277" s="36">
        <v>1.6339999999999999</v>
      </c>
      <c r="AH277" s="36">
        <v>1.6339999999999999</v>
      </c>
      <c r="AI277" s="39">
        <v>1.33634708931066E-2</v>
      </c>
      <c r="AJ277" s="39">
        <v>1.33634708931066E-2</v>
      </c>
      <c r="AK277" s="39">
        <v>1.33634708931066E-2</v>
      </c>
      <c r="AL277" s="39">
        <v>1.33634708931066E-2</v>
      </c>
      <c r="AM277" s="39">
        <v>1.33634708931066E-2</v>
      </c>
      <c r="AN277" s="39">
        <v>1.33634708931066E-2</v>
      </c>
      <c r="AO277" s="39">
        <v>1.33634708931066E-2</v>
      </c>
      <c r="AP277" s="39">
        <v>1.33634708931066E-2</v>
      </c>
      <c r="AQ277" s="39">
        <v>1.33634708931066E-2</v>
      </c>
      <c r="AR277" s="39">
        <v>1.33634708931066E-2</v>
      </c>
      <c r="AS277" s="39">
        <v>1.33634708931066E-2</v>
      </c>
      <c r="AT277" s="39">
        <v>1.33634708931066E-2</v>
      </c>
      <c r="AU277" s="39">
        <v>1.2392217523121999E-3</v>
      </c>
      <c r="AV277" s="39">
        <v>1.2392217523121999E-3</v>
      </c>
      <c r="AW277" s="39">
        <v>1.2392217523121999E-3</v>
      </c>
      <c r="AX277" s="39">
        <v>1.2392217523121999E-3</v>
      </c>
      <c r="AY277" s="39">
        <v>1.2392217523121999E-3</v>
      </c>
      <c r="AZ277" s="39">
        <v>1.2392217523121999E-3</v>
      </c>
      <c r="BA277" s="39">
        <v>1.2392217523121999E-3</v>
      </c>
      <c r="BB277" s="39">
        <v>1.2392217523121999E-3</v>
      </c>
      <c r="BC277" s="39">
        <v>1.2392217523121999E-3</v>
      </c>
      <c r="BD277" s="39">
        <v>1.2392217523121999E-3</v>
      </c>
      <c r="BE277" s="39">
        <v>1.2392217523121999E-3</v>
      </c>
      <c r="BF277" s="39">
        <v>1.2392217523121999E-3</v>
      </c>
      <c r="BG277" s="1"/>
      <c r="BH277" s="12">
        <f t="shared" si="168"/>
        <v>434.3381</v>
      </c>
      <c r="BI277" s="12">
        <f t="shared" si="169"/>
        <v>387.8261</v>
      </c>
      <c r="BJ277" s="12">
        <f t="shared" si="170"/>
        <v>310.24149999999997</v>
      </c>
      <c r="BK277" s="12">
        <f t="shared" si="171"/>
        <v>248.19320000000002</v>
      </c>
      <c r="BL277" s="12">
        <f t="shared" si="172"/>
        <v>201.68119999999999</v>
      </c>
      <c r="BM277" s="12">
        <f t="shared" si="173"/>
        <v>155.1369</v>
      </c>
      <c r="BN277" s="12">
        <f t="shared" si="174"/>
        <v>155.1369</v>
      </c>
      <c r="BO277" s="12">
        <f t="shared" si="175"/>
        <v>155.1369</v>
      </c>
      <c r="BP277" s="12">
        <f t="shared" si="176"/>
        <v>279.23349999999999</v>
      </c>
      <c r="BQ277" s="12">
        <f t="shared" si="177"/>
        <v>279.23349999999999</v>
      </c>
      <c r="BR277" s="12">
        <f t="shared" si="178"/>
        <v>310.24149999999997</v>
      </c>
      <c r="BS277" s="12">
        <f t="shared" si="179"/>
        <v>232.68920000000003</v>
      </c>
      <c r="BT277" s="1"/>
      <c r="BU277" s="11">
        <f t="shared" si="180"/>
        <v>440.68060577849519</v>
      </c>
      <c r="BV277" s="11">
        <f t="shared" si="181"/>
        <v>393.48940533817148</v>
      </c>
      <c r="BW277" s="11">
        <f t="shared" si="182"/>
        <v>314.77186127035367</v>
      </c>
      <c r="BX277" s="11">
        <f t="shared" si="183"/>
        <v>251.81748901628296</v>
      </c>
      <c r="BY277" s="11">
        <f t="shared" si="184"/>
        <v>204.62628857595922</v>
      </c>
      <c r="BZ277" s="11">
        <f t="shared" si="185"/>
        <v>157.40231646866306</v>
      </c>
      <c r="CA277" s="11">
        <f t="shared" si="186"/>
        <v>157.40231646866306</v>
      </c>
      <c r="CB277" s="11">
        <f t="shared" si="187"/>
        <v>157.40231646866306</v>
      </c>
      <c r="CC277" s="11">
        <f t="shared" si="188"/>
        <v>283.31106097680453</v>
      </c>
      <c r="CD277" s="11">
        <f t="shared" si="189"/>
        <v>283.31106097680453</v>
      </c>
      <c r="CE277" s="11">
        <f t="shared" si="190"/>
        <v>314.77186127035367</v>
      </c>
      <c r="CF277" s="11">
        <f t="shared" si="191"/>
        <v>236.08708886950842</v>
      </c>
      <c r="CG277" s="11"/>
      <c r="CH277" s="41">
        <v>3.23</v>
      </c>
      <c r="CI277" s="1"/>
      <c r="CJ277" s="53">
        <f t="shared" si="192"/>
        <v>269694</v>
      </c>
      <c r="CK277" s="53">
        <f t="shared" si="193"/>
        <v>240814</v>
      </c>
      <c r="CL277" s="53">
        <f t="shared" si="194"/>
        <v>192639</v>
      </c>
      <c r="CM277" s="53">
        <f t="shared" si="195"/>
        <v>154111</v>
      </c>
      <c r="CN277" s="53">
        <f t="shared" si="196"/>
        <v>125230</v>
      </c>
      <c r="CO277" s="53">
        <f t="shared" si="197"/>
        <v>96329</v>
      </c>
      <c r="CP277" s="53">
        <f t="shared" si="198"/>
        <v>96329</v>
      </c>
      <c r="CQ277" s="53">
        <f t="shared" si="199"/>
        <v>96329</v>
      </c>
      <c r="CR277" s="53">
        <f t="shared" si="200"/>
        <v>173385</v>
      </c>
      <c r="CS277" s="53">
        <f t="shared" si="201"/>
        <v>173385</v>
      </c>
      <c r="CT277" s="53">
        <f t="shared" si="202"/>
        <v>192639</v>
      </c>
      <c r="CU277" s="53">
        <f t="shared" si="203"/>
        <v>144484</v>
      </c>
      <c r="CV277" s="53">
        <f t="shared" si="165"/>
        <v>1955368</v>
      </c>
      <c r="CW277" s="1"/>
      <c r="CX277" s="1"/>
      <c r="CY277" s="1"/>
      <c r="CZ277" s="1"/>
      <c r="DA277" s="1"/>
      <c r="DB277" s="1"/>
      <c r="DC277" s="1"/>
      <c r="DD277" s="1"/>
      <c r="DE277" s="1"/>
      <c r="DF277" s="1"/>
      <c r="DG277" s="1"/>
      <c r="DH277" s="1"/>
      <c r="DI277" s="1"/>
      <c r="DJ277" s="1"/>
      <c r="DK277" s="1"/>
      <c r="DL277" s="1"/>
    </row>
    <row r="278" spans="1:116" ht="15.75" hidden="1" x14ac:dyDescent="0.25">
      <c r="A278" s="16"/>
      <c r="B278" s="44"/>
      <c r="C278" s="44"/>
      <c r="D278" s="44"/>
      <c r="E278" s="44"/>
      <c r="F278" s="45" t="s">
        <v>2948</v>
      </c>
      <c r="G278" s="58">
        <v>72.64</v>
      </c>
      <c r="H278" s="58">
        <v>72.64</v>
      </c>
      <c r="I278" s="58">
        <v>72.64</v>
      </c>
      <c r="J278" s="58">
        <v>55.6</v>
      </c>
      <c r="K278" s="58">
        <v>39.71</v>
      </c>
      <c r="L278" s="58">
        <v>39.71</v>
      </c>
      <c r="M278" s="58">
        <v>39.71</v>
      </c>
      <c r="N278" s="58">
        <v>52.9</v>
      </c>
      <c r="O278" s="58">
        <v>61.71</v>
      </c>
      <c r="P278" s="58">
        <v>70.53</v>
      </c>
      <c r="Q278" s="58">
        <v>70.53</v>
      </c>
      <c r="R278" s="58">
        <v>61.71</v>
      </c>
      <c r="S278" s="11">
        <f t="shared" si="166"/>
        <v>710.03</v>
      </c>
      <c r="T278" s="10">
        <f t="shared" si="167"/>
        <v>5.3660201522548814E-2</v>
      </c>
      <c r="U278" s="13" t="s">
        <v>2951</v>
      </c>
      <c r="V278" s="50">
        <f t="shared" si="164"/>
        <v>879397</v>
      </c>
      <c r="W278" s="36">
        <v>2.6459999999999999</v>
      </c>
      <c r="X278" s="36">
        <v>2.6459999999999999</v>
      </c>
      <c r="Y278" s="36">
        <v>2.6459999999999999</v>
      </c>
      <c r="Z278" s="36">
        <v>2.6459999999999999</v>
      </c>
      <c r="AA278" s="36">
        <v>2.6459999999999999</v>
      </c>
      <c r="AB278" s="36">
        <v>2.6459999999999999</v>
      </c>
      <c r="AC278" s="36">
        <v>2.6459999999999999</v>
      </c>
      <c r="AD278" s="36">
        <v>2.6459999999999999</v>
      </c>
      <c r="AE278" s="36">
        <v>2.6459999999999999</v>
      </c>
      <c r="AF278" s="36">
        <v>2.6459999999999999</v>
      </c>
      <c r="AG278" s="36">
        <v>2.6459999999999999</v>
      </c>
      <c r="AH278" s="36">
        <v>2.6459999999999999</v>
      </c>
      <c r="AI278" s="39">
        <v>1.33634708931066E-2</v>
      </c>
      <c r="AJ278" s="39">
        <v>1.33634708931066E-2</v>
      </c>
      <c r="AK278" s="39">
        <v>1.33634708931066E-2</v>
      </c>
      <c r="AL278" s="39">
        <v>1.33634708931066E-2</v>
      </c>
      <c r="AM278" s="39">
        <v>1.33634708931066E-2</v>
      </c>
      <c r="AN278" s="39">
        <v>1.33634708931066E-2</v>
      </c>
      <c r="AO278" s="39">
        <v>1.33634708931066E-2</v>
      </c>
      <c r="AP278" s="39">
        <v>1.33634708931066E-2</v>
      </c>
      <c r="AQ278" s="39">
        <v>1.33634708931066E-2</v>
      </c>
      <c r="AR278" s="39">
        <v>1.33634708931066E-2</v>
      </c>
      <c r="AS278" s="39">
        <v>1.33634708931066E-2</v>
      </c>
      <c r="AT278" s="39">
        <v>1.33634708931066E-2</v>
      </c>
      <c r="AU278" s="39">
        <v>1.2392217523121999E-3</v>
      </c>
      <c r="AV278" s="39">
        <v>1.2392217523121999E-3</v>
      </c>
      <c r="AW278" s="39">
        <v>1.2392217523121999E-3</v>
      </c>
      <c r="AX278" s="39">
        <v>1.2392217523121999E-3</v>
      </c>
      <c r="AY278" s="39">
        <v>1.2392217523121999E-3</v>
      </c>
      <c r="AZ278" s="39">
        <v>1.2392217523121999E-3</v>
      </c>
      <c r="BA278" s="39">
        <v>1.2392217523121999E-3</v>
      </c>
      <c r="BB278" s="39">
        <v>1.2392217523121999E-3</v>
      </c>
      <c r="BC278" s="39">
        <v>1.2392217523121999E-3</v>
      </c>
      <c r="BD278" s="39">
        <v>1.2392217523121999E-3</v>
      </c>
      <c r="BE278" s="39">
        <v>1.2392217523121999E-3</v>
      </c>
      <c r="BF278" s="39">
        <v>1.2392217523121999E-3</v>
      </c>
      <c r="BG278" s="1"/>
      <c r="BH278" s="12">
        <f t="shared" si="168"/>
        <v>234.62719999999999</v>
      </c>
      <c r="BI278" s="12">
        <f t="shared" si="169"/>
        <v>234.62719999999999</v>
      </c>
      <c r="BJ278" s="12">
        <f t="shared" si="170"/>
        <v>234.62719999999999</v>
      </c>
      <c r="BK278" s="12">
        <f t="shared" si="171"/>
        <v>179.58799999999999</v>
      </c>
      <c r="BL278" s="12">
        <f t="shared" si="172"/>
        <v>128.26330000000002</v>
      </c>
      <c r="BM278" s="12">
        <f t="shared" si="173"/>
        <v>128.26330000000002</v>
      </c>
      <c r="BN278" s="12">
        <f t="shared" si="174"/>
        <v>128.26330000000002</v>
      </c>
      <c r="BO278" s="12">
        <f t="shared" si="175"/>
        <v>170.86699999999999</v>
      </c>
      <c r="BP278" s="12">
        <f t="shared" si="176"/>
        <v>199.32329999999999</v>
      </c>
      <c r="BQ278" s="12">
        <f t="shared" si="177"/>
        <v>227.81190000000001</v>
      </c>
      <c r="BR278" s="12">
        <f t="shared" si="178"/>
        <v>227.81190000000001</v>
      </c>
      <c r="BS278" s="12">
        <f t="shared" si="179"/>
        <v>199.32329999999999</v>
      </c>
      <c r="BT278" s="1"/>
      <c r="BU278" s="11">
        <f t="shared" si="180"/>
        <v>238.05338888785519</v>
      </c>
      <c r="BV278" s="11">
        <f t="shared" si="181"/>
        <v>238.05338888785519</v>
      </c>
      <c r="BW278" s="11">
        <f t="shared" si="182"/>
        <v>238.05338888785519</v>
      </c>
      <c r="BX278" s="11">
        <f t="shared" si="183"/>
        <v>182.21046836680546</v>
      </c>
      <c r="BY278" s="11">
        <f t="shared" si="184"/>
        <v>130.13628954758715</v>
      </c>
      <c r="BZ278" s="11">
        <f t="shared" si="185"/>
        <v>130.13628954758715</v>
      </c>
      <c r="CA278" s="11">
        <f t="shared" si="186"/>
        <v>130.13628954758715</v>
      </c>
      <c r="CB278" s="11">
        <f t="shared" si="187"/>
        <v>173.36211828424476</v>
      </c>
      <c r="CC278" s="11">
        <f t="shared" si="188"/>
        <v>202.23395688697059</v>
      </c>
      <c r="CD278" s="11">
        <f t="shared" si="189"/>
        <v>231.1385671566689</v>
      </c>
      <c r="CE278" s="11">
        <f t="shared" si="190"/>
        <v>231.1385671566689</v>
      </c>
      <c r="CF278" s="11">
        <f t="shared" si="191"/>
        <v>202.23395688697059</v>
      </c>
      <c r="CG278" s="11"/>
      <c r="CH278" s="41">
        <v>3.23</v>
      </c>
      <c r="CI278" s="1"/>
      <c r="CJ278" s="53">
        <f t="shared" si="192"/>
        <v>89967</v>
      </c>
      <c r="CK278" s="53">
        <f t="shared" si="193"/>
        <v>89967</v>
      </c>
      <c r="CL278" s="53">
        <f t="shared" si="194"/>
        <v>89967</v>
      </c>
      <c r="CM278" s="53">
        <f t="shared" si="195"/>
        <v>68863</v>
      </c>
      <c r="CN278" s="53">
        <f t="shared" si="196"/>
        <v>49182</v>
      </c>
      <c r="CO278" s="53">
        <f t="shared" si="197"/>
        <v>49182</v>
      </c>
      <c r="CP278" s="53">
        <f t="shared" si="198"/>
        <v>49182</v>
      </c>
      <c r="CQ278" s="53">
        <f t="shared" si="199"/>
        <v>65519</v>
      </c>
      <c r="CR278" s="53">
        <f t="shared" si="200"/>
        <v>76430</v>
      </c>
      <c r="CS278" s="53">
        <f t="shared" si="201"/>
        <v>87354</v>
      </c>
      <c r="CT278" s="53">
        <f t="shared" si="202"/>
        <v>87354</v>
      </c>
      <c r="CU278" s="53">
        <f t="shared" si="203"/>
        <v>76430</v>
      </c>
      <c r="CV278" s="53">
        <f t="shared" si="165"/>
        <v>879397</v>
      </c>
      <c r="CW278" s="1"/>
      <c r="CX278" s="1"/>
      <c r="CY278" s="1"/>
      <c r="CZ278" s="1"/>
      <c r="DA278" s="1"/>
      <c r="DB278" s="1"/>
      <c r="DC278" s="1"/>
      <c r="DD278" s="1"/>
      <c r="DE278" s="1"/>
      <c r="DF278" s="1"/>
      <c r="DG278" s="1"/>
      <c r="DH278" s="1"/>
      <c r="DI278" s="1"/>
      <c r="DJ278" s="1"/>
      <c r="DK278" s="1"/>
      <c r="DL278" s="1"/>
    </row>
    <row r="279" spans="1:116" ht="15.75" hidden="1" x14ac:dyDescent="0.25">
      <c r="A279" s="16"/>
      <c r="B279" s="44"/>
      <c r="C279" s="44"/>
      <c r="D279" s="44"/>
      <c r="E279" s="44"/>
      <c r="F279" s="45" t="s">
        <v>2948</v>
      </c>
      <c r="G279" s="58">
        <v>50.78</v>
      </c>
      <c r="H279" s="58">
        <v>50.78</v>
      </c>
      <c r="I279" s="58">
        <v>42.97</v>
      </c>
      <c r="J279" s="58">
        <v>27.34</v>
      </c>
      <c r="K279" s="58">
        <v>27.34</v>
      </c>
      <c r="L279" s="58">
        <v>23.44</v>
      </c>
      <c r="M279" s="58">
        <v>23.44</v>
      </c>
      <c r="N279" s="58">
        <v>23.44</v>
      </c>
      <c r="O279" s="58">
        <v>50.78</v>
      </c>
      <c r="P279" s="58">
        <v>50.78</v>
      </c>
      <c r="Q279" s="58">
        <v>50.78</v>
      </c>
      <c r="R279" s="58">
        <v>35.159999999999997</v>
      </c>
      <c r="S279" s="11">
        <f t="shared" si="166"/>
        <v>457.03</v>
      </c>
      <c r="T279" s="10">
        <f t="shared" si="167"/>
        <v>5.9853439079820055E-2</v>
      </c>
      <c r="U279" s="13" t="s">
        <v>2951</v>
      </c>
      <c r="V279" s="50">
        <f t="shared" si="164"/>
        <v>632768</v>
      </c>
      <c r="W279" s="36">
        <v>2.367</v>
      </c>
      <c r="X279" s="36">
        <v>2.367</v>
      </c>
      <c r="Y279" s="36">
        <v>2.367</v>
      </c>
      <c r="Z279" s="36">
        <v>2.367</v>
      </c>
      <c r="AA279" s="36">
        <v>2.367</v>
      </c>
      <c r="AB279" s="36">
        <v>2.367</v>
      </c>
      <c r="AC279" s="36">
        <v>2.367</v>
      </c>
      <c r="AD279" s="36">
        <v>2.367</v>
      </c>
      <c r="AE279" s="36">
        <v>2.367</v>
      </c>
      <c r="AF279" s="36">
        <v>2.367</v>
      </c>
      <c r="AG279" s="36">
        <v>2.367</v>
      </c>
      <c r="AH279" s="36">
        <v>2.367</v>
      </c>
      <c r="AI279" s="39">
        <v>1.33634708931066E-2</v>
      </c>
      <c r="AJ279" s="39">
        <v>1.33634708931066E-2</v>
      </c>
      <c r="AK279" s="39">
        <v>1.33634708931066E-2</v>
      </c>
      <c r="AL279" s="39">
        <v>1.33634708931066E-2</v>
      </c>
      <c r="AM279" s="39">
        <v>1.33634708931066E-2</v>
      </c>
      <c r="AN279" s="39">
        <v>1.33634708931066E-2</v>
      </c>
      <c r="AO279" s="39">
        <v>1.33634708931066E-2</v>
      </c>
      <c r="AP279" s="39">
        <v>1.33634708931066E-2</v>
      </c>
      <c r="AQ279" s="39">
        <v>1.33634708931066E-2</v>
      </c>
      <c r="AR279" s="39">
        <v>1.33634708931066E-2</v>
      </c>
      <c r="AS279" s="39">
        <v>1.33634708931066E-2</v>
      </c>
      <c r="AT279" s="39">
        <v>1.33634708931066E-2</v>
      </c>
      <c r="AU279" s="39">
        <v>1.2392217523121999E-3</v>
      </c>
      <c r="AV279" s="39">
        <v>1.2392217523121999E-3</v>
      </c>
      <c r="AW279" s="39">
        <v>1.2392217523121999E-3</v>
      </c>
      <c r="AX279" s="39">
        <v>1.2392217523121999E-3</v>
      </c>
      <c r="AY279" s="39">
        <v>1.2392217523121999E-3</v>
      </c>
      <c r="AZ279" s="39">
        <v>1.2392217523121999E-3</v>
      </c>
      <c r="BA279" s="39">
        <v>1.2392217523121999E-3</v>
      </c>
      <c r="BB279" s="39">
        <v>1.2392217523121999E-3</v>
      </c>
      <c r="BC279" s="39">
        <v>1.2392217523121999E-3</v>
      </c>
      <c r="BD279" s="39">
        <v>1.2392217523121999E-3</v>
      </c>
      <c r="BE279" s="39">
        <v>1.2392217523121999E-3</v>
      </c>
      <c r="BF279" s="39">
        <v>1.2392217523121999E-3</v>
      </c>
      <c r="BG279" s="1"/>
      <c r="BH279" s="12">
        <f t="shared" si="168"/>
        <v>164.01939999999999</v>
      </c>
      <c r="BI279" s="12">
        <f t="shared" si="169"/>
        <v>164.01939999999999</v>
      </c>
      <c r="BJ279" s="12">
        <f t="shared" si="170"/>
        <v>138.79310000000001</v>
      </c>
      <c r="BK279" s="12">
        <f t="shared" si="171"/>
        <v>88.308199999999999</v>
      </c>
      <c r="BL279" s="12">
        <f t="shared" si="172"/>
        <v>88.308199999999999</v>
      </c>
      <c r="BM279" s="12">
        <f t="shared" si="173"/>
        <v>75.711200000000005</v>
      </c>
      <c r="BN279" s="12">
        <f t="shared" si="174"/>
        <v>75.711200000000005</v>
      </c>
      <c r="BO279" s="12">
        <f t="shared" si="175"/>
        <v>75.711200000000005</v>
      </c>
      <c r="BP279" s="12">
        <f t="shared" si="176"/>
        <v>164.01939999999999</v>
      </c>
      <c r="BQ279" s="12">
        <f t="shared" si="177"/>
        <v>164.01939999999999</v>
      </c>
      <c r="BR279" s="12">
        <f t="shared" si="178"/>
        <v>164.01939999999999</v>
      </c>
      <c r="BS279" s="12">
        <f t="shared" si="179"/>
        <v>113.56679999999999</v>
      </c>
      <c r="BT279" s="1"/>
      <c r="BU279" s="11">
        <f t="shared" si="180"/>
        <v>166.41452488608599</v>
      </c>
      <c r="BV279" s="11">
        <f t="shared" si="181"/>
        <v>166.41452488608599</v>
      </c>
      <c r="BW279" s="11">
        <f t="shared" si="182"/>
        <v>140.81985298060488</v>
      </c>
      <c r="BX279" s="11">
        <f t="shared" si="183"/>
        <v>89.597737502670171</v>
      </c>
      <c r="BY279" s="11">
        <f t="shared" si="184"/>
        <v>89.597737502670171</v>
      </c>
      <c r="BZ279" s="11">
        <f t="shared" si="185"/>
        <v>76.816787383415843</v>
      </c>
      <c r="CA279" s="11">
        <f t="shared" si="186"/>
        <v>76.816787383415843</v>
      </c>
      <c r="CB279" s="11">
        <f t="shared" si="187"/>
        <v>76.816787383415843</v>
      </c>
      <c r="CC279" s="11">
        <f t="shared" si="188"/>
        <v>166.41452488608599</v>
      </c>
      <c r="CD279" s="11">
        <f t="shared" si="189"/>
        <v>166.41452488608599</v>
      </c>
      <c r="CE279" s="11">
        <f t="shared" si="190"/>
        <v>166.41452488608599</v>
      </c>
      <c r="CF279" s="11">
        <f t="shared" si="191"/>
        <v>115.22518107512373</v>
      </c>
      <c r="CG279" s="11"/>
      <c r="CH279" s="41">
        <v>3.23</v>
      </c>
      <c r="CI279" s="1"/>
      <c r="CJ279" s="53">
        <f t="shared" si="192"/>
        <v>70306</v>
      </c>
      <c r="CK279" s="53">
        <f t="shared" si="193"/>
        <v>70306</v>
      </c>
      <c r="CL279" s="53">
        <f t="shared" si="194"/>
        <v>59493</v>
      </c>
      <c r="CM279" s="53">
        <f t="shared" si="195"/>
        <v>37853</v>
      </c>
      <c r="CN279" s="53">
        <f t="shared" si="196"/>
        <v>37853</v>
      </c>
      <c r="CO279" s="53">
        <f t="shared" si="197"/>
        <v>32453</v>
      </c>
      <c r="CP279" s="53">
        <f t="shared" si="198"/>
        <v>32453</v>
      </c>
      <c r="CQ279" s="53">
        <f t="shared" si="199"/>
        <v>32453</v>
      </c>
      <c r="CR279" s="53">
        <f t="shared" si="200"/>
        <v>70306</v>
      </c>
      <c r="CS279" s="53">
        <f t="shared" si="201"/>
        <v>70306</v>
      </c>
      <c r="CT279" s="53">
        <f t="shared" si="202"/>
        <v>70306</v>
      </c>
      <c r="CU279" s="53">
        <f t="shared" si="203"/>
        <v>48680</v>
      </c>
      <c r="CV279" s="53">
        <f t="shared" si="165"/>
        <v>632768</v>
      </c>
      <c r="CW279" s="1"/>
      <c r="CX279" s="1"/>
      <c r="CY279" s="1"/>
      <c r="CZ279" s="1"/>
      <c r="DA279" s="1"/>
      <c r="DB279" s="1"/>
      <c r="DC279" s="1"/>
      <c r="DD279" s="1"/>
      <c r="DE279" s="1"/>
      <c r="DF279" s="1"/>
      <c r="DG279" s="1"/>
      <c r="DH279" s="1"/>
      <c r="DI279" s="1"/>
      <c r="DJ279" s="1"/>
      <c r="DK279" s="1"/>
      <c r="DL279" s="1"/>
    </row>
    <row r="280" spans="1:116" ht="15.75" hidden="1" x14ac:dyDescent="0.25">
      <c r="A280" s="16"/>
      <c r="B280" s="44"/>
      <c r="C280" s="44"/>
      <c r="D280" s="44"/>
      <c r="E280" s="44"/>
      <c r="F280" s="45" t="s">
        <v>2948</v>
      </c>
      <c r="G280" s="58">
        <v>260.89</v>
      </c>
      <c r="H280" s="58">
        <v>260.89</v>
      </c>
      <c r="I280" s="58">
        <v>186.35</v>
      </c>
      <c r="J280" s="58">
        <v>90.85</v>
      </c>
      <c r="K280" s="58">
        <v>90.85</v>
      </c>
      <c r="L280" s="58">
        <v>90.85</v>
      </c>
      <c r="M280" s="58">
        <v>86.66</v>
      </c>
      <c r="N280" s="58">
        <v>90.85</v>
      </c>
      <c r="O280" s="58">
        <v>186.35</v>
      </c>
      <c r="P280" s="58">
        <v>232.94</v>
      </c>
      <c r="Q280" s="58">
        <v>186.35</v>
      </c>
      <c r="R280" s="58">
        <v>167.72</v>
      </c>
      <c r="S280" s="11">
        <f t="shared" si="166"/>
        <v>1931.55</v>
      </c>
      <c r="T280" s="10">
        <f t="shared" si="167"/>
        <v>6.0033147473328288E-2</v>
      </c>
      <c r="U280" s="13" t="s">
        <v>2951</v>
      </c>
      <c r="V280" s="50">
        <f t="shared" si="164"/>
        <v>2065933</v>
      </c>
      <c r="W280" s="36">
        <v>3.0640000000000001</v>
      </c>
      <c r="X280" s="36">
        <v>3.0640000000000001</v>
      </c>
      <c r="Y280" s="36">
        <v>3.0640000000000001</v>
      </c>
      <c r="Z280" s="36">
        <v>3.0640000000000001</v>
      </c>
      <c r="AA280" s="36">
        <v>3.0640000000000001</v>
      </c>
      <c r="AB280" s="36">
        <v>3.0640000000000001</v>
      </c>
      <c r="AC280" s="36">
        <v>3.0640000000000001</v>
      </c>
      <c r="AD280" s="36">
        <v>3.0640000000000001</v>
      </c>
      <c r="AE280" s="36">
        <v>3.0640000000000001</v>
      </c>
      <c r="AF280" s="36">
        <v>3.0640000000000001</v>
      </c>
      <c r="AG280" s="36">
        <v>3.0640000000000001</v>
      </c>
      <c r="AH280" s="36">
        <v>3.0640000000000001</v>
      </c>
      <c r="AI280" s="39">
        <v>1.33634708931066E-2</v>
      </c>
      <c r="AJ280" s="39">
        <v>1.33634708931066E-2</v>
      </c>
      <c r="AK280" s="39">
        <v>1.33634708931066E-2</v>
      </c>
      <c r="AL280" s="39">
        <v>1.33634708931066E-2</v>
      </c>
      <c r="AM280" s="39">
        <v>1.33634708931066E-2</v>
      </c>
      <c r="AN280" s="39">
        <v>1.33634708931066E-2</v>
      </c>
      <c r="AO280" s="39">
        <v>1.33634708931066E-2</v>
      </c>
      <c r="AP280" s="39">
        <v>1.33634708931066E-2</v>
      </c>
      <c r="AQ280" s="39">
        <v>1.33634708931066E-2</v>
      </c>
      <c r="AR280" s="39">
        <v>1.33634708931066E-2</v>
      </c>
      <c r="AS280" s="39">
        <v>1.33634708931066E-2</v>
      </c>
      <c r="AT280" s="39">
        <v>1.33634708931066E-2</v>
      </c>
      <c r="AU280" s="39">
        <v>1.2392217523121999E-3</v>
      </c>
      <c r="AV280" s="39">
        <v>1.2392217523121999E-3</v>
      </c>
      <c r="AW280" s="39">
        <v>1.2392217523121999E-3</v>
      </c>
      <c r="AX280" s="39">
        <v>1.2392217523121999E-3</v>
      </c>
      <c r="AY280" s="39">
        <v>1.2392217523121999E-3</v>
      </c>
      <c r="AZ280" s="39">
        <v>1.2392217523121999E-3</v>
      </c>
      <c r="BA280" s="39">
        <v>1.2392217523121999E-3</v>
      </c>
      <c r="BB280" s="39">
        <v>1.2392217523121999E-3</v>
      </c>
      <c r="BC280" s="39">
        <v>1.2392217523121999E-3</v>
      </c>
      <c r="BD280" s="39">
        <v>1.2392217523121999E-3</v>
      </c>
      <c r="BE280" s="39">
        <v>1.2392217523121999E-3</v>
      </c>
      <c r="BF280" s="39">
        <v>1.2392217523121999E-3</v>
      </c>
      <c r="BG280" s="1"/>
      <c r="BH280" s="12">
        <f t="shared" si="168"/>
        <v>842.67469999999992</v>
      </c>
      <c r="BI280" s="12">
        <f t="shared" si="169"/>
        <v>842.67469999999992</v>
      </c>
      <c r="BJ280" s="12">
        <f t="shared" si="170"/>
        <v>601.91049999999996</v>
      </c>
      <c r="BK280" s="12">
        <f t="shared" si="171"/>
        <v>293.44549999999998</v>
      </c>
      <c r="BL280" s="12">
        <f t="shared" si="172"/>
        <v>293.44549999999998</v>
      </c>
      <c r="BM280" s="12">
        <f t="shared" si="173"/>
        <v>293.44549999999998</v>
      </c>
      <c r="BN280" s="12">
        <f t="shared" si="174"/>
        <v>279.91179999999997</v>
      </c>
      <c r="BO280" s="12">
        <f t="shared" si="175"/>
        <v>293.44549999999998</v>
      </c>
      <c r="BP280" s="12">
        <f t="shared" si="176"/>
        <v>601.91049999999996</v>
      </c>
      <c r="BQ280" s="12">
        <f t="shared" si="177"/>
        <v>752.39620000000002</v>
      </c>
      <c r="BR280" s="12">
        <f t="shared" si="178"/>
        <v>601.91049999999996</v>
      </c>
      <c r="BS280" s="12">
        <f t="shared" si="179"/>
        <v>541.73559999999998</v>
      </c>
      <c r="BT280" s="1"/>
      <c r="BU280" s="11">
        <f t="shared" si="180"/>
        <v>854.9800196441704</v>
      </c>
      <c r="BV280" s="11">
        <f t="shared" si="181"/>
        <v>854.9800196441704</v>
      </c>
      <c r="BW280" s="11">
        <f t="shared" si="182"/>
        <v>610.70001403155027</v>
      </c>
      <c r="BX280" s="11">
        <f t="shared" si="183"/>
        <v>297.73059444468123</v>
      </c>
      <c r="BY280" s="11">
        <f t="shared" si="184"/>
        <v>297.73059444468123</v>
      </c>
      <c r="BZ280" s="11">
        <f t="shared" si="185"/>
        <v>297.73059444468123</v>
      </c>
      <c r="CA280" s="11">
        <f t="shared" si="186"/>
        <v>283.99926598322588</v>
      </c>
      <c r="CB280" s="11">
        <f t="shared" si="187"/>
        <v>297.73059444468123</v>
      </c>
      <c r="CC280" s="11">
        <f t="shared" si="188"/>
        <v>610.70001403155027</v>
      </c>
      <c r="CD280" s="11">
        <f t="shared" si="189"/>
        <v>763.38321045618113</v>
      </c>
      <c r="CE280" s="11">
        <f t="shared" si="190"/>
        <v>610.70001403155027</v>
      </c>
      <c r="CF280" s="11">
        <f t="shared" si="191"/>
        <v>549.64639846188152</v>
      </c>
      <c r="CG280" s="11"/>
      <c r="CH280" s="41">
        <v>3.23</v>
      </c>
      <c r="CI280" s="1"/>
      <c r="CJ280" s="53">
        <f t="shared" si="192"/>
        <v>279040</v>
      </c>
      <c r="CK280" s="53">
        <f t="shared" si="193"/>
        <v>279040</v>
      </c>
      <c r="CL280" s="53">
        <f t="shared" si="194"/>
        <v>199315</v>
      </c>
      <c r="CM280" s="53">
        <f t="shared" si="195"/>
        <v>97171</v>
      </c>
      <c r="CN280" s="53">
        <f t="shared" si="196"/>
        <v>97171</v>
      </c>
      <c r="CO280" s="53">
        <f t="shared" si="197"/>
        <v>97171</v>
      </c>
      <c r="CP280" s="53">
        <f t="shared" si="198"/>
        <v>92689</v>
      </c>
      <c r="CQ280" s="53">
        <f t="shared" si="199"/>
        <v>97171</v>
      </c>
      <c r="CR280" s="53">
        <f t="shared" si="200"/>
        <v>199315</v>
      </c>
      <c r="CS280" s="53">
        <f t="shared" si="201"/>
        <v>249146</v>
      </c>
      <c r="CT280" s="53">
        <f t="shared" si="202"/>
        <v>199315</v>
      </c>
      <c r="CU280" s="53">
        <f t="shared" si="203"/>
        <v>179389</v>
      </c>
      <c r="CV280" s="53">
        <f t="shared" si="165"/>
        <v>2065933</v>
      </c>
      <c r="CW280" s="1"/>
      <c r="CX280" s="1"/>
      <c r="CY280" s="1"/>
      <c r="CZ280" s="1"/>
      <c r="DA280" s="1"/>
      <c r="DB280" s="1"/>
      <c r="DC280" s="1"/>
      <c r="DD280" s="1"/>
      <c r="DE280" s="1"/>
      <c r="DF280" s="1"/>
      <c r="DG280" s="1"/>
      <c r="DH280" s="1"/>
      <c r="DI280" s="1"/>
      <c r="DJ280" s="1"/>
      <c r="DK280" s="1"/>
      <c r="DL280" s="1"/>
    </row>
    <row r="281" spans="1:116" ht="15.75" hidden="1" x14ac:dyDescent="0.25">
      <c r="A281" s="16"/>
      <c r="B281" s="44"/>
      <c r="C281" s="44"/>
      <c r="D281" s="44"/>
      <c r="E281" s="44"/>
      <c r="F281" s="45" t="s">
        <v>2948</v>
      </c>
      <c r="G281" s="58">
        <v>924.43</v>
      </c>
      <c r="H281" s="58">
        <v>847.39</v>
      </c>
      <c r="I281" s="58">
        <v>731.84</v>
      </c>
      <c r="J281" s="58">
        <v>489.95</v>
      </c>
      <c r="K281" s="58">
        <v>489.95</v>
      </c>
      <c r="L281" s="58">
        <v>449.12</v>
      </c>
      <c r="M281" s="58">
        <v>449.12</v>
      </c>
      <c r="N281" s="58">
        <v>693.32</v>
      </c>
      <c r="O281" s="58">
        <v>731.84</v>
      </c>
      <c r="P281" s="58">
        <v>847.39</v>
      </c>
      <c r="Q281" s="58">
        <v>847.39</v>
      </c>
      <c r="R281" s="58">
        <v>616.28</v>
      </c>
      <c r="S281" s="11">
        <f t="shared" si="166"/>
        <v>8118.0199999999995</v>
      </c>
      <c r="T281" s="10">
        <f t="shared" si="167"/>
        <v>5.6834321645001885E-2</v>
      </c>
      <c r="U281" s="13" t="s">
        <v>2951</v>
      </c>
      <c r="V281" s="50">
        <f t="shared" si="164"/>
        <v>10123328</v>
      </c>
      <c r="W281" s="36">
        <v>2.6280000000000001</v>
      </c>
      <c r="X281" s="36">
        <v>2.6280000000000001</v>
      </c>
      <c r="Y281" s="36">
        <v>2.6280000000000001</v>
      </c>
      <c r="Z281" s="36">
        <v>2.6280000000000001</v>
      </c>
      <c r="AA281" s="36">
        <v>2.6280000000000001</v>
      </c>
      <c r="AB281" s="36">
        <v>2.6280000000000001</v>
      </c>
      <c r="AC281" s="36">
        <v>2.6280000000000001</v>
      </c>
      <c r="AD281" s="36">
        <v>2.6280000000000001</v>
      </c>
      <c r="AE281" s="36">
        <v>2.6280000000000001</v>
      </c>
      <c r="AF281" s="36">
        <v>2.6280000000000001</v>
      </c>
      <c r="AG281" s="36">
        <v>2.6280000000000001</v>
      </c>
      <c r="AH281" s="36">
        <v>2.6280000000000001</v>
      </c>
      <c r="AI281" s="39">
        <v>1.33634708931066E-2</v>
      </c>
      <c r="AJ281" s="39">
        <v>1.33634708931066E-2</v>
      </c>
      <c r="AK281" s="39">
        <v>1.33634708931066E-2</v>
      </c>
      <c r="AL281" s="39">
        <v>1.33634708931066E-2</v>
      </c>
      <c r="AM281" s="39">
        <v>1.33634708931066E-2</v>
      </c>
      <c r="AN281" s="39">
        <v>1.33634708931066E-2</v>
      </c>
      <c r="AO281" s="39">
        <v>1.33634708931066E-2</v>
      </c>
      <c r="AP281" s="39">
        <v>1.33634708931066E-2</v>
      </c>
      <c r="AQ281" s="39">
        <v>1.33634708931066E-2</v>
      </c>
      <c r="AR281" s="39">
        <v>1.33634708931066E-2</v>
      </c>
      <c r="AS281" s="39">
        <v>1.33634708931066E-2</v>
      </c>
      <c r="AT281" s="39">
        <v>1.33634708931066E-2</v>
      </c>
      <c r="AU281" s="39">
        <v>1.2392217523121999E-3</v>
      </c>
      <c r="AV281" s="39">
        <v>1.2392217523121999E-3</v>
      </c>
      <c r="AW281" s="39">
        <v>1.2392217523121999E-3</v>
      </c>
      <c r="AX281" s="39">
        <v>1.2392217523121999E-3</v>
      </c>
      <c r="AY281" s="39">
        <v>1.2392217523121999E-3</v>
      </c>
      <c r="AZ281" s="39">
        <v>1.2392217523121999E-3</v>
      </c>
      <c r="BA281" s="39">
        <v>1.2392217523121999E-3</v>
      </c>
      <c r="BB281" s="39">
        <v>1.2392217523121999E-3</v>
      </c>
      <c r="BC281" s="39">
        <v>1.2392217523121999E-3</v>
      </c>
      <c r="BD281" s="39">
        <v>1.2392217523121999E-3</v>
      </c>
      <c r="BE281" s="39">
        <v>1.2392217523121999E-3</v>
      </c>
      <c r="BF281" s="39">
        <v>1.2392217523121999E-3</v>
      </c>
      <c r="BG281" s="1"/>
      <c r="BH281" s="12">
        <f t="shared" si="168"/>
        <v>2985.9088999999999</v>
      </c>
      <c r="BI281" s="12">
        <f t="shared" si="169"/>
        <v>2737.0697</v>
      </c>
      <c r="BJ281" s="12">
        <f t="shared" si="170"/>
        <v>2363.8432000000003</v>
      </c>
      <c r="BK281" s="12">
        <f t="shared" si="171"/>
        <v>1582.5384999999999</v>
      </c>
      <c r="BL281" s="12">
        <f t="shared" si="172"/>
        <v>1582.5384999999999</v>
      </c>
      <c r="BM281" s="12">
        <f t="shared" si="173"/>
        <v>1450.6576</v>
      </c>
      <c r="BN281" s="12">
        <f t="shared" si="174"/>
        <v>1450.6576</v>
      </c>
      <c r="BO281" s="12">
        <f t="shared" si="175"/>
        <v>2239.4236000000001</v>
      </c>
      <c r="BP281" s="12">
        <f t="shared" si="176"/>
        <v>2363.8432000000003</v>
      </c>
      <c r="BQ281" s="12">
        <f t="shared" si="177"/>
        <v>2737.0697</v>
      </c>
      <c r="BR281" s="12">
        <f t="shared" si="178"/>
        <v>2737.0697</v>
      </c>
      <c r="BS281" s="12">
        <f t="shared" si="179"/>
        <v>1990.5844</v>
      </c>
      <c r="BT281" s="1"/>
      <c r="BU281" s="11">
        <f t="shared" si="180"/>
        <v>3029.5112099339203</v>
      </c>
      <c r="BV281" s="11">
        <f t="shared" si="181"/>
        <v>2777.0382875781888</v>
      </c>
      <c r="BW281" s="11">
        <f t="shared" si="182"/>
        <v>2398.3616757115633</v>
      </c>
      <c r="BX281" s="11">
        <f t="shared" si="183"/>
        <v>1605.6478233150419</v>
      </c>
      <c r="BY281" s="11">
        <f t="shared" si="184"/>
        <v>1605.6478233150419</v>
      </c>
      <c r="BZ281" s="11">
        <f t="shared" si="185"/>
        <v>1471.8411070665409</v>
      </c>
      <c r="CA281" s="11">
        <f t="shared" si="186"/>
        <v>1471.8411070665409</v>
      </c>
      <c r="CB281" s="11">
        <f t="shared" si="187"/>
        <v>2272.1252145336975</v>
      </c>
      <c r="CC281" s="11">
        <f t="shared" si="188"/>
        <v>2398.3616757115633</v>
      </c>
      <c r="CD281" s="11">
        <f t="shared" si="189"/>
        <v>2777.0382875781888</v>
      </c>
      <c r="CE281" s="11">
        <f t="shared" si="190"/>
        <v>2777.0382875781888</v>
      </c>
      <c r="CF281" s="11">
        <f t="shared" si="191"/>
        <v>2019.6522921779654</v>
      </c>
      <c r="CG281" s="11"/>
      <c r="CH281" s="41">
        <v>3.23</v>
      </c>
      <c r="CI281" s="1"/>
      <c r="CJ281" s="53">
        <f t="shared" si="192"/>
        <v>1152782</v>
      </c>
      <c r="CK281" s="53">
        <f t="shared" si="193"/>
        <v>1056712</v>
      </c>
      <c r="CL281" s="53">
        <f t="shared" si="194"/>
        <v>912619</v>
      </c>
      <c r="CM281" s="53">
        <f t="shared" si="195"/>
        <v>610977</v>
      </c>
      <c r="CN281" s="53">
        <f t="shared" si="196"/>
        <v>610977</v>
      </c>
      <c r="CO281" s="53">
        <f t="shared" si="197"/>
        <v>560061</v>
      </c>
      <c r="CP281" s="53">
        <f t="shared" si="198"/>
        <v>560061</v>
      </c>
      <c r="CQ281" s="53">
        <f t="shared" si="199"/>
        <v>864583</v>
      </c>
      <c r="CR281" s="53">
        <f t="shared" si="200"/>
        <v>912619</v>
      </c>
      <c r="CS281" s="53">
        <f t="shared" si="201"/>
        <v>1056712</v>
      </c>
      <c r="CT281" s="53">
        <f t="shared" si="202"/>
        <v>1056712</v>
      </c>
      <c r="CU281" s="53">
        <f t="shared" si="203"/>
        <v>768513</v>
      </c>
      <c r="CV281" s="53">
        <f t="shared" si="165"/>
        <v>10123328</v>
      </c>
      <c r="CW281" s="1"/>
      <c r="CX281" s="1"/>
      <c r="CY281" s="1"/>
      <c r="CZ281" s="1"/>
      <c r="DA281" s="1"/>
      <c r="DB281" s="1"/>
      <c r="DC281" s="1"/>
      <c r="DD281" s="1"/>
      <c r="DE281" s="1"/>
      <c r="DF281" s="1"/>
      <c r="DG281" s="1"/>
      <c r="DH281" s="1"/>
      <c r="DI281" s="1"/>
      <c r="DJ281" s="1"/>
      <c r="DK281" s="1"/>
      <c r="DL281" s="1"/>
    </row>
    <row r="282" spans="1:116" ht="15.75" hidden="1" x14ac:dyDescent="0.25">
      <c r="A282" s="16"/>
      <c r="B282" s="44"/>
      <c r="C282" s="44"/>
      <c r="D282" s="44"/>
      <c r="E282" s="44"/>
      <c r="F282" s="45" t="s">
        <v>2948</v>
      </c>
      <c r="G282" s="58">
        <v>24.58</v>
      </c>
      <c r="H282" s="58">
        <v>24.58</v>
      </c>
      <c r="I282" s="58">
        <v>24.58</v>
      </c>
      <c r="J282" s="58">
        <v>24.58</v>
      </c>
      <c r="K282" s="58">
        <v>24.58</v>
      </c>
      <c r="L282" s="58">
        <v>24.58</v>
      </c>
      <c r="M282" s="58">
        <v>24.58</v>
      </c>
      <c r="N282" s="58">
        <v>24.58</v>
      </c>
      <c r="O282" s="58">
        <v>24.58</v>
      </c>
      <c r="P282" s="58">
        <v>24.58</v>
      </c>
      <c r="Q282" s="58">
        <v>24.58</v>
      </c>
      <c r="R282" s="58">
        <v>24.58</v>
      </c>
      <c r="S282" s="11">
        <f t="shared" si="166"/>
        <v>294.95999999999992</v>
      </c>
      <c r="T282" s="10">
        <f t="shared" si="167"/>
        <v>5.9939629150495513E-2</v>
      </c>
      <c r="U282" s="13" t="s">
        <v>2951</v>
      </c>
      <c r="V282" s="50">
        <f t="shared" si="164"/>
        <v>189276</v>
      </c>
      <c r="W282" s="36">
        <v>5.1070000000000002</v>
      </c>
      <c r="X282" s="36">
        <v>5.1070000000000002</v>
      </c>
      <c r="Y282" s="36">
        <v>5.1070000000000002</v>
      </c>
      <c r="Z282" s="36">
        <v>5.1070000000000002</v>
      </c>
      <c r="AA282" s="36">
        <v>5.1070000000000002</v>
      </c>
      <c r="AB282" s="36">
        <v>5.1070000000000002</v>
      </c>
      <c r="AC282" s="36">
        <v>5.1070000000000002</v>
      </c>
      <c r="AD282" s="36">
        <v>5.1070000000000002</v>
      </c>
      <c r="AE282" s="36">
        <v>5.1070000000000002</v>
      </c>
      <c r="AF282" s="36">
        <v>5.1070000000000002</v>
      </c>
      <c r="AG282" s="36">
        <v>5.1070000000000002</v>
      </c>
      <c r="AH282" s="36">
        <v>5.1070000000000002</v>
      </c>
      <c r="AI282" s="39">
        <v>1.33634708931066E-2</v>
      </c>
      <c r="AJ282" s="39">
        <v>1.33634708931066E-2</v>
      </c>
      <c r="AK282" s="39">
        <v>1.33634708931066E-2</v>
      </c>
      <c r="AL282" s="39">
        <v>1.33634708931066E-2</v>
      </c>
      <c r="AM282" s="39">
        <v>1.33634708931066E-2</v>
      </c>
      <c r="AN282" s="39">
        <v>1.33634708931066E-2</v>
      </c>
      <c r="AO282" s="39">
        <v>1.33634708931066E-2</v>
      </c>
      <c r="AP282" s="39">
        <v>1.33634708931066E-2</v>
      </c>
      <c r="AQ282" s="39">
        <v>1.33634708931066E-2</v>
      </c>
      <c r="AR282" s="39">
        <v>1.33634708931066E-2</v>
      </c>
      <c r="AS282" s="39">
        <v>1.33634708931066E-2</v>
      </c>
      <c r="AT282" s="39">
        <v>1.33634708931066E-2</v>
      </c>
      <c r="AU282" s="39">
        <v>1.2392217523121999E-3</v>
      </c>
      <c r="AV282" s="39">
        <v>1.2392217523121999E-3</v>
      </c>
      <c r="AW282" s="39">
        <v>1.2392217523121999E-3</v>
      </c>
      <c r="AX282" s="39">
        <v>1.2392217523121999E-3</v>
      </c>
      <c r="AY282" s="39">
        <v>1.2392217523121999E-3</v>
      </c>
      <c r="AZ282" s="39">
        <v>1.2392217523121999E-3</v>
      </c>
      <c r="BA282" s="39">
        <v>1.2392217523121999E-3</v>
      </c>
      <c r="BB282" s="39">
        <v>1.2392217523121999E-3</v>
      </c>
      <c r="BC282" s="39">
        <v>1.2392217523121999E-3</v>
      </c>
      <c r="BD282" s="39">
        <v>1.2392217523121999E-3</v>
      </c>
      <c r="BE282" s="39">
        <v>1.2392217523121999E-3</v>
      </c>
      <c r="BF282" s="39">
        <v>1.2392217523121999E-3</v>
      </c>
      <c r="BG282" s="1"/>
      <c r="BH282" s="12">
        <f t="shared" si="168"/>
        <v>79.3934</v>
      </c>
      <c r="BI282" s="12">
        <f t="shared" si="169"/>
        <v>79.3934</v>
      </c>
      <c r="BJ282" s="12">
        <f t="shared" si="170"/>
        <v>79.3934</v>
      </c>
      <c r="BK282" s="12">
        <f t="shared" si="171"/>
        <v>79.3934</v>
      </c>
      <c r="BL282" s="12">
        <f t="shared" si="172"/>
        <v>79.3934</v>
      </c>
      <c r="BM282" s="12">
        <f t="shared" si="173"/>
        <v>79.3934</v>
      </c>
      <c r="BN282" s="12">
        <f t="shared" si="174"/>
        <v>79.3934</v>
      </c>
      <c r="BO282" s="12">
        <f t="shared" si="175"/>
        <v>79.3934</v>
      </c>
      <c r="BP282" s="12">
        <f t="shared" si="176"/>
        <v>79.3934</v>
      </c>
      <c r="BQ282" s="12">
        <f t="shared" si="177"/>
        <v>79.3934</v>
      </c>
      <c r="BR282" s="12">
        <f t="shared" si="178"/>
        <v>79.3934</v>
      </c>
      <c r="BS282" s="12">
        <f t="shared" si="179"/>
        <v>79.3934</v>
      </c>
      <c r="BT282" s="1"/>
      <c r="BU282" s="11">
        <f t="shared" si="180"/>
        <v>80.552757418274794</v>
      </c>
      <c r="BV282" s="11">
        <f t="shared" si="181"/>
        <v>80.552757418274794</v>
      </c>
      <c r="BW282" s="11">
        <f t="shared" si="182"/>
        <v>80.552757418274794</v>
      </c>
      <c r="BX282" s="11">
        <f t="shared" si="183"/>
        <v>80.552757418274794</v>
      </c>
      <c r="BY282" s="11">
        <f t="shared" si="184"/>
        <v>80.552757418274794</v>
      </c>
      <c r="BZ282" s="11">
        <f t="shared" si="185"/>
        <v>80.552757418274794</v>
      </c>
      <c r="CA282" s="11">
        <f t="shared" si="186"/>
        <v>80.552757418274794</v>
      </c>
      <c r="CB282" s="11">
        <f t="shared" si="187"/>
        <v>80.552757418274794</v>
      </c>
      <c r="CC282" s="11">
        <f t="shared" si="188"/>
        <v>80.552757418274794</v>
      </c>
      <c r="CD282" s="11">
        <f t="shared" si="189"/>
        <v>80.552757418274794</v>
      </c>
      <c r="CE282" s="11">
        <f t="shared" si="190"/>
        <v>80.552757418274794</v>
      </c>
      <c r="CF282" s="11">
        <f t="shared" si="191"/>
        <v>80.552757418274794</v>
      </c>
      <c r="CG282" s="11"/>
      <c r="CH282" s="41">
        <v>3.23</v>
      </c>
      <c r="CI282" s="1"/>
      <c r="CJ282" s="53">
        <f t="shared" si="192"/>
        <v>15773</v>
      </c>
      <c r="CK282" s="53">
        <f t="shared" si="193"/>
        <v>15773</v>
      </c>
      <c r="CL282" s="53">
        <f t="shared" si="194"/>
        <v>15773</v>
      </c>
      <c r="CM282" s="53">
        <f t="shared" si="195"/>
        <v>15773</v>
      </c>
      <c r="CN282" s="53">
        <f t="shared" si="196"/>
        <v>15773</v>
      </c>
      <c r="CO282" s="53">
        <f t="shared" si="197"/>
        <v>15773</v>
      </c>
      <c r="CP282" s="53">
        <f t="shared" si="198"/>
        <v>15773</v>
      </c>
      <c r="CQ282" s="53">
        <f t="shared" si="199"/>
        <v>15773</v>
      </c>
      <c r="CR282" s="53">
        <f t="shared" si="200"/>
        <v>15773</v>
      </c>
      <c r="CS282" s="53">
        <f t="shared" si="201"/>
        <v>15773</v>
      </c>
      <c r="CT282" s="53">
        <f t="shared" si="202"/>
        <v>15773</v>
      </c>
      <c r="CU282" s="53">
        <f t="shared" si="203"/>
        <v>15773</v>
      </c>
      <c r="CV282" s="53">
        <f t="shared" si="165"/>
        <v>189276</v>
      </c>
      <c r="CW282" s="1"/>
      <c r="CX282" s="1"/>
      <c r="CY282" s="1"/>
      <c r="CZ282" s="1"/>
      <c r="DA282" s="1"/>
      <c r="DB282" s="1"/>
      <c r="DC282" s="1"/>
      <c r="DD282" s="1"/>
      <c r="DE282" s="1"/>
      <c r="DF282" s="1"/>
      <c r="DG282" s="1"/>
      <c r="DH282" s="1"/>
      <c r="DI282" s="1"/>
      <c r="DJ282" s="1"/>
      <c r="DK282" s="1"/>
      <c r="DL282" s="1"/>
    </row>
    <row r="283" spans="1:116" ht="15.75" hidden="1" x14ac:dyDescent="0.25">
      <c r="A283" s="16"/>
      <c r="B283" s="44"/>
      <c r="C283" s="44"/>
      <c r="D283" s="44"/>
      <c r="E283" s="44"/>
      <c r="F283" s="45" t="s">
        <v>2948</v>
      </c>
      <c r="G283" s="58">
        <v>30.26</v>
      </c>
      <c r="H283" s="58">
        <v>25.22</v>
      </c>
      <c r="I283" s="58">
        <v>25.22</v>
      </c>
      <c r="J283" s="58">
        <v>26.48</v>
      </c>
      <c r="K283" s="58">
        <v>21.18</v>
      </c>
      <c r="L283" s="58">
        <v>4.24</v>
      </c>
      <c r="M283" s="58">
        <v>4.24</v>
      </c>
      <c r="N283" s="58">
        <v>3.18</v>
      </c>
      <c r="O283" s="58">
        <v>12.1</v>
      </c>
      <c r="P283" s="58">
        <v>20.170000000000002</v>
      </c>
      <c r="Q283" s="58">
        <v>26.48</v>
      </c>
      <c r="R283" s="58">
        <v>26.48</v>
      </c>
      <c r="S283" s="11">
        <f t="shared" si="166"/>
        <v>225.25</v>
      </c>
      <c r="T283" s="10">
        <f t="shared" si="167"/>
        <v>6.0000000000000143E-2</v>
      </c>
      <c r="U283" s="13" t="s">
        <v>2951</v>
      </c>
      <c r="V283" s="50">
        <f t="shared" si="164"/>
        <v>226716</v>
      </c>
      <c r="W283" s="36">
        <v>3.2559999999999998</v>
      </c>
      <c r="X283" s="36">
        <v>3.2559999999999998</v>
      </c>
      <c r="Y283" s="36">
        <v>3.2559999999999998</v>
      </c>
      <c r="Z283" s="36">
        <v>3.2559999999999998</v>
      </c>
      <c r="AA283" s="36">
        <v>3.2559999999999998</v>
      </c>
      <c r="AB283" s="36">
        <v>3.2559999999999998</v>
      </c>
      <c r="AC283" s="36">
        <v>3.2559999999999998</v>
      </c>
      <c r="AD283" s="36">
        <v>3.2559999999999998</v>
      </c>
      <c r="AE283" s="36">
        <v>3.2559999999999998</v>
      </c>
      <c r="AF283" s="36">
        <v>3.2559999999999998</v>
      </c>
      <c r="AG283" s="36">
        <v>3.2559999999999998</v>
      </c>
      <c r="AH283" s="36">
        <v>3.2559999999999998</v>
      </c>
      <c r="AI283" s="39">
        <v>1.33634708931066E-2</v>
      </c>
      <c r="AJ283" s="39">
        <v>1.33634708931066E-2</v>
      </c>
      <c r="AK283" s="39">
        <v>1.33634708931066E-2</v>
      </c>
      <c r="AL283" s="39">
        <v>1.33634708931066E-2</v>
      </c>
      <c r="AM283" s="39">
        <v>1.33634708931066E-2</v>
      </c>
      <c r="AN283" s="39">
        <v>1.33634708931066E-2</v>
      </c>
      <c r="AO283" s="39">
        <v>1.33634708931066E-2</v>
      </c>
      <c r="AP283" s="39">
        <v>1.33634708931066E-2</v>
      </c>
      <c r="AQ283" s="39">
        <v>1.33634708931066E-2</v>
      </c>
      <c r="AR283" s="39">
        <v>1.33634708931066E-2</v>
      </c>
      <c r="AS283" s="39">
        <v>1.33634708931066E-2</v>
      </c>
      <c r="AT283" s="39">
        <v>1.33634708931066E-2</v>
      </c>
      <c r="AU283" s="39">
        <v>1.2392217523121999E-3</v>
      </c>
      <c r="AV283" s="39">
        <v>1.2392217523121999E-3</v>
      </c>
      <c r="AW283" s="39">
        <v>1.2392217523121999E-3</v>
      </c>
      <c r="AX283" s="39">
        <v>1.2392217523121999E-3</v>
      </c>
      <c r="AY283" s="39">
        <v>1.2392217523121999E-3</v>
      </c>
      <c r="AZ283" s="39">
        <v>1.2392217523121999E-3</v>
      </c>
      <c r="BA283" s="39">
        <v>1.2392217523121999E-3</v>
      </c>
      <c r="BB283" s="39">
        <v>1.2392217523121999E-3</v>
      </c>
      <c r="BC283" s="39">
        <v>1.2392217523121999E-3</v>
      </c>
      <c r="BD283" s="39">
        <v>1.2392217523121999E-3</v>
      </c>
      <c r="BE283" s="39">
        <v>1.2392217523121999E-3</v>
      </c>
      <c r="BF283" s="39">
        <v>1.2392217523121999E-3</v>
      </c>
      <c r="BG283" s="1"/>
      <c r="BH283" s="12">
        <f t="shared" si="168"/>
        <v>97.739800000000002</v>
      </c>
      <c r="BI283" s="12">
        <f t="shared" si="169"/>
        <v>81.460599999999999</v>
      </c>
      <c r="BJ283" s="12">
        <f t="shared" si="170"/>
        <v>81.460599999999999</v>
      </c>
      <c r="BK283" s="12">
        <f t="shared" si="171"/>
        <v>85.5304</v>
      </c>
      <c r="BL283" s="12">
        <f t="shared" si="172"/>
        <v>68.4114</v>
      </c>
      <c r="BM283" s="12">
        <f t="shared" si="173"/>
        <v>13.6952</v>
      </c>
      <c r="BN283" s="12">
        <f t="shared" si="174"/>
        <v>13.6952</v>
      </c>
      <c r="BO283" s="12">
        <f t="shared" si="175"/>
        <v>10.2714</v>
      </c>
      <c r="BP283" s="12">
        <f t="shared" si="176"/>
        <v>39.082999999999998</v>
      </c>
      <c r="BQ283" s="12">
        <f t="shared" si="177"/>
        <v>65.149100000000004</v>
      </c>
      <c r="BR283" s="12">
        <f t="shared" si="178"/>
        <v>85.5304</v>
      </c>
      <c r="BS283" s="12">
        <f t="shared" si="179"/>
        <v>85.5304</v>
      </c>
      <c r="BT283" s="1"/>
      <c r="BU283" s="11">
        <f t="shared" si="180"/>
        <v>99.167064258624706</v>
      </c>
      <c r="BV283" s="11">
        <f t="shared" si="181"/>
        <v>82.650144104511398</v>
      </c>
      <c r="BW283" s="11">
        <f t="shared" si="182"/>
        <v>82.650144104511398</v>
      </c>
      <c r="BX283" s="11">
        <f t="shared" si="183"/>
        <v>86.779374143039732</v>
      </c>
      <c r="BY283" s="11">
        <f t="shared" si="184"/>
        <v>69.410390647642799</v>
      </c>
      <c r="BZ283" s="11">
        <f t="shared" si="185"/>
        <v>13.895186796317539</v>
      </c>
      <c r="CA283" s="11">
        <f t="shared" si="186"/>
        <v>13.895186796317539</v>
      </c>
      <c r="CB283" s="11">
        <f t="shared" si="187"/>
        <v>10.421390097238154</v>
      </c>
      <c r="CC283" s="11">
        <f t="shared" si="188"/>
        <v>39.6537170366609</v>
      </c>
      <c r="CD283" s="11">
        <f t="shared" si="189"/>
        <v>66.100452283425653</v>
      </c>
      <c r="CE283" s="11">
        <f t="shared" si="190"/>
        <v>86.779374143039732</v>
      </c>
      <c r="CF283" s="11">
        <f t="shared" si="191"/>
        <v>86.779374143039732</v>
      </c>
      <c r="CG283" s="11"/>
      <c r="CH283" s="41">
        <v>3.23</v>
      </c>
      <c r="CI283" s="1"/>
      <c r="CJ283" s="53">
        <f t="shared" si="192"/>
        <v>30457</v>
      </c>
      <c r="CK283" s="53">
        <f t="shared" si="193"/>
        <v>25384</v>
      </c>
      <c r="CL283" s="53">
        <f t="shared" si="194"/>
        <v>25384</v>
      </c>
      <c r="CM283" s="53">
        <f t="shared" si="195"/>
        <v>26652</v>
      </c>
      <c r="CN283" s="53">
        <f t="shared" si="196"/>
        <v>21318</v>
      </c>
      <c r="CO283" s="53">
        <f t="shared" si="197"/>
        <v>4268</v>
      </c>
      <c r="CP283" s="53">
        <f t="shared" si="198"/>
        <v>4268</v>
      </c>
      <c r="CQ283" s="53">
        <f t="shared" si="199"/>
        <v>3201</v>
      </c>
      <c r="CR283" s="53">
        <f t="shared" si="200"/>
        <v>12179</v>
      </c>
      <c r="CS283" s="53">
        <f t="shared" si="201"/>
        <v>20301</v>
      </c>
      <c r="CT283" s="53">
        <f t="shared" si="202"/>
        <v>26652</v>
      </c>
      <c r="CU283" s="53">
        <f t="shared" si="203"/>
        <v>26652</v>
      </c>
      <c r="CV283" s="53">
        <f t="shared" si="165"/>
        <v>226716</v>
      </c>
      <c r="CW283" s="1"/>
      <c r="CX283" s="1"/>
      <c r="CY283" s="1"/>
      <c r="CZ283" s="1"/>
      <c r="DA283" s="1"/>
      <c r="DB283" s="1"/>
      <c r="DC283" s="1"/>
      <c r="DD283" s="1"/>
      <c r="DE283" s="1"/>
      <c r="DF283" s="1"/>
      <c r="DG283" s="1"/>
      <c r="DH283" s="1"/>
      <c r="DI283" s="1"/>
      <c r="DJ283" s="1"/>
      <c r="DK283" s="1"/>
      <c r="DL283" s="1"/>
    </row>
    <row r="284" spans="1:116" ht="15.75" hidden="1" x14ac:dyDescent="0.25">
      <c r="A284" s="16"/>
      <c r="B284" s="44"/>
      <c r="C284" s="44"/>
      <c r="D284" s="44"/>
      <c r="E284" s="44"/>
      <c r="F284" s="45" t="s">
        <v>2948</v>
      </c>
      <c r="G284" s="58">
        <v>18.39</v>
      </c>
      <c r="H284" s="58">
        <v>13.79</v>
      </c>
      <c r="I284" s="58">
        <v>10.57</v>
      </c>
      <c r="J284" s="58">
        <v>7.47</v>
      </c>
      <c r="K284" s="58">
        <v>8.27</v>
      </c>
      <c r="L284" s="58">
        <v>3.86</v>
      </c>
      <c r="M284" s="58">
        <v>3.86</v>
      </c>
      <c r="N284" s="58">
        <v>4.5999999999999996</v>
      </c>
      <c r="O284" s="58">
        <v>9.19</v>
      </c>
      <c r="P284" s="58">
        <v>13.79</v>
      </c>
      <c r="Q284" s="58">
        <v>13.79</v>
      </c>
      <c r="R284" s="58">
        <v>10.11</v>
      </c>
      <c r="S284" s="11">
        <f t="shared" si="166"/>
        <v>117.68999999999998</v>
      </c>
      <c r="T284" s="10">
        <f t="shared" si="167"/>
        <v>4.9959853688999863E-2</v>
      </c>
      <c r="U284" s="13" t="s">
        <v>2951</v>
      </c>
      <c r="V284" s="50">
        <f t="shared" si="164"/>
        <v>268775</v>
      </c>
      <c r="W284" s="36">
        <v>1.4350000000000001</v>
      </c>
      <c r="X284" s="36">
        <v>1.4350000000000001</v>
      </c>
      <c r="Y284" s="36">
        <v>1.4350000000000001</v>
      </c>
      <c r="Z284" s="36">
        <v>1.4350000000000001</v>
      </c>
      <c r="AA284" s="36">
        <v>1.4350000000000001</v>
      </c>
      <c r="AB284" s="36">
        <v>1.4350000000000001</v>
      </c>
      <c r="AC284" s="36">
        <v>1.4350000000000001</v>
      </c>
      <c r="AD284" s="36">
        <v>1.4350000000000001</v>
      </c>
      <c r="AE284" s="36">
        <v>1.4350000000000001</v>
      </c>
      <c r="AF284" s="36">
        <v>1.4350000000000001</v>
      </c>
      <c r="AG284" s="36">
        <v>1.4350000000000001</v>
      </c>
      <c r="AH284" s="36">
        <v>1.4350000000000001</v>
      </c>
      <c r="AI284" s="39">
        <v>1.33634708931066E-2</v>
      </c>
      <c r="AJ284" s="39">
        <v>1.33634708931066E-2</v>
      </c>
      <c r="AK284" s="39">
        <v>1.33634708931066E-2</v>
      </c>
      <c r="AL284" s="39">
        <v>1.33634708931066E-2</v>
      </c>
      <c r="AM284" s="39">
        <v>1.33634708931066E-2</v>
      </c>
      <c r="AN284" s="39">
        <v>1.33634708931066E-2</v>
      </c>
      <c r="AO284" s="39">
        <v>1.33634708931066E-2</v>
      </c>
      <c r="AP284" s="39">
        <v>1.33634708931066E-2</v>
      </c>
      <c r="AQ284" s="39">
        <v>1.33634708931066E-2</v>
      </c>
      <c r="AR284" s="39">
        <v>1.33634708931066E-2</v>
      </c>
      <c r="AS284" s="39">
        <v>1.33634708931066E-2</v>
      </c>
      <c r="AT284" s="39">
        <v>1.33634708931066E-2</v>
      </c>
      <c r="AU284" s="39">
        <v>1.2392217523121999E-3</v>
      </c>
      <c r="AV284" s="39">
        <v>1.2392217523121999E-3</v>
      </c>
      <c r="AW284" s="39">
        <v>1.2392217523121999E-3</v>
      </c>
      <c r="AX284" s="39">
        <v>1.2392217523121999E-3</v>
      </c>
      <c r="AY284" s="39">
        <v>1.2392217523121999E-3</v>
      </c>
      <c r="AZ284" s="39">
        <v>1.2392217523121999E-3</v>
      </c>
      <c r="BA284" s="39">
        <v>1.2392217523121999E-3</v>
      </c>
      <c r="BB284" s="39">
        <v>1.2392217523121999E-3</v>
      </c>
      <c r="BC284" s="39">
        <v>1.2392217523121999E-3</v>
      </c>
      <c r="BD284" s="39">
        <v>1.2392217523121999E-3</v>
      </c>
      <c r="BE284" s="39">
        <v>1.2392217523121999E-3</v>
      </c>
      <c r="BF284" s="39">
        <v>1.2392217523121999E-3</v>
      </c>
      <c r="BG284" s="1"/>
      <c r="BH284" s="12">
        <f t="shared" si="168"/>
        <v>59.399700000000003</v>
      </c>
      <c r="BI284" s="12">
        <f t="shared" si="169"/>
        <v>44.541699999999999</v>
      </c>
      <c r="BJ284" s="12">
        <f t="shared" si="170"/>
        <v>34.141100000000002</v>
      </c>
      <c r="BK284" s="12">
        <f t="shared" si="171"/>
        <v>24.1281</v>
      </c>
      <c r="BL284" s="12">
        <f t="shared" si="172"/>
        <v>26.7121</v>
      </c>
      <c r="BM284" s="12">
        <f t="shared" si="173"/>
        <v>12.467799999999999</v>
      </c>
      <c r="BN284" s="12">
        <f t="shared" si="174"/>
        <v>12.467799999999999</v>
      </c>
      <c r="BO284" s="12">
        <f t="shared" si="175"/>
        <v>14.857999999999999</v>
      </c>
      <c r="BP284" s="12">
        <f t="shared" si="176"/>
        <v>29.683699999999998</v>
      </c>
      <c r="BQ284" s="12">
        <f t="shared" si="177"/>
        <v>44.541699999999999</v>
      </c>
      <c r="BR284" s="12">
        <f t="shared" si="178"/>
        <v>44.541699999999999</v>
      </c>
      <c r="BS284" s="12">
        <f t="shared" si="179"/>
        <v>32.655299999999997</v>
      </c>
      <c r="BT284" s="1"/>
      <c r="BU284" s="11">
        <f t="shared" si="180"/>
        <v>60.267095562330084</v>
      </c>
      <c r="BV284" s="11">
        <f t="shared" si="181"/>
        <v>45.192128755004447</v>
      </c>
      <c r="BW284" s="11">
        <f t="shared" si="182"/>
        <v>34.639651989876512</v>
      </c>
      <c r="BX284" s="11">
        <f t="shared" si="183"/>
        <v>24.480435228417928</v>
      </c>
      <c r="BY284" s="11">
        <f t="shared" si="184"/>
        <v>27.10216858621369</v>
      </c>
      <c r="BZ284" s="11">
        <f t="shared" si="185"/>
        <v>12.649863451364551</v>
      </c>
      <c r="CA284" s="11">
        <f t="shared" si="186"/>
        <v>12.649863451364551</v>
      </c>
      <c r="CB284" s="11">
        <f t="shared" si="187"/>
        <v>15.074966807325632</v>
      </c>
      <c r="CC284" s="11">
        <f t="shared" si="188"/>
        <v>30.117161947678817</v>
      </c>
      <c r="CD284" s="11">
        <f t="shared" si="189"/>
        <v>45.192128755004447</v>
      </c>
      <c r="CE284" s="11">
        <f t="shared" si="190"/>
        <v>45.192128755004447</v>
      </c>
      <c r="CF284" s="11">
        <f t="shared" si="191"/>
        <v>33.13215530914394</v>
      </c>
      <c r="CG284" s="11"/>
      <c r="CH284" s="41">
        <v>3.23</v>
      </c>
      <c r="CI284" s="1"/>
      <c r="CJ284" s="53">
        <f t="shared" si="192"/>
        <v>41998</v>
      </c>
      <c r="CK284" s="53">
        <f t="shared" si="193"/>
        <v>31493</v>
      </c>
      <c r="CL284" s="53">
        <f t="shared" si="194"/>
        <v>24139</v>
      </c>
      <c r="CM284" s="53">
        <f t="shared" si="195"/>
        <v>17060</v>
      </c>
      <c r="CN284" s="53">
        <f t="shared" si="196"/>
        <v>18887</v>
      </c>
      <c r="CO284" s="53">
        <f t="shared" si="197"/>
        <v>8815</v>
      </c>
      <c r="CP284" s="53">
        <f t="shared" si="198"/>
        <v>8815</v>
      </c>
      <c r="CQ284" s="53">
        <f t="shared" si="199"/>
        <v>10505</v>
      </c>
      <c r="CR284" s="53">
        <f t="shared" si="200"/>
        <v>20988</v>
      </c>
      <c r="CS284" s="53">
        <f t="shared" si="201"/>
        <v>31493</v>
      </c>
      <c r="CT284" s="53">
        <f t="shared" si="202"/>
        <v>31493</v>
      </c>
      <c r="CU284" s="53">
        <f t="shared" si="203"/>
        <v>23089</v>
      </c>
      <c r="CV284" s="53">
        <f t="shared" si="165"/>
        <v>268775</v>
      </c>
      <c r="CW284" s="1"/>
      <c r="CX284" s="1"/>
      <c r="CY284" s="1"/>
      <c r="CZ284" s="1"/>
      <c r="DA284" s="1"/>
      <c r="DB284" s="1"/>
      <c r="DC284" s="1"/>
      <c r="DD284" s="1"/>
      <c r="DE284" s="1"/>
      <c r="DF284" s="1"/>
      <c r="DG284" s="1"/>
      <c r="DH284" s="1"/>
      <c r="DI284" s="1"/>
      <c r="DJ284" s="1"/>
      <c r="DK284" s="1"/>
      <c r="DL284" s="1"/>
    </row>
    <row r="285" spans="1:116" ht="15.75" hidden="1" x14ac:dyDescent="0.25">
      <c r="A285" s="16"/>
      <c r="B285" s="44"/>
      <c r="C285" s="44"/>
      <c r="D285" s="44"/>
      <c r="E285" s="44"/>
      <c r="F285" s="45" t="s">
        <v>2948</v>
      </c>
      <c r="G285" s="58">
        <v>11.47</v>
      </c>
      <c r="H285" s="58">
        <v>8.41</v>
      </c>
      <c r="I285" s="58">
        <v>7.36</v>
      </c>
      <c r="J285" s="58">
        <v>7.36</v>
      </c>
      <c r="K285" s="58">
        <v>7.36</v>
      </c>
      <c r="L285" s="58">
        <v>4.21</v>
      </c>
      <c r="M285" s="58">
        <v>4.21</v>
      </c>
      <c r="N285" s="58">
        <v>12.62</v>
      </c>
      <c r="O285" s="58">
        <v>15.77</v>
      </c>
      <c r="P285" s="58">
        <v>15.77</v>
      </c>
      <c r="Q285" s="58">
        <v>15.77</v>
      </c>
      <c r="R285" s="58">
        <v>15.77</v>
      </c>
      <c r="S285" s="11">
        <f t="shared" si="166"/>
        <v>126.07999999999998</v>
      </c>
      <c r="T285" s="10">
        <f t="shared" si="167"/>
        <v>6.0030267361694985E-2</v>
      </c>
      <c r="U285" s="13" t="s">
        <v>2951</v>
      </c>
      <c r="V285" s="50">
        <f t="shared" si="164"/>
        <v>139777</v>
      </c>
      <c r="W285" s="36">
        <v>2.956</v>
      </c>
      <c r="X285" s="36">
        <v>2.956</v>
      </c>
      <c r="Y285" s="36">
        <v>2.956</v>
      </c>
      <c r="Z285" s="36">
        <v>2.956</v>
      </c>
      <c r="AA285" s="36">
        <v>2.956</v>
      </c>
      <c r="AB285" s="36">
        <v>2.956</v>
      </c>
      <c r="AC285" s="36">
        <v>2.956</v>
      </c>
      <c r="AD285" s="36">
        <v>2.956</v>
      </c>
      <c r="AE285" s="36">
        <v>2.956</v>
      </c>
      <c r="AF285" s="36">
        <v>2.956</v>
      </c>
      <c r="AG285" s="36">
        <v>2.956</v>
      </c>
      <c r="AH285" s="36">
        <v>2.956</v>
      </c>
      <c r="AI285" s="39">
        <v>1.33634708931066E-2</v>
      </c>
      <c r="AJ285" s="39">
        <v>1.33634708931066E-2</v>
      </c>
      <c r="AK285" s="39">
        <v>1.33634708931066E-2</v>
      </c>
      <c r="AL285" s="39">
        <v>1.33634708931066E-2</v>
      </c>
      <c r="AM285" s="39">
        <v>1.33634708931066E-2</v>
      </c>
      <c r="AN285" s="39">
        <v>1.33634708931066E-2</v>
      </c>
      <c r="AO285" s="39">
        <v>1.33634708931066E-2</v>
      </c>
      <c r="AP285" s="39">
        <v>1.33634708931066E-2</v>
      </c>
      <c r="AQ285" s="39">
        <v>1.33634708931066E-2</v>
      </c>
      <c r="AR285" s="39">
        <v>1.33634708931066E-2</v>
      </c>
      <c r="AS285" s="39">
        <v>1.33634708931066E-2</v>
      </c>
      <c r="AT285" s="39">
        <v>1.33634708931066E-2</v>
      </c>
      <c r="AU285" s="39">
        <v>1.2392217523121999E-3</v>
      </c>
      <c r="AV285" s="39">
        <v>1.2392217523121999E-3</v>
      </c>
      <c r="AW285" s="39">
        <v>1.2392217523121999E-3</v>
      </c>
      <c r="AX285" s="39">
        <v>1.2392217523121999E-3</v>
      </c>
      <c r="AY285" s="39">
        <v>1.2392217523121999E-3</v>
      </c>
      <c r="AZ285" s="39">
        <v>1.2392217523121999E-3</v>
      </c>
      <c r="BA285" s="39">
        <v>1.2392217523121999E-3</v>
      </c>
      <c r="BB285" s="39">
        <v>1.2392217523121999E-3</v>
      </c>
      <c r="BC285" s="39">
        <v>1.2392217523121999E-3</v>
      </c>
      <c r="BD285" s="39">
        <v>1.2392217523121999E-3</v>
      </c>
      <c r="BE285" s="39">
        <v>1.2392217523121999E-3</v>
      </c>
      <c r="BF285" s="39">
        <v>1.2392217523121999E-3</v>
      </c>
      <c r="BG285" s="1"/>
      <c r="BH285" s="12">
        <f t="shared" si="168"/>
        <v>37.048100000000005</v>
      </c>
      <c r="BI285" s="12">
        <f t="shared" si="169"/>
        <v>27.164300000000001</v>
      </c>
      <c r="BJ285" s="12">
        <f t="shared" si="170"/>
        <v>23.7728</v>
      </c>
      <c r="BK285" s="12">
        <f t="shared" si="171"/>
        <v>23.7728</v>
      </c>
      <c r="BL285" s="12">
        <f t="shared" si="172"/>
        <v>23.7728</v>
      </c>
      <c r="BM285" s="12">
        <f t="shared" si="173"/>
        <v>13.5983</v>
      </c>
      <c r="BN285" s="12">
        <f t="shared" si="174"/>
        <v>13.5983</v>
      </c>
      <c r="BO285" s="12">
        <f t="shared" si="175"/>
        <v>40.762599999999999</v>
      </c>
      <c r="BP285" s="12">
        <f t="shared" si="176"/>
        <v>50.937100000000001</v>
      </c>
      <c r="BQ285" s="12">
        <f t="shared" si="177"/>
        <v>50.937100000000001</v>
      </c>
      <c r="BR285" s="12">
        <f t="shared" si="178"/>
        <v>50.937100000000001</v>
      </c>
      <c r="BS285" s="12">
        <f t="shared" si="179"/>
        <v>50.937100000000001</v>
      </c>
      <c r="BT285" s="1"/>
      <c r="BU285" s="11">
        <f t="shared" si="180"/>
        <v>37.589102017396748</v>
      </c>
      <c r="BV285" s="11">
        <f t="shared" si="181"/>
        <v>27.56097192382795</v>
      </c>
      <c r="BW285" s="11">
        <f t="shared" si="182"/>
        <v>24.119946891721014</v>
      </c>
      <c r="BX285" s="11">
        <f t="shared" si="183"/>
        <v>24.119946891721014</v>
      </c>
      <c r="BY285" s="11">
        <f t="shared" si="184"/>
        <v>24.119946891721014</v>
      </c>
      <c r="BZ285" s="11">
        <f t="shared" si="185"/>
        <v>13.796871795400198</v>
      </c>
      <c r="CA285" s="11">
        <f t="shared" si="186"/>
        <v>13.796871795400198</v>
      </c>
      <c r="CB285" s="11">
        <f t="shared" si="187"/>
        <v>41.35784371922815</v>
      </c>
      <c r="CC285" s="11">
        <f t="shared" si="188"/>
        <v>51.680918815548964</v>
      </c>
      <c r="CD285" s="11">
        <f t="shared" si="189"/>
        <v>51.680918815548964</v>
      </c>
      <c r="CE285" s="11">
        <f t="shared" si="190"/>
        <v>51.680918815548964</v>
      </c>
      <c r="CF285" s="11">
        <f t="shared" si="191"/>
        <v>51.680918815548964</v>
      </c>
      <c r="CG285" s="11"/>
      <c r="CH285" s="41">
        <v>3.23</v>
      </c>
      <c r="CI285" s="1"/>
      <c r="CJ285" s="53">
        <f t="shared" si="192"/>
        <v>12716</v>
      </c>
      <c r="CK285" s="53">
        <f t="shared" si="193"/>
        <v>9324</v>
      </c>
      <c r="CL285" s="53">
        <f t="shared" si="194"/>
        <v>8160</v>
      </c>
      <c r="CM285" s="53">
        <f t="shared" si="195"/>
        <v>8160</v>
      </c>
      <c r="CN285" s="53">
        <f t="shared" si="196"/>
        <v>8160</v>
      </c>
      <c r="CO285" s="53">
        <f t="shared" si="197"/>
        <v>4667</v>
      </c>
      <c r="CP285" s="53">
        <f t="shared" si="198"/>
        <v>4667</v>
      </c>
      <c r="CQ285" s="53">
        <f t="shared" si="199"/>
        <v>13991</v>
      </c>
      <c r="CR285" s="53">
        <f t="shared" si="200"/>
        <v>17483</v>
      </c>
      <c r="CS285" s="53">
        <f t="shared" si="201"/>
        <v>17483</v>
      </c>
      <c r="CT285" s="53">
        <f t="shared" si="202"/>
        <v>17483</v>
      </c>
      <c r="CU285" s="53">
        <f t="shared" si="203"/>
        <v>17483</v>
      </c>
      <c r="CV285" s="53">
        <f t="shared" si="165"/>
        <v>139777</v>
      </c>
      <c r="CW285" s="1"/>
      <c r="CX285" s="1"/>
      <c r="CY285" s="1"/>
      <c r="CZ285" s="1"/>
      <c r="DA285" s="1"/>
      <c r="DB285" s="1"/>
      <c r="DC285" s="1"/>
      <c r="DD285" s="1"/>
      <c r="DE285" s="1"/>
      <c r="DF285" s="1"/>
      <c r="DG285" s="1"/>
      <c r="DH285" s="1"/>
      <c r="DI285" s="1"/>
      <c r="DJ285" s="1"/>
      <c r="DK285" s="1"/>
      <c r="DL285" s="1"/>
    </row>
    <row r="286" spans="1:116" ht="15.75" hidden="1" x14ac:dyDescent="0.25">
      <c r="A286" s="16"/>
      <c r="B286" s="44"/>
      <c r="C286" s="44"/>
      <c r="D286" s="44"/>
      <c r="E286" s="44"/>
      <c r="F286" s="45" t="s">
        <v>2948</v>
      </c>
      <c r="G286" s="58">
        <v>106.18</v>
      </c>
      <c r="H286" s="58">
        <v>153.51</v>
      </c>
      <c r="I286" s="58">
        <v>110.95</v>
      </c>
      <c r="J286" s="58">
        <v>66.569999999999993</v>
      </c>
      <c r="K286" s="58">
        <v>66.569999999999993</v>
      </c>
      <c r="L286" s="58">
        <v>66.569999999999993</v>
      </c>
      <c r="M286" s="58">
        <v>66.569999999999993</v>
      </c>
      <c r="N286" s="58">
        <v>88.76</v>
      </c>
      <c r="O286" s="58">
        <v>144.22999999999999</v>
      </c>
      <c r="P286" s="58">
        <v>155.32</v>
      </c>
      <c r="Q286" s="58">
        <v>155.32</v>
      </c>
      <c r="R286" s="58">
        <v>88.76</v>
      </c>
      <c r="S286" s="11">
        <f t="shared" si="166"/>
        <v>1269.3099999999997</v>
      </c>
      <c r="T286" s="10">
        <f t="shared" si="167"/>
        <v>6.0010856403189837E-2</v>
      </c>
      <c r="U286" s="13" t="s">
        <v>2951</v>
      </c>
      <c r="V286" s="50">
        <f t="shared" si="164"/>
        <v>1196702</v>
      </c>
      <c r="W286" s="36">
        <v>3.476</v>
      </c>
      <c r="X286" s="36">
        <v>3.476</v>
      </c>
      <c r="Y286" s="36">
        <v>3.476</v>
      </c>
      <c r="Z286" s="36">
        <v>3.476</v>
      </c>
      <c r="AA286" s="36">
        <v>3.476</v>
      </c>
      <c r="AB286" s="36">
        <v>3.476</v>
      </c>
      <c r="AC286" s="36">
        <v>3.476</v>
      </c>
      <c r="AD286" s="36">
        <v>3.476</v>
      </c>
      <c r="AE286" s="36">
        <v>3.476</v>
      </c>
      <c r="AF286" s="36">
        <v>3.476</v>
      </c>
      <c r="AG286" s="36">
        <v>3.476</v>
      </c>
      <c r="AH286" s="36">
        <v>3.476</v>
      </c>
      <c r="AI286" s="39">
        <v>1.33634708931066E-2</v>
      </c>
      <c r="AJ286" s="39">
        <v>1.33634708931066E-2</v>
      </c>
      <c r="AK286" s="39">
        <v>1.33634708931066E-2</v>
      </c>
      <c r="AL286" s="39">
        <v>1.33634708931066E-2</v>
      </c>
      <c r="AM286" s="39">
        <v>1.33634708931066E-2</v>
      </c>
      <c r="AN286" s="39">
        <v>1.33634708931066E-2</v>
      </c>
      <c r="AO286" s="39">
        <v>1.33634708931066E-2</v>
      </c>
      <c r="AP286" s="39">
        <v>1.33634708931066E-2</v>
      </c>
      <c r="AQ286" s="39">
        <v>1.33634708931066E-2</v>
      </c>
      <c r="AR286" s="39">
        <v>1.33634708931066E-2</v>
      </c>
      <c r="AS286" s="39">
        <v>1.33634708931066E-2</v>
      </c>
      <c r="AT286" s="39">
        <v>1.33634708931066E-2</v>
      </c>
      <c r="AU286" s="39">
        <v>1.2392217523121999E-3</v>
      </c>
      <c r="AV286" s="39">
        <v>1.2392217523121999E-3</v>
      </c>
      <c r="AW286" s="39">
        <v>1.2392217523121999E-3</v>
      </c>
      <c r="AX286" s="39">
        <v>1.2392217523121999E-3</v>
      </c>
      <c r="AY286" s="39">
        <v>1.2392217523121999E-3</v>
      </c>
      <c r="AZ286" s="39">
        <v>1.2392217523121999E-3</v>
      </c>
      <c r="BA286" s="39">
        <v>1.2392217523121999E-3</v>
      </c>
      <c r="BB286" s="39">
        <v>1.2392217523121999E-3</v>
      </c>
      <c r="BC286" s="39">
        <v>1.2392217523121999E-3</v>
      </c>
      <c r="BD286" s="39">
        <v>1.2392217523121999E-3</v>
      </c>
      <c r="BE286" s="39">
        <v>1.2392217523121999E-3</v>
      </c>
      <c r="BF286" s="39">
        <v>1.2392217523121999E-3</v>
      </c>
      <c r="BG286" s="1"/>
      <c r="BH286" s="12">
        <f t="shared" si="168"/>
        <v>342.96140000000003</v>
      </c>
      <c r="BI286" s="12">
        <f t="shared" si="169"/>
        <v>495.83729999999997</v>
      </c>
      <c r="BJ286" s="12">
        <f t="shared" si="170"/>
        <v>358.36849999999998</v>
      </c>
      <c r="BK286" s="12">
        <f t="shared" si="171"/>
        <v>215.02109999999999</v>
      </c>
      <c r="BL286" s="12">
        <f t="shared" si="172"/>
        <v>215.02109999999999</v>
      </c>
      <c r="BM286" s="12">
        <f t="shared" si="173"/>
        <v>215.02109999999999</v>
      </c>
      <c r="BN286" s="12">
        <f t="shared" si="174"/>
        <v>215.02109999999999</v>
      </c>
      <c r="BO286" s="12">
        <f t="shared" si="175"/>
        <v>286.69479999999999</v>
      </c>
      <c r="BP286" s="12">
        <f t="shared" si="176"/>
        <v>465.86289999999997</v>
      </c>
      <c r="BQ286" s="12">
        <f t="shared" si="177"/>
        <v>501.68359999999996</v>
      </c>
      <c r="BR286" s="12">
        <f t="shared" si="178"/>
        <v>501.68359999999996</v>
      </c>
      <c r="BS286" s="12">
        <f t="shared" si="179"/>
        <v>286.69479999999999</v>
      </c>
      <c r="BT286" s="1"/>
      <c r="BU286" s="11">
        <f t="shared" si="180"/>
        <v>347.96955991344254</v>
      </c>
      <c r="BV286" s="11">
        <f t="shared" si="181"/>
        <v>503.07785969403426</v>
      </c>
      <c r="BW286" s="11">
        <f t="shared" si="182"/>
        <v>363.60164505929976</v>
      </c>
      <c r="BX286" s="11">
        <f t="shared" si="183"/>
        <v>218.16098703557984</v>
      </c>
      <c r="BY286" s="11">
        <f t="shared" si="184"/>
        <v>218.16098703557984</v>
      </c>
      <c r="BZ286" s="11">
        <f t="shared" si="185"/>
        <v>218.16098703557984</v>
      </c>
      <c r="CA286" s="11">
        <f t="shared" si="186"/>
        <v>218.16098703557984</v>
      </c>
      <c r="CB286" s="11">
        <f t="shared" si="187"/>
        <v>290.88131604743978</v>
      </c>
      <c r="CC286" s="11">
        <f t="shared" si="188"/>
        <v>472.66575274360343</v>
      </c>
      <c r="CD286" s="11">
        <f t="shared" si="189"/>
        <v>509.0095314160472</v>
      </c>
      <c r="CE286" s="11">
        <f t="shared" si="190"/>
        <v>509.0095314160472</v>
      </c>
      <c r="CF286" s="11">
        <f t="shared" si="191"/>
        <v>290.88131604743978</v>
      </c>
      <c r="CG286" s="11"/>
      <c r="CH286" s="41">
        <v>3.23</v>
      </c>
      <c r="CI286" s="1"/>
      <c r="CJ286" s="53">
        <f t="shared" si="192"/>
        <v>100106</v>
      </c>
      <c r="CK286" s="53">
        <f t="shared" si="193"/>
        <v>144729</v>
      </c>
      <c r="CL286" s="53">
        <f t="shared" si="194"/>
        <v>104603</v>
      </c>
      <c r="CM286" s="53">
        <f t="shared" si="195"/>
        <v>62762</v>
      </c>
      <c r="CN286" s="53">
        <f t="shared" si="196"/>
        <v>62762</v>
      </c>
      <c r="CO286" s="53">
        <f t="shared" si="197"/>
        <v>62762</v>
      </c>
      <c r="CP286" s="53">
        <f t="shared" si="198"/>
        <v>62762</v>
      </c>
      <c r="CQ286" s="53">
        <f t="shared" si="199"/>
        <v>83683</v>
      </c>
      <c r="CR286" s="53">
        <f t="shared" si="200"/>
        <v>135980</v>
      </c>
      <c r="CS286" s="53">
        <f t="shared" si="201"/>
        <v>146435</v>
      </c>
      <c r="CT286" s="53">
        <f t="shared" si="202"/>
        <v>146435</v>
      </c>
      <c r="CU286" s="53">
        <f t="shared" si="203"/>
        <v>83683</v>
      </c>
      <c r="CV286" s="53">
        <f t="shared" si="165"/>
        <v>1196702</v>
      </c>
      <c r="CW286" s="1"/>
      <c r="CX286" s="1"/>
      <c r="CY286" s="1"/>
      <c r="CZ286" s="1"/>
      <c r="DA286" s="1"/>
      <c r="DB286" s="1"/>
      <c r="DC286" s="1"/>
      <c r="DD286" s="1"/>
      <c r="DE286" s="1"/>
      <c r="DF286" s="1"/>
      <c r="DG286" s="1"/>
      <c r="DH286" s="1"/>
      <c r="DI286" s="1"/>
      <c r="DJ286" s="1"/>
      <c r="DK286" s="1"/>
      <c r="DL286" s="1"/>
    </row>
    <row r="287" spans="1:116" ht="15.75" hidden="1" x14ac:dyDescent="0.25">
      <c r="A287" s="16"/>
      <c r="B287" s="44"/>
      <c r="C287" s="44"/>
      <c r="D287" s="44"/>
      <c r="E287" s="44"/>
      <c r="F287" s="45" t="s">
        <v>2948</v>
      </c>
      <c r="G287" s="58">
        <v>253.21</v>
      </c>
      <c r="H287" s="58">
        <v>227.89</v>
      </c>
      <c r="I287" s="58">
        <v>189.91</v>
      </c>
      <c r="J287" s="58">
        <v>88.62</v>
      </c>
      <c r="K287" s="58">
        <v>92.17</v>
      </c>
      <c r="L287" s="58">
        <v>79</v>
      </c>
      <c r="M287" s="58">
        <v>79</v>
      </c>
      <c r="N287" s="58">
        <v>79</v>
      </c>
      <c r="O287" s="58">
        <v>158</v>
      </c>
      <c r="P287" s="58">
        <v>184.34</v>
      </c>
      <c r="Q287" s="58">
        <v>184.34</v>
      </c>
      <c r="R287" s="58">
        <v>131.66999999999999</v>
      </c>
      <c r="S287" s="11">
        <f t="shared" si="166"/>
        <v>1747.1499999999999</v>
      </c>
      <c r="T287" s="10">
        <f t="shared" si="167"/>
        <v>5.9996602477764206E-2</v>
      </c>
      <c r="U287" s="13" t="s">
        <v>2951</v>
      </c>
      <c r="V287" s="50">
        <f t="shared" si="164"/>
        <v>1462503</v>
      </c>
      <c r="W287" s="36">
        <v>3.915</v>
      </c>
      <c r="X287" s="36">
        <v>3.915</v>
      </c>
      <c r="Y287" s="36">
        <v>3.915</v>
      </c>
      <c r="Z287" s="36">
        <v>3.915</v>
      </c>
      <c r="AA287" s="36">
        <v>3.915</v>
      </c>
      <c r="AB287" s="36">
        <v>3.915</v>
      </c>
      <c r="AC287" s="36">
        <v>3.915</v>
      </c>
      <c r="AD287" s="36">
        <v>3.915</v>
      </c>
      <c r="AE287" s="36">
        <v>3.915</v>
      </c>
      <c r="AF287" s="36">
        <v>3.915</v>
      </c>
      <c r="AG287" s="36">
        <v>3.915</v>
      </c>
      <c r="AH287" s="36">
        <v>3.915</v>
      </c>
      <c r="AI287" s="39">
        <v>1.33634708931066E-2</v>
      </c>
      <c r="AJ287" s="39">
        <v>1.33634708931066E-2</v>
      </c>
      <c r="AK287" s="39">
        <v>1.33634708931066E-2</v>
      </c>
      <c r="AL287" s="39">
        <v>1.33634708931066E-2</v>
      </c>
      <c r="AM287" s="39">
        <v>1.33634708931066E-2</v>
      </c>
      <c r="AN287" s="39">
        <v>1.33634708931066E-2</v>
      </c>
      <c r="AO287" s="39">
        <v>1.33634708931066E-2</v>
      </c>
      <c r="AP287" s="39">
        <v>1.33634708931066E-2</v>
      </c>
      <c r="AQ287" s="39">
        <v>1.33634708931066E-2</v>
      </c>
      <c r="AR287" s="39">
        <v>1.33634708931066E-2</v>
      </c>
      <c r="AS287" s="39">
        <v>1.33634708931066E-2</v>
      </c>
      <c r="AT287" s="39">
        <v>1.33634708931066E-2</v>
      </c>
      <c r="AU287" s="39">
        <v>1.2392217523121999E-3</v>
      </c>
      <c r="AV287" s="39">
        <v>1.2392217523121999E-3</v>
      </c>
      <c r="AW287" s="39">
        <v>1.2392217523121999E-3</v>
      </c>
      <c r="AX287" s="39">
        <v>1.2392217523121999E-3</v>
      </c>
      <c r="AY287" s="39">
        <v>1.2392217523121999E-3</v>
      </c>
      <c r="AZ287" s="39">
        <v>1.2392217523121999E-3</v>
      </c>
      <c r="BA287" s="39">
        <v>1.2392217523121999E-3</v>
      </c>
      <c r="BB287" s="39">
        <v>1.2392217523121999E-3</v>
      </c>
      <c r="BC287" s="39">
        <v>1.2392217523121999E-3</v>
      </c>
      <c r="BD287" s="39">
        <v>1.2392217523121999E-3</v>
      </c>
      <c r="BE287" s="39">
        <v>1.2392217523121999E-3</v>
      </c>
      <c r="BF287" s="39">
        <v>1.2392217523121999E-3</v>
      </c>
      <c r="BG287" s="1"/>
      <c r="BH287" s="12">
        <f t="shared" si="168"/>
        <v>817.86829999999998</v>
      </c>
      <c r="BI287" s="12">
        <f t="shared" si="169"/>
        <v>736.0847</v>
      </c>
      <c r="BJ287" s="12">
        <f t="shared" si="170"/>
        <v>613.40930000000003</v>
      </c>
      <c r="BK287" s="12">
        <f t="shared" si="171"/>
        <v>286.24260000000004</v>
      </c>
      <c r="BL287" s="12">
        <f t="shared" si="172"/>
        <v>297.70909999999998</v>
      </c>
      <c r="BM287" s="12">
        <f t="shared" si="173"/>
        <v>255.17</v>
      </c>
      <c r="BN287" s="12">
        <f t="shared" si="174"/>
        <v>255.17</v>
      </c>
      <c r="BO287" s="12">
        <f t="shared" si="175"/>
        <v>255.17</v>
      </c>
      <c r="BP287" s="12">
        <f t="shared" si="176"/>
        <v>510.34</v>
      </c>
      <c r="BQ287" s="12">
        <f t="shared" si="177"/>
        <v>595.41819999999996</v>
      </c>
      <c r="BR287" s="12">
        <f t="shared" si="178"/>
        <v>595.41819999999996</v>
      </c>
      <c r="BS287" s="12">
        <f t="shared" si="179"/>
        <v>425.29409999999996</v>
      </c>
      <c r="BT287" s="1"/>
      <c r="BU287" s="11">
        <f t="shared" si="180"/>
        <v>829.81137940933115</v>
      </c>
      <c r="BV287" s="11">
        <f t="shared" si="181"/>
        <v>746.83351863509529</v>
      </c>
      <c r="BW287" s="11">
        <f t="shared" si="182"/>
        <v>622.36672747374155</v>
      </c>
      <c r="BX287" s="11">
        <f t="shared" si="183"/>
        <v>290.42251270982558</v>
      </c>
      <c r="BY287" s="11">
        <f t="shared" si="184"/>
        <v>302.05645448504424</v>
      </c>
      <c r="BZ287" s="11">
        <f t="shared" si="185"/>
        <v>258.89616908233148</v>
      </c>
      <c r="CA287" s="11">
        <f t="shared" si="186"/>
        <v>258.89616908233148</v>
      </c>
      <c r="CB287" s="11">
        <f t="shared" si="187"/>
        <v>258.89616908233148</v>
      </c>
      <c r="CC287" s="11">
        <f t="shared" si="188"/>
        <v>517.79233816466297</v>
      </c>
      <c r="CD287" s="11">
        <f t="shared" si="189"/>
        <v>604.11290897008848</v>
      </c>
      <c r="CE287" s="11">
        <f t="shared" si="190"/>
        <v>604.11290897008848</v>
      </c>
      <c r="CF287" s="11">
        <f t="shared" si="191"/>
        <v>431.50453902620995</v>
      </c>
      <c r="CG287" s="11"/>
      <c r="CH287" s="41">
        <v>3.23</v>
      </c>
      <c r="CI287" s="1"/>
      <c r="CJ287" s="53">
        <f t="shared" si="192"/>
        <v>211957</v>
      </c>
      <c r="CK287" s="53">
        <f t="shared" si="193"/>
        <v>190762</v>
      </c>
      <c r="CL287" s="53">
        <f t="shared" si="194"/>
        <v>158970</v>
      </c>
      <c r="CM287" s="53">
        <f t="shared" si="195"/>
        <v>74182</v>
      </c>
      <c r="CN287" s="53">
        <f t="shared" si="196"/>
        <v>77154</v>
      </c>
      <c r="CO287" s="53">
        <f t="shared" si="197"/>
        <v>66129</v>
      </c>
      <c r="CP287" s="53">
        <f t="shared" si="198"/>
        <v>66129</v>
      </c>
      <c r="CQ287" s="53">
        <f t="shared" si="199"/>
        <v>66129</v>
      </c>
      <c r="CR287" s="53">
        <f t="shared" si="200"/>
        <v>132259</v>
      </c>
      <c r="CS287" s="53">
        <f t="shared" si="201"/>
        <v>154307</v>
      </c>
      <c r="CT287" s="53">
        <f t="shared" si="202"/>
        <v>154307</v>
      </c>
      <c r="CU287" s="53">
        <f t="shared" si="203"/>
        <v>110218</v>
      </c>
      <c r="CV287" s="53">
        <f t="shared" si="165"/>
        <v>1462503</v>
      </c>
      <c r="CW287" s="1"/>
      <c r="CX287" s="1"/>
      <c r="CY287" s="1"/>
      <c r="CZ287" s="1"/>
      <c r="DA287" s="1"/>
      <c r="DB287" s="1"/>
      <c r="DC287" s="1"/>
      <c r="DD287" s="1"/>
      <c r="DE287" s="1"/>
      <c r="DF287" s="1"/>
      <c r="DG287" s="1"/>
      <c r="DH287" s="1"/>
      <c r="DI287" s="1"/>
      <c r="DJ287" s="1"/>
      <c r="DK287" s="1"/>
      <c r="DL287" s="1"/>
    </row>
    <row r="288" spans="1:116" ht="15.75" hidden="1" x14ac:dyDescent="0.25">
      <c r="A288" s="16"/>
      <c r="B288" s="44"/>
      <c r="C288" s="44"/>
      <c r="D288" s="44"/>
      <c r="E288" s="44"/>
      <c r="F288" s="45" t="s">
        <v>2948</v>
      </c>
      <c r="G288" s="58">
        <v>41.1</v>
      </c>
      <c r="H288" s="58">
        <v>0</v>
      </c>
      <c r="I288" s="58">
        <v>82.19</v>
      </c>
      <c r="J288" s="58">
        <v>0</v>
      </c>
      <c r="K288" s="58">
        <v>0</v>
      </c>
      <c r="L288" s="58">
        <v>0</v>
      </c>
      <c r="M288" s="58">
        <v>0</v>
      </c>
      <c r="N288" s="58">
        <v>41.1</v>
      </c>
      <c r="O288" s="58">
        <v>0</v>
      </c>
      <c r="P288" s="58">
        <v>41.1</v>
      </c>
      <c r="Q288" s="58">
        <v>41.1</v>
      </c>
      <c r="R288" s="58">
        <v>41.1</v>
      </c>
      <c r="S288" s="11">
        <f t="shared" si="166"/>
        <v>287.69</v>
      </c>
      <c r="T288" s="10">
        <f t="shared" si="167"/>
        <v>5.004014891597941E-2</v>
      </c>
      <c r="U288" s="13" t="s">
        <v>2951</v>
      </c>
      <c r="V288" s="50">
        <f t="shared" si="164"/>
        <v>31752</v>
      </c>
      <c r="W288" s="36">
        <v>9.06</v>
      </c>
      <c r="X288" s="36">
        <v>9.06</v>
      </c>
      <c r="Y288" s="36">
        <v>9.06</v>
      </c>
      <c r="Z288" s="36">
        <v>9.06</v>
      </c>
      <c r="AA288" s="36">
        <v>9.06</v>
      </c>
      <c r="AB288" s="36">
        <v>9.06</v>
      </c>
      <c r="AC288" s="36">
        <v>9.06</v>
      </c>
      <c r="AD288" s="36">
        <v>9.06</v>
      </c>
      <c r="AE288" s="36">
        <v>9.06</v>
      </c>
      <c r="AF288" s="36">
        <v>9.06</v>
      </c>
      <c r="AG288" s="36">
        <v>9.06</v>
      </c>
      <c r="AH288" s="36">
        <v>9.06</v>
      </c>
      <c r="AI288" s="39">
        <v>0</v>
      </c>
      <c r="AJ288" s="39">
        <v>0</v>
      </c>
      <c r="AK288" s="39">
        <v>0</v>
      </c>
      <c r="AL288" s="39">
        <v>0</v>
      </c>
      <c r="AM288" s="39">
        <v>0</v>
      </c>
      <c r="AN288" s="39">
        <v>0</v>
      </c>
      <c r="AO288" s="39">
        <v>0</v>
      </c>
      <c r="AP288" s="39">
        <v>0</v>
      </c>
      <c r="AQ288" s="39">
        <v>0</v>
      </c>
      <c r="AR288" s="39">
        <v>0</v>
      </c>
      <c r="AS288" s="39">
        <v>0</v>
      </c>
      <c r="AT288" s="39">
        <v>0</v>
      </c>
      <c r="AU288" s="39">
        <v>0</v>
      </c>
      <c r="AV288" s="39">
        <v>0</v>
      </c>
      <c r="AW288" s="39">
        <v>0</v>
      </c>
      <c r="AX288" s="39">
        <v>0</v>
      </c>
      <c r="AY288" s="39">
        <v>0</v>
      </c>
      <c r="AZ288" s="39">
        <v>0</v>
      </c>
      <c r="BA288" s="39">
        <v>0</v>
      </c>
      <c r="BB288" s="39">
        <v>0</v>
      </c>
      <c r="BC288" s="39">
        <v>0</v>
      </c>
      <c r="BD288" s="39">
        <v>0</v>
      </c>
      <c r="BE288" s="39">
        <v>0</v>
      </c>
      <c r="BF288" s="39">
        <v>0</v>
      </c>
      <c r="BG288" s="1"/>
      <c r="BH288" s="12">
        <f t="shared" si="168"/>
        <v>41.1</v>
      </c>
      <c r="BI288" s="12">
        <f t="shared" si="169"/>
        <v>0</v>
      </c>
      <c r="BJ288" s="12">
        <f t="shared" si="170"/>
        <v>82.19</v>
      </c>
      <c r="BK288" s="12">
        <f t="shared" si="171"/>
        <v>0</v>
      </c>
      <c r="BL288" s="12">
        <f t="shared" si="172"/>
        <v>0</v>
      </c>
      <c r="BM288" s="12">
        <f t="shared" si="173"/>
        <v>0</v>
      </c>
      <c r="BN288" s="12">
        <f t="shared" si="174"/>
        <v>0</v>
      </c>
      <c r="BO288" s="12">
        <f t="shared" si="175"/>
        <v>41.1</v>
      </c>
      <c r="BP288" s="12">
        <f t="shared" si="176"/>
        <v>0</v>
      </c>
      <c r="BQ288" s="12">
        <f t="shared" si="177"/>
        <v>41.1</v>
      </c>
      <c r="BR288" s="12">
        <f t="shared" si="178"/>
        <v>41.1</v>
      </c>
      <c r="BS288" s="12">
        <f t="shared" si="179"/>
        <v>41.1</v>
      </c>
      <c r="BT288" s="1"/>
      <c r="BU288" s="11">
        <f t="shared" si="180"/>
        <v>41.1</v>
      </c>
      <c r="BV288" s="11">
        <f t="shared" si="181"/>
        <v>0</v>
      </c>
      <c r="BW288" s="11">
        <f t="shared" si="182"/>
        <v>82.19</v>
      </c>
      <c r="BX288" s="11">
        <f t="shared" si="183"/>
        <v>0</v>
      </c>
      <c r="BY288" s="11">
        <f t="shared" si="184"/>
        <v>0</v>
      </c>
      <c r="BZ288" s="11">
        <f t="shared" si="185"/>
        <v>0</v>
      </c>
      <c r="CA288" s="11">
        <f t="shared" si="186"/>
        <v>0</v>
      </c>
      <c r="CB288" s="11">
        <f t="shared" si="187"/>
        <v>41.1</v>
      </c>
      <c r="CC288" s="11">
        <f t="shared" si="188"/>
        <v>0</v>
      </c>
      <c r="CD288" s="11">
        <f t="shared" si="189"/>
        <v>41.1</v>
      </c>
      <c r="CE288" s="11">
        <f t="shared" si="190"/>
        <v>41.1</v>
      </c>
      <c r="CF288" s="11">
        <f t="shared" si="191"/>
        <v>41.1</v>
      </c>
      <c r="CG288" s="11"/>
      <c r="CH288" s="41">
        <v>1</v>
      </c>
      <c r="CI288" s="1"/>
      <c r="CJ288" s="53">
        <f t="shared" si="192"/>
        <v>4536</v>
      </c>
      <c r="CK288" s="53">
        <f t="shared" si="193"/>
        <v>0</v>
      </c>
      <c r="CL288" s="53">
        <f t="shared" si="194"/>
        <v>9072</v>
      </c>
      <c r="CM288" s="53">
        <f t="shared" si="195"/>
        <v>0</v>
      </c>
      <c r="CN288" s="53">
        <f t="shared" si="196"/>
        <v>0</v>
      </c>
      <c r="CO288" s="53">
        <f t="shared" si="197"/>
        <v>0</v>
      </c>
      <c r="CP288" s="53">
        <f t="shared" si="198"/>
        <v>0</v>
      </c>
      <c r="CQ288" s="53">
        <f t="shared" si="199"/>
        <v>4536</v>
      </c>
      <c r="CR288" s="53">
        <f t="shared" si="200"/>
        <v>0</v>
      </c>
      <c r="CS288" s="53">
        <f t="shared" si="201"/>
        <v>4536</v>
      </c>
      <c r="CT288" s="53">
        <f t="shared" si="202"/>
        <v>4536</v>
      </c>
      <c r="CU288" s="53">
        <f t="shared" si="203"/>
        <v>4536</v>
      </c>
      <c r="CV288" s="53">
        <f t="shared" si="165"/>
        <v>31752</v>
      </c>
      <c r="CW288" s="1"/>
      <c r="CX288" s="1"/>
      <c r="CY288" s="1"/>
      <c r="CZ288" s="1"/>
      <c r="DA288" s="1"/>
      <c r="DB288" s="1"/>
      <c r="DC288" s="1"/>
      <c r="DD288" s="1"/>
      <c r="DE288" s="1"/>
      <c r="DF288" s="1"/>
      <c r="DG288" s="1"/>
      <c r="DH288" s="1"/>
      <c r="DI288" s="1"/>
      <c r="DJ288" s="1"/>
      <c r="DK288" s="1"/>
      <c r="DL288" s="1"/>
    </row>
    <row r="289" spans="1:116" ht="15.75" hidden="1" x14ac:dyDescent="0.25">
      <c r="A289" s="16"/>
      <c r="B289" s="44"/>
      <c r="C289" s="44"/>
      <c r="D289" s="44"/>
      <c r="E289" s="44"/>
      <c r="F289" s="45" t="s">
        <v>2948</v>
      </c>
      <c r="G289" s="58">
        <v>0</v>
      </c>
      <c r="H289" s="58">
        <v>17.579999999999998</v>
      </c>
      <c r="I289" s="58">
        <v>0</v>
      </c>
      <c r="J289" s="58">
        <v>0</v>
      </c>
      <c r="K289" s="58">
        <v>17.579999999999998</v>
      </c>
      <c r="L289" s="58">
        <v>0</v>
      </c>
      <c r="M289" s="58">
        <v>8.7899999999999991</v>
      </c>
      <c r="N289" s="58">
        <v>0</v>
      </c>
      <c r="O289" s="58">
        <v>17.579999999999998</v>
      </c>
      <c r="P289" s="58">
        <v>0</v>
      </c>
      <c r="Q289" s="58">
        <v>17.579999999999998</v>
      </c>
      <c r="R289" s="58">
        <v>8.7899999999999991</v>
      </c>
      <c r="S289" s="11">
        <f t="shared" si="166"/>
        <v>87.899999999999977</v>
      </c>
      <c r="T289" s="10">
        <f t="shared" si="167"/>
        <v>0.11111111111111104</v>
      </c>
      <c r="U289" s="13" t="s">
        <v>2951</v>
      </c>
      <c r="V289" s="50">
        <f t="shared" si="164"/>
        <v>52010</v>
      </c>
      <c r="W289" s="36">
        <v>1.69</v>
      </c>
      <c r="X289" s="36">
        <v>1.69</v>
      </c>
      <c r="Y289" s="36">
        <v>1.69</v>
      </c>
      <c r="Z289" s="36">
        <v>1.69</v>
      </c>
      <c r="AA289" s="36">
        <v>1.69</v>
      </c>
      <c r="AB289" s="36">
        <v>1.69</v>
      </c>
      <c r="AC289" s="36">
        <v>1.69</v>
      </c>
      <c r="AD289" s="36">
        <v>1.69</v>
      </c>
      <c r="AE289" s="36">
        <v>1.69</v>
      </c>
      <c r="AF289" s="36">
        <v>1.69</v>
      </c>
      <c r="AG289" s="36">
        <v>1.69</v>
      </c>
      <c r="AH289" s="36">
        <v>1.69</v>
      </c>
      <c r="AI289" s="39">
        <v>0</v>
      </c>
      <c r="AJ289" s="39">
        <v>0</v>
      </c>
      <c r="AK289" s="39">
        <v>0</v>
      </c>
      <c r="AL289" s="39">
        <v>0</v>
      </c>
      <c r="AM289" s="39">
        <v>0</v>
      </c>
      <c r="AN289" s="39">
        <v>0</v>
      </c>
      <c r="AO289" s="39">
        <v>0</v>
      </c>
      <c r="AP289" s="39">
        <v>0</v>
      </c>
      <c r="AQ289" s="39">
        <v>0</v>
      </c>
      <c r="AR289" s="39">
        <v>0</v>
      </c>
      <c r="AS289" s="39">
        <v>0</v>
      </c>
      <c r="AT289" s="39">
        <v>0</v>
      </c>
      <c r="AU289" s="39">
        <v>0</v>
      </c>
      <c r="AV289" s="39">
        <v>0</v>
      </c>
      <c r="AW289" s="39">
        <v>0</v>
      </c>
      <c r="AX289" s="39">
        <v>0</v>
      </c>
      <c r="AY289" s="39">
        <v>0</v>
      </c>
      <c r="AZ289" s="39">
        <v>0</v>
      </c>
      <c r="BA289" s="39">
        <v>0</v>
      </c>
      <c r="BB289" s="39">
        <v>0</v>
      </c>
      <c r="BC289" s="39">
        <v>0</v>
      </c>
      <c r="BD289" s="39">
        <v>0</v>
      </c>
      <c r="BE289" s="39">
        <v>0</v>
      </c>
      <c r="BF289" s="39">
        <v>0</v>
      </c>
      <c r="BG289" s="1"/>
      <c r="BH289" s="12">
        <f t="shared" si="168"/>
        <v>0</v>
      </c>
      <c r="BI289" s="12">
        <f t="shared" si="169"/>
        <v>17.579999999999998</v>
      </c>
      <c r="BJ289" s="12">
        <f t="shared" si="170"/>
        <v>0</v>
      </c>
      <c r="BK289" s="12">
        <f t="shared" si="171"/>
        <v>0</v>
      </c>
      <c r="BL289" s="12">
        <f t="shared" si="172"/>
        <v>17.579999999999998</v>
      </c>
      <c r="BM289" s="12">
        <f t="shared" si="173"/>
        <v>0</v>
      </c>
      <c r="BN289" s="12">
        <f t="shared" si="174"/>
        <v>8.7899999999999991</v>
      </c>
      <c r="BO289" s="12">
        <f t="shared" si="175"/>
        <v>0</v>
      </c>
      <c r="BP289" s="12">
        <f t="shared" si="176"/>
        <v>17.579999999999998</v>
      </c>
      <c r="BQ289" s="12">
        <f t="shared" si="177"/>
        <v>0</v>
      </c>
      <c r="BR289" s="12">
        <f t="shared" si="178"/>
        <v>17.579999999999998</v>
      </c>
      <c r="BS289" s="12">
        <f t="shared" si="179"/>
        <v>8.7899999999999991</v>
      </c>
      <c r="BT289" s="1"/>
      <c r="BU289" s="11">
        <f t="shared" si="180"/>
        <v>0</v>
      </c>
      <c r="BV289" s="11">
        <f t="shared" si="181"/>
        <v>17.579999999999998</v>
      </c>
      <c r="BW289" s="11">
        <f t="shared" si="182"/>
        <v>0</v>
      </c>
      <c r="BX289" s="11">
        <f t="shared" si="183"/>
        <v>0</v>
      </c>
      <c r="BY289" s="11">
        <f t="shared" si="184"/>
        <v>17.579999999999998</v>
      </c>
      <c r="BZ289" s="11">
        <f t="shared" si="185"/>
        <v>0</v>
      </c>
      <c r="CA289" s="11">
        <f t="shared" si="186"/>
        <v>8.7899999999999991</v>
      </c>
      <c r="CB289" s="11">
        <f t="shared" si="187"/>
        <v>0</v>
      </c>
      <c r="CC289" s="11">
        <f t="shared" si="188"/>
        <v>17.579999999999998</v>
      </c>
      <c r="CD289" s="11">
        <f t="shared" si="189"/>
        <v>0</v>
      </c>
      <c r="CE289" s="11">
        <f t="shared" si="190"/>
        <v>17.579999999999998</v>
      </c>
      <c r="CF289" s="11">
        <f t="shared" si="191"/>
        <v>8.7899999999999991</v>
      </c>
      <c r="CG289" s="11"/>
      <c r="CH289" s="41">
        <v>1</v>
      </c>
      <c r="CI289" s="1"/>
      <c r="CJ289" s="53">
        <f t="shared" si="192"/>
        <v>0</v>
      </c>
      <c r="CK289" s="53">
        <f t="shared" si="193"/>
        <v>10402</v>
      </c>
      <c r="CL289" s="53">
        <f t="shared" si="194"/>
        <v>0</v>
      </c>
      <c r="CM289" s="53">
        <f t="shared" si="195"/>
        <v>0</v>
      </c>
      <c r="CN289" s="53">
        <f t="shared" si="196"/>
        <v>10402</v>
      </c>
      <c r="CO289" s="53">
        <f t="shared" si="197"/>
        <v>0</v>
      </c>
      <c r="CP289" s="53">
        <f t="shared" si="198"/>
        <v>5201</v>
      </c>
      <c r="CQ289" s="53">
        <f t="shared" si="199"/>
        <v>0</v>
      </c>
      <c r="CR289" s="53">
        <f t="shared" si="200"/>
        <v>10402</v>
      </c>
      <c r="CS289" s="53">
        <f t="shared" si="201"/>
        <v>0</v>
      </c>
      <c r="CT289" s="53">
        <f t="shared" si="202"/>
        <v>10402</v>
      </c>
      <c r="CU289" s="53">
        <f t="shared" si="203"/>
        <v>5201</v>
      </c>
      <c r="CV289" s="53">
        <f t="shared" si="165"/>
        <v>52010</v>
      </c>
      <c r="CW289" s="1"/>
      <c r="CX289" s="1"/>
      <c r="CY289" s="1"/>
      <c r="CZ289" s="1"/>
      <c r="DA289" s="1"/>
      <c r="DB289" s="1"/>
      <c r="DC289" s="1"/>
      <c r="DD289" s="1"/>
      <c r="DE289" s="1"/>
      <c r="DF289" s="1"/>
      <c r="DG289" s="1"/>
      <c r="DH289" s="1"/>
      <c r="DI289" s="1"/>
      <c r="DJ289" s="1"/>
      <c r="DK289" s="1"/>
      <c r="DL289" s="1"/>
    </row>
    <row r="290" spans="1:116" ht="15.75" hidden="1" x14ac:dyDescent="0.25">
      <c r="A290" s="16"/>
      <c r="B290" s="44"/>
      <c r="C290" s="44"/>
      <c r="D290" s="44"/>
      <c r="E290" s="44"/>
      <c r="F290" s="45" t="s">
        <v>2948</v>
      </c>
      <c r="G290" s="58">
        <v>19.14</v>
      </c>
      <c r="H290" s="58">
        <v>19.14</v>
      </c>
      <c r="I290" s="58">
        <v>0</v>
      </c>
      <c r="J290" s="58">
        <v>19.14</v>
      </c>
      <c r="K290" s="58">
        <v>0</v>
      </c>
      <c r="L290" s="58">
        <v>19.14</v>
      </c>
      <c r="M290" s="58">
        <v>0</v>
      </c>
      <c r="N290" s="58">
        <v>0</v>
      </c>
      <c r="O290" s="58">
        <v>19.14</v>
      </c>
      <c r="P290" s="58">
        <v>0</v>
      </c>
      <c r="Q290" s="58">
        <v>19.14</v>
      </c>
      <c r="R290" s="58">
        <v>9.57</v>
      </c>
      <c r="S290" s="11">
        <f t="shared" si="166"/>
        <v>124.41</v>
      </c>
      <c r="T290" s="10">
        <f t="shared" si="167"/>
        <v>8.3333333333333273E-2</v>
      </c>
      <c r="U290" s="13" t="s">
        <v>2951</v>
      </c>
      <c r="V290" s="50">
        <f t="shared" si="164"/>
        <v>67613</v>
      </c>
      <c r="W290" s="36">
        <v>1.8400042087542088</v>
      </c>
      <c r="X290" s="36">
        <v>1.8400042087542088</v>
      </c>
      <c r="Y290" s="36">
        <v>1.8400042087542088</v>
      </c>
      <c r="Z290" s="36">
        <v>1.8400042087542088</v>
      </c>
      <c r="AA290" s="36">
        <v>1.8400042087542088</v>
      </c>
      <c r="AB290" s="36">
        <v>1.8400042087542088</v>
      </c>
      <c r="AC290" s="36">
        <v>1.8400042087542088</v>
      </c>
      <c r="AD290" s="36">
        <v>1.8400042087542088</v>
      </c>
      <c r="AE290" s="36">
        <v>1.8400042087542088</v>
      </c>
      <c r="AF290" s="36">
        <v>1.8400042087542088</v>
      </c>
      <c r="AG290" s="36">
        <v>1.8400042087542088</v>
      </c>
      <c r="AH290" s="36">
        <v>1.8400042087542088</v>
      </c>
      <c r="AI290" s="39">
        <v>0</v>
      </c>
      <c r="AJ290" s="39">
        <v>0</v>
      </c>
      <c r="AK290" s="39">
        <v>0</v>
      </c>
      <c r="AL290" s="39">
        <v>0</v>
      </c>
      <c r="AM290" s="39">
        <v>0</v>
      </c>
      <c r="AN290" s="39">
        <v>0</v>
      </c>
      <c r="AO290" s="39">
        <v>0</v>
      </c>
      <c r="AP290" s="39">
        <v>0</v>
      </c>
      <c r="AQ290" s="39">
        <v>0</v>
      </c>
      <c r="AR290" s="39">
        <v>0</v>
      </c>
      <c r="AS290" s="39">
        <v>0</v>
      </c>
      <c r="AT290" s="39">
        <v>0</v>
      </c>
      <c r="AU290" s="39">
        <v>0</v>
      </c>
      <c r="AV290" s="39">
        <v>0</v>
      </c>
      <c r="AW290" s="39">
        <v>0</v>
      </c>
      <c r="AX290" s="39">
        <v>0</v>
      </c>
      <c r="AY290" s="39">
        <v>0</v>
      </c>
      <c r="AZ290" s="39">
        <v>0</v>
      </c>
      <c r="BA290" s="39">
        <v>0</v>
      </c>
      <c r="BB290" s="39">
        <v>0</v>
      </c>
      <c r="BC290" s="39">
        <v>0</v>
      </c>
      <c r="BD290" s="39">
        <v>0</v>
      </c>
      <c r="BE290" s="39">
        <v>0</v>
      </c>
      <c r="BF290" s="39">
        <v>0</v>
      </c>
      <c r="BG290" s="1"/>
      <c r="BH290" s="12">
        <f t="shared" si="168"/>
        <v>19.14</v>
      </c>
      <c r="BI290" s="12">
        <f t="shared" si="169"/>
        <v>19.14</v>
      </c>
      <c r="BJ290" s="12">
        <f t="shared" si="170"/>
        <v>0</v>
      </c>
      <c r="BK290" s="12">
        <f t="shared" si="171"/>
        <v>19.14</v>
      </c>
      <c r="BL290" s="12">
        <f t="shared" si="172"/>
        <v>0</v>
      </c>
      <c r="BM290" s="12">
        <f t="shared" si="173"/>
        <v>19.14</v>
      </c>
      <c r="BN290" s="12">
        <f t="shared" si="174"/>
        <v>0</v>
      </c>
      <c r="BO290" s="12">
        <f t="shared" si="175"/>
        <v>0</v>
      </c>
      <c r="BP290" s="12">
        <f t="shared" si="176"/>
        <v>19.14</v>
      </c>
      <c r="BQ290" s="12">
        <f t="shared" si="177"/>
        <v>0</v>
      </c>
      <c r="BR290" s="12">
        <f t="shared" si="178"/>
        <v>19.14</v>
      </c>
      <c r="BS290" s="12">
        <f t="shared" si="179"/>
        <v>9.57</v>
      </c>
      <c r="BT290" s="1"/>
      <c r="BU290" s="11">
        <f t="shared" si="180"/>
        <v>19.14</v>
      </c>
      <c r="BV290" s="11">
        <f t="shared" si="181"/>
        <v>19.14</v>
      </c>
      <c r="BW290" s="11">
        <f t="shared" si="182"/>
        <v>0</v>
      </c>
      <c r="BX290" s="11">
        <f t="shared" si="183"/>
        <v>19.14</v>
      </c>
      <c r="BY290" s="11">
        <f t="shared" si="184"/>
        <v>0</v>
      </c>
      <c r="BZ290" s="11">
        <f t="shared" si="185"/>
        <v>19.14</v>
      </c>
      <c r="CA290" s="11">
        <f t="shared" si="186"/>
        <v>0</v>
      </c>
      <c r="CB290" s="11">
        <f t="shared" si="187"/>
        <v>0</v>
      </c>
      <c r="CC290" s="11">
        <f t="shared" si="188"/>
        <v>19.14</v>
      </c>
      <c r="CD290" s="11">
        <f t="shared" si="189"/>
        <v>0</v>
      </c>
      <c r="CE290" s="11">
        <f t="shared" si="190"/>
        <v>19.14</v>
      </c>
      <c r="CF290" s="11">
        <f t="shared" si="191"/>
        <v>9.57</v>
      </c>
      <c r="CG290" s="11"/>
      <c r="CH290" s="41">
        <v>1</v>
      </c>
      <c r="CI290" s="1"/>
      <c r="CJ290" s="53">
        <f t="shared" si="192"/>
        <v>10402</v>
      </c>
      <c r="CK290" s="53">
        <f t="shared" si="193"/>
        <v>10402</v>
      </c>
      <c r="CL290" s="53">
        <f t="shared" si="194"/>
        <v>0</v>
      </c>
      <c r="CM290" s="53">
        <f t="shared" si="195"/>
        <v>10402</v>
      </c>
      <c r="CN290" s="53">
        <f t="shared" si="196"/>
        <v>0</v>
      </c>
      <c r="CO290" s="53">
        <f t="shared" si="197"/>
        <v>10402</v>
      </c>
      <c r="CP290" s="53">
        <f t="shared" si="198"/>
        <v>0</v>
      </c>
      <c r="CQ290" s="53">
        <f t="shared" si="199"/>
        <v>0</v>
      </c>
      <c r="CR290" s="53">
        <f t="shared" si="200"/>
        <v>10402</v>
      </c>
      <c r="CS290" s="53">
        <f t="shared" si="201"/>
        <v>0</v>
      </c>
      <c r="CT290" s="53">
        <f t="shared" si="202"/>
        <v>10402</v>
      </c>
      <c r="CU290" s="53">
        <f t="shared" si="203"/>
        <v>5201</v>
      </c>
      <c r="CV290" s="53">
        <f t="shared" si="165"/>
        <v>67613</v>
      </c>
      <c r="CW290" s="1"/>
      <c r="CX290" s="1"/>
      <c r="CY290" s="1"/>
      <c r="CZ290" s="1"/>
      <c r="DA290" s="1"/>
      <c r="DB290" s="1"/>
      <c r="DC290" s="1"/>
      <c r="DD290" s="1"/>
      <c r="DE290" s="1"/>
      <c r="DF290" s="1"/>
      <c r="DG290" s="1"/>
      <c r="DH290" s="1"/>
      <c r="DI290" s="1"/>
      <c r="DJ290" s="1"/>
      <c r="DK290" s="1"/>
      <c r="DL290" s="1"/>
    </row>
    <row r="291" spans="1:116" ht="15.75" hidden="1" x14ac:dyDescent="0.25">
      <c r="A291" s="16"/>
      <c r="B291" s="44"/>
      <c r="C291" s="44"/>
      <c r="D291" s="44"/>
      <c r="E291" s="44"/>
      <c r="F291" s="45" t="s">
        <v>2948</v>
      </c>
      <c r="G291" s="58">
        <v>0</v>
      </c>
      <c r="H291" s="56">
        <v>0</v>
      </c>
      <c r="I291" s="56">
        <v>0</v>
      </c>
      <c r="J291" s="56">
        <v>0</v>
      </c>
      <c r="K291" s="56">
        <v>0</v>
      </c>
      <c r="L291" s="56">
        <v>0</v>
      </c>
      <c r="M291" s="56">
        <v>0</v>
      </c>
      <c r="N291" s="56">
        <v>0</v>
      </c>
      <c r="O291" s="56">
        <v>0</v>
      </c>
      <c r="P291" s="56">
        <v>0</v>
      </c>
      <c r="Q291" s="56">
        <v>0</v>
      </c>
      <c r="R291" s="56">
        <v>0</v>
      </c>
      <c r="S291" s="11">
        <f>SUM(G291:R291)</f>
        <v>0</v>
      </c>
      <c r="T291" s="8">
        <f t="shared" si="167"/>
        <v>0</v>
      </c>
      <c r="U291" s="13" t="s">
        <v>2951</v>
      </c>
      <c r="V291" s="50">
        <f t="shared" si="164"/>
        <v>0</v>
      </c>
      <c r="W291" s="36">
        <v>11.423999999999999</v>
      </c>
      <c r="X291" s="36">
        <v>11.423999999999999</v>
      </c>
      <c r="Y291" s="36">
        <v>11.423999999999999</v>
      </c>
      <c r="Z291" s="36">
        <v>11.423999999999999</v>
      </c>
      <c r="AA291" s="36">
        <v>11.423999999999999</v>
      </c>
      <c r="AB291" s="36">
        <v>11.423999999999999</v>
      </c>
      <c r="AC291" s="36">
        <v>11.423999999999999</v>
      </c>
      <c r="AD291" s="36">
        <v>11.423999999999999</v>
      </c>
      <c r="AE291" s="36">
        <v>11.423999999999999</v>
      </c>
      <c r="AF291" s="36">
        <v>11.423999999999999</v>
      </c>
      <c r="AG291" s="36">
        <v>11.423999999999999</v>
      </c>
      <c r="AH291" s="36">
        <v>11.423999999999999</v>
      </c>
      <c r="AI291" s="39">
        <v>0.22999999999999998</v>
      </c>
      <c r="AJ291" s="39">
        <v>0.22999999999999998</v>
      </c>
      <c r="AK291" s="39">
        <v>0.22999999999999998</v>
      </c>
      <c r="AL291" s="39">
        <v>0.22999999999999998</v>
      </c>
      <c r="AM291" s="39">
        <v>0.22999999999999998</v>
      </c>
      <c r="AN291" s="39">
        <v>0.22999999999999998</v>
      </c>
      <c r="AO291" s="39">
        <v>0.22999999999999998</v>
      </c>
      <c r="AP291" s="39">
        <v>0.22999999999999998</v>
      </c>
      <c r="AQ291" s="39">
        <v>0.22999999999999998</v>
      </c>
      <c r="AR291" s="39">
        <v>0.22999999999999998</v>
      </c>
      <c r="AS291" s="39">
        <v>0.22999999999999998</v>
      </c>
      <c r="AT291" s="39">
        <v>0.22999999999999998</v>
      </c>
      <c r="AU291" s="39">
        <v>0</v>
      </c>
      <c r="AV291" s="39">
        <v>0</v>
      </c>
      <c r="AW291" s="39">
        <v>0</v>
      </c>
      <c r="AX291" s="39">
        <v>0</v>
      </c>
      <c r="AY291" s="39">
        <v>0</v>
      </c>
      <c r="AZ291" s="39">
        <v>0</v>
      </c>
      <c r="BA291" s="39">
        <v>0</v>
      </c>
      <c r="BB291" s="39">
        <v>0</v>
      </c>
      <c r="BC291" s="39">
        <v>0</v>
      </c>
      <c r="BD291" s="39">
        <v>0</v>
      </c>
      <c r="BE291" s="39">
        <v>0</v>
      </c>
      <c r="BF291" s="39">
        <v>0</v>
      </c>
      <c r="BG291" s="1"/>
      <c r="BH291" s="12">
        <f t="shared" si="168"/>
        <v>0</v>
      </c>
      <c r="BI291" s="12">
        <f t="shared" si="169"/>
        <v>0</v>
      </c>
      <c r="BJ291" s="12">
        <f t="shared" si="170"/>
        <v>0</v>
      </c>
      <c r="BK291" s="12">
        <f t="shared" si="171"/>
        <v>0</v>
      </c>
      <c r="BL291" s="12">
        <f t="shared" si="172"/>
        <v>0</v>
      </c>
      <c r="BM291" s="12">
        <f t="shared" si="173"/>
        <v>0</v>
      </c>
      <c r="BN291" s="12">
        <f t="shared" si="174"/>
        <v>0</v>
      </c>
      <c r="BO291" s="12">
        <f t="shared" si="175"/>
        <v>0</v>
      </c>
      <c r="BP291" s="12">
        <f t="shared" si="176"/>
        <v>0</v>
      </c>
      <c r="BQ291" s="12">
        <f t="shared" si="177"/>
        <v>0</v>
      </c>
      <c r="BR291" s="12">
        <f t="shared" si="178"/>
        <v>0</v>
      </c>
      <c r="BS291" s="12">
        <f t="shared" si="179"/>
        <v>0</v>
      </c>
      <c r="BT291" s="1"/>
      <c r="BU291" s="11">
        <f t="shared" si="180"/>
        <v>0</v>
      </c>
      <c r="BV291" s="11">
        <f t="shared" si="181"/>
        <v>0</v>
      </c>
      <c r="BW291" s="11">
        <f t="shared" si="182"/>
        <v>0</v>
      </c>
      <c r="BX291" s="11">
        <f t="shared" si="183"/>
        <v>0</v>
      </c>
      <c r="BY291" s="11">
        <f t="shared" si="184"/>
        <v>0</v>
      </c>
      <c r="BZ291" s="11">
        <f t="shared" si="185"/>
        <v>0</v>
      </c>
      <c r="CA291" s="11">
        <f t="shared" si="186"/>
        <v>0</v>
      </c>
      <c r="CB291" s="11">
        <f t="shared" si="187"/>
        <v>0</v>
      </c>
      <c r="CC291" s="11">
        <f t="shared" si="188"/>
        <v>0</v>
      </c>
      <c r="CD291" s="11">
        <f t="shared" si="189"/>
        <v>0</v>
      </c>
      <c r="CE291" s="11">
        <f t="shared" si="190"/>
        <v>0</v>
      </c>
      <c r="CF291" s="11">
        <f t="shared" si="191"/>
        <v>0</v>
      </c>
      <c r="CG291" s="11"/>
      <c r="CH291" s="41">
        <v>1</v>
      </c>
      <c r="CI291" s="1"/>
      <c r="CJ291" s="53">
        <f t="shared" si="192"/>
        <v>0</v>
      </c>
      <c r="CK291" s="53">
        <f t="shared" si="193"/>
        <v>0</v>
      </c>
      <c r="CL291" s="53">
        <f t="shared" si="194"/>
        <v>0</v>
      </c>
      <c r="CM291" s="53">
        <f t="shared" si="195"/>
        <v>0</v>
      </c>
      <c r="CN291" s="53">
        <f t="shared" si="196"/>
        <v>0</v>
      </c>
      <c r="CO291" s="53">
        <f t="shared" si="197"/>
        <v>0</v>
      </c>
      <c r="CP291" s="53">
        <f t="shared" si="198"/>
        <v>0</v>
      </c>
      <c r="CQ291" s="53">
        <f t="shared" si="199"/>
        <v>0</v>
      </c>
      <c r="CR291" s="53">
        <f t="shared" si="200"/>
        <v>0</v>
      </c>
      <c r="CS291" s="53">
        <f t="shared" si="201"/>
        <v>0</v>
      </c>
      <c r="CT291" s="53">
        <f t="shared" si="202"/>
        <v>0</v>
      </c>
      <c r="CU291" s="53">
        <f t="shared" si="203"/>
        <v>0</v>
      </c>
      <c r="CV291" s="53">
        <f t="shared" si="165"/>
        <v>0</v>
      </c>
      <c r="CW291" s="1"/>
      <c r="CX291" s="1"/>
      <c r="CY291" s="1"/>
      <c r="CZ291" s="1"/>
      <c r="DA291" s="1"/>
      <c r="DB291" s="1"/>
      <c r="DC291" s="1"/>
      <c r="DD291" s="1"/>
      <c r="DE291" s="1"/>
      <c r="DF291" s="1"/>
      <c r="DG291" s="1"/>
      <c r="DH291" s="1"/>
      <c r="DI291" s="1"/>
      <c r="DJ291" s="1"/>
      <c r="DK291" s="1"/>
      <c r="DL291" s="1"/>
    </row>
    <row r="292" spans="1:116" ht="15.75" hidden="1" x14ac:dyDescent="0.25">
      <c r="A292" s="17"/>
      <c r="B292" s="17"/>
      <c r="C292" s="17"/>
      <c r="D292" s="17"/>
      <c r="E292" s="17"/>
      <c r="F292" s="31" t="s">
        <v>2949</v>
      </c>
      <c r="G292" s="55">
        <v>31.25</v>
      </c>
      <c r="H292" s="55">
        <v>31.25</v>
      </c>
      <c r="I292" s="55">
        <v>26.04</v>
      </c>
      <c r="J292" s="55">
        <v>15.35</v>
      </c>
      <c r="K292" s="55">
        <v>17.260000000000002</v>
      </c>
      <c r="L292" s="55">
        <v>26.21</v>
      </c>
      <c r="M292" s="55">
        <v>25.12</v>
      </c>
      <c r="N292" s="55">
        <v>39.020000000000003</v>
      </c>
      <c r="O292" s="55">
        <v>38.74</v>
      </c>
      <c r="P292" s="55">
        <v>41.66</v>
      </c>
      <c r="Q292" s="55">
        <v>52.67</v>
      </c>
      <c r="R292" s="55">
        <v>23.41</v>
      </c>
      <c r="S292" s="11">
        <f t="shared" si="166"/>
        <v>367.98</v>
      </c>
      <c r="T292" s="9"/>
      <c r="U292" s="1"/>
      <c r="V292" s="50">
        <f t="shared" si="164"/>
        <v>320215</v>
      </c>
      <c r="W292" s="36">
        <v>3.766</v>
      </c>
      <c r="X292" s="36">
        <v>3.766</v>
      </c>
      <c r="Y292" s="36">
        <v>3.766</v>
      </c>
      <c r="Z292" s="36">
        <v>3.766</v>
      </c>
      <c r="AA292" s="36">
        <v>3.766</v>
      </c>
      <c r="AB292" s="36">
        <v>3.766</v>
      </c>
      <c r="AC292" s="36">
        <v>3.766</v>
      </c>
      <c r="AD292" s="36">
        <v>3.766</v>
      </c>
      <c r="AE292" s="36">
        <v>3.766</v>
      </c>
      <c r="AF292" s="36">
        <v>3.766</v>
      </c>
      <c r="AG292" s="36">
        <v>3.766</v>
      </c>
      <c r="AH292" s="36">
        <v>3.766</v>
      </c>
      <c r="AI292" s="39">
        <v>1.33634708931066E-2</v>
      </c>
      <c r="AJ292" s="39">
        <v>1.33634708931066E-2</v>
      </c>
      <c r="AK292" s="39">
        <v>1.33634708931066E-2</v>
      </c>
      <c r="AL292" s="39">
        <v>1.33634708931066E-2</v>
      </c>
      <c r="AM292" s="39">
        <v>1.33634708931066E-2</v>
      </c>
      <c r="AN292" s="39">
        <v>1.33634708931066E-2</v>
      </c>
      <c r="AO292" s="39">
        <v>1.33634708931066E-2</v>
      </c>
      <c r="AP292" s="39">
        <v>1.33634708931066E-2</v>
      </c>
      <c r="AQ292" s="39">
        <v>1.33634708931066E-2</v>
      </c>
      <c r="AR292" s="39">
        <v>1.33634708931066E-2</v>
      </c>
      <c r="AS292" s="39">
        <v>1.33634708931066E-2</v>
      </c>
      <c r="AT292" s="39">
        <v>1.33634708931066E-2</v>
      </c>
      <c r="AU292" s="39">
        <v>1.2392217523121999E-3</v>
      </c>
      <c r="AV292" s="39">
        <v>1.2392217523121999E-3</v>
      </c>
      <c r="AW292" s="39">
        <v>1.2392217523121999E-3</v>
      </c>
      <c r="AX292" s="39">
        <v>1.2392217523121999E-3</v>
      </c>
      <c r="AY292" s="39">
        <v>1.2392217523121999E-3</v>
      </c>
      <c r="AZ292" s="39">
        <v>1.2392217523121999E-3</v>
      </c>
      <c r="BA292" s="39">
        <v>1.2392217523121999E-3</v>
      </c>
      <c r="BB292" s="39">
        <v>1.2392217523121999E-3</v>
      </c>
      <c r="BC292" s="39">
        <v>1.2392217523121999E-3</v>
      </c>
      <c r="BD292" s="39">
        <v>1.2392217523121999E-3</v>
      </c>
      <c r="BE292" s="39">
        <v>1.2392217523121999E-3</v>
      </c>
      <c r="BF292" s="39">
        <v>1.2392217523121999E-3</v>
      </c>
      <c r="BG292" s="1"/>
      <c r="BH292" s="12">
        <f t="shared" si="168"/>
        <v>100.9375</v>
      </c>
      <c r="BI292" s="12">
        <f t="shared" si="169"/>
        <v>100.9375</v>
      </c>
      <c r="BJ292" s="12">
        <f t="shared" si="170"/>
        <v>84.109200000000001</v>
      </c>
      <c r="BK292" s="12">
        <f t="shared" si="171"/>
        <v>49.580500000000001</v>
      </c>
      <c r="BL292" s="12">
        <f t="shared" si="172"/>
        <v>55.749800000000008</v>
      </c>
      <c r="BM292" s="12">
        <f t="shared" si="173"/>
        <v>84.658299999999997</v>
      </c>
      <c r="BN292" s="12">
        <f t="shared" si="174"/>
        <v>81.137600000000006</v>
      </c>
      <c r="BO292" s="12">
        <f t="shared" si="175"/>
        <v>126.03460000000001</v>
      </c>
      <c r="BP292" s="12">
        <f t="shared" si="176"/>
        <v>125.1302</v>
      </c>
      <c r="BQ292" s="12">
        <f t="shared" si="177"/>
        <v>134.56179999999998</v>
      </c>
      <c r="BR292" s="12">
        <f t="shared" si="178"/>
        <v>170.1241</v>
      </c>
      <c r="BS292" s="12">
        <f t="shared" si="179"/>
        <v>75.6143</v>
      </c>
      <c r="BT292" s="1"/>
      <c r="BU292" s="11">
        <f t="shared" si="180"/>
        <v>102.41145928889696</v>
      </c>
      <c r="BV292" s="11">
        <f t="shared" si="181"/>
        <v>102.41145928889696</v>
      </c>
      <c r="BW292" s="11">
        <f t="shared" si="182"/>
        <v>85.337420796252061</v>
      </c>
      <c r="BX292" s="11">
        <f t="shared" si="183"/>
        <v>50.304508802706188</v>
      </c>
      <c r="BY292" s="11">
        <f t="shared" si="184"/>
        <v>56.563897194443577</v>
      </c>
      <c r="BZ292" s="11">
        <f t="shared" si="185"/>
        <v>85.894539134783656</v>
      </c>
      <c r="CA292" s="11">
        <f t="shared" si="186"/>
        <v>82.322427434786945</v>
      </c>
      <c r="CB292" s="11">
        <f t="shared" si="187"/>
        <v>127.87504452648831</v>
      </c>
      <c r="CC292" s="11">
        <f t="shared" si="188"/>
        <v>126.95743785125978</v>
      </c>
      <c r="CD292" s="11">
        <f t="shared" si="189"/>
        <v>136.52676460721429</v>
      </c>
      <c r="CE292" s="11">
        <f t="shared" si="190"/>
        <v>172.6083699438785</v>
      </c>
      <c r="CF292" s="11">
        <f t="shared" si="191"/>
        <v>76.71847238249849</v>
      </c>
      <c r="CG292" s="11"/>
      <c r="CH292" s="41">
        <v>3.23</v>
      </c>
      <c r="CI292" s="1"/>
      <c r="CJ292" s="53">
        <f t="shared" si="192"/>
        <v>27194</v>
      </c>
      <c r="CK292" s="53">
        <f t="shared" si="193"/>
        <v>27194</v>
      </c>
      <c r="CL292" s="53">
        <f t="shared" si="194"/>
        <v>22660</v>
      </c>
      <c r="CM292" s="53">
        <f t="shared" si="195"/>
        <v>13358</v>
      </c>
      <c r="CN292" s="53">
        <f t="shared" si="196"/>
        <v>15020</v>
      </c>
      <c r="CO292" s="53">
        <f t="shared" si="197"/>
        <v>22808</v>
      </c>
      <c r="CP292" s="53">
        <f t="shared" si="198"/>
        <v>21859</v>
      </c>
      <c r="CQ292" s="53">
        <f t="shared" si="199"/>
        <v>33955</v>
      </c>
      <c r="CR292" s="53">
        <f t="shared" si="200"/>
        <v>33711</v>
      </c>
      <c r="CS292" s="53">
        <f t="shared" si="201"/>
        <v>36252</v>
      </c>
      <c r="CT292" s="53">
        <f t="shared" si="202"/>
        <v>45833</v>
      </c>
      <c r="CU292" s="53">
        <f t="shared" si="203"/>
        <v>20371</v>
      </c>
      <c r="CV292" s="53">
        <f t="shared" si="165"/>
        <v>320215</v>
      </c>
      <c r="CW292" s="1"/>
      <c r="CX292" s="1"/>
      <c r="CY292" s="1"/>
      <c r="CZ292" s="1"/>
      <c r="DA292" s="1"/>
      <c r="DB292" s="1"/>
      <c r="DC292" s="1"/>
      <c r="DD292" s="1"/>
      <c r="DE292" s="1"/>
      <c r="DF292" s="1"/>
      <c r="DG292" s="1"/>
      <c r="DH292" s="1"/>
      <c r="DI292" s="1"/>
      <c r="DJ292" s="1"/>
      <c r="DK292" s="1"/>
      <c r="DL292" s="1"/>
    </row>
    <row r="293" spans="1:116" ht="15.75" hidden="1" x14ac:dyDescent="0.25">
      <c r="A293" s="17"/>
      <c r="B293" s="17"/>
      <c r="C293" s="17"/>
      <c r="D293" s="17"/>
      <c r="E293" s="17"/>
      <c r="F293" s="31" t="s">
        <v>2949</v>
      </c>
      <c r="G293" s="55">
        <v>0</v>
      </c>
      <c r="H293" s="55">
        <v>0</v>
      </c>
      <c r="I293" s="55">
        <v>0</v>
      </c>
      <c r="J293" s="55">
        <v>0</v>
      </c>
      <c r="K293" s="55">
        <v>0</v>
      </c>
      <c r="L293" s="55">
        <v>0</v>
      </c>
      <c r="M293" s="55">
        <v>0</v>
      </c>
      <c r="N293" s="55">
        <v>0</v>
      </c>
      <c r="O293" s="55">
        <v>0</v>
      </c>
      <c r="P293" s="55">
        <v>0</v>
      </c>
      <c r="Q293" s="55">
        <v>0</v>
      </c>
      <c r="R293" s="55">
        <v>0</v>
      </c>
      <c r="S293" s="11">
        <f t="shared" si="166"/>
        <v>0</v>
      </c>
      <c r="T293" s="9"/>
      <c r="U293" s="1"/>
      <c r="V293" s="50">
        <f t="shared" si="164"/>
        <v>0</v>
      </c>
      <c r="W293" s="36">
        <v>0.94</v>
      </c>
      <c r="X293" s="36">
        <v>0.94</v>
      </c>
      <c r="Y293" s="36">
        <v>0.94</v>
      </c>
      <c r="Z293" s="36">
        <v>0.94</v>
      </c>
      <c r="AA293" s="36">
        <v>0.94</v>
      </c>
      <c r="AB293" s="36">
        <v>0.94</v>
      </c>
      <c r="AC293" s="36">
        <v>0.94</v>
      </c>
      <c r="AD293" s="36">
        <v>0.94</v>
      </c>
      <c r="AE293" s="36">
        <v>0.94</v>
      </c>
      <c r="AF293" s="36">
        <v>0.94</v>
      </c>
      <c r="AG293" s="36">
        <v>0.94</v>
      </c>
      <c r="AH293" s="36">
        <v>0.94</v>
      </c>
      <c r="AI293" s="39">
        <v>1.33634708931066E-2</v>
      </c>
      <c r="AJ293" s="39">
        <v>1.33634708931066E-2</v>
      </c>
      <c r="AK293" s="39">
        <v>1.33634708931066E-2</v>
      </c>
      <c r="AL293" s="39">
        <v>1.33634708931066E-2</v>
      </c>
      <c r="AM293" s="39">
        <v>1.33634708931066E-2</v>
      </c>
      <c r="AN293" s="39">
        <v>1.33634708931066E-2</v>
      </c>
      <c r="AO293" s="39">
        <v>1.33634708931066E-2</v>
      </c>
      <c r="AP293" s="39">
        <v>1.33634708931066E-2</v>
      </c>
      <c r="AQ293" s="39">
        <v>1.33634708931066E-2</v>
      </c>
      <c r="AR293" s="39">
        <v>1.33634708931066E-2</v>
      </c>
      <c r="AS293" s="39">
        <v>1.33634708931066E-2</v>
      </c>
      <c r="AT293" s="39">
        <v>1.33634708931066E-2</v>
      </c>
      <c r="AU293" s="39">
        <v>1.2392217523121999E-3</v>
      </c>
      <c r="AV293" s="39">
        <v>1.2392217523121999E-3</v>
      </c>
      <c r="AW293" s="39">
        <v>1.2392217523121999E-3</v>
      </c>
      <c r="AX293" s="39">
        <v>1.2392217523121999E-3</v>
      </c>
      <c r="AY293" s="39">
        <v>1.2392217523121999E-3</v>
      </c>
      <c r="AZ293" s="39">
        <v>1.2392217523121999E-3</v>
      </c>
      <c r="BA293" s="39">
        <v>1.2392217523121999E-3</v>
      </c>
      <c r="BB293" s="39">
        <v>1.2392217523121999E-3</v>
      </c>
      <c r="BC293" s="39">
        <v>1.2392217523121999E-3</v>
      </c>
      <c r="BD293" s="39">
        <v>1.2392217523121999E-3</v>
      </c>
      <c r="BE293" s="39">
        <v>1.2392217523121999E-3</v>
      </c>
      <c r="BF293" s="39">
        <v>1.2392217523121999E-3</v>
      </c>
      <c r="BG293" s="1"/>
      <c r="BH293" s="12">
        <f t="shared" si="168"/>
        <v>0</v>
      </c>
      <c r="BI293" s="12">
        <f t="shared" si="169"/>
        <v>0</v>
      </c>
      <c r="BJ293" s="12">
        <f t="shared" si="170"/>
        <v>0</v>
      </c>
      <c r="BK293" s="12">
        <f t="shared" si="171"/>
        <v>0</v>
      </c>
      <c r="BL293" s="12">
        <f t="shared" si="172"/>
        <v>0</v>
      </c>
      <c r="BM293" s="12">
        <f t="shared" si="173"/>
        <v>0</v>
      </c>
      <c r="BN293" s="12">
        <f t="shared" si="174"/>
        <v>0</v>
      </c>
      <c r="BO293" s="12">
        <f t="shared" si="175"/>
        <v>0</v>
      </c>
      <c r="BP293" s="12">
        <f t="shared" si="176"/>
        <v>0</v>
      </c>
      <c r="BQ293" s="12">
        <f t="shared" si="177"/>
        <v>0</v>
      </c>
      <c r="BR293" s="12">
        <f t="shared" si="178"/>
        <v>0</v>
      </c>
      <c r="BS293" s="12">
        <f t="shared" si="179"/>
        <v>0</v>
      </c>
      <c r="BT293" s="1"/>
      <c r="BU293" s="11">
        <f t="shared" si="180"/>
        <v>0</v>
      </c>
      <c r="BV293" s="11">
        <f t="shared" si="181"/>
        <v>0</v>
      </c>
      <c r="BW293" s="11">
        <f t="shared" si="182"/>
        <v>0</v>
      </c>
      <c r="BX293" s="11">
        <f t="shared" si="183"/>
        <v>0</v>
      </c>
      <c r="BY293" s="11">
        <f t="shared" si="184"/>
        <v>0</v>
      </c>
      <c r="BZ293" s="11">
        <f t="shared" si="185"/>
        <v>0</v>
      </c>
      <c r="CA293" s="11">
        <f t="shared" si="186"/>
        <v>0</v>
      </c>
      <c r="CB293" s="11">
        <f t="shared" si="187"/>
        <v>0</v>
      </c>
      <c r="CC293" s="11">
        <f t="shared" si="188"/>
        <v>0</v>
      </c>
      <c r="CD293" s="11">
        <f t="shared" si="189"/>
        <v>0</v>
      </c>
      <c r="CE293" s="11">
        <f t="shared" si="190"/>
        <v>0</v>
      </c>
      <c r="CF293" s="11">
        <f t="shared" si="191"/>
        <v>0</v>
      </c>
      <c r="CG293" s="11"/>
      <c r="CH293" s="41">
        <v>3.23</v>
      </c>
      <c r="CI293" s="1"/>
      <c r="CJ293" s="53">
        <f t="shared" si="192"/>
        <v>0</v>
      </c>
      <c r="CK293" s="53">
        <f t="shared" si="193"/>
        <v>0</v>
      </c>
      <c r="CL293" s="53">
        <f t="shared" si="194"/>
        <v>0</v>
      </c>
      <c r="CM293" s="53">
        <f t="shared" si="195"/>
        <v>0</v>
      </c>
      <c r="CN293" s="53">
        <f t="shared" si="196"/>
        <v>0</v>
      </c>
      <c r="CO293" s="53">
        <f t="shared" si="197"/>
        <v>0</v>
      </c>
      <c r="CP293" s="53">
        <f t="shared" si="198"/>
        <v>0</v>
      </c>
      <c r="CQ293" s="53">
        <f t="shared" si="199"/>
        <v>0</v>
      </c>
      <c r="CR293" s="53">
        <f t="shared" si="200"/>
        <v>0</v>
      </c>
      <c r="CS293" s="53">
        <f t="shared" si="201"/>
        <v>0</v>
      </c>
      <c r="CT293" s="53">
        <f t="shared" si="202"/>
        <v>0</v>
      </c>
      <c r="CU293" s="53">
        <f t="shared" si="203"/>
        <v>0</v>
      </c>
      <c r="CV293" s="53">
        <f t="shared" si="165"/>
        <v>0</v>
      </c>
      <c r="CW293" s="1"/>
      <c r="CX293" s="1"/>
      <c r="CY293" s="1"/>
      <c r="CZ293" s="1"/>
      <c r="DA293" s="1"/>
      <c r="DB293" s="1"/>
      <c r="DC293" s="1"/>
      <c r="DD293" s="1"/>
      <c r="DE293" s="1"/>
      <c r="DF293" s="1"/>
      <c r="DG293" s="1"/>
      <c r="DH293" s="1"/>
      <c r="DI293" s="1"/>
      <c r="DJ293" s="1"/>
      <c r="DK293" s="1"/>
      <c r="DL293" s="1"/>
    </row>
    <row r="294" spans="1:116" ht="15.75" hidden="1" x14ac:dyDescent="0.25">
      <c r="A294" s="17"/>
      <c r="B294" s="17"/>
      <c r="C294" s="17"/>
      <c r="D294" s="17"/>
      <c r="E294" s="17"/>
      <c r="F294" s="31" t="s">
        <v>2949</v>
      </c>
      <c r="G294" s="55">
        <v>0</v>
      </c>
      <c r="H294" s="55">
        <v>0</v>
      </c>
      <c r="I294" s="55">
        <v>0</v>
      </c>
      <c r="J294" s="55">
        <v>0</v>
      </c>
      <c r="K294" s="55">
        <v>0</v>
      </c>
      <c r="L294" s="55">
        <v>0</v>
      </c>
      <c r="M294" s="55">
        <v>0</v>
      </c>
      <c r="N294" s="55">
        <v>0</v>
      </c>
      <c r="O294" s="55">
        <v>0</v>
      </c>
      <c r="P294" s="55">
        <v>0</v>
      </c>
      <c r="Q294" s="55">
        <v>0</v>
      </c>
      <c r="R294" s="55">
        <v>0</v>
      </c>
      <c r="S294" s="11">
        <f t="shared" si="166"/>
        <v>0</v>
      </c>
      <c r="T294" s="9"/>
      <c r="U294" s="1"/>
      <c r="V294" s="50">
        <f t="shared" si="164"/>
        <v>0</v>
      </c>
      <c r="W294" s="36">
        <v>1.75</v>
      </c>
      <c r="X294" s="36">
        <v>1.75</v>
      </c>
      <c r="Y294" s="36">
        <v>1.75</v>
      </c>
      <c r="Z294" s="36">
        <v>1.75</v>
      </c>
      <c r="AA294" s="36">
        <v>1.75</v>
      </c>
      <c r="AB294" s="36">
        <v>1.75</v>
      </c>
      <c r="AC294" s="36">
        <v>1.75</v>
      </c>
      <c r="AD294" s="36">
        <v>1.75</v>
      </c>
      <c r="AE294" s="36">
        <v>1.75</v>
      </c>
      <c r="AF294" s="36">
        <v>1.75</v>
      </c>
      <c r="AG294" s="36">
        <v>1.75</v>
      </c>
      <c r="AH294" s="36">
        <v>1.75</v>
      </c>
      <c r="AI294" s="39">
        <v>1.33634708931066E-2</v>
      </c>
      <c r="AJ294" s="39">
        <v>1.33634708931066E-2</v>
      </c>
      <c r="AK294" s="39">
        <v>1.33634708931066E-2</v>
      </c>
      <c r="AL294" s="39">
        <v>1.33634708931066E-2</v>
      </c>
      <c r="AM294" s="39">
        <v>1.33634708931066E-2</v>
      </c>
      <c r="AN294" s="39">
        <v>1.33634708931066E-2</v>
      </c>
      <c r="AO294" s="39">
        <v>1.33634708931066E-2</v>
      </c>
      <c r="AP294" s="39">
        <v>1.33634708931066E-2</v>
      </c>
      <c r="AQ294" s="39">
        <v>1.33634708931066E-2</v>
      </c>
      <c r="AR294" s="39">
        <v>1.33634708931066E-2</v>
      </c>
      <c r="AS294" s="39">
        <v>1.33634708931066E-2</v>
      </c>
      <c r="AT294" s="39">
        <v>1.33634708931066E-2</v>
      </c>
      <c r="AU294" s="39">
        <v>1.2392217523121999E-3</v>
      </c>
      <c r="AV294" s="39">
        <v>1.2392217523121999E-3</v>
      </c>
      <c r="AW294" s="39">
        <v>1.2392217523121999E-3</v>
      </c>
      <c r="AX294" s="39">
        <v>1.2392217523121999E-3</v>
      </c>
      <c r="AY294" s="39">
        <v>1.2392217523121999E-3</v>
      </c>
      <c r="AZ294" s="39">
        <v>1.2392217523121999E-3</v>
      </c>
      <c r="BA294" s="39">
        <v>1.2392217523121999E-3</v>
      </c>
      <c r="BB294" s="39">
        <v>1.2392217523121999E-3</v>
      </c>
      <c r="BC294" s="39">
        <v>1.2392217523121999E-3</v>
      </c>
      <c r="BD294" s="39">
        <v>1.2392217523121999E-3</v>
      </c>
      <c r="BE294" s="39">
        <v>1.2392217523121999E-3</v>
      </c>
      <c r="BF294" s="39">
        <v>1.2392217523121999E-3</v>
      </c>
      <c r="BG294" s="1"/>
      <c r="BH294" s="12">
        <f t="shared" si="168"/>
        <v>0</v>
      </c>
      <c r="BI294" s="12">
        <f t="shared" si="169"/>
        <v>0</v>
      </c>
      <c r="BJ294" s="12">
        <f t="shared" si="170"/>
        <v>0</v>
      </c>
      <c r="BK294" s="12">
        <f t="shared" si="171"/>
        <v>0</v>
      </c>
      <c r="BL294" s="12">
        <f t="shared" si="172"/>
        <v>0</v>
      </c>
      <c r="BM294" s="12">
        <f t="shared" si="173"/>
        <v>0</v>
      </c>
      <c r="BN294" s="12">
        <f t="shared" si="174"/>
        <v>0</v>
      </c>
      <c r="BO294" s="12">
        <f t="shared" si="175"/>
        <v>0</v>
      </c>
      <c r="BP294" s="12">
        <f t="shared" si="176"/>
        <v>0</v>
      </c>
      <c r="BQ294" s="12">
        <f t="shared" si="177"/>
        <v>0</v>
      </c>
      <c r="BR294" s="12">
        <f t="shared" si="178"/>
        <v>0</v>
      </c>
      <c r="BS294" s="12">
        <f t="shared" si="179"/>
        <v>0</v>
      </c>
      <c r="BT294" s="1"/>
      <c r="BU294" s="11">
        <f t="shared" si="180"/>
        <v>0</v>
      </c>
      <c r="BV294" s="11">
        <f t="shared" si="181"/>
        <v>0</v>
      </c>
      <c r="BW294" s="11">
        <f t="shared" si="182"/>
        <v>0</v>
      </c>
      <c r="BX294" s="11">
        <f t="shared" si="183"/>
        <v>0</v>
      </c>
      <c r="BY294" s="11">
        <f t="shared" si="184"/>
        <v>0</v>
      </c>
      <c r="BZ294" s="11">
        <f t="shared" si="185"/>
        <v>0</v>
      </c>
      <c r="CA294" s="11">
        <f t="shared" si="186"/>
        <v>0</v>
      </c>
      <c r="CB294" s="11">
        <f t="shared" si="187"/>
        <v>0</v>
      </c>
      <c r="CC294" s="11">
        <f t="shared" si="188"/>
        <v>0</v>
      </c>
      <c r="CD294" s="11">
        <f t="shared" si="189"/>
        <v>0</v>
      </c>
      <c r="CE294" s="11">
        <f t="shared" si="190"/>
        <v>0</v>
      </c>
      <c r="CF294" s="11">
        <f t="shared" si="191"/>
        <v>0</v>
      </c>
      <c r="CG294" s="11"/>
      <c r="CH294" s="41">
        <v>3.23</v>
      </c>
      <c r="CI294" s="1"/>
      <c r="CJ294" s="53">
        <f t="shared" si="192"/>
        <v>0</v>
      </c>
      <c r="CK294" s="53">
        <f t="shared" si="193"/>
        <v>0</v>
      </c>
      <c r="CL294" s="53">
        <f t="shared" si="194"/>
        <v>0</v>
      </c>
      <c r="CM294" s="53">
        <f t="shared" si="195"/>
        <v>0</v>
      </c>
      <c r="CN294" s="53">
        <f t="shared" si="196"/>
        <v>0</v>
      </c>
      <c r="CO294" s="53">
        <f t="shared" si="197"/>
        <v>0</v>
      </c>
      <c r="CP294" s="53">
        <f t="shared" si="198"/>
        <v>0</v>
      </c>
      <c r="CQ294" s="53">
        <f t="shared" si="199"/>
        <v>0</v>
      </c>
      <c r="CR294" s="53">
        <f t="shared" si="200"/>
        <v>0</v>
      </c>
      <c r="CS294" s="53">
        <f t="shared" si="201"/>
        <v>0</v>
      </c>
      <c r="CT294" s="53">
        <f t="shared" si="202"/>
        <v>0</v>
      </c>
      <c r="CU294" s="53">
        <f t="shared" si="203"/>
        <v>0</v>
      </c>
      <c r="CV294" s="53">
        <f t="shared" si="165"/>
        <v>0</v>
      </c>
      <c r="CW294" s="1"/>
      <c r="CX294" s="1"/>
      <c r="CY294" s="1"/>
      <c r="CZ294" s="1"/>
      <c r="DA294" s="1"/>
      <c r="DB294" s="1"/>
      <c r="DC294" s="1"/>
      <c r="DD294" s="1"/>
      <c r="DE294" s="1"/>
      <c r="DF294" s="1"/>
      <c r="DG294" s="1"/>
      <c r="DH294" s="1"/>
      <c r="DI294" s="1"/>
      <c r="DJ294" s="1"/>
      <c r="DK294" s="1"/>
      <c r="DL294" s="1"/>
    </row>
    <row r="295" spans="1:116" ht="15.75" hidden="1" x14ac:dyDescent="0.25">
      <c r="A295" s="17"/>
      <c r="B295" s="17"/>
      <c r="C295" s="17"/>
      <c r="D295" s="17"/>
      <c r="E295" s="17"/>
      <c r="F295" s="31" t="s">
        <v>2949</v>
      </c>
      <c r="G295" s="55">
        <v>0</v>
      </c>
      <c r="H295" s="55">
        <v>0</v>
      </c>
      <c r="I295" s="55">
        <v>0</v>
      </c>
      <c r="J295" s="55">
        <v>0</v>
      </c>
      <c r="K295" s="55">
        <v>0</v>
      </c>
      <c r="L295" s="55">
        <v>0</v>
      </c>
      <c r="M295" s="55">
        <v>0</v>
      </c>
      <c r="N295" s="55">
        <v>0</v>
      </c>
      <c r="O295" s="55">
        <v>0</v>
      </c>
      <c r="P295" s="55">
        <v>0</v>
      </c>
      <c r="Q295" s="55">
        <v>0</v>
      </c>
      <c r="R295" s="55">
        <v>0</v>
      </c>
      <c r="S295" s="11">
        <f t="shared" si="166"/>
        <v>0</v>
      </c>
      <c r="T295" s="9"/>
      <c r="U295" s="1"/>
      <c r="V295" s="50">
        <f t="shared" si="164"/>
        <v>0</v>
      </c>
      <c r="W295" s="36">
        <v>2.367</v>
      </c>
      <c r="X295" s="36">
        <v>2.367</v>
      </c>
      <c r="Y295" s="36">
        <v>2.367</v>
      </c>
      <c r="Z295" s="36">
        <v>2.367</v>
      </c>
      <c r="AA295" s="36">
        <v>2.367</v>
      </c>
      <c r="AB295" s="36">
        <v>2.367</v>
      </c>
      <c r="AC295" s="36">
        <v>2.367</v>
      </c>
      <c r="AD295" s="36">
        <v>2.367</v>
      </c>
      <c r="AE295" s="36">
        <v>2.367</v>
      </c>
      <c r="AF295" s="36">
        <v>2.367</v>
      </c>
      <c r="AG295" s="36">
        <v>2.367</v>
      </c>
      <c r="AH295" s="36">
        <v>2.367</v>
      </c>
      <c r="AI295" s="39">
        <v>1.33634708931066E-2</v>
      </c>
      <c r="AJ295" s="39">
        <v>1.33634708931066E-2</v>
      </c>
      <c r="AK295" s="39">
        <v>1.33634708931066E-2</v>
      </c>
      <c r="AL295" s="39">
        <v>1.33634708931066E-2</v>
      </c>
      <c r="AM295" s="39">
        <v>1.33634708931066E-2</v>
      </c>
      <c r="AN295" s="39">
        <v>1.33634708931066E-2</v>
      </c>
      <c r="AO295" s="39">
        <v>1.33634708931066E-2</v>
      </c>
      <c r="AP295" s="39">
        <v>1.33634708931066E-2</v>
      </c>
      <c r="AQ295" s="39">
        <v>1.33634708931066E-2</v>
      </c>
      <c r="AR295" s="39">
        <v>1.33634708931066E-2</v>
      </c>
      <c r="AS295" s="39">
        <v>1.33634708931066E-2</v>
      </c>
      <c r="AT295" s="39">
        <v>1.33634708931066E-2</v>
      </c>
      <c r="AU295" s="39">
        <v>1.2392217523121999E-3</v>
      </c>
      <c r="AV295" s="39">
        <v>1.2392217523121999E-3</v>
      </c>
      <c r="AW295" s="39">
        <v>1.2392217523121999E-3</v>
      </c>
      <c r="AX295" s="39">
        <v>1.2392217523121999E-3</v>
      </c>
      <c r="AY295" s="39">
        <v>1.2392217523121999E-3</v>
      </c>
      <c r="AZ295" s="39">
        <v>1.2392217523121999E-3</v>
      </c>
      <c r="BA295" s="39">
        <v>1.2392217523121999E-3</v>
      </c>
      <c r="BB295" s="39">
        <v>1.2392217523121999E-3</v>
      </c>
      <c r="BC295" s="39">
        <v>1.2392217523121999E-3</v>
      </c>
      <c r="BD295" s="39">
        <v>1.2392217523121999E-3</v>
      </c>
      <c r="BE295" s="39">
        <v>1.2392217523121999E-3</v>
      </c>
      <c r="BF295" s="39">
        <v>1.2392217523121999E-3</v>
      </c>
      <c r="BG295" s="1"/>
      <c r="BH295" s="12">
        <f t="shared" si="168"/>
        <v>0</v>
      </c>
      <c r="BI295" s="12">
        <f t="shared" si="169"/>
        <v>0</v>
      </c>
      <c r="BJ295" s="12">
        <f t="shared" si="170"/>
        <v>0</v>
      </c>
      <c r="BK295" s="12">
        <f t="shared" si="171"/>
        <v>0</v>
      </c>
      <c r="BL295" s="12">
        <f t="shared" si="172"/>
        <v>0</v>
      </c>
      <c r="BM295" s="12">
        <f t="shared" si="173"/>
        <v>0</v>
      </c>
      <c r="BN295" s="12">
        <f t="shared" si="174"/>
        <v>0</v>
      </c>
      <c r="BO295" s="12">
        <f t="shared" si="175"/>
        <v>0</v>
      </c>
      <c r="BP295" s="12">
        <f t="shared" si="176"/>
        <v>0</v>
      </c>
      <c r="BQ295" s="12">
        <f t="shared" si="177"/>
        <v>0</v>
      </c>
      <c r="BR295" s="12">
        <f t="shared" si="178"/>
        <v>0</v>
      </c>
      <c r="BS295" s="12">
        <f t="shared" si="179"/>
        <v>0</v>
      </c>
      <c r="BT295" s="1"/>
      <c r="BU295" s="11">
        <f t="shared" si="180"/>
        <v>0</v>
      </c>
      <c r="BV295" s="11">
        <f t="shared" si="181"/>
        <v>0</v>
      </c>
      <c r="BW295" s="11">
        <f t="shared" si="182"/>
        <v>0</v>
      </c>
      <c r="BX295" s="11">
        <f t="shared" si="183"/>
        <v>0</v>
      </c>
      <c r="BY295" s="11">
        <f t="shared" si="184"/>
        <v>0</v>
      </c>
      <c r="BZ295" s="11">
        <f t="shared" si="185"/>
        <v>0</v>
      </c>
      <c r="CA295" s="11">
        <f t="shared" si="186"/>
        <v>0</v>
      </c>
      <c r="CB295" s="11">
        <f t="shared" si="187"/>
        <v>0</v>
      </c>
      <c r="CC295" s="11">
        <f t="shared" si="188"/>
        <v>0</v>
      </c>
      <c r="CD295" s="11">
        <f t="shared" si="189"/>
        <v>0</v>
      </c>
      <c r="CE295" s="11">
        <f t="shared" si="190"/>
        <v>0</v>
      </c>
      <c r="CF295" s="11">
        <f t="shared" si="191"/>
        <v>0</v>
      </c>
      <c r="CG295" s="11"/>
      <c r="CH295" s="41">
        <v>3.23</v>
      </c>
      <c r="CI295" s="1"/>
      <c r="CJ295" s="53">
        <f t="shared" si="192"/>
        <v>0</v>
      </c>
      <c r="CK295" s="53">
        <f t="shared" si="193"/>
        <v>0</v>
      </c>
      <c r="CL295" s="53">
        <f t="shared" si="194"/>
        <v>0</v>
      </c>
      <c r="CM295" s="53">
        <f t="shared" si="195"/>
        <v>0</v>
      </c>
      <c r="CN295" s="53">
        <f t="shared" si="196"/>
        <v>0</v>
      </c>
      <c r="CO295" s="53">
        <f t="shared" si="197"/>
        <v>0</v>
      </c>
      <c r="CP295" s="53">
        <f t="shared" si="198"/>
        <v>0</v>
      </c>
      <c r="CQ295" s="53">
        <f t="shared" si="199"/>
        <v>0</v>
      </c>
      <c r="CR295" s="53">
        <f t="shared" si="200"/>
        <v>0</v>
      </c>
      <c r="CS295" s="53">
        <f t="shared" si="201"/>
        <v>0</v>
      </c>
      <c r="CT295" s="53">
        <f t="shared" si="202"/>
        <v>0</v>
      </c>
      <c r="CU295" s="53">
        <f t="shared" si="203"/>
        <v>0</v>
      </c>
      <c r="CV295" s="53">
        <f t="shared" si="165"/>
        <v>0</v>
      </c>
      <c r="CW295" s="1"/>
      <c r="CX295" s="1"/>
      <c r="CY295" s="1"/>
      <c r="CZ295" s="1"/>
      <c r="DA295" s="1"/>
      <c r="DB295" s="1"/>
      <c r="DC295" s="1"/>
      <c r="DD295" s="1"/>
      <c r="DE295" s="1"/>
      <c r="DF295" s="1"/>
      <c r="DG295" s="1"/>
      <c r="DH295" s="1"/>
      <c r="DI295" s="1"/>
      <c r="DJ295" s="1"/>
      <c r="DK295" s="1"/>
      <c r="DL295" s="1"/>
    </row>
    <row r="296" spans="1:116" ht="15.75" hidden="1" x14ac:dyDescent="0.25">
      <c r="A296" s="17"/>
      <c r="B296" s="17"/>
      <c r="C296" s="17"/>
      <c r="D296" s="17"/>
      <c r="E296" s="17"/>
      <c r="F296" s="31" t="s">
        <v>2949</v>
      </c>
      <c r="G296" s="55">
        <v>0</v>
      </c>
      <c r="H296" s="55">
        <v>0</v>
      </c>
      <c r="I296" s="55">
        <v>0</v>
      </c>
      <c r="J296" s="55">
        <v>0</v>
      </c>
      <c r="K296" s="55">
        <v>0</v>
      </c>
      <c r="L296" s="55">
        <v>0</v>
      </c>
      <c r="M296" s="55">
        <v>0</v>
      </c>
      <c r="N296" s="55">
        <v>0</v>
      </c>
      <c r="O296" s="55">
        <v>0</v>
      </c>
      <c r="P296" s="55">
        <v>0</v>
      </c>
      <c r="Q296" s="55">
        <v>0</v>
      </c>
      <c r="R296" s="55">
        <v>0</v>
      </c>
      <c r="S296" s="11">
        <f t="shared" si="166"/>
        <v>0</v>
      </c>
      <c r="T296" s="9"/>
      <c r="U296" s="1"/>
      <c r="V296" s="50">
        <f t="shared" si="164"/>
        <v>0</v>
      </c>
      <c r="W296" s="36">
        <v>1.9370000000000001</v>
      </c>
      <c r="X296" s="36">
        <v>1.9370000000000001</v>
      </c>
      <c r="Y296" s="36">
        <v>1.9370000000000001</v>
      </c>
      <c r="Z296" s="36">
        <v>1.9370000000000001</v>
      </c>
      <c r="AA296" s="36">
        <v>1.9370000000000001</v>
      </c>
      <c r="AB296" s="36">
        <v>1.9370000000000001</v>
      </c>
      <c r="AC296" s="36">
        <v>1.9370000000000001</v>
      </c>
      <c r="AD296" s="36">
        <v>1.9370000000000001</v>
      </c>
      <c r="AE296" s="36">
        <v>1.9370000000000001</v>
      </c>
      <c r="AF296" s="36">
        <v>1.9370000000000001</v>
      </c>
      <c r="AG296" s="36">
        <v>1.9370000000000001</v>
      </c>
      <c r="AH296" s="36">
        <v>1.9370000000000001</v>
      </c>
      <c r="AI296" s="39">
        <v>1.33634708931066E-2</v>
      </c>
      <c r="AJ296" s="39">
        <v>1.33634708931066E-2</v>
      </c>
      <c r="AK296" s="39">
        <v>1.33634708931066E-2</v>
      </c>
      <c r="AL296" s="39">
        <v>1.33634708931066E-2</v>
      </c>
      <c r="AM296" s="39">
        <v>1.33634708931066E-2</v>
      </c>
      <c r="AN296" s="39">
        <v>1.33634708931066E-2</v>
      </c>
      <c r="AO296" s="39">
        <v>1.33634708931066E-2</v>
      </c>
      <c r="AP296" s="39">
        <v>1.33634708931066E-2</v>
      </c>
      <c r="AQ296" s="39">
        <v>1.33634708931066E-2</v>
      </c>
      <c r="AR296" s="39">
        <v>1.33634708931066E-2</v>
      </c>
      <c r="AS296" s="39">
        <v>1.33634708931066E-2</v>
      </c>
      <c r="AT296" s="39">
        <v>1.33634708931066E-2</v>
      </c>
      <c r="AU296" s="39">
        <v>1.2392217523121999E-3</v>
      </c>
      <c r="AV296" s="39">
        <v>1.2392217523121999E-3</v>
      </c>
      <c r="AW296" s="39">
        <v>1.2392217523121999E-3</v>
      </c>
      <c r="AX296" s="39">
        <v>1.2392217523121999E-3</v>
      </c>
      <c r="AY296" s="39">
        <v>1.2392217523121999E-3</v>
      </c>
      <c r="AZ296" s="39">
        <v>1.2392217523121999E-3</v>
      </c>
      <c r="BA296" s="39">
        <v>1.2392217523121999E-3</v>
      </c>
      <c r="BB296" s="39">
        <v>1.2392217523121999E-3</v>
      </c>
      <c r="BC296" s="39">
        <v>1.2392217523121999E-3</v>
      </c>
      <c r="BD296" s="39">
        <v>1.2392217523121999E-3</v>
      </c>
      <c r="BE296" s="39">
        <v>1.2392217523121999E-3</v>
      </c>
      <c r="BF296" s="39">
        <v>1.2392217523121999E-3</v>
      </c>
      <c r="BG296" s="1"/>
      <c r="BH296" s="12">
        <f t="shared" si="168"/>
        <v>0</v>
      </c>
      <c r="BI296" s="12">
        <f t="shared" si="169"/>
        <v>0</v>
      </c>
      <c r="BJ296" s="12">
        <f t="shared" si="170"/>
        <v>0</v>
      </c>
      <c r="BK296" s="12">
        <f t="shared" si="171"/>
        <v>0</v>
      </c>
      <c r="BL296" s="12">
        <f t="shared" si="172"/>
        <v>0</v>
      </c>
      <c r="BM296" s="12">
        <f t="shared" si="173"/>
        <v>0</v>
      </c>
      <c r="BN296" s="12">
        <f t="shared" si="174"/>
        <v>0</v>
      </c>
      <c r="BO296" s="12">
        <f t="shared" si="175"/>
        <v>0</v>
      </c>
      <c r="BP296" s="12">
        <f t="shared" si="176"/>
        <v>0</v>
      </c>
      <c r="BQ296" s="12">
        <f t="shared" si="177"/>
        <v>0</v>
      </c>
      <c r="BR296" s="12">
        <f t="shared" si="178"/>
        <v>0</v>
      </c>
      <c r="BS296" s="12">
        <f t="shared" si="179"/>
        <v>0</v>
      </c>
      <c r="BT296" s="1"/>
      <c r="BU296" s="11">
        <f t="shared" si="180"/>
        <v>0</v>
      </c>
      <c r="BV296" s="11">
        <f t="shared" si="181"/>
        <v>0</v>
      </c>
      <c r="BW296" s="11">
        <f t="shared" si="182"/>
        <v>0</v>
      </c>
      <c r="BX296" s="11">
        <f t="shared" si="183"/>
        <v>0</v>
      </c>
      <c r="BY296" s="11">
        <f t="shared" si="184"/>
        <v>0</v>
      </c>
      <c r="BZ296" s="11">
        <f t="shared" si="185"/>
        <v>0</v>
      </c>
      <c r="CA296" s="11">
        <f t="shared" si="186"/>
        <v>0</v>
      </c>
      <c r="CB296" s="11">
        <f t="shared" si="187"/>
        <v>0</v>
      </c>
      <c r="CC296" s="11">
        <f t="shared" si="188"/>
        <v>0</v>
      </c>
      <c r="CD296" s="11">
        <f t="shared" si="189"/>
        <v>0</v>
      </c>
      <c r="CE296" s="11">
        <f t="shared" si="190"/>
        <v>0</v>
      </c>
      <c r="CF296" s="11">
        <f t="shared" si="191"/>
        <v>0</v>
      </c>
      <c r="CG296" s="11"/>
      <c r="CH296" s="41">
        <v>3.23</v>
      </c>
      <c r="CI296" s="1"/>
      <c r="CJ296" s="53">
        <f t="shared" si="192"/>
        <v>0</v>
      </c>
      <c r="CK296" s="53">
        <f t="shared" si="193"/>
        <v>0</v>
      </c>
      <c r="CL296" s="53">
        <f t="shared" si="194"/>
        <v>0</v>
      </c>
      <c r="CM296" s="53">
        <f t="shared" si="195"/>
        <v>0</v>
      </c>
      <c r="CN296" s="53">
        <f t="shared" si="196"/>
        <v>0</v>
      </c>
      <c r="CO296" s="53">
        <f t="shared" si="197"/>
        <v>0</v>
      </c>
      <c r="CP296" s="53">
        <f t="shared" si="198"/>
        <v>0</v>
      </c>
      <c r="CQ296" s="53">
        <f t="shared" si="199"/>
        <v>0</v>
      </c>
      <c r="CR296" s="53">
        <f t="shared" si="200"/>
        <v>0</v>
      </c>
      <c r="CS296" s="53">
        <f t="shared" si="201"/>
        <v>0</v>
      </c>
      <c r="CT296" s="53">
        <f t="shared" si="202"/>
        <v>0</v>
      </c>
      <c r="CU296" s="53">
        <f t="shared" si="203"/>
        <v>0</v>
      </c>
      <c r="CV296" s="53">
        <f t="shared" si="165"/>
        <v>0</v>
      </c>
      <c r="CW296" s="1"/>
      <c r="CX296" s="1"/>
      <c r="CY296" s="1"/>
      <c r="CZ296" s="1"/>
      <c r="DA296" s="1"/>
      <c r="DB296" s="1"/>
      <c r="DC296" s="1"/>
      <c r="DD296" s="1"/>
      <c r="DE296" s="1"/>
      <c r="DF296" s="1"/>
      <c r="DG296" s="1"/>
      <c r="DH296" s="1"/>
      <c r="DI296" s="1"/>
      <c r="DJ296" s="1"/>
      <c r="DK296" s="1"/>
      <c r="DL296" s="1"/>
    </row>
    <row r="297" spans="1:116" ht="15.75" hidden="1" x14ac:dyDescent="0.25">
      <c r="A297" s="17"/>
      <c r="B297" s="17"/>
      <c r="C297" s="17"/>
      <c r="D297" s="17"/>
      <c r="E297" s="17"/>
      <c r="F297" s="31" t="s">
        <v>2949</v>
      </c>
      <c r="G297" s="55">
        <v>133.69</v>
      </c>
      <c r="H297" s="55">
        <v>133.69</v>
      </c>
      <c r="I297" s="55">
        <v>133.69</v>
      </c>
      <c r="J297" s="55">
        <v>79.709999999999994</v>
      </c>
      <c r="K297" s="55">
        <v>79.709999999999994</v>
      </c>
      <c r="L297" s="55">
        <v>79.709999999999994</v>
      </c>
      <c r="M297" s="55">
        <v>79.709999999999994</v>
      </c>
      <c r="N297" s="55">
        <v>108.62</v>
      </c>
      <c r="O297" s="55">
        <v>108.62</v>
      </c>
      <c r="P297" s="55">
        <v>91.91</v>
      </c>
      <c r="Q297" s="55">
        <v>91.91</v>
      </c>
      <c r="R297" s="55">
        <v>83.55</v>
      </c>
      <c r="S297" s="11">
        <f t="shared" si="166"/>
        <v>1204.5200000000002</v>
      </c>
      <c r="T297" s="9"/>
      <c r="U297" s="1"/>
      <c r="V297" s="50">
        <f t="shared" si="164"/>
        <v>1484546</v>
      </c>
      <c r="W297" s="36">
        <v>2.6589999999999998</v>
      </c>
      <c r="X297" s="36">
        <v>2.6589999999999998</v>
      </c>
      <c r="Y297" s="36">
        <v>2.6589999999999998</v>
      </c>
      <c r="Z297" s="36">
        <v>2.6589999999999998</v>
      </c>
      <c r="AA297" s="36">
        <v>2.6589999999999998</v>
      </c>
      <c r="AB297" s="36">
        <v>2.6589999999999998</v>
      </c>
      <c r="AC297" s="36">
        <v>2.6589999999999998</v>
      </c>
      <c r="AD297" s="36">
        <v>2.6589999999999998</v>
      </c>
      <c r="AE297" s="36">
        <v>2.6589999999999998</v>
      </c>
      <c r="AF297" s="36">
        <v>2.6589999999999998</v>
      </c>
      <c r="AG297" s="36">
        <v>2.6589999999999998</v>
      </c>
      <c r="AH297" s="36">
        <v>2.6589999999999998</v>
      </c>
      <c r="AI297" s="39">
        <v>1.33634708931066E-2</v>
      </c>
      <c r="AJ297" s="39">
        <v>1.33634708931066E-2</v>
      </c>
      <c r="AK297" s="39">
        <v>1.33634708931066E-2</v>
      </c>
      <c r="AL297" s="39">
        <v>1.33634708931066E-2</v>
      </c>
      <c r="AM297" s="39">
        <v>1.33634708931066E-2</v>
      </c>
      <c r="AN297" s="39">
        <v>1.33634708931066E-2</v>
      </c>
      <c r="AO297" s="39">
        <v>1.33634708931066E-2</v>
      </c>
      <c r="AP297" s="39">
        <v>1.33634708931066E-2</v>
      </c>
      <c r="AQ297" s="39">
        <v>1.33634708931066E-2</v>
      </c>
      <c r="AR297" s="39">
        <v>1.33634708931066E-2</v>
      </c>
      <c r="AS297" s="39">
        <v>1.33634708931066E-2</v>
      </c>
      <c r="AT297" s="39">
        <v>1.33634708931066E-2</v>
      </c>
      <c r="AU297" s="39">
        <v>1.2392217523121999E-3</v>
      </c>
      <c r="AV297" s="39">
        <v>1.2392217523121999E-3</v>
      </c>
      <c r="AW297" s="39">
        <v>1.2392217523121999E-3</v>
      </c>
      <c r="AX297" s="39">
        <v>1.2392217523121999E-3</v>
      </c>
      <c r="AY297" s="39">
        <v>1.2392217523121999E-3</v>
      </c>
      <c r="AZ297" s="39">
        <v>1.2392217523121999E-3</v>
      </c>
      <c r="BA297" s="39">
        <v>1.2392217523121999E-3</v>
      </c>
      <c r="BB297" s="39">
        <v>1.2392217523121999E-3</v>
      </c>
      <c r="BC297" s="39">
        <v>1.2392217523121999E-3</v>
      </c>
      <c r="BD297" s="39">
        <v>1.2392217523121999E-3</v>
      </c>
      <c r="BE297" s="39">
        <v>1.2392217523121999E-3</v>
      </c>
      <c r="BF297" s="39">
        <v>1.2392217523121999E-3</v>
      </c>
      <c r="BG297" s="1"/>
      <c r="BH297" s="12">
        <f t="shared" si="168"/>
        <v>431.81869999999998</v>
      </c>
      <c r="BI297" s="12">
        <f t="shared" si="169"/>
        <v>431.81869999999998</v>
      </c>
      <c r="BJ297" s="12">
        <f t="shared" si="170"/>
        <v>431.81869999999998</v>
      </c>
      <c r="BK297" s="12">
        <f t="shared" si="171"/>
        <v>257.4633</v>
      </c>
      <c r="BL297" s="12">
        <f t="shared" si="172"/>
        <v>257.4633</v>
      </c>
      <c r="BM297" s="12">
        <f t="shared" si="173"/>
        <v>257.4633</v>
      </c>
      <c r="BN297" s="12">
        <f t="shared" si="174"/>
        <v>257.4633</v>
      </c>
      <c r="BO297" s="12">
        <f t="shared" si="175"/>
        <v>350.8426</v>
      </c>
      <c r="BP297" s="12">
        <f t="shared" si="176"/>
        <v>350.8426</v>
      </c>
      <c r="BQ297" s="12">
        <f t="shared" si="177"/>
        <v>296.86930000000001</v>
      </c>
      <c r="BR297" s="12">
        <f t="shared" si="178"/>
        <v>296.86930000000001</v>
      </c>
      <c r="BS297" s="12">
        <f t="shared" si="179"/>
        <v>269.86649999999997</v>
      </c>
      <c r="BT297" s="1"/>
      <c r="BU297" s="11">
        <f t="shared" si="180"/>
        <v>438.1244157546443</v>
      </c>
      <c r="BV297" s="11">
        <f t="shared" si="181"/>
        <v>438.1244157546443</v>
      </c>
      <c r="BW297" s="11">
        <f t="shared" si="182"/>
        <v>438.1244157546443</v>
      </c>
      <c r="BX297" s="11">
        <f t="shared" si="183"/>
        <v>261.22295743737527</v>
      </c>
      <c r="BY297" s="11">
        <f t="shared" si="184"/>
        <v>261.22295743737527</v>
      </c>
      <c r="BZ297" s="11">
        <f t="shared" si="185"/>
        <v>261.22295743737527</v>
      </c>
      <c r="CA297" s="11">
        <f t="shared" si="186"/>
        <v>261.22295743737527</v>
      </c>
      <c r="CB297" s="11">
        <f t="shared" si="187"/>
        <v>355.9658466547196</v>
      </c>
      <c r="CC297" s="11">
        <f t="shared" si="188"/>
        <v>355.9658466547196</v>
      </c>
      <c r="CD297" s="11">
        <f t="shared" si="189"/>
        <v>301.20439114376063</v>
      </c>
      <c r="CE297" s="11">
        <f t="shared" si="190"/>
        <v>301.20439114376063</v>
      </c>
      <c r="CF297" s="11">
        <f t="shared" si="191"/>
        <v>273.80727755479489</v>
      </c>
      <c r="CG297" s="11"/>
      <c r="CH297" s="41">
        <v>3.23</v>
      </c>
      <c r="CI297" s="1"/>
      <c r="CJ297" s="53">
        <f t="shared" si="192"/>
        <v>164770</v>
      </c>
      <c r="CK297" s="53">
        <f t="shared" si="193"/>
        <v>164770</v>
      </c>
      <c r="CL297" s="53">
        <f t="shared" si="194"/>
        <v>164770</v>
      </c>
      <c r="CM297" s="53">
        <f t="shared" si="195"/>
        <v>98241</v>
      </c>
      <c r="CN297" s="53">
        <f t="shared" si="196"/>
        <v>98241</v>
      </c>
      <c r="CO297" s="53">
        <f t="shared" si="197"/>
        <v>98241</v>
      </c>
      <c r="CP297" s="53">
        <f t="shared" si="198"/>
        <v>98241</v>
      </c>
      <c r="CQ297" s="53">
        <f t="shared" si="199"/>
        <v>133872</v>
      </c>
      <c r="CR297" s="53">
        <f t="shared" si="200"/>
        <v>133872</v>
      </c>
      <c r="CS297" s="53">
        <f t="shared" si="201"/>
        <v>113277</v>
      </c>
      <c r="CT297" s="53">
        <f t="shared" si="202"/>
        <v>113277</v>
      </c>
      <c r="CU297" s="53">
        <f t="shared" si="203"/>
        <v>102974</v>
      </c>
      <c r="CV297" s="53">
        <f t="shared" si="165"/>
        <v>1484546</v>
      </c>
      <c r="CW297" s="1"/>
      <c r="CX297" s="1"/>
      <c r="CY297" s="1"/>
      <c r="CZ297" s="1"/>
      <c r="DA297" s="1"/>
      <c r="DB297" s="1"/>
      <c r="DC297" s="1"/>
      <c r="DD297" s="1"/>
      <c r="DE297" s="1"/>
      <c r="DF297" s="1"/>
      <c r="DG297" s="1"/>
      <c r="DH297" s="1"/>
      <c r="DI297" s="1"/>
      <c r="DJ297" s="1"/>
      <c r="DK297" s="1"/>
      <c r="DL297" s="1"/>
    </row>
    <row r="298" spans="1:116" ht="15.75" hidden="1" x14ac:dyDescent="0.25">
      <c r="A298" s="17"/>
      <c r="B298" s="17"/>
      <c r="C298" s="17"/>
      <c r="D298" s="17"/>
      <c r="E298" s="17"/>
      <c r="F298" s="31" t="s">
        <v>2949</v>
      </c>
      <c r="G298" s="55">
        <v>156.63</v>
      </c>
      <c r="H298" s="55">
        <v>128.43</v>
      </c>
      <c r="I298" s="55">
        <v>128.43</v>
      </c>
      <c r="J298" s="55">
        <v>78.849999999999994</v>
      </c>
      <c r="K298" s="55">
        <v>174.59</v>
      </c>
      <c r="L298" s="55">
        <v>189.47</v>
      </c>
      <c r="M298" s="55">
        <v>60.24</v>
      </c>
      <c r="N298" s="55">
        <v>167.29</v>
      </c>
      <c r="O298" s="55">
        <v>78.28</v>
      </c>
      <c r="P298" s="55">
        <v>196.1</v>
      </c>
      <c r="Q298" s="55">
        <v>429.66</v>
      </c>
      <c r="R298" s="55">
        <v>100.84</v>
      </c>
      <c r="S298" s="11">
        <f t="shared" si="166"/>
        <v>1888.81</v>
      </c>
      <c r="T298" s="9"/>
      <c r="U298" s="1"/>
      <c r="V298" s="50">
        <f t="shared" si="164"/>
        <v>1020979</v>
      </c>
      <c r="W298" s="36">
        <v>1.8500010816189674</v>
      </c>
      <c r="X298" s="36">
        <v>1.8500010816189674</v>
      </c>
      <c r="Y298" s="36">
        <v>1.8500010816189674</v>
      </c>
      <c r="Z298" s="36">
        <v>1.8500010816189674</v>
      </c>
      <c r="AA298" s="36">
        <v>1.8500010816189674</v>
      </c>
      <c r="AB298" s="36">
        <v>1.8500010816189674</v>
      </c>
      <c r="AC298" s="36">
        <v>1.8500010816189674</v>
      </c>
      <c r="AD298" s="36">
        <v>1.8500010816189674</v>
      </c>
      <c r="AE298" s="36">
        <v>1.8500010816189674</v>
      </c>
      <c r="AF298" s="36">
        <v>1.8500010816189674</v>
      </c>
      <c r="AG298" s="36">
        <v>1.8500010816189674</v>
      </c>
      <c r="AH298" s="36">
        <v>1.8500010816189674</v>
      </c>
      <c r="AI298" s="39">
        <v>0</v>
      </c>
      <c r="AJ298" s="39">
        <v>0</v>
      </c>
      <c r="AK298" s="39">
        <v>0</v>
      </c>
      <c r="AL298" s="39">
        <v>0</v>
      </c>
      <c r="AM298" s="39">
        <v>0</v>
      </c>
      <c r="AN298" s="39">
        <v>0</v>
      </c>
      <c r="AO298" s="39">
        <v>0</v>
      </c>
      <c r="AP298" s="39">
        <v>0</v>
      </c>
      <c r="AQ298" s="39">
        <v>0</v>
      </c>
      <c r="AR298" s="39">
        <v>0</v>
      </c>
      <c r="AS298" s="39">
        <v>0</v>
      </c>
      <c r="AT298" s="39">
        <v>0</v>
      </c>
      <c r="AU298" s="39">
        <v>0</v>
      </c>
      <c r="AV298" s="39">
        <v>0</v>
      </c>
      <c r="AW298" s="39">
        <v>0</v>
      </c>
      <c r="AX298" s="39">
        <v>0</v>
      </c>
      <c r="AY298" s="39">
        <v>0</v>
      </c>
      <c r="AZ298" s="39">
        <v>0</v>
      </c>
      <c r="BA298" s="39">
        <v>0</v>
      </c>
      <c r="BB298" s="39">
        <v>0</v>
      </c>
      <c r="BC298" s="39">
        <v>0</v>
      </c>
      <c r="BD298" s="39">
        <v>0</v>
      </c>
      <c r="BE298" s="39">
        <v>0</v>
      </c>
      <c r="BF298" s="39">
        <v>0</v>
      </c>
      <c r="BG298" s="1"/>
      <c r="BH298" s="12">
        <f t="shared" si="168"/>
        <v>156.63</v>
      </c>
      <c r="BI298" s="12">
        <f t="shared" si="169"/>
        <v>128.43</v>
      </c>
      <c r="BJ298" s="12">
        <f t="shared" si="170"/>
        <v>128.43</v>
      </c>
      <c r="BK298" s="12">
        <f t="shared" si="171"/>
        <v>78.849999999999994</v>
      </c>
      <c r="BL298" s="12">
        <f t="shared" si="172"/>
        <v>174.59</v>
      </c>
      <c r="BM298" s="12">
        <f t="shared" si="173"/>
        <v>189.47</v>
      </c>
      <c r="BN298" s="12">
        <f t="shared" si="174"/>
        <v>60.24</v>
      </c>
      <c r="BO298" s="12">
        <f t="shared" si="175"/>
        <v>167.29</v>
      </c>
      <c r="BP298" s="12">
        <f t="shared" si="176"/>
        <v>78.28</v>
      </c>
      <c r="BQ298" s="12">
        <f t="shared" si="177"/>
        <v>196.1</v>
      </c>
      <c r="BR298" s="12">
        <f t="shared" si="178"/>
        <v>429.66</v>
      </c>
      <c r="BS298" s="12">
        <f t="shared" si="179"/>
        <v>100.84</v>
      </c>
      <c r="BT298" s="1"/>
      <c r="BU298" s="11">
        <f t="shared" si="180"/>
        <v>156.63</v>
      </c>
      <c r="BV298" s="11">
        <f t="shared" si="181"/>
        <v>128.43</v>
      </c>
      <c r="BW298" s="11">
        <f t="shared" si="182"/>
        <v>128.43</v>
      </c>
      <c r="BX298" s="11">
        <f t="shared" si="183"/>
        <v>78.849999999999994</v>
      </c>
      <c r="BY298" s="11">
        <f t="shared" si="184"/>
        <v>174.59</v>
      </c>
      <c r="BZ298" s="11">
        <f t="shared" si="185"/>
        <v>189.47</v>
      </c>
      <c r="CA298" s="11">
        <f t="shared" si="186"/>
        <v>60.24</v>
      </c>
      <c r="CB298" s="11">
        <f t="shared" si="187"/>
        <v>167.29</v>
      </c>
      <c r="CC298" s="11">
        <f t="shared" si="188"/>
        <v>78.28</v>
      </c>
      <c r="CD298" s="11">
        <f t="shared" si="189"/>
        <v>196.1</v>
      </c>
      <c r="CE298" s="11">
        <f t="shared" si="190"/>
        <v>429.66</v>
      </c>
      <c r="CF298" s="11">
        <f t="shared" si="191"/>
        <v>100.84</v>
      </c>
      <c r="CG298" s="11"/>
      <c r="CH298" s="41">
        <v>1</v>
      </c>
      <c r="CI298" s="1"/>
      <c r="CJ298" s="53">
        <f t="shared" si="192"/>
        <v>84665</v>
      </c>
      <c r="CK298" s="53">
        <f t="shared" si="193"/>
        <v>69422</v>
      </c>
      <c r="CL298" s="53">
        <f t="shared" si="194"/>
        <v>69422</v>
      </c>
      <c r="CM298" s="53">
        <f t="shared" si="195"/>
        <v>42622</v>
      </c>
      <c r="CN298" s="53">
        <f t="shared" si="196"/>
        <v>94373</v>
      </c>
      <c r="CO298" s="53">
        <f t="shared" si="197"/>
        <v>102416</v>
      </c>
      <c r="CP298" s="53">
        <f t="shared" si="198"/>
        <v>32562</v>
      </c>
      <c r="CQ298" s="53">
        <f t="shared" si="199"/>
        <v>90427</v>
      </c>
      <c r="CR298" s="53">
        <f t="shared" si="200"/>
        <v>42313</v>
      </c>
      <c r="CS298" s="53">
        <f t="shared" si="201"/>
        <v>106000</v>
      </c>
      <c r="CT298" s="53">
        <f t="shared" si="202"/>
        <v>232249</v>
      </c>
      <c r="CU298" s="53">
        <f t="shared" si="203"/>
        <v>54508</v>
      </c>
      <c r="CV298" s="53">
        <f t="shared" si="165"/>
        <v>1020979</v>
      </c>
      <c r="CW298" s="1"/>
      <c r="CX298" s="1"/>
      <c r="CY298" s="1"/>
      <c r="CZ298" s="1"/>
      <c r="DA298" s="1"/>
      <c r="DB298" s="1"/>
      <c r="DC298" s="1"/>
      <c r="DD298" s="1"/>
      <c r="DE298" s="1"/>
      <c r="DF298" s="1"/>
      <c r="DG298" s="1"/>
      <c r="DH298" s="1"/>
      <c r="DI298" s="1"/>
      <c r="DJ298" s="1"/>
      <c r="DK298" s="1"/>
      <c r="DL298" s="1"/>
    </row>
    <row r="299" spans="1:116" ht="15.75" hidden="1" x14ac:dyDescent="0.25">
      <c r="A299" s="17"/>
      <c r="B299" s="17"/>
      <c r="C299" s="17"/>
      <c r="D299" s="17"/>
      <c r="E299" s="17"/>
      <c r="F299" s="31" t="s">
        <v>2949</v>
      </c>
      <c r="G299" s="55">
        <v>26.88</v>
      </c>
      <c r="H299" s="55">
        <v>26.88</v>
      </c>
      <c r="I299" s="55">
        <v>26.88</v>
      </c>
      <c r="J299" s="55">
        <v>26.88</v>
      </c>
      <c r="K299" s="55">
        <v>26.88</v>
      </c>
      <c r="L299" s="55">
        <v>26.88</v>
      </c>
      <c r="M299" s="55">
        <v>26.88</v>
      </c>
      <c r="N299" s="55">
        <v>26.88</v>
      </c>
      <c r="O299" s="55">
        <v>33.6</v>
      </c>
      <c r="P299" s="55">
        <v>33.6</v>
      </c>
      <c r="Q299" s="55">
        <v>33.6</v>
      </c>
      <c r="R299" s="55">
        <v>33.6</v>
      </c>
      <c r="S299" s="11">
        <f t="shared" si="166"/>
        <v>349.44000000000005</v>
      </c>
      <c r="T299" s="9"/>
      <c r="U299" s="1"/>
      <c r="V299" s="50">
        <f t="shared" ref="V299:V362" si="204">CV299</f>
        <v>110228</v>
      </c>
      <c r="W299" s="36">
        <v>3.17</v>
      </c>
      <c r="X299" s="36">
        <v>3.17</v>
      </c>
      <c r="Y299" s="36">
        <v>3.17</v>
      </c>
      <c r="Z299" s="36">
        <v>3.17</v>
      </c>
      <c r="AA299" s="36">
        <v>3.17</v>
      </c>
      <c r="AB299" s="36">
        <v>3.17</v>
      </c>
      <c r="AC299" s="36">
        <v>3.17</v>
      </c>
      <c r="AD299" s="36">
        <v>3.17</v>
      </c>
      <c r="AE299" s="36">
        <v>3.17</v>
      </c>
      <c r="AF299" s="36">
        <v>3.17</v>
      </c>
      <c r="AG299" s="36">
        <v>3.17</v>
      </c>
      <c r="AH299" s="36">
        <v>3.17</v>
      </c>
      <c r="AI299" s="39">
        <v>0</v>
      </c>
      <c r="AJ299" s="39">
        <v>0</v>
      </c>
      <c r="AK299" s="39">
        <v>0</v>
      </c>
      <c r="AL299" s="39">
        <v>0</v>
      </c>
      <c r="AM299" s="39">
        <v>0</v>
      </c>
      <c r="AN299" s="39">
        <v>0</v>
      </c>
      <c r="AO299" s="39">
        <v>0</v>
      </c>
      <c r="AP299" s="39">
        <v>0</v>
      </c>
      <c r="AQ299" s="39">
        <v>0</v>
      </c>
      <c r="AR299" s="39">
        <v>0</v>
      </c>
      <c r="AS299" s="39">
        <v>0</v>
      </c>
      <c r="AT299" s="39">
        <v>0</v>
      </c>
      <c r="AU299" s="39">
        <v>0</v>
      </c>
      <c r="AV299" s="39">
        <v>0</v>
      </c>
      <c r="AW299" s="39">
        <v>0</v>
      </c>
      <c r="AX299" s="39">
        <v>0</v>
      </c>
      <c r="AY299" s="39">
        <v>0</v>
      </c>
      <c r="AZ299" s="39">
        <v>0</v>
      </c>
      <c r="BA299" s="39">
        <v>0</v>
      </c>
      <c r="BB299" s="39">
        <v>0</v>
      </c>
      <c r="BC299" s="39">
        <v>0</v>
      </c>
      <c r="BD299" s="39">
        <v>0</v>
      </c>
      <c r="BE299" s="39">
        <v>0</v>
      </c>
      <c r="BF299" s="39">
        <v>0</v>
      </c>
      <c r="BG299" s="1"/>
      <c r="BH299" s="12">
        <f t="shared" si="168"/>
        <v>26.88</v>
      </c>
      <c r="BI299" s="12">
        <f t="shared" si="169"/>
        <v>26.88</v>
      </c>
      <c r="BJ299" s="12">
        <f t="shared" si="170"/>
        <v>26.88</v>
      </c>
      <c r="BK299" s="12">
        <f t="shared" si="171"/>
        <v>26.88</v>
      </c>
      <c r="BL299" s="12">
        <f t="shared" si="172"/>
        <v>26.88</v>
      </c>
      <c r="BM299" s="12">
        <f t="shared" si="173"/>
        <v>26.88</v>
      </c>
      <c r="BN299" s="12">
        <f t="shared" si="174"/>
        <v>26.88</v>
      </c>
      <c r="BO299" s="12">
        <f t="shared" si="175"/>
        <v>26.88</v>
      </c>
      <c r="BP299" s="12">
        <f t="shared" si="176"/>
        <v>33.6</v>
      </c>
      <c r="BQ299" s="12">
        <f t="shared" si="177"/>
        <v>33.6</v>
      </c>
      <c r="BR299" s="12">
        <f t="shared" si="178"/>
        <v>33.6</v>
      </c>
      <c r="BS299" s="12">
        <f t="shared" si="179"/>
        <v>33.6</v>
      </c>
      <c r="BT299" s="1"/>
      <c r="BU299" s="11">
        <f t="shared" si="180"/>
        <v>26.88</v>
      </c>
      <c r="BV299" s="11">
        <f t="shared" si="181"/>
        <v>26.88</v>
      </c>
      <c r="BW299" s="11">
        <f t="shared" si="182"/>
        <v>26.88</v>
      </c>
      <c r="BX299" s="11">
        <f t="shared" si="183"/>
        <v>26.88</v>
      </c>
      <c r="BY299" s="11">
        <f t="shared" si="184"/>
        <v>26.88</v>
      </c>
      <c r="BZ299" s="11">
        <f t="shared" si="185"/>
        <v>26.88</v>
      </c>
      <c r="CA299" s="11">
        <f t="shared" si="186"/>
        <v>26.88</v>
      </c>
      <c r="CB299" s="11">
        <f t="shared" si="187"/>
        <v>26.88</v>
      </c>
      <c r="CC299" s="11">
        <f t="shared" si="188"/>
        <v>33.6</v>
      </c>
      <c r="CD299" s="11">
        <f t="shared" si="189"/>
        <v>33.6</v>
      </c>
      <c r="CE299" s="11">
        <f t="shared" si="190"/>
        <v>33.6</v>
      </c>
      <c r="CF299" s="11">
        <f t="shared" si="191"/>
        <v>33.6</v>
      </c>
      <c r="CG299" s="11"/>
      <c r="CH299" s="41">
        <v>1</v>
      </c>
      <c r="CI299" s="1"/>
      <c r="CJ299" s="53">
        <f t="shared" si="192"/>
        <v>8479</v>
      </c>
      <c r="CK299" s="53">
        <f t="shared" si="193"/>
        <v>8479</v>
      </c>
      <c r="CL299" s="53">
        <f t="shared" si="194"/>
        <v>8479</v>
      </c>
      <c r="CM299" s="53">
        <f t="shared" si="195"/>
        <v>8479</v>
      </c>
      <c r="CN299" s="53">
        <f t="shared" si="196"/>
        <v>8479</v>
      </c>
      <c r="CO299" s="53">
        <f t="shared" si="197"/>
        <v>8479</v>
      </c>
      <c r="CP299" s="53">
        <f t="shared" si="198"/>
        <v>8479</v>
      </c>
      <c r="CQ299" s="53">
        <f t="shared" si="199"/>
        <v>8479</v>
      </c>
      <c r="CR299" s="53">
        <f t="shared" si="200"/>
        <v>10599</v>
      </c>
      <c r="CS299" s="53">
        <f t="shared" si="201"/>
        <v>10599</v>
      </c>
      <c r="CT299" s="53">
        <f t="shared" si="202"/>
        <v>10599</v>
      </c>
      <c r="CU299" s="53">
        <f t="shared" si="203"/>
        <v>10599</v>
      </c>
      <c r="CV299" s="53">
        <f t="shared" ref="CV299:CV362" si="205">ROUNDUP(SUM(CJ299:CU299),0)</f>
        <v>110228</v>
      </c>
      <c r="CW299" s="1"/>
      <c r="CX299" s="1"/>
      <c r="CY299" s="1"/>
      <c r="CZ299" s="1"/>
      <c r="DA299" s="1"/>
      <c r="DB299" s="1"/>
      <c r="DC299" s="1"/>
      <c r="DD299" s="1"/>
      <c r="DE299" s="1"/>
      <c r="DF299" s="1"/>
      <c r="DG299" s="1"/>
      <c r="DH299" s="1"/>
      <c r="DI299" s="1"/>
      <c r="DJ299" s="1"/>
      <c r="DK299" s="1"/>
      <c r="DL299" s="1"/>
    </row>
    <row r="300" spans="1:116" ht="15.75" hidden="1" x14ac:dyDescent="0.25">
      <c r="A300" s="17"/>
      <c r="B300" s="17"/>
      <c r="C300" s="17"/>
      <c r="D300" s="17"/>
      <c r="E300" s="17"/>
      <c r="F300" s="31" t="s">
        <v>2949</v>
      </c>
      <c r="G300" s="55">
        <v>0</v>
      </c>
      <c r="H300" s="55">
        <v>0</v>
      </c>
      <c r="I300" s="55">
        <v>0</v>
      </c>
      <c r="J300" s="55">
        <v>0</v>
      </c>
      <c r="K300" s="55">
        <v>0</v>
      </c>
      <c r="L300" s="55">
        <v>0</v>
      </c>
      <c r="M300" s="55">
        <v>0</v>
      </c>
      <c r="N300" s="55">
        <v>0</v>
      </c>
      <c r="O300" s="55">
        <v>0</v>
      </c>
      <c r="P300" s="55">
        <v>0</v>
      </c>
      <c r="Q300" s="55">
        <v>0</v>
      </c>
      <c r="R300" s="55">
        <v>0</v>
      </c>
      <c r="S300" s="11">
        <f t="shared" si="166"/>
        <v>0</v>
      </c>
      <c r="T300" s="9"/>
      <c r="U300" s="1"/>
      <c r="V300" s="50">
        <f t="shared" si="204"/>
        <v>0</v>
      </c>
      <c r="W300" s="36">
        <v>3.149</v>
      </c>
      <c r="X300" s="36">
        <v>3.149</v>
      </c>
      <c r="Y300" s="36">
        <v>3.149</v>
      </c>
      <c r="Z300" s="36">
        <v>3.149</v>
      </c>
      <c r="AA300" s="36">
        <v>3.149</v>
      </c>
      <c r="AB300" s="36">
        <v>3.149</v>
      </c>
      <c r="AC300" s="36">
        <v>3.149</v>
      </c>
      <c r="AD300" s="36">
        <v>3.149</v>
      </c>
      <c r="AE300" s="36">
        <v>3.149</v>
      </c>
      <c r="AF300" s="36">
        <v>3.149</v>
      </c>
      <c r="AG300" s="36">
        <v>3.149</v>
      </c>
      <c r="AH300" s="36">
        <v>3.149</v>
      </c>
      <c r="AI300" s="39">
        <v>1.33634708931066E-2</v>
      </c>
      <c r="AJ300" s="39">
        <v>1.33634708931066E-2</v>
      </c>
      <c r="AK300" s="39">
        <v>1.33634708931066E-2</v>
      </c>
      <c r="AL300" s="39">
        <v>1.33634708931066E-2</v>
      </c>
      <c r="AM300" s="39">
        <v>1.33634708931066E-2</v>
      </c>
      <c r="AN300" s="39">
        <v>1.33634708931066E-2</v>
      </c>
      <c r="AO300" s="39">
        <v>1.33634708931066E-2</v>
      </c>
      <c r="AP300" s="39">
        <v>1.33634708931066E-2</v>
      </c>
      <c r="AQ300" s="39">
        <v>1.33634708931066E-2</v>
      </c>
      <c r="AR300" s="39">
        <v>1.33634708931066E-2</v>
      </c>
      <c r="AS300" s="39">
        <v>1.33634708931066E-2</v>
      </c>
      <c r="AT300" s="39">
        <v>1.33634708931066E-2</v>
      </c>
      <c r="AU300" s="39">
        <v>1.2392217523121999E-3</v>
      </c>
      <c r="AV300" s="39">
        <v>1.2392217523121999E-3</v>
      </c>
      <c r="AW300" s="39">
        <v>1.2392217523121999E-3</v>
      </c>
      <c r="AX300" s="39">
        <v>1.2392217523121999E-3</v>
      </c>
      <c r="AY300" s="39">
        <v>1.2392217523121999E-3</v>
      </c>
      <c r="AZ300" s="39">
        <v>1.2392217523121999E-3</v>
      </c>
      <c r="BA300" s="39">
        <v>1.2392217523121999E-3</v>
      </c>
      <c r="BB300" s="39">
        <v>1.2392217523121999E-3</v>
      </c>
      <c r="BC300" s="39">
        <v>1.2392217523121999E-3</v>
      </c>
      <c r="BD300" s="39">
        <v>1.2392217523121999E-3</v>
      </c>
      <c r="BE300" s="39">
        <v>1.2392217523121999E-3</v>
      </c>
      <c r="BF300" s="39">
        <v>1.2392217523121999E-3</v>
      </c>
      <c r="BG300" s="1"/>
      <c r="BH300" s="12">
        <f t="shared" si="168"/>
        <v>0</v>
      </c>
      <c r="BI300" s="12">
        <f t="shared" si="169"/>
        <v>0</v>
      </c>
      <c r="BJ300" s="12">
        <f t="shared" si="170"/>
        <v>0</v>
      </c>
      <c r="BK300" s="12">
        <f t="shared" si="171"/>
        <v>0</v>
      </c>
      <c r="BL300" s="12">
        <f t="shared" si="172"/>
        <v>0</v>
      </c>
      <c r="BM300" s="12">
        <f t="shared" si="173"/>
        <v>0</v>
      </c>
      <c r="BN300" s="12">
        <f t="shared" si="174"/>
        <v>0</v>
      </c>
      <c r="BO300" s="12">
        <f t="shared" si="175"/>
        <v>0</v>
      </c>
      <c r="BP300" s="12">
        <f t="shared" si="176"/>
        <v>0</v>
      </c>
      <c r="BQ300" s="12">
        <f t="shared" si="177"/>
        <v>0</v>
      </c>
      <c r="BR300" s="12">
        <f t="shared" si="178"/>
        <v>0</v>
      </c>
      <c r="BS300" s="12">
        <f t="shared" si="179"/>
        <v>0</v>
      </c>
      <c r="BT300" s="1"/>
      <c r="BU300" s="11">
        <f t="shared" si="180"/>
        <v>0</v>
      </c>
      <c r="BV300" s="11">
        <f t="shared" si="181"/>
        <v>0</v>
      </c>
      <c r="BW300" s="11">
        <f t="shared" si="182"/>
        <v>0</v>
      </c>
      <c r="BX300" s="11">
        <f t="shared" si="183"/>
        <v>0</v>
      </c>
      <c r="BY300" s="11">
        <f t="shared" si="184"/>
        <v>0</v>
      </c>
      <c r="BZ300" s="11">
        <f t="shared" si="185"/>
        <v>0</v>
      </c>
      <c r="CA300" s="11">
        <f t="shared" si="186"/>
        <v>0</v>
      </c>
      <c r="CB300" s="11">
        <f t="shared" si="187"/>
        <v>0</v>
      </c>
      <c r="CC300" s="11">
        <f t="shared" si="188"/>
        <v>0</v>
      </c>
      <c r="CD300" s="11">
        <f t="shared" si="189"/>
        <v>0</v>
      </c>
      <c r="CE300" s="11">
        <f t="shared" si="190"/>
        <v>0</v>
      </c>
      <c r="CF300" s="11">
        <f t="shared" si="191"/>
        <v>0</v>
      </c>
      <c r="CG300" s="11"/>
      <c r="CH300" s="41">
        <v>3.23</v>
      </c>
      <c r="CI300" s="1"/>
      <c r="CJ300" s="53">
        <f t="shared" si="192"/>
        <v>0</v>
      </c>
      <c r="CK300" s="53">
        <f t="shared" si="193"/>
        <v>0</v>
      </c>
      <c r="CL300" s="53">
        <f t="shared" si="194"/>
        <v>0</v>
      </c>
      <c r="CM300" s="53">
        <f t="shared" si="195"/>
        <v>0</v>
      </c>
      <c r="CN300" s="53">
        <f t="shared" si="196"/>
        <v>0</v>
      </c>
      <c r="CO300" s="53">
        <f t="shared" si="197"/>
        <v>0</v>
      </c>
      <c r="CP300" s="53">
        <f t="shared" si="198"/>
        <v>0</v>
      </c>
      <c r="CQ300" s="53">
        <f t="shared" si="199"/>
        <v>0</v>
      </c>
      <c r="CR300" s="53">
        <f t="shared" si="200"/>
        <v>0</v>
      </c>
      <c r="CS300" s="53">
        <f t="shared" si="201"/>
        <v>0</v>
      </c>
      <c r="CT300" s="53">
        <f t="shared" si="202"/>
        <v>0</v>
      </c>
      <c r="CU300" s="53">
        <f t="shared" si="203"/>
        <v>0</v>
      </c>
      <c r="CV300" s="53">
        <f t="shared" si="205"/>
        <v>0</v>
      </c>
      <c r="CW300" s="1"/>
      <c r="CX300" s="1"/>
      <c r="CY300" s="1"/>
      <c r="CZ300" s="1"/>
      <c r="DA300" s="1"/>
      <c r="DB300" s="1"/>
      <c r="DC300" s="1"/>
      <c r="DD300" s="1"/>
      <c r="DE300" s="1"/>
      <c r="DF300" s="1"/>
      <c r="DG300" s="1"/>
      <c r="DH300" s="1"/>
      <c r="DI300" s="1"/>
      <c r="DJ300" s="1"/>
      <c r="DK300" s="1"/>
      <c r="DL300" s="1"/>
    </row>
    <row r="301" spans="1:116" ht="15.75" hidden="1" x14ac:dyDescent="0.25">
      <c r="A301" s="17"/>
      <c r="B301" s="17"/>
      <c r="C301" s="17"/>
      <c r="D301" s="17"/>
      <c r="E301" s="17"/>
      <c r="F301" s="31" t="s">
        <v>2949</v>
      </c>
      <c r="G301" s="55">
        <v>0</v>
      </c>
      <c r="H301" s="55">
        <v>0</v>
      </c>
      <c r="I301" s="55">
        <v>0</v>
      </c>
      <c r="J301" s="55">
        <v>0</v>
      </c>
      <c r="K301" s="55">
        <v>0</v>
      </c>
      <c r="L301" s="55">
        <v>0</v>
      </c>
      <c r="M301" s="55">
        <v>0</v>
      </c>
      <c r="N301" s="55">
        <v>0</v>
      </c>
      <c r="O301" s="55">
        <v>0</v>
      </c>
      <c r="P301" s="55">
        <v>0</v>
      </c>
      <c r="Q301" s="55">
        <v>0</v>
      </c>
      <c r="R301" s="55">
        <v>0</v>
      </c>
      <c r="S301" s="11">
        <f t="shared" si="166"/>
        <v>0</v>
      </c>
      <c r="T301" s="9"/>
      <c r="U301" s="1"/>
      <c r="V301" s="50">
        <f t="shared" si="204"/>
        <v>0</v>
      </c>
      <c r="W301" s="36">
        <v>1.4379999999999999</v>
      </c>
      <c r="X301" s="36">
        <v>1.4379999999999999</v>
      </c>
      <c r="Y301" s="36">
        <v>1.4379999999999999</v>
      </c>
      <c r="Z301" s="36">
        <v>1.4379999999999999</v>
      </c>
      <c r="AA301" s="36">
        <v>1.4379999999999999</v>
      </c>
      <c r="AB301" s="36">
        <v>1.4379999999999999</v>
      </c>
      <c r="AC301" s="36">
        <v>1.4379999999999999</v>
      </c>
      <c r="AD301" s="36">
        <v>1.4379999999999999</v>
      </c>
      <c r="AE301" s="36">
        <v>1.4379999999999999</v>
      </c>
      <c r="AF301" s="36">
        <v>1.4379999999999999</v>
      </c>
      <c r="AG301" s="36">
        <v>1.4379999999999999</v>
      </c>
      <c r="AH301" s="36">
        <v>1.4379999999999999</v>
      </c>
      <c r="AI301" s="39">
        <v>1.33634708931066E-2</v>
      </c>
      <c r="AJ301" s="39">
        <v>1.33634708931066E-2</v>
      </c>
      <c r="AK301" s="39">
        <v>1.33634708931066E-2</v>
      </c>
      <c r="AL301" s="39">
        <v>1.33634708931066E-2</v>
      </c>
      <c r="AM301" s="39">
        <v>1.33634708931066E-2</v>
      </c>
      <c r="AN301" s="39">
        <v>1.33634708931066E-2</v>
      </c>
      <c r="AO301" s="39">
        <v>1.33634708931066E-2</v>
      </c>
      <c r="AP301" s="39">
        <v>1.33634708931066E-2</v>
      </c>
      <c r="AQ301" s="39">
        <v>1.33634708931066E-2</v>
      </c>
      <c r="AR301" s="39">
        <v>1.33634708931066E-2</v>
      </c>
      <c r="AS301" s="39">
        <v>1.33634708931066E-2</v>
      </c>
      <c r="AT301" s="39">
        <v>1.33634708931066E-2</v>
      </c>
      <c r="AU301" s="39">
        <v>1.2392217523121999E-3</v>
      </c>
      <c r="AV301" s="39">
        <v>1.2392217523121999E-3</v>
      </c>
      <c r="AW301" s="39">
        <v>1.2392217523121999E-3</v>
      </c>
      <c r="AX301" s="39">
        <v>1.2392217523121999E-3</v>
      </c>
      <c r="AY301" s="39">
        <v>1.2392217523121999E-3</v>
      </c>
      <c r="AZ301" s="39">
        <v>1.2392217523121999E-3</v>
      </c>
      <c r="BA301" s="39">
        <v>1.2392217523121999E-3</v>
      </c>
      <c r="BB301" s="39">
        <v>1.2392217523121999E-3</v>
      </c>
      <c r="BC301" s="39">
        <v>1.2392217523121999E-3</v>
      </c>
      <c r="BD301" s="39">
        <v>1.2392217523121999E-3</v>
      </c>
      <c r="BE301" s="39">
        <v>1.2392217523121999E-3</v>
      </c>
      <c r="BF301" s="39">
        <v>1.2392217523121999E-3</v>
      </c>
      <c r="BG301" s="1"/>
      <c r="BH301" s="12">
        <f t="shared" si="168"/>
        <v>0</v>
      </c>
      <c r="BI301" s="12">
        <f t="shared" si="169"/>
        <v>0</v>
      </c>
      <c r="BJ301" s="12">
        <f t="shared" si="170"/>
        <v>0</v>
      </c>
      <c r="BK301" s="12">
        <f t="shared" si="171"/>
        <v>0</v>
      </c>
      <c r="BL301" s="12">
        <f t="shared" si="172"/>
        <v>0</v>
      </c>
      <c r="BM301" s="12">
        <f t="shared" si="173"/>
        <v>0</v>
      </c>
      <c r="BN301" s="12">
        <f t="shared" si="174"/>
        <v>0</v>
      </c>
      <c r="BO301" s="12">
        <f t="shared" si="175"/>
        <v>0</v>
      </c>
      <c r="BP301" s="12">
        <f t="shared" si="176"/>
        <v>0</v>
      </c>
      <c r="BQ301" s="12">
        <f t="shared" si="177"/>
        <v>0</v>
      </c>
      <c r="BR301" s="12">
        <f t="shared" si="178"/>
        <v>0</v>
      </c>
      <c r="BS301" s="12">
        <f t="shared" si="179"/>
        <v>0</v>
      </c>
      <c r="BT301" s="1"/>
      <c r="BU301" s="11">
        <f t="shared" si="180"/>
        <v>0</v>
      </c>
      <c r="BV301" s="11">
        <f t="shared" si="181"/>
        <v>0</v>
      </c>
      <c r="BW301" s="11">
        <f t="shared" si="182"/>
        <v>0</v>
      </c>
      <c r="BX301" s="11">
        <f t="shared" si="183"/>
        <v>0</v>
      </c>
      <c r="BY301" s="11">
        <f t="shared" si="184"/>
        <v>0</v>
      </c>
      <c r="BZ301" s="11">
        <f t="shared" si="185"/>
        <v>0</v>
      </c>
      <c r="CA301" s="11">
        <f t="shared" si="186"/>
        <v>0</v>
      </c>
      <c r="CB301" s="11">
        <f t="shared" si="187"/>
        <v>0</v>
      </c>
      <c r="CC301" s="11">
        <f t="shared" si="188"/>
        <v>0</v>
      </c>
      <c r="CD301" s="11">
        <f t="shared" si="189"/>
        <v>0</v>
      </c>
      <c r="CE301" s="11">
        <f t="shared" si="190"/>
        <v>0</v>
      </c>
      <c r="CF301" s="11">
        <f t="shared" si="191"/>
        <v>0</v>
      </c>
      <c r="CG301" s="11"/>
      <c r="CH301" s="41">
        <v>3.23</v>
      </c>
      <c r="CI301" s="1"/>
      <c r="CJ301" s="53">
        <f t="shared" si="192"/>
        <v>0</v>
      </c>
      <c r="CK301" s="53">
        <f t="shared" si="193"/>
        <v>0</v>
      </c>
      <c r="CL301" s="53">
        <f t="shared" si="194"/>
        <v>0</v>
      </c>
      <c r="CM301" s="53">
        <f t="shared" si="195"/>
        <v>0</v>
      </c>
      <c r="CN301" s="53">
        <f t="shared" si="196"/>
        <v>0</v>
      </c>
      <c r="CO301" s="53">
        <f t="shared" si="197"/>
        <v>0</v>
      </c>
      <c r="CP301" s="53">
        <f t="shared" si="198"/>
        <v>0</v>
      </c>
      <c r="CQ301" s="53">
        <f t="shared" si="199"/>
        <v>0</v>
      </c>
      <c r="CR301" s="53">
        <f t="shared" si="200"/>
        <v>0</v>
      </c>
      <c r="CS301" s="53">
        <f t="shared" si="201"/>
        <v>0</v>
      </c>
      <c r="CT301" s="53">
        <f t="shared" si="202"/>
        <v>0</v>
      </c>
      <c r="CU301" s="53">
        <f t="shared" si="203"/>
        <v>0</v>
      </c>
      <c r="CV301" s="53">
        <f t="shared" si="205"/>
        <v>0</v>
      </c>
      <c r="CW301" s="1"/>
      <c r="CX301" s="1"/>
      <c r="CY301" s="1"/>
      <c r="CZ301" s="1"/>
      <c r="DA301" s="1"/>
      <c r="DB301" s="1"/>
      <c r="DC301" s="1"/>
      <c r="DD301" s="1"/>
      <c r="DE301" s="1"/>
      <c r="DF301" s="1"/>
      <c r="DG301" s="1"/>
      <c r="DH301" s="1"/>
      <c r="DI301" s="1"/>
      <c r="DJ301" s="1"/>
      <c r="DK301" s="1"/>
      <c r="DL301" s="1"/>
    </row>
    <row r="302" spans="1:116" ht="15.75" hidden="1" x14ac:dyDescent="0.25">
      <c r="A302" s="17"/>
      <c r="B302" s="17"/>
      <c r="C302" s="17"/>
      <c r="D302" s="17"/>
      <c r="E302" s="17"/>
      <c r="F302" s="31" t="s">
        <v>2949</v>
      </c>
      <c r="G302" s="55">
        <v>120.82</v>
      </c>
      <c r="H302" s="55">
        <v>107.87</v>
      </c>
      <c r="I302" s="55">
        <v>86.3</v>
      </c>
      <c r="J302" s="55">
        <v>69.040000000000006</v>
      </c>
      <c r="K302" s="55">
        <v>56.1</v>
      </c>
      <c r="L302" s="55">
        <v>43.15</v>
      </c>
      <c r="M302" s="55">
        <v>43.15</v>
      </c>
      <c r="N302" s="55">
        <v>43.15</v>
      </c>
      <c r="O302" s="55">
        <v>77.67</v>
      </c>
      <c r="P302" s="55">
        <v>77.67</v>
      </c>
      <c r="Q302" s="55">
        <v>86.3</v>
      </c>
      <c r="R302" s="55">
        <v>64.73</v>
      </c>
      <c r="S302" s="11">
        <f t="shared" si="166"/>
        <v>875.94999999999993</v>
      </c>
      <c r="T302" s="9"/>
      <c r="U302" s="1"/>
      <c r="V302" s="50">
        <f t="shared" si="204"/>
        <v>1756814</v>
      </c>
      <c r="W302" s="36">
        <v>1.6339999999999999</v>
      </c>
      <c r="X302" s="36">
        <v>1.6339999999999999</v>
      </c>
      <c r="Y302" s="36">
        <v>1.6339999999999999</v>
      </c>
      <c r="Z302" s="36">
        <v>1.6339999999999999</v>
      </c>
      <c r="AA302" s="36">
        <v>1.6339999999999999</v>
      </c>
      <c r="AB302" s="36">
        <v>1.6339999999999999</v>
      </c>
      <c r="AC302" s="36">
        <v>1.6339999999999999</v>
      </c>
      <c r="AD302" s="36">
        <v>1.6339999999999999</v>
      </c>
      <c r="AE302" s="36">
        <v>1.6339999999999999</v>
      </c>
      <c r="AF302" s="36">
        <v>1.6339999999999999</v>
      </c>
      <c r="AG302" s="36">
        <v>1.6339999999999999</v>
      </c>
      <c r="AH302" s="36">
        <v>1.6339999999999999</v>
      </c>
      <c r="AI302" s="39">
        <v>1.33634708931066E-2</v>
      </c>
      <c r="AJ302" s="39">
        <v>1.33634708931066E-2</v>
      </c>
      <c r="AK302" s="39">
        <v>1.33634708931066E-2</v>
      </c>
      <c r="AL302" s="39">
        <v>1.33634708931066E-2</v>
      </c>
      <c r="AM302" s="39">
        <v>1.33634708931066E-2</v>
      </c>
      <c r="AN302" s="39">
        <v>1.33634708931066E-2</v>
      </c>
      <c r="AO302" s="39">
        <v>1.33634708931066E-2</v>
      </c>
      <c r="AP302" s="39">
        <v>1.33634708931066E-2</v>
      </c>
      <c r="AQ302" s="39">
        <v>1.33634708931066E-2</v>
      </c>
      <c r="AR302" s="39">
        <v>1.33634708931066E-2</v>
      </c>
      <c r="AS302" s="39">
        <v>1.33634708931066E-2</v>
      </c>
      <c r="AT302" s="39">
        <v>1.33634708931066E-2</v>
      </c>
      <c r="AU302" s="39">
        <v>1.2392217523121999E-3</v>
      </c>
      <c r="AV302" s="39">
        <v>1.2392217523121999E-3</v>
      </c>
      <c r="AW302" s="39">
        <v>1.2392217523121999E-3</v>
      </c>
      <c r="AX302" s="39">
        <v>1.2392217523121999E-3</v>
      </c>
      <c r="AY302" s="39">
        <v>1.2392217523121999E-3</v>
      </c>
      <c r="AZ302" s="39">
        <v>1.2392217523121999E-3</v>
      </c>
      <c r="BA302" s="39">
        <v>1.2392217523121999E-3</v>
      </c>
      <c r="BB302" s="39">
        <v>1.2392217523121999E-3</v>
      </c>
      <c r="BC302" s="39">
        <v>1.2392217523121999E-3</v>
      </c>
      <c r="BD302" s="39">
        <v>1.2392217523121999E-3</v>
      </c>
      <c r="BE302" s="39">
        <v>1.2392217523121999E-3</v>
      </c>
      <c r="BF302" s="39">
        <v>1.2392217523121999E-3</v>
      </c>
      <c r="BG302" s="1"/>
      <c r="BH302" s="12">
        <f t="shared" si="168"/>
        <v>390.24859999999995</v>
      </c>
      <c r="BI302" s="12">
        <f t="shared" si="169"/>
        <v>348.42009999999999</v>
      </c>
      <c r="BJ302" s="12">
        <f t="shared" si="170"/>
        <v>278.74899999999997</v>
      </c>
      <c r="BK302" s="12">
        <f t="shared" si="171"/>
        <v>222.99920000000003</v>
      </c>
      <c r="BL302" s="12">
        <f t="shared" si="172"/>
        <v>181.203</v>
      </c>
      <c r="BM302" s="12">
        <f t="shared" si="173"/>
        <v>139.37449999999998</v>
      </c>
      <c r="BN302" s="12">
        <f t="shared" si="174"/>
        <v>139.37449999999998</v>
      </c>
      <c r="BO302" s="12">
        <f t="shared" si="175"/>
        <v>139.37449999999998</v>
      </c>
      <c r="BP302" s="12">
        <f t="shared" si="176"/>
        <v>250.8741</v>
      </c>
      <c r="BQ302" s="12">
        <f t="shared" si="177"/>
        <v>250.8741</v>
      </c>
      <c r="BR302" s="12">
        <f t="shared" si="178"/>
        <v>278.74899999999997</v>
      </c>
      <c r="BS302" s="12">
        <f t="shared" si="179"/>
        <v>209.0779</v>
      </c>
      <c r="BT302" s="1"/>
      <c r="BU302" s="11">
        <f t="shared" si="180"/>
        <v>395.94728036110496</v>
      </c>
      <c r="BV302" s="11">
        <f t="shared" si="181"/>
        <v>353.50797163178606</v>
      </c>
      <c r="BW302" s="11">
        <f t="shared" si="182"/>
        <v>282.81948597221782</v>
      </c>
      <c r="BX302" s="11">
        <f t="shared" si="183"/>
        <v>226.25558877777431</v>
      </c>
      <c r="BY302" s="11">
        <f t="shared" si="184"/>
        <v>183.84905171542783</v>
      </c>
      <c r="BZ302" s="11">
        <f t="shared" si="185"/>
        <v>141.40974298610891</v>
      </c>
      <c r="CA302" s="11">
        <f t="shared" si="186"/>
        <v>141.40974298610891</v>
      </c>
      <c r="CB302" s="11">
        <f t="shared" si="187"/>
        <v>141.40974298610891</v>
      </c>
      <c r="CC302" s="11">
        <f t="shared" si="188"/>
        <v>254.53753737499605</v>
      </c>
      <c r="CD302" s="11">
        <f t="shared" si="189"/>
        <v>254.53753737499605</v>
      </c>
      <c r="CE302" s="11">
        <f t="shared" si="190"/>
        <v>282.81948597221782</v>
      </c>
      <c r="CF302" s="11">
        <f t="shared" si="191"/>
        <v>212.1310003126496</v>
      </c>
      <c r="CG302" s="11"/>
      <c r="CH302" s="41">
        <v>3.23</v>
      </c>
      <c r="CI302" s="1"/>
      <c r="CJ302" s="53">
        <f t="shared" si="192"/>
        <v>242318</v>
      </c>
      <c r="CK302" s="53">
        <f t="shared" si="193"/>
        <v>216345</v>
      </c>
      <c r="CL302" s="53">
        <f t="shared" si="194"/>
        <v>173084</v>
      </c>
      <c r="CM302" s="53">
        <f t="shared" si="195"/>
        <v>138467</v>
      </c>
      <c r="CN302" s="53">
        <f t="shared" si="196"/>
        <v>112515</v>
      </c>
      <c r="CO302" s="53">
        <f t="shared" si="197"/>
        <v>86542</v>
      </c>
      <c r="CP302" s="53">
        <f t="shared" si="198"/>
        <v>86542</v>
      </c>
      <c r="CQ302" s="53">
        <f t="shared" si="199"/>
        <v>86542</v>
      </c>
      <c r="CR302" s="53">
        <f t="shared" si="200"/>
        <v>155776</v>
      </c>
      <c r="CS302" s="53">
        <f t="shared" si="201"/>
        <v>155776</v>
      </c>
      <c r="CT302" s="53">
        <f t="shared" si="202"/>
        <v>173084</v>
      </c>
      <c r="CU302" s="53">
        <f t="shared" si="203"/>
        <v>129823</v>
      </c>
      <c r="CV302" s="53">
        <f t="shared" si="205"/>
        <v>1756814</v>
      </c>
      <c r="CW302" s="1"/>
      <c r="CX302" s="1"/>
      <c r="CY302" s="1"/>
      <c r="CZ302" s="1"/>
      <c r="DA302" s="1"/>
      <c r="DB302" s="1"/>
      <c r="DC302" s="1"/>
      <c r="DD302" s="1"/>
      <c r="DE302" s="1"/>
      <c r="DF302" s="1"/>
      <c r="DG302" s="1"/>
      <c r="DH302" s="1"/>
      <c r="DI302" s="1"/>
      <c r="DJ302" s="1"/>
      <c r="DK302" s="1"/>
      <c r="DL302" s="1"/>
    </row>
    <row r="303" spans="1:116" ht="15.75" hidden="1" x14ac:dyDescent="0.25">
      <c r="A303" s="17"/>
      <c r="B303" s="17"/>
      <c r="C303" s="17"/>
      <c r="D303" s="17"/>
      <c r="E303" s="17"/>
      <c r="F303" s="31" t="s">
        <v>2949</v>
      </c>
      <c r="G303" s="55">
        <v>66.650000000000006</v>
      </c>
      <c r="H303" s="55">
        <v>66.650000000000006</v>
      </c>
      <c r="I303" s="55">
        <v>66.650000000000006</v>
      </c>
      <c r="J303" s="55">
        <v>51.01</v>
      </c>
      <c r="K303" s="55">
        <v>36.43</v>
      </c>
      <c r="L303" s="55">
        <v>36.43</v>
      </c>
      <c r="M303" s="55">
        <v>36.43</v>
      </c>
      <c r="N303" s="55">
        <v>48.53</v>
      </c>
      <c r="O303" s="55">
        <v>56.62</v>
      </c>
      <c r="P303" s="55">
        <v>64.7</v>
      </c>
      <c r="Q303" s="55">
        <v>64.7</v>
      </c>
      <c r="R303" s="55">
        <v>56.62</v>
      </c>
      <c r="S303" s="11">
        <f t="shared" si="166"/>
        <v>651.42000000000007</v>
      </c>
      <c r="T303" s="9"/>
      <c r="U303" s="1"/>
      <c r="V303" s="50">
        <f t="shared" si="204"/>
        <v>806806</v>
      </c>
      <c r="W303" s="36">
        <v>2.6459999999999999</v>
      </c>
      <c r="X303" s="36">
        <v>2.6459999999999999</v>
      </c>
      <c r="Y303" s="36">
        <v>2.6459999999999999</v>
      </c>
      <c r="Z303" s="36">
        <v>2.6459999999999999</v>
      </c>
      <c r="AA303" s="36">
        <v>2.6459999999999999</v>
      </c>
      <c r="AB303" s="36">
        <v>2.6459999999999999</v>
      </c>
      <c r="AC303" s="36">
        <v>2.6459999999999999</v>
      </c>
      <c r="AD303" s="36">
        <v>2.6459999999999999</v>
      </c>
      <c r="AE303" s="36">
        <v>2.6459999999999999</v>
      </c>
      <c r="AF303" s="36">
        <v>2.6459999999999999</v>
      </c>
      <c r="AG303" s="36">
        <v>2.6459999999999999</v>
      </c>
      <c r="AH303" s="36">
        <v>2.6459999999999999</v>
      </c>
      <c r="AI303" s="39">
        <v>1.33634708931066E-2</v>
      </c>
      <c r="AJ303" s="39">
        <v>1.33634708931066E-2</v>
      </c>
      <c r="AK303" s="39">
        <v>1.33634708931066E-2</v>
      </c>
      <c r="AL303" s="39">
        <v>1.33634708931066E-2</v>
      </c>
      <c r="AM303" s="39">
        <v>1.33634708931066E-2</v>
      </c>
      <c r="AN303" s="39">
        <v>1.33634708931066E-2</v>
      </c>
      <c r="AO303" s="39">
        <v>1.33634708931066E-2</v>
      </c>
      <c r="AP303" s="39">
        <v>1.33634708931066E-2</v>
      </c>
      <c r="AQ303" s="39">
        <v>1.33634708931066E-2</v>
      </c>
      <c r="AR303" s="39">
        <v>1.33634708931066E-2</v>
      </c>
      <c r="AS303" s="39">
        <v>1.33634708931066E-2</v>
      </c>
      <c r="AT303" s="39">
        <v>1.33634708931066E-2</v>
      </c>
      <c r="AU303" s="39">
        <v>1.2392217523121999E-3</v>
      </c>
      <c r="AV303" s="39">
        <v>1.2392217523121999E-3</v>
      </c>
      <c r="AW303" s="39">
        <v>1.2392217523121999E-3</v>
      </c>
      <c r="AX303" s="39">
        <v>1.2392217523121999E-3</v>
      </c>
      <c r="AY303" s="39">
        <v>1.2392217523121999E-3</v>
      </c>
      <c r="AZ303" s="39">
        <v>1.2392217523121999E-3</v>
      </c>
      <c r="BA303" s="39">
        <v>1.2392217523121999E-3</v>
      </c>
      <c r="BB303" s="39">
        <v>1.2392217523121999E-3</v>
      </c>
      <c r="BC303" s="39">
        <v>1.2392217523121999E-3</v>
      </c>
      <c r="BD303" s="39">
        <v>1.2392217523121999E-3</v>
      </c>
      <c r="BE303" s="39">
        <v>1.2392217523121999E-3</v>
      </c>
      <c r="BF303" s="39">
        <v>1.2392217523121999E-3</v>
      </c>
      <c r="BG303" s="1"/>
      <c r="BH303" s="12">
        <f t="shared" si="168"/>
        <v>215.27950000000001</v>
      </c>
      <c r="BI303" s="12">
        <f t="shared" si="169"/>
        <v>215.27950000000001</v>
      </c>
      <c r="BJ303" s="12">
        <f t="shared" si="170"/>
        <v>215.27950000000001</v>
      </c>
      <c r="BK303" s="12">
        <f t="shared" si="171"/>
        <v>164.76229999999998</v>
      </c>
      <c r="BL303" s="12">
        <f t="shared" si="172"/>
        <v>117.66889999999999</v>
      </c>
      <c r="BM303" s="12">
        <f t="shared" si="173"/>
        <v>117.66889999999999</v>
      </c>
      <c r="BN303" s="12">
        <f t="shared" si="174"/>
        <v>117.66889999999999</v>
      </c>
      <c r="BO303" s="12">
        <f t="shared" si="175"/>
        <v>156.75190000000001</v>
      </c>
      <c r="BP303" s="12">
        <f t="shared" si="176"/>
        <v>182.8826</v>
      </c>
      <c r="BQ303" s="12">
        <f t="shared" si="177"/>
        <v>208.98099999999999</v>
      </c>
      <c r="BR303" s="12">
        <f t="shared" si="178"/>
        <v>208.98099999999999</v>
      </c>
      <c r="BS303" s="12">
        <f t="shared" si="179"/>
        <v>182.8826</v>
      </c>
      <c r="BT303" s="1"/>
      <c r="BU303" s="11">
        <f t="shared" si="180"/>
        <v>218.42316037135944</v>
      </c>
      <c r="BV303" s="11">
        <f t="shared" si="181"/>
        <v>218.42316037135944</v>
      </c>
      <c r="BW303" s="11">
        <f t="shared" si="182"/>
        <v>218.42316037135944</v>
      </c>
      <c r="BX303" s="11">
        <f t="shared" si="183"/>
        <v>167.16827322645227</v>
      </c>
      <c r="BY303" s="11">
        <f t="shared" si="184"/>
        <v>119.38718278062451</v>
      </c>
      <c r="BZ303" s="11">
        <f t="shared" si="185"/>
        <v>119.38718278062451</v>
      </c>
      <c r="CA303" s="11">
        <f t="shared" si="186"/>
        <v>119.38718278062451</v>
      </c>
      <c r="CB303" s="11">
        <f t="shared" si="187"/>
        <v>159.04089981728544</v>
      </c>
      <c r="CC303" s="11">
        <f t="shared" si="188"/>
        <v>185.55317839799505</v>
      </c>
      <c r="CD303" s="11">
        <f t="shared" si="189"/>
        <v>212.03268531173225</v>
      </c>
      <c r="CE303" s="11">
        <f t="shared" si="190"/>
        <v>212.03268531173225</v>
      </c>
      <c r="CF303" s="11">
        <f t="shared" si="191"/>
        <v>185.55317839799505</v>
      </c>
      <c r="CG303" s="11"/>
      <c r="CH303" s="41">
        <v>3.23</v>
      </c>
      <c r="CI303" s="1"/>
      <c r="CJ303" s="53">
        <f t="shared" si="192"/>
        <v>82548</v>
      </c>
      <c r="CK303" s="53">
        <f t="shared" si="193"/>
        <v>82548</v>
      </c>
      <c r="CL303" s="53">
        <f t="shared" si="194"/>
        <v>82548</v>
      </c>
      <c r="CM303" s="53">
        <f t="shared" si="195"/>
        <v>63178</v>
      </c>
      <c r="CN303" s="53">
        <f t="shared" si="196"/>
        <v>45120</v>
      </c>
      <c r="CO303" s="53">
        <f t="shared" si="197"/>
        <v>45120</v>
      </c>
      <c r="CP303" s="53">
        <f t="shared" si="198"/>
        <v>45120</v>
      </c>
      <c r="CQ303" s="53">
        <f t="shared" si="199"/>
        <v>60106</v>
      </c>
      <c r="CR303" s="53">
        <f t="shared" si="200"/>
        <v>70126</v>
      </c>
      <c r="CS303" s="53">
        <f t="shared" si="201"/>
        <v>80133</v>
      </c>
      <c r="CT303" s="53">
        <f t="shared" si="202"/>
        <v>80133</v>
      </c>
      <c r="CU303" s="53">
        <f t="shared" si="203"/>
        <v>70126</v>
      </c>
      <c r="CV303" s="53">
        <f t="shared" si="205"/>
        <v>806806</v>
      </c>
      <c r="CW303" s="1"/>
      <c r="CX303" s="1"/>
      <c r="CY303" s="1"/>
      <c r="CZ303" s="1"/>
      <c r="DA303" s="1"/>
      <c r="DB303" s="1"/>
      <c r="DC303" s="1"/>
      <c r="DD303" s="1"/>
      <c r="DE303" s="1"/>
      <c r="DF303" s="1"/>
      <c r="DG303" s="1"/>
      <c r="DH303" s="1"/>
      <c r="DI303" s="1"/>
      <c r="DJ303" s="1"/>
      <c r="DK303" s="1"/>
      <c r="DL303" s="1"/>
    </row>
    <row r="304" spans="1:116" ht="15.75" hidden="1" x14ac:dyDescent="0.25">
      <c r="A304" s="17"/>
      <c r="B304" s="17"/>
      <c r="C304" s="17"/>
      <c r="D304" s="17"/>
      <c r="E304" s="17"/>
      <c r="F304" s="31" t="s">
        <v>2949</v>
      </c>
      <c r="G304" s="55">
        <v>47.02</v>
      </c>
      <c r="H304" s="55">
        <v>47.02</v>
      </c>
      <c r="I304" s="55">
        <v>39.79</v>
      </c>
      <c r="J304" s="55">
        <v>25.32</v>
      </c>
      <c r="K304" s="55">
        <v>25.32</v>
      </c>
      <c r="L304" s="55">
        <v>21.7</v>
      </c>
      <c r="M304" s="55">
        <v>21.7</v>
      </c>
      <c r="N304" s="55">
        <v>21.7</v>
      </c>
      <c r="O304" s="55">
        <v>47.02</v>
      </c>
      <c r="P304" s="55">
        <v>47.02</v>
      </c>
      <c r="Q304" s="55">
        <v>47.02</v>
      </c>
      <c r="R304" s="55">
        <v>32.549999999999997</v>
      </c>
      <c r="S304" s="11">
        <f t="shared" si="166"/>
        <v>423.17999999999995</v>
      </c>
      <c r="T304" s="9"/>
      <c r="U304" s="1"/>
      <c r="V304" s="50">
        <f t="shared" si="204"/>
        <v>585900</v>
      </c>
      <c r="W304" s="36">
        <v>2.367</v>
      </c>
      <c r="X304" s="36">
        <v>2.367</v>
      </c>
      <c r="Y304" s="36">
        <v>2.367</v>
      </c>
      <c r="Z304" s="36">
        <v>2.367</v>
      </c>
      <c r="AA304" s="36">
        <v>2.367</v>
      </c>
      <c r="AB304" s="36">
        <v>2.367</v>
      </c>
      <c r="AC304" s="36">
        <v>2.367</v>
      </c>
      <c r="AD304" s="36">
        <v>2.367</v>
      </c>
      <c r="AE304" s="36">
        <v>2.367</v>
      </c>
      <c r="AF304" s="36">
        <v>2.367</v>
      </c>
      <c r="AG304" s="36">
        <v>2.367</v>
      </c>
      <c r="AH304" s="36">
        <v>2.367</v>
      </c>
      <c r="AI304" s="39">
        <v>1.33634708931066E-2</v>
      </c>
      <c r="AJ304" s="39">
        <v>1.33634708931066E-2</v>
      </c>
      <c r="AK304" s="39">
        <v>1.33634708931066E-2</v>
      </c>
      <c r="AL304" s="39">
        <v>1.33634708931066E-2</v>
      </c>
      <c r="AM304" s="39">
        <v>1.33634708931066E-2</v>
      </c>
      <c r="AN304" s="39">
        <v>1.33634708931066E-2</v>
      </c>
      <c r="AO304" s="39">
        <v>1.33634708931066E-2</v>
      </c>
      <c r="AP304" s="39">
        <v>1.33634708931066E-2</v>
      </c>
      <c r="AQ304" s="39">
        <v>1.33634708931066E-2</v>
      </c>
      <c r="AR304" s="39">
        <v>1.33634708931066E-2</v>
      </c>
      <c r="AS304" s="39">
        <v>1.33634708931066E-2</v>
      </c>
      <c r="AT304" s="39">
        <v>1.33634708931066E-2</v>
      </c>
      <c r="AU304" s="39">
        <v>1.2392217523121999E-3</v>
      </c>
      <c r="AV304" s="39">
        <v>1.2392217523121999E-3</v>
      </c>
      <c r="AW304" s="39">
        <v>1.2392217523121999E-3</v>
      </c>
      <c r="AX304" s="39">
        <v>1.2392217523121999E-3</v>
      </c>
      <c r="AY304" s="39">
        <v>1.2392217523121999E-3</v>
      </c>
      <c r="AZ304" s="39">
        <v>1.2392217523121999E-3</v>
      </c>
      <c r="BA304" s="39">
        <v>1.2392217523121999E-3</v>
      </c>
      <c r="BB304" s="39">
        <v>1.2392217523121999E-3</v>
      </c>
      <c r="BC304" s="39">
        <v>1.2392217523121999E-3</v>
      </c>
      <c r="BD304" s="39">
        <v>1.2392217523121999E-3</v>
      </c>
      <c r="BE304" s="39">
        <v>1.2392217523121999E-3</v>
      </c>
      <c r="BF304" s="39">
        <v>1.2392217523121999E-3</v>
      </c>
      <c r="BG304" s="1"/>
      <c r="BH304" s="12">
        <f t="shared" si="168"/>
        <v>151.87460000000002</v>
      </c>
      <c r="BI304" s="12">
        <f t="shared" si="169"/>
        <v>151.87460000000002</v>
      </c>
      <c r="BJ304" s="12">
        <f t="shared" si="170"/>
        <v>128.52170000000001</v>
      </c>
      <c r="BK304" s="12">
        <f t="shared" si="171"/>
        <v>81.783600000000007</v>
      </c>
      <c r="BL304" s="12">
        <f t="shared" si="172"/>
        <v>81.783600000000007</v>
      </c>
      <c r="BM304" s="12">
        <f t="shared" si="173"/>
        <v>70.090999999999994</v>
      </c>
      <c r="BN304" s="12">
        <f t="shared" si="174"/>
        <v>70.090999999999994</v>
      </c>
      <c r="BO304" s="12">
        <f t="shared" si="175"/>
        <v>70.090999999999994</v>
      </c>
      <c r="BP304" s="12">
        <f t="shared" si="176"/>
        <v>151.87460000000002</v>
      </c>
      <c r="BQ304" s="12">
        <f t="shared" si="177"/>
        <v>151.87460000000002</v>
      </c>
      <c r="BR304" s="12">
        <f t="shared" si="178"/>
        <v>151.87460000000002</v>
      </c>
      <c r="BS304" s="12">
        <f t="shared" si="179"/>
        <v>105.13649999999998</v>
      </c>
      <c r="BT304" s="1"/>
      <c r="BU304" s="11">
        <f t="shared" si="180"/>
        <v>154.09237810444594</v>
      </c>
      <c r="BV304" s="11">
        <f t="shared" si="181"/>
        <v>154.09237810444594</v>
      </c>
      <c r="BW304" s="11">
        <f t="shared" si="182"/>
        <v>130.39846288336673</v>
      </c>
      <c r="BX304" s="11">
        <f t="shared" si="183"/>
        <v>82.977860774235879</v>
      </c>
      <c r="BY304" s="11">
        <f t="shared" si="184"/>
        <v>82.977860774235879</v>
      </c>
      <c r="BZ304" s="11">
        <f t="shared" si="185"/>
        <v>71.114517330210049</v>
      </c>
      <c r="CA304" s="11">
        <f t="shared" si="186"/>
        <v>71.114517330210049</v>
      </c>
      <c r="CB304" s="11">
        <f t="shared" si="187"/>
        <v>71.114517330210049</v>
      </c>
      <c r="CC304" s="11">
        <f t="shared" si="188"/>
        <v>154.09237810444594</v>
      </c>
      <c r="CD304" s="11">
        <f t="shared" si="189"/>
        <v>154.09237810444594</v>
      </c>
      <c r="CE304" s="11">
        <f t="shared" si="190"/>
        <v>154.09237810444594</v>
      </c>
      <c r="CF304" s="11">
        <f t="shared" si="191"/>
        <v>106.67177599531506</v>
      </c>
      <c r="CG304" s="11"/>
      <c r="CH304" s="41">
        <v>3.23</v>
      </c>
      <c r="CI304" s="1"/>
      <c r="CJ304" s="53">
        <f t="shared" si="192"/>
        <v>65100</v>
      </c>
      <c r="CK304" s="53">
        <f t="shared" si="193"/>
        <v>65100</v>
      </c>
      <c r="CL304" s="53">
        <f t="shared" si="194"/>
        <v>55090</v>
      </c>
      <c r="CM304" s="53">
        <f t="shared" si="195"/>
        <v>35056</v>
      </c>
      <c r="CN304" s="53">
        <f t="shared" si="196"/>
        <v>35056</v>
      </c>
      <c r="CO304" s="53">
        <f t="shared" si="197"/>
        <v>30044</v>
      </c>
      <c r="CP304" s="53">
        <f t="shared" si="198"/>
        <v>30044</v>
      </c>
      <c r="CQ304" s="53">
        <f t="shared" si="199"/>
        <v>30044</v>
      </c>
      <c r="CR304" s="53">
        <f t="shared" si="200"/>
        <v>65100</v>
      </c>
      <c r="CS304" s="53">
        <f t="shared" si="201"/>
        <v>65100</v>
      </c>
      <c r="CT304" s="53">
        <f t="shared" si="202"/>
        <v>65100</v>
      </c>
      <c r="CU304" s="53">
        <f t="shared" si="203"/>
        <v>45066</v>
      </c>
      <c r="CV304" s="53">
        <f t="shared" si="205"/>
        <v>585900</v>
      </c>
      <c r="CW304" s="1"/>
      <c r="CX304" s="1"/>
      <c r="CY304" s="1"/>
      <c r="CZ304" s="1"/>
      <c r="DA304" s="1"/>
      <c r="DB304" s="1"/>
      <c r="DC304" s="1"/>
      <c r="DD304" s="1"/>
      <c r="DE304" s="1"/>
      <c r="DF304" s="1"/>
      <c r="DG304" s="1"/>
      <c r="DH304" s="1"/>
      <c r="DI304" s="1"/>
      <c r="DJ304" s="1"/>
      <c r="DK304" s="1"/>
      <c r="DL304" s="1"/>
    </row>
    <row r="305" spans="1:116" ht="15.75" hidden="1" x14ac:dyDescent="0.25">
      <c r="A305" s="17"/>
      <c r="B305" s="17"/>
      <c r="C305" s="17"/>
      <c r="D305" s="17"/>
      <c r="E305" s="17"/>
      <c r="F305" s="31" t="s">
        <v>2949</v>
      </c>
      <c r="G305" s="55">
        <v>260.89</v>
      </c>
      <c r="H305" s="55">
        <v>260.89</v>
      </c>
      <c r="I305" s="55">
        <v>186.35</v>
      </c>
      <c r="J305" s="55">
        <v>90.85</v>
      </c>
      <c r="K305" s="55">
        <v>90.85</v>
      </c>
      <c r="L305" s="55">
        <v>90.85</v>
      </c>
      <c r="M305" s="55">
        <v>86.66</v>
      </c>
      <c r="N305" s="55">
        <v>90.85</v>
      </c>
      <c r="O305" s="55">
        <v>186.35</v>
      </c>
      <c r="P305" s="55">
        <v>232.94</v>
      </c>
      <c r="Q305" s="55">
        <v>186.35</v>
      </c>
      <c r="R305" s="55">
        <v>167.72</v>
      </c>
      <c r="S305" s="11">
        <f t="shared" si="166"/>
        <v>1931.55</v>
      </c>
      <c r="T305" s="9"/>
      <c r="U305" s="1"/>
      <c r="V305" s="50">
        <f t="shared" si="204"/>
        <v>2065933</v>
      </c>
      <c r="W305" s="36">
        <v>3.0640000000000001</v>
      </c>
      <c r="X305" s="36">
        <v>3.0640000000000001</v>
      </c>
      <c r="Y305" s="36">
        <v>3.0640000000000001</v>
      </c>
      <c r="Z305" s="36">
        <v>3.0640000000000001</v>
      </c>
      <c r="AA305" s="36">
        <v>3.0640000000000001</v>
      </c>
      <c r="AB305" s="36">
        <v>3.0640000000000001</v>
      </c>
      <c r="AC305" s="36">
        <v>3.0640000000000001</v>
      </c>
      <c r="AD305" s="36">
        <v>3.0640000000000001</v>
      </c>
      <c r="AE305" s="36">
        <v>3.0640000000000001</v>
      </c>
      <c r="AF305" s="36">
        <v>3.0640000000000001</v>
      </c>
      <c r="AG305" s="36">
        <v>3.0640000000000001</v>
      </c>
      <c r="AH305" s="36">
        <v>3.0640000000000001</v>
      </c>
      <c r="AI305" s="39">
        <v>1.33634708931066E-2</v>
      </c>
      <c r="AJ305" s="39">
        <v>1.33634708931066E-2</v>
      </c>
      <c r="AK305" s="39">
        <v>1.33634708931066E-2</v>
      </c>
      <c r="AL305" s="39">
        <v>1.33634708931066E-2</v>
      </c>
      <c r="AM305" s="39">
        <v>1.33634708931066E-2</v>
      </c>
      <c r="AN305" s="39">
        <v>1.33634708931066E-2</v>
      </c>
      <c r="AO305" s="39">
        <v>1.33634708931066E-2</v>
      </c>
      <c r="AP305" s="39">
        <v>1.33634708931066E-2</v>
      </c>
      <c r="AQ305" s="39">
        <v>1.33634708931066E-2</v>
      </c>
      <c r="AR305" s="39">
        <v>1.33634708931066E-2</v>
      </c>
      <c r="AS305" s="39">
        <v>1.33634708931066E-2</v>
      </c>
      <c r="AT305" s="39">
        <v>1.33634708931066E-2</v>
      </c>
      <c r="AU305" s="39">
        <v>1.2392217523121999E-3</v>
      </c>
      <c r="AV305" s="39">
        <v>1.2392217523121999E-3</v>
      </c>
      <c r="AW305" s="39">
        <v>1.2392217523121999E-3</v>
      </c>
      <c r="AX305" s="39">
        <v>1.2392217523121999E-3</v>
      </c>
      <c r="AY305" s="39">
        <v>1.2392217523121999E-3</v>
      </c>
      <c r="AZ305" s="39">
        <v>1.2392217523121999E-3</v>
      </c>
      <c r="BA305" s="39">
        <v>1.2392217523121999E-3</v>
      </c>
      <c r="BB305" s="39">
        <v>1.2392217523121999E-3</v>
      </c>
      <c r="BC305" s="39">
        <v>1.2392217523121999E-3</v>
      </c>
      <c r="BD305" s="39">
        <v>1.2392217523121999E-3</v>
      </c>
      <c r="BE305" s="39">
        <v>1.2392217523121999E-3</v>
      </c>
      <c r="BF305" s="39">
        <v>1.2392217523121999E-3</v>
      </c>
      <c r="BG305" s="1"/>
      <c r="BH305" s="12">
        <f t="shared" si="168"/>
        <v>842.67469999999992</v>
      </c>
      <c r="BI305" s="12">
        <f t="shared" si="169"/>
        <v>842.67469999999992</v>
      </c>
      <c r="BJ305" s="12">
        <f t="shared" si="170"/>
        <v>601.91049999999996</v>
      </c>
      <c r="BK305" s="12">
        <f t="shared" si="171"/>
        <v>293.44549999999998</v>
      </c>
      <c r="BL305" s="12">
        <f t="shared" si="172"/>
        <v>293.44549999999998</v>
      </c>
      <c r="BM305" s="12">
        <f t="shared" si="173"/>
        <v>293.44549999999998</v>
      </c>
      <c r="BN305" s="12">
        <f t="shared" si="174"/>
        <v>279.91179999999997</v>
      </c>
      <c r="BO305" s="12">
        <f t="shared" si="175"/>
        <v>293.44549999999998</v>
      </c>
      <c r="BP305" s="12">
        <f t="shared" si="176"/>
        <v>601.91049999999996</v>
      </c>
      <c r="BQ305" s="12">
        <f t="shared" si="177"/>
        <v>752.39620000000002</v>
      </c>
      <c r="BR305" s="12">
        <f t="shared" si="178"/>
        <v>601.91049999999996</v>
      </c>
      <c r="BS305" s="12">
        <f t="shared" si="179"/>
        <v>541.73559999999998</v>
      </c>
      <c r="BT305" s="1"/>
      <c r="BU305" s="11">
        <f t="shared" si="180"/>
        <v>854.9800196441704</v>
      </c>
      <c r="BV305" s="11">
        <f t="shared" si="181"/>
        <v>854.9800196441704</v>
      </c>
      <c r="BW305" s="11">
        <f t="shared" si="182"/>
        <v>610.70001403155027</v>
      </c>
      <c r="BX305" s="11">
        <f t="shared" si="183"/>
        <v>297.73059444468123</v>
      </c>
      <c r="BY305" s="11">
        <f t="shared" si="184"/>
        <v>297.73059444468123</v>
      </c>
      <c r="BZ305" s="11">
        <f t="shared" si="185"/>
        <v>297.73059444468123</v>
      </c>
      <c r="CA305" s="11">
        <f t="shared" si="186"/>
        <v>283.99926598322588</v>
      </c>
      <c r="CB305" s="11">
        <f t="shared" si="187"/>
        <v>297.73059444468123</v>
      </c>
      <c r="CC305" s="11">
        <f t="shared" si="188"/>
        <v>610.70001403155027</v>
      </c>
      <c r="CD305" s="11">
        <f t="shared" si="189"/>
        <v>763.38321045618113</v>
      </c>
      <c r="CE305" s="11">
        <f t="shared" si="190"/>
        <v>610.70001403155027</v>
      </c>
      <c r="CF305" s="11">
        <f t="shared" si="191"/>
        <v>549.64639846188152</v>
      </c>
      <c r="CG305" s="11"/>
      <c r="CH305" s="41">
        <v>3.23</v>
      </c>
      <c r="CI305" s="1"/>
      <c r="CJ305" s="53">
        <f t="shared" si="192"/>
        <v>279040</v>
      </c>
      <c r="CK305" s="53">
        <f t="shared" si="193"/>
        <v>279040</v>
      </c>
      <c r="CL305" s="53">
        <f t="shared" si="194"/>
        <v>199315</v>
      </c>
      <c r="CM305" s="53">
        <f t="shared" si="195"/>
        <v>97171</v>
      </c>
      <c r="CN305" s="53">
        <f t="shared" si="196"/>
        <v>97171</v>
      </c>
      <c r="CO305" s="53">
        <f t="shared" si="197"/>
        <v>97171</v>
      </c>
      <c r="CP305" s="53">
        <f t="shared" si="198"/>
        <v>92689</v>
      </c>
      <c r="CQ305" s="53">
        <f t="shared" si="199"/>
        <v>97171</v>
      </c>
      <c r="CR305" s="53">
        <f t="shared" si="200"/>
        <v>199315</v>
      </c>
      <c r="CS305" s="53">
        <f t="shared" si="201"/>
        <v>249146</v>
      </c>
      <c r="CT305" s="53">
        <f t="shared" si="202"/>
        <v>199315</v>
      </c>
      <c r="CU305" s="53">
        <f t="shared" si="203"/>
        <v>179389</v>
      </c>
      <c r="CV305" s="53">
        <f t="shared" si="205"/>
        <v>2065933</v>
      </c>
      <c r="CW305" s="1"/>
      <c r="CX305" s="1"/>
      <c r="CY305" s="1"/>
      <c r="CZ305" s="1"/>
      <c r="DA305" s="1"/>
      <c r="DB305" s="1"/>
      <c r="DC305" s="1"/>
      <c r="DD305" s="1"/>
      <c r="DE305" s="1"/>
      <c r="DF305" s="1"/>
      <c r="DG305" s="1"/>
      <c r="DH305" s="1"/>
      <c r="DI305" s="1"/>
      <c r="DJ305" s="1"/>
      <c r="DK305" s="1"/>
      <c r="DL305" s="1"/>
    </row>
    <row r="306" spans="1:116" ht="15.75" hidden="1" x14ac:dyDescent="0.25">
      <c r="A306" s="17"/>
      <c r="B306" s="17"/>
      <c r="C306" s="17"/>
      <c r="D306" s="17"/>
      <c r="E306" s="17"/>
      <c r="F306" s="31" t="s">
        <v>2949</v>
      </c>
      <c r="G306" s="55">
        <v>872.1</v>
      </c>
      <c r="H306" s="55">
        <v>799.43</v>
      </c>
      <c r="I306" s="55">
        <v>690.41</v>
      </c>
      <c r="J306" s="55">
        <v>462.21</v>
      </c>
      <c r="K306" s="55">
        <v>462.21</v>
      </c>
      <c r="L306" s="55">
        <v>423.7</v>
      </c>
      <c r="M306" s="55">
        <v>423.7</v>
      </c>
      <c r="N306" s="55">
        <v>654.08000000000004</v>
      </c>
      <c r="O306" s="55">
        <v>690.41</v>
      </c>
      <c r="P306" s="55">
        <v>799.43</v>
      </c>
      <c r="Q306" s="55">
        <v>799.43</v>
      </c>
      <c r="R306" s="55">
        <v>581.4</v>
      </c>
      <c r="S306" s="11">
        <f t="shared" si="166"/>
        <v>7658.51</v>
      </c>
      <c r="T306" s="9"/>
      <c r="U306" s="1"/>
      <c r="V306" s="50">
        <f t="shared" si="204"/>
        <v>9550312</v>
      </c>
      <c r="W306" s="36">
        <v>2.6280000000000001</v>
      </c>
      <c r="X306" s="36">
        <v>2.6280000000000001</v>
      </c>
      <c r="Y306" s="36">
        <v>2.6280000000000001</v>
      </c>
      <c r="Z306" s="36">
        <v>2.6280000000000001</v>
      </c>
      <c r="AA306" s="36">
        <v>2.6280000000000001</v>
      </c>
      <c r="AB306" s="36">
        <v>2.6280000000000001</v>
      </c>
      <c r="AC306" s="36">
        <v>2.6280000000000001</v>
      </c>
      <c r="AD306" s="36">
        <v>2.6280000000000001</v>
      </c>
      <c r="AE306" s="36">
        <v>2.6280000000000001</v>
      </c>
      <c r="AF306" s="36">
        <v>2.6280000000000001</v>
      </c>
      <c r="AG306" s="36">
        <v>2.6280000000000001</v>
      </c>
      <c r="AH306" s="36">
        <v>2.6280000000000001</v>
      </c>
      <c r="AI306" s="39">
        <v>1.33634708931066E-2</v>
      </c>
      <c r="AJ306" s="39">
        <v>1.33634708931066E-2</v>
      </c>
      <c r="AK306" s="39">
        <v>1.33634708931066E-2</v>
      </c>
      <c r="AL306" s="39">
        <v>1.33634708931066E-2</v>
      </c>
      <c r="AM306" s="39">
        <v>1.33634708931066E-2</v>
      </c>
      <c r="AN306" s="39">
        <v>1.33634708931066E-2</v>
      </c>
      <c r="AO306" s="39">
        <v>1.33634708931066E-2</v>
      </c>
      <c r="AP306" s="39">
        <v>1.33634708931066E-2</v>
      </c>
      <c r="AQ306" s="39">
        <v>1.33634708931066E-2</v>
      </c>
      <c r="AR306" s="39">
        <v>1.33634708931066E-2</v>
      </c>
      <c r="AS306" s="39">
        <v>1.33634708931066E-2</v>
      </c>
      <c r="AT306" s="39">
        <v>1.33634708931066E-2</v>
      </c>
      <c r="AU306" s="39">
        <v>1.2392217523121999E-3</v>
      </c>
      <c r="AV306" s="39">
        <v>1.2392217523121999E-3</v>
      </c>
      <c r="AW306" s="39">
        <v>1.2392217523121999E-3</v>
      </c>
      <c r="AX306" s="39">
        <v>1.2392217523121999E-3</v>
      </c>
      <c r="AY306" s="39">
        <v>1.2392217523121999E-3</v>
      </c>
      <c r="AZ306" s="39">
        <v>1.2392217523121999E-3</v>
      </c>
      <c r="BA306" s="39">
        <v>1.2392217523121999E-3</v>
      </c>
      <c r="BB306" s="39">
        <v>1.2392217523121999E-3</v>
      </c>
      <c r="BC306" s="39">
        <v>1.2392217523121999E-3</v>
      </c>
      <c r="BD306" s="39">
        <v>1.2392217523121999E-3</v>
      </c>
      <c r="BE306" s="39">
        <v>1.2392217523121999E-3</v>
      </c>
      <c r="BF306" s="39">
        <v>1.2392217523121999E-3</v>
      </c>
      <c r="BG306" s="1"/>
      <c r="BH306" s="12">
        <f t="shared" si="168"/>
        <v>2816.8830000000003</v>
      </c>
      <c r="BI306" s="12">
        <f t="shared" si="169"/>
        <v>2582.1588999999999</v>
      </c>
      <c r="BJ306" s="12">
        <f t="shared" si="170"/>
        <v>2230.0243</v>
      </c>
      <c r="BK306" s="12">
        <f t="shared" si="171"/>
        <v>1492.9383</v>
      </c>
      <c r="BL306" s="12">
        <f t="shared" si="172"/>
        <v>1492.9383</v>
      </c>
      <c r="BM306" s="12">
        <f t="shared" si="173"/>
        <v>1368.5509999999999</v>
      </c>
      <c r="BN306" s="12">
        <f t="shared" si="174"/>
        <v>1368.5509999999999</v>
      </c>
      <c r="BO306" s="12">
        <f t="shared" si="175"/>
        <v>2112.6784000000002</v>
      </c>
      <c r="BP306" s="12">
        <f t="shared" si="176"/>
        <v>2230.0243</v>
      </c>
      <c r="BQ306" s="12">
        <f t="shared" si="177"/>
        <v>2582.1588999999999</v>
      </c>
      <c r="BR306" s="12">
        <f t="shared" si="178"/>
        <v>2582.1588999999999</v>
      </c>
      <c r="BS306" s="12">
        <f t="shared" si="179"/>
        <v>1877.922</v>
      </c>
      <c r="BT306" s="1"/>
      <c r="BU306" s="11">
        <f t="shared" si="180"/>
        <v>2858.0170766671054</v>
      </c>
      <c r="BV306" s="11">
        <f t="shared" si="181"/>
        <v>2619.8653727783326</v>
      </c>
      <c r="BW306" s="11">
        <f t="shared" si="182"/>
        <v>2262.5886594447152</v>
      </c>
      <c r="BX306" s="11">
        <f t="shared" si="183"/>
        <v>1514.7392191334741</v>
      </c>
      <c r="BY306" s="11">
        <f t="shared" si="184"/>
        <v>1514.7392191334741</v>
      </c>
      <c r="BZ306" s="11">
        <f t="shared" si="185"/>
        <v>1388.5355296225805</v>
      </c>
      <c r="CA306" s="11">
        <f t="shared" si="186"/>
        <v>1388.5355296225805</v>
      </c>
      <c r="CB306" s="11">
        <f t="shared" si="187"/>
        <v>2143.5291933338153</v>
      </c>
      <c r="CC306" s="11">
        <f t="shared" si="188"/>
        <v>2262.5886594447152</v>
      </c>
      <c r="CD306" s="11">
        <f t="shared" si="189"/>
        <v>2619.8653727783326</v>
      </c>
      <c r="CE306" s="11">
        <f t="shared" si="190"/>
        <v>2619.8653727783326</v>
      </c>
      <c r="CF306" s="11">
        <f t="shared" si="191"/>
        <v>1905.3447177780702</v>
      </c>
      <c r="CG306" s="11"/>
      <c r="CH306" s="41">
        <v>3.23</v>
      </c>
      <c r="CI306" s="1"/>
      <c r="CJ306" s="53">
        <f t="shared" si="192"/>
        <v>1087526</v>
      </c>
      <c r="CK306" s="53">
        <f t="shared" si="193"/>
        <v>996905</v>
      </c>
      <c r="CL306" s="53">
        <f t="shared" si="194"/>
        <v>860955</v>
      </c>
      <c r="CM306" s="53">
        <f t="shared" si="195"/>
        <v>576385</v>
      </c>
      <c r="CN306" s="53">
        <f t="shared" si="196"/>
        <v>576385</v>
      </c>
      <c r="CO306" s="53">
        <f t="shared" si="197"/>
        <v>528362</v>
      </c>
      <c r="CP306" s="53">
        <f t="shared" si="198"/>
        <v>528362</v>
      </c>
      <c r="CQ306" s="53">
        <f t="shared" si="199"/>
        <v>815650</v>
      </c>
      <c r="CR306" s="53">
        <f t="shared" si="200"/>
        <v>860955</v>
      </c>
      <c r="CS306" s="53">
        <f t="shared" si="201"/>
        <v>996905</v>
      </c>
      <c r="CT306" s="53">
        <f t="shared" si="202"/>
        <v>996905</v>
      </c>
      <c r="CU306" s="53">
        <f t="shared" si="203"/>
        <v>725017</v>
      </c>
      <c r="CV306" s="53">
        <f t="shared" si="205"/>
        <v>9550312</v>
      </c>
      <c r="CW306" s="1"/>
      <c r="CX306" s="1"/>
      <c r="CY306" s="1"/>
      <c r="CZ306" s="1"/>
      <c r="DA306" s="1"/>
      <c r="DB306" s="1"/>
      <c r="DC306" s="1"/>
      <c r="DD306" s="1"/>
      <c r="DE306" s="1"/>
      <c r="DF306" s="1"/>
      <c r="DG306" s="1"/>
      <c r="DH306" s="1"/>
      <c r="DI306" s="1"/>
      <c r="DJ306" s="1"/>
      <c r="DK306" s="1"/>
      <c r="DL306" s="1"/>
    </row>
    <row r="307" spans="1:116" ht="15.75" hidden="1" x14ac:dyDescent="0.25">
      <c r="A307" s="17"/>
      <c r="B307" s="17"/>
      <c r="C307" s="17"/>
      <c r="D307" s="17"/>
      <c r="E307" s="17"/>
      <c r="F307" s="31" t="s">
        <v>2949</v>
      </c>
      <c r="G307" s="55">
        <v>24.58</v>
      </c>
      <c r="H307" s="55">
        <v>24.58</v>
      </c>
      <c r="I307" s="55">
        <v>24.58</v>
      </c>
      <c r="J307" s="55">
        <v>24.58</v>
      </c>
      <c r="K307" s="55">
        <v>24.58</v>
      </c>
      <c r="L307" s="55">
        <v>24.58</v>
      </c>
      <c r="M307" s="55">
        <v>24.58</v>
      </c>
      <c r="N307" s="55">
        <v>24.58</v>
      </c>
      <c r="O307" s="55">
        <v>24.58</v>
      </c>
      <c r="P307" s="55">
        <v>24.58</v>
      </c>
      <c r="Q307" s="55">
        <v>24.58</v>
      </c>
      <c r="R307" s="55">
        <v>24.58</v>
      </c>
      <c r="S307" s="11">
        <f t="shared" si="166"/>
        <v>294.95999999999992</v>
      </c>
      <c r="T307" s="9"/>
      <c r="U307" s="1"/>
      <c r="V307" s="50">
        <f t="shared" si="204"/>
        <v>189276</v>
      </c>
      <c r="W307" s="36">
        <v>5.1070000000000002</v>
      </c>
      <c r="X307" s="36">
        <v>5.1070000000000002</v>
      </c>
      <c r="Y307" s="36">
        <v>5.1070000000000002</v>
      </c>
      <c r="Z307" s="36">
        <v>5.1070000000000002</v>
      </c>
      <c r="AA307" s="36">
        <v>5.1070000000000002</v>
      </c>
      <c r="AB307" s="36">
        <v>5.1070000000000002</v>
      </c>
      <c r="AC307" s="36">
        <v>5.1070000000000002</v>
      </c>
      <c r="AD307" s="36">
        <v>5.1070000000000002</v>
      </c>
      <c r="AE307" s="36">
        <v>5.1070000000000002</v>
      </c>
      <c r="AF307" s="36">
        <v>5.1070000000000002</v>
      </c>
      <c r="AG307" s="36">
        <v>5.1070000000000002</v>
      </c>
      <c r="AH307" s="36">
        <v>5.1070000000000002</v>
      </c>
      <c r="AI307" s="39">
        <v>1.33634708931066E-2</v>
      </c>
      <c r="AJ307" s="39">
        <v>1.33634708931066E-2</v>
      </c>
      <c r="AK307" s="39">
        <v>1.33634708931066E-2</v>
      </c>
      <c r="AL307" s="39">
        <v>1.33634708931066E-2</v>
      </c>
      <c r="AM307" s="39">
        <v>1.33634708931066E-2</v>
      </c>
      <c r="AN307" s="39">
        <v>1.33634708931066E-2</v>
      </c>
      <c r="AO307" s="39">
        <v>1.33634708931066E-2</v>
      </c>
      <c r="AP307" s="39">
        <v>1.33634708931066E-2</v>
      </c>
      <c r="AQ307" s="39">
        <v>1.33634708931066E-2</v>
      </c>
      <c r="AR307" s="39">
        <v>1.33634708931066E-2</v>
      </c>
      <c r="AS307" s="39">
        <v>1.33634708931066E-2</v>
      </c>
      <c r="AT307" s="39">
        <v>1.33634708931066E-2</v>
      </c>
      <c r="AU307" s="39">
        <v>1.2392217523121999E-3</v>
      </c>
      <c r="AV307" s="39">
        <v>1.2392217523121999E-3</v>
      </c>
      <c r="AW307" s="39">
        <v>1.2392217523121999E-3</v>
      </c>
      <c r="AX307" s="39">
        <v>1.2392217523121999E-3</v>
      </c>
      <c r="AY307" s="39">
        <v>1.2392217523121999E-3</v>
      </c>
      <c r="AZ307" s="39">
        <v>1.2392217523121999E-3</v>
      </c>
      <c r="BA307" s="39">
        <v>1.2392217523121999E-3</v>
      </c>
      <c r="BB307" s="39">
        <v>1.2392217523121999E-3</v>
      </c>
      <c r="BC307" s="39">
        <v>1.2392217523121999E-3</v>
      </c>
      <c r="BD307" s="39">
        <v>1.2392217523121999E-3</v>
      </c>
      <c r="BE307" s="39">
        <v>1.2392217523121999E-3</v>
      </c>
      <c r="BF307" s="39">
        <v>1.2392217523121999E-3</v>
      </c>
      <c r="BG307" s="1"/>
      <c r="BH307" s="12">
        <f t="shared" si="168"/>
        <v>79.3934</v>
      </c>
      <c r="BI307" s="12">
        <f t="shared" si="169"/>
        <v>79.3934</v>
      </c>
      <c r="BJ307" s="12">
        <f t="shared" si="170"/>
        <v>79.3934</v>
      </c>
      <c r="BK307" s="12">
        <f t="shared" si="171"/>
        <v>79.3934</v>
      </c>
      <c r="BL307" s="12">
        <f t="shared" si="172"/>
        <v>79.3934</v>
      </c>
      <c r="BM307" s="12">
        <f t="shared" si="173"/>
        <v>79.3934</v>
      </c>
      <c r="BN307" s="12">
        <f t="shared" si="174"/>
        <v>79.3934</v>
      </c>
      <c r="BO307" s="12">
        <f t="shared" si="175"/>
        <v>79.3934</v>
      </c>
      <c r="BP307" s="12">
        <f t="shared" si="176"/>
        <v>79.3934</v>
      </c>
      <c r="BQ307" s="12">
        <f t="shared" si="177"/>
        <v>79.3934</v>
      </c>
      <c r="BR307" s="12">
        <f t="shared" si="178"/>
        <v>79.3934</v>
      </c>
      <c r="BS307" s="12">
        <f t="shared" si="179"/>
        <v>79.3934</v>
      </c>
      <c r="BT307" s="1"/>
      <c r="BU307" s="11">
        <f t="shared" si="180"/>
        <v>80.552757418274794</v>
      </c>
      <c r="BV307" s="11">
        <f t="shared" si="181"/>
        <v>80.552757418274794</v>
      </c>
      <c r="BW307" s="11">
        <f t="shared" si="182"/>
        <v>80.552757418274794</v>
      </c>
      <c r="BX307" s="11">
        <f t="shared" si="183"/>
        <v>80.552757418274794</v>
      </c>
      <c r="BY307" s="11">
        <f t="shared" si="184"/>
        <v>80.552757418274794</v>
      </c>
      <c r="BZ307" s="11">
        <f t="shared" si="185"/>
        <v>80.552757418274794</v>
      </c>
      <c r="CA307" s="11">
        <f t="shared" si="186"/>
        <v>80.552757418274794</v>
      </c>
      <c r="CB307" s="11">
        <f t="shared" si="187"/>
        <v>80.552757418274794</v>
      </c>
      <c r="CC307" s="11">
        <f t="shared" si="188"/>
        <v>80.552757418274794</v>
      </c>
      <c r="CD307" s="11">
        <f t="shared" si="189"/>
        <v>80.552757418274794</v>
      </c>
      <c r="CE307" s="11">
        <f t="shared" si="190"/>
        <v>80.552757418274794</v>
      </c>
      <c r="CF307" s="11">
        <f t="shared" si="191"/>
        <v>80.552757418274794</v>
      </c>
      <c r="CG307" s="11"/>
      <c r="CH307" s="41">
        <v>3.23</v>
      </c>
      <c r="CI307" s="1"/>
      <c r="CJ307" s="53">
        <f t="shared" si="192"/>
        <v>15773</v>
      </c>
      <c r="CK307" s="53">
        <f t="shared" si="193"/>
        <v>15773</v>
      </c>
      <c r="CL307" s="53">
        <f t="shared" si="194"/>
        <v>15773</v>
      </c>
      <c r="CM307" s="53">
        <f t="shared" si="195"/>
        <v>15773</v>
      </c>
      <c r="CN307" s="53">
        <f t="shared" si="196"/>
        <v>15773</v>
      </c>
      <c r="CO307" s="53">
        <f t="shared" si="197"/>
        <v>15773</v>
      </c>
      <c r="CP307" s="53">
        <f t="shared" si="198"/>
        <v>15773</v>
      </c>
      <c r="CQ307" s="53">
        <f t="shared" si="199"/>
        <v>15773</v>
      </c>
      <c r="CR307" s="53">
        <f t="shared" si="200"/>
        <v>15773</v>
      </c>
      <c r="CS307" s="53">
        <f t="shared" si="201"/>
        <v>15773</v>
      </c>
      <c r="CT307" s="53">
        <f t="shared" si="202"/>
        <v>15773</v>
      </c>
      <c r="CU307" s="53">
        <f t="shared" si="203"/>
        <v>15773</v>
      </c>
      <c r="CV307" s="53">
        <f t="shared" si="205"/>
        <v>189276</v>
      </c>
      <c r="CW307" s="1"/>
      <c r="CX307" s="1"/>
      <c r="CY307" s="1"/>
      <c r="CZ307" s="1"/>
      <c r="DA307" s="1"/>
      <c r="DB307" s="1"/>
      <c r="DC307" s="1"/>
      <c r="DD307" s="1"/>
      <c r="DE307" s="1"/>
      <c r="DF307" s="1"/>
      <c r="DG307" s="1"/>
      <c r="DH307" s="1"/>
      <c r="DI307" s="1"/>
      <c r="DJ307" s="1"/>
      <c r="DK307" s="1"/>
      <c r="DL307" s="1"/>
    </row>
    <row r="308" spans="1:116" ht="15.75" hidden="1" x14ac:dyDescent="0.25">
      <c r="A308" s="17"/>
      <c r="B308" s="17"/>
      <c r="C308" s="17"/>
      <c r="D308" s="17"/>
      <c r="E308" s="17"/>
      <c r="F308" s="31" t="s">
        <v>2949</v>
      </c>
      <c r="G308" s="55">
        <v>32.54</v>
      </c>
      <c r="H308" s="55">
        <v>27.11</v>
      </c>
      <c r="I308" s="55">
        <v>27.11</v>
      </c>
      <c r="J308" s="55">
        <v>28.47</v>
      </c>
      <c r="K308" s="55">
        <v>22.78</v>
      </c>
      <c r="L308" s="55">
        <v>4.5599999999999996</v>
      </c>
      <c r="M308" s="55">
        <v>4.5599999999999996</v>
      </c>
      <c r="N308" s="55">
        <v>3.42</v>
      </c>
      <c r="O308" s="55">
        <v>13.01</v>
      </c>
      <c r="P308" s="55">
        <v>21.69</v>
      </c>
      <c r="Q308" s="55">
        <v>28.47</v>
      </c>
      <c r="R308" s="55">
        <v>28.47</v>
      </c>
      <c r="S308" s="11">
        <f t="shared" si="166"/>
        <v>242.18999999999997</v>
      </c>
      <c r="T308" s="9"/>
      <c r="U308" s="1"/>
      <c r="V308" s="50">
        <f t="shared" si="204"/>
        <v>243765</v>
      </c>
      <c r="W308" s="36">
        <v>3.2559999999999998</v>
      </c>
      <c r="X308" s="36">
        <v>3.2559999999999998</v>
      </c>
      <c r="Y308" s="36">
        <v>3.2559999999999998</v>
      </c>
      <c r="Z308" s="36">
        <v>3.2559999999999998</v>
      </c>
      <c r="AA308" s="36">
        <v>3.2559999999999998</v>
      </c>
      <c r="AB308" s="36">
        <v>3.2559999999999998</v>
      </c>
      <c r="AC308" s="36">
        <v>3.2559999999999998</v>
      </c>
      <c r="AD308" s="36">
        <v>3.2559999999999998</v>
      </c>
      <c r="AE308" s="36">
        <v>3.2559999999999998</v>
      </c>
      <c r="AF308" s="36">
        <v>3.2559999999999998</v>
      </c>
      <c r="AG308" s="36">
        <v>3.2559999999999998</v>
      </c>
      <c r="AH308" s="36">
        <v>3.2559999999999998</v>
      </c>
      <c r="AI308" s="39">
        <v>1.33634708931066E-2</v>
      </c>
      <c r="AJ308" s="39">
        <v>1.33634708931066E-2</v>
      </c>
      <c r="AK308" s="39">
        <v>1.33634708931066E-2</v>
      </c>
      <c r="AL308" s="39">
        <v>1.33634708931066E-2</v>
      </c>
      <c r="AM308" s="39">
        <v>1.33634708931066E-2</v>
      </c>
      <c r="AN308" s="39">
        <v>1.33634708931066E-2</v>
      </c>
      <c r="AO308" s="39">
        <v>1.33634708931066E-2</v>
      </c>
      <c r="AP308" s="39">
        <v>1.33634708931066E-2</v>
      </c>
      <c r="AQ308" s="39">
        <v>1.33634708931066E-2</v>
      </c>
      <c r="AR308" s="39">
        <v>1.33634708931066E-2</v>
      </c>
      <c r="AS308" s="39">
        <v>1.33634708931066E-2</v>
      </c>
      <c r="AT308" s="39">
        <v>1.33634708931066E-2</v>
      </c>
      <c r="AU308" s="39">
        <v>1.2392217523121999E-3</v>
      </c>
      <c r="AV308" s="39">
        <v>1.2392217523121999E-3</v>
      </c>
      <c r="AW308" s="39">
        <v>1.2392217523121999E-3</v>
      </c>
      <c r="AX308" s="39">
        <v>1.2392217523121999E-3</v>
      </c>
      <c r="AY308" s="39">
        <v>1.2392217523121999E-3</v>
      </c>
      <c r="AZ308" s="39">
        <v>1.2392217523121999E-3</v>
      </c>
      <c r="BA308" s="39">
        <v>1.2392217523121999E-3</v>
      </c>
      <c r="BB308" s="39">
        <v>1.2392217523121999E-3</v>
      </c>
      <c r="BC308" s="39">
        <v>1.2392217523121999E-3</v>
      </c>
      <c r="BD308" s="39">
        <v>1.2392217523121999E-3</v>
      </c>
      <c r="BE308" s="39">
        <v>1.2392217523121999E-3</v>
      </c>
      <c r="BF308" s="39">
        <v>1.2392217523121999E-3</v>
      </c>
      <c r="BG308" s="1"/>
      <c r="BH308" s="12">
        <f t="shared" si="168"/>
        <v>105.10419999999999</v>
      </c>
      <c r="BI308" s="12">
        <f t="shared" si="169"/>
        <v>87.565299999999993</v>
      </c>
      <c r="BJ308" s="12">
        <f t="shared" si="170"/>
        <v>87.565299999999993</v>
      </c>
      <c r="BK308" s="12">
        <f t="shared" si="171"/>
        <v>91.958100000000002</v>
      </c>
      <c r="BL308" s="12">
        <f t="shared" si="172"/>
        <v>73.579400000000007</v>
      </c>
      <c r="BM308" s="12">
        <f t="shared" si="173"/>
        <v>14.728799999999998</v>
      </c>
      <c r="BN308" s="12">
        <f t="shared" si="174"/>
        <v>14.728799999999998</v>
      </c>
      <c r="BO308" s="12">
        <f t="shared" si="175"/>
        <v>11.0466</v>
      </c>
      <c r="BP308" s="12">
        <f t="shared" si="176"/>
        <v>42.022300000000001</v>
      </c>
      <c r="BQ308" s="12">
        <f t="shared" si="177"/>
        <v>70.058700000000002</v>
      </c>
      <c r="BR308" s="12">
        <f t="shared" si="178"/>
        <v>91.958100000000002</v>
      </c>
      <c r="BS308" s="12">
        <f t="shared" si="179"/>
        <v>91.958100000000002</v>
      </c>
      <c r="BT308" s="1"/>
      <c r="BU308" s="11">
        <f t="shared" si="180"/>
        <v>106.63900432834262</v>
      </c>
      <c r="BV308" s="11">
        <f t="shared" si="181"/>
        <v>88.843989162303885</v>
      </c>
      <c r="BW308" s="11">
        <f t="shared" si="182"/>
        <v>88.843989162303885</v>
      </c>
      <c r="BX308" s="11">
        <f t="shared" si="183"/>
        <v>93.300935870556685</v>
      </c>
      <c r="BY308" s="11">
        <f t="shared" si="184"/>
        <v>74.653857363234337</v>
      </c>
      <c r="BZ308" s="11">
        <f t="shared" si="185"/>
        <v>14.943880139435842</v>
      </c>
      <c r="CA308" s="11">
        <f t="shared" si="186"/>
        <v>14.943880139435842</v>
      </c>
      <c r="CB308" s="11">
        <f t="shared" si="187"/>
        <v>11.207910104576882</v>
      </c>
      <c r="CC308" s="11">
        <f t="shared" si="188"/>
        <v>42.635938731153587</v>
      </c>
      <c r="CD308" s="11">
        <f t="shared" si="189"/>
        <v>71.081745663237598</v>
      </c>
      <c r="CE308" s="11">
        <f t="shared" si="190"/>
        <v>93.300935870556685</v>
      </c>
      <c r="CF308" s="11">
        <f t="shared" si="191"/>
        <v>93.300935870556685</v>
      </c>
      <c r="CG308" s="11"/>
      <c r="CH308" s="41">
        <v>3.23</v>
      </c>
      <c r="CI308" s="1"/>
      <c r="CJ308" s="53">
        <f t="shared" si="192"/>
        <v>32752</v>
      </c>
      <c r="CK308" s="53">
        <f t="shared" si="193"/>
        <v>27286</v>
      </c>
      <c r="CL308" s="53">
        <f t="shared" si="194"/>
        <v>27286</v>
      </c>
      <c r="CM308" s="53">
        <f t="shared" si="195"/>
        <v>28655</v>
      </c>
      <c r="CN308" s="53">
        <f t="shared" si="196"/>
        <v>22928</v>
      </c>
      <c r="CO308" s="53">
        <f t="shared" si="197"/>
        <v>4590</v>
      </c>
      <c r="CP308" s="53">
        <f t="shared" si="198"/>
        <v>4590</v>
      </c>
      <c r="CQ308" s="53">
        <f t="shared" si="199"/>
        <v>3442</v>
      </c>
      <c r="CR308" s="53">
        <f t="shared" si="200"/>
        <v>13095</v>
      </c>
      <c r="CS308" s="53">
        <f t="shared" si="201"/>
        <v>21831</v>
      </c>
      <c r="CT308" s="53">
        <f t="shared" si="202"/>
        <v>28655</v>
      </c>
      <c r="CU308" s="53">
        <f t="shared" si="203"/>
        <v>28655</v>
      </c>
      <c r="CV308" s="53">
        <f t="shared" si="205"/>
        <v>243765</v>
      </c>
      <c r="CW308" s="1"/>
      <c r="CX308" s="1"/>
      <c r="CY308" s="1"/>
      <c r="CZ308" s="1"/>
      <c r="DA308" s="1"/>
      <c r="DB308" s="1"/>
      <c r="DC308" s="1"/>
      <c r="DD308" s="1"/>
      <c r="DE308" s="1"/>
      <c r="DF308" s="1"/>
      <c r="DG308" s="1"/>
      <c r="DH308" s="1"/>
      <c r="DI308" s="1"/>
      <c r="DJ308" s="1"/>
      <c r="DK308" s="1"/>
      <c r="DL308" s="1"/>
    </row>
    <row r="309" spans="1:116" ht="15.75" hidden="1" x14ac:dyDescent="0.25">
      <c r="A309" s="17"/>
      <c r="B309" s="17"/>
      <c r="C309" s="17"/>
      <c r="D309" s="17"/>
      <c r="E309" s="17"/>
      <c r="F309" s="31" t="s">
        <v>2949</v>
      </c>
      <c r="G309" s="55">
        <v>18.39</v>
      </c>
      <c r="H309" s="55">
        <v>13.79</v>
      </c>
      <c r="I309" s="55">
        <v>10.57</v>
      </c>
      <c r="J309" s="55">
        <v>7.47</v>
      </c>
      <c r="K309" s="55">
        <v>8.27</v>
      </c>
      <c r="L309" s="55">
        <v>3.86</v>
      </c>
      <c r="M309" s="55">
        <v>3.86</v>
      </c>
      <c r="N309" s="55">
        <v>4.5999999999999996</v>
      </c>
      <c r="O309" s="55">
        <v>9.19</v>
      </c>
      <c r="P309" s="55">
        <v>13.79</v>
      </c>
      <c r="Q309" s="55">
        <v>13.79</v>
      </c>
      <c r="R309" s="55">
        <v>10.11</v>
      </c>
      <c r="S309" s="11">
        <f t="shared" ref="S309:S365" si="206">SUM(G309:R309)</f>
        <v>117.68999999999998</v>
      </c>
      <c r="T309" s="9"/>
      <c r="U309" s="1"/>
      <c r="V309" s="50">
        <f t="shared" si="204"/>
        <v>268775</v>
      </c>
      <c r="W309" s="36">
        <v>1.4350000000000001</v>
      </c>
      <c r="X309" s="36">
        <v>1.4350000000000001</v>
      </c>
      <c r="Y309" s="36">
        <v>1.4350000000000001</v>
      </c>
      <c r="Z309" s="36">
        <v>1.4350000000000001</v>
      </c>
      <c r="AA309" s="36">
        <v>1.4350000000000001</v>
      </c>
      <c r="AB309" s="36">
        <v>1.4350000000000001</v>
      </c>
      <c r="AC309" s="36">
        <v>1.4350000000000001</v>
      </c>
      <c r="AD309" s="36">
        <v>1.4350000000000001</v>
      </c>
      <c r="AE309" s="36">
        <v>1.4350000000000001</v>
      </c>
      <c r="AF309" s="36">
        <v>1.4350000000000001</v>
      </c>
      <c r="AG309" s="36">
        <v>1.4350000000000001</v>
      </c>
      <c r="AH309" s="36">
        <v>1.4350000000000001</v>
      </c>
      <c r="AI309" s="39">
        <v>1.33634708931066E-2</v>
      </c>
      <c r="AJ309" s="39">
        <v>1.33634708931066E-2</v>
      </c>
      <c r="AK309" s="39">
        <v>1.33634708931066E-2</v>
      </c>
      <c r="AL309" s="39">
        <v>1.33634708931066E-2</v>
      </c>
      <c r="AM309" s="39">
        <v>1.33634708931066E-2</v>
      </c>
      <c r="AN309" s="39">
        <v>1.33634708931066E-2</v>
      </c>
      <c r="AO309" s="39">
        <v>1.33634708931066E-2</v>
      </c>
      <c r="AP309" s="39">
        <v>1.33634708931066E-2</v>
      </c>
      <c r="AQ309" s="39">
        <v>1.33634708931066E-2</v>
      </c>
      <c r="AR309" s="39">
        <v>1.33634708931066E-2</v>
      </c>
      <c r="AS309" s="39">
        <v>1.33634708931066E-2</v>
      </c>
      <c r="AT309" s="39">
        <v>1.33634708931066E-2</v>
      </c>
      <c r="AU309" s="39">
        <v>1.2392217523121999E-3</v>
      </c>
      <c r="AV309" s="39">
        <v>1.2392217523121999E-3</v>
      </c>
      <c r="AW309" s="39">
        <v>1.2392217523121999E-3</v>
      </c>
      <c r="AX309" s="39">
        <v>1.2392217523121999E-3</v>
      </c>
      <c r="AY309" s="39">
        <v>1.2392217523121999E-3</v>
      </c>
      <c r="AZ309" s="39">
        <v>1.2392217523121999E-3</v>
      </c>
      <c r="BA309" s="39">
        <v>1.2392217523121999E-3</v>
      </c>
      <c r="BB309" s="39">
        <v>1.2392217523121999E-3</v>
      </c>
      <c r="BC309" s="39">
        <v>1.2392217523121999E-3</v>
      </c>
      <c r="BD309" s="39">
        <v>1.2392217523121999E-3</v>
      </c>
      <c r="BE309" s="39">
        <v>1.2392217523121999E-3</v>
      </c>
      <c r="BF309" s="39">
        <v>1.2392217523121999E-3</v>
      </c>
      <c r="BG309" s="1"/>
      <c r="BH309" s="12">
        <f t="shared" si="168"/>
        <v>59.399700000000003</v>
      </c>
      <c r="BI309" s="12">
        <f t="shared" si="169"/>
        <v>44.541699999999999</v>
      </c>
      <c r="BJ309" s="12">
        <f t="shared" si="170"/>
        <v>34.141100000000002</v>
      </c>
      <c r="BK309" s="12">
        <f t="shared" si="171"/>
        <v>24.1281</v>
      </c>
      <c r="BL309" s="12">
        <f t="shared" si="172"/>
        <v>26.7121</v>
      </c>
      <c r="BM309" s="12">
        <f t="shared" si="173"/>
        <v>12.467799999999999</v>
      </c>
      <c r="BN309" s="12">
        <f t="shared" si="174"/>
        <v>12.467799999999999</v>
      </c>
      <c r="BO309" s="12">
        <f t="shared" si="175"/>
        <v>14.857999999999999</v>
      </c>
      <c r="BP309" s="12">
        <f t="shared" si="176"/>
        <v>29.683699999999998</v>
      </c>
      <c r="BQ309" s="12">
        <f t="shared" si="177"/>
        <v>44.541699999999999</v>
      </c>
      <c r="BR309" s="12">
        <f t="shared" si="178"/>
        <v>44.541699999999999</v>
      </c>
      <c r="BS309" s="12">
        <f t="shared" si="179"/>
        <v>32.655299999999997</v>
      </c>
      <c r="BT309" s="1"/>
      <c r="BU309" s="11">
        <f t="shared" si="180"/>
        <v>60.267095562330084</v>
      </c>
      <c r="BV309" s="11">
        <f t="shared" si="181"/>
        <v>45.192128755004447</v>
      </c>
      <c r="BW309" s="11">
        <f t="shared" si="182"/>
        <v>34.639651989876512</v>
      </c>
      <c r="BX309" s="11">
        <f t="shared" si="183"/>
        <v>24.480435228417928</v>
      </c>
      <c r="BY309" s="11">
        <f t="shared" si="184"/>
        <v>27.10216858621369</v>
      </c>
      <c r="BZ309" s="11">
        <f t="shared" si="185"/>
        <v>12.649863451364551</v>
      </c>
      <c r="CA309" s="11">
        <f t="shared" si="186"/>
        <v>12.649863451364551</v>
      </c>
      <c r="CB309" s="11">
        <f t="shared" si="187"/>
        <v>15.074966807325632</v>
      </c>
      <c r="CC309" s="11">
        <f t="shared" si="188"/>
        <v>30.117161947678817</v>
      </c>
      <c r="CD309" s="11">
        <f t="shared" si="189"/>
        <v>45.192128755004447</v>
      </c>
      <c r="CE309" s="11">
        <f t="shared" si="190"/>
        <v>45.192128755004447</v>
      </c>
      <c r="CF309" s="11">
        <f t="shared" si="191"/>
        <v>33.13215530914394</v>
      </c>
      <c r="CG309" s="11"/>
      <c r="CH309" s="41">
        <v>3.23</v>
      </c>
      <c r="CI309" s="1"/>
      <c r="CJ309" s="53">
        <f t="shared" si="192"/>
        <v>41998</v>
      </c>
      <c r="CK309" s="53">
        <f t="shared" si="193"/>
        <v>31493</v>
      </c>
      <c r="CL309" s="53">
        <f t="shared" si="194"/>
        <v>24139</v>
      </c>
      <c r="CM309" s="53">
        <f t="shared" si="195"/>
        <v>17060</v>
      </c>
      <c r="CN309" s="53">
        <f t="shared" si="196"/>
        <v>18887</v>
      </c>
      <c r="CO309" s="53">
        <f t="shared" si="197"/>
        <v>8815</v>
      </c>
      <c r="CP309" s="53">
        <f t="shared" si="198"/>
        <v>8815</v>
      </c>
      <c r="CQ309" s="53">
        <f t="shared" si="199"/>
        <v>10505</v>
      </c>
      <c r="CR309" s="53">
        <f t="shared" si="200"/>
        <v>20988</v>
      </c>
      <c r="CS309" s="53">
        <f t="shared" si="201"/>
        <v>31493</v>
      </c>
      <c r="CT309" s="53">
        <f t="shared" si="202"/>
        <v>31493</v>
      </c>
      <c r="CU309" s="53">
        <f t="shared" si="203"/>
        <v>23089</v>
      </c>
      <c r="CV309" s="53">
        <f t="shared" si="205"/>
        <v>268775</v>
      </c>
      <c r="CW309" s="1"/>
      <c r="CX309" s="1"/>
      <c r="CY309" s="1"/>
      <c r="CZ309" s="1"/>
      <c r="DA309" s="1"/>
      <c r="DB309" s="1"/>
      <c r="DC309" s="1"/>
      <c r="DD309" s="1"/>
      <c r="DE309" s="1"/>
      <c r="DF309" s="1"/>
      <c r="DG309" s="1"/>
      <c r="DH309" s="1"/>
      <c r="DI309" s="1"/>
      <c r="DJ309" s="1"/>
      <c r="DK309" s="1"/>
      <c r="DL309" s="1"/>
    </row>
    <row r="310" spans="1:116" ht="15.75" hidden="1" x14ac:dyDescent="0.25">
      <c r="A310" s="17"/>
      <c r="B310" s="17"/>
      <c r="C310" s="17"/>
      <c r="D310" s="17"/>
      <c r="E310" s="17"/>
      <c r="F310" s="31" t="s">
        <v>2949</v>
      </c>
      <c r="G310" s="55">
        <v>11.47</v>
      </c>
      <c r="H310" s="55">
        <v>8.41</v>
      </c>
      <c r="I310" s="55">
        <v>7.36</v>
      </c>
      <c r="J310" s="55">
        <v>7.36</v>
      </c>
      <c r="K310" s="55">
        <v>7.36</v>
      </c>
      <c r="L310" s="55">
        <v>4.21</v>
      </c>
      <c r="M310" s="55">
        <v>4.21</v>
      </c>
      <c r="N310" s="55">
        <v>12.62</v>
      </c>
      <c r="O310" s="55">
        <v>15.77</v>
      </c>
      <c r="P310" s="55">
        <v>15.77</v>
      </c>
      <c r="Q310" s="55">
        <v>15.77</v>
      </c>
      <c r="R310" s="55">
        <v>15.77</v>
      </c>
      <c r="S310" s="11">
        <f t="shared" si="206"/>
        <v>126.07999999999998</v>
      </c>
      <c r="T310" s="9"/>
      <c r="U310" s="1"/>
      <c r="V310" s="50">
        <f t="shared" si="204"/>
        <v>139777</v>
      </c>
      <c r="W310" s="36">
        <v>2.956</v>
      </c>
      <c r="X310" s="36">
        <v>2.956</v>
      </c>
      <c r="Y310" s="36">
        <v>2.956</v>
      </c>
      <c r="Z310" s="36">
        <v>2.956</v>
      </c>
      <c r="AA310" s="36">
        <v>2.956</v>
      </c>
      <c r="AB310" s="36">
        <v>2.956</v>
      </c>
      <c r="AC310" s="36">
        <v>2.956</v>
      </c>
      <c r="AD310" s="36">
        <v>2.956</v>
      </c>
      <c r="AE310" s="36">
        <v>2.956</v>
      </c>
      <c r="AF310" s="36">
        <v>2.956</v>
      </c>
      <c r="AG310" s="36">
        <v>2.956</v>
      </c>
      <c r="AH310" s="36">
        <v>2.956</v>
      </c>
      <c r="AI310" s="39">
        <v>1.33634708931066E-2</v>
      </c>
      <c r="AJ310" s="39">
        <v>1.33634708931066E-2</v>
      </c>
      <c r="AK310" s="39">
        <v>1.33634708931066E-2</v>
      </c>
      <c r="AL310" s="39">
        <v>1.33634708931066E-2</v>
      </c>
      <c r="AM310" s="39">
        <v>1.33634708931066E-2</v>
      </c>
      <c r="AN310" s="39">
        <v>1.33634708931066E-2</v>
      </c>
      <c r="AO310" s="39">
        <v>1.33634708931066E-2</v>
      </c>
      <c r="AP310" s="39">
        <v>1.33634708931066E-2</v>
      </c>
      <c r="AQ310" s="39">
        <v>1.33634708931066E-2</v>
      </c>
      <c r="AR310" s="39">
        <v>1.33634708931066E-2</v>
      </c>
      <c r="AS310" s="39">
        <v>1.33634708931066E-2</v>
      </c>
      <c r="AT310" s="39">
        <v>1.33634708931066E-2</v>
      </c>
      <c r="AU310" s="39">
        <v>1.2392217523121999E-3</v>
      </c>
      <c r="AV310" s="39">
        <v>1.2392217523121999E-3</v>
      </c>
      <c r="AW310" s="39">
        <v>1.2392217523121999E-3</v>
      </c>
      <c r="AX310" s="39">
        <v>1.2392217523121999E-3</v>
      </c>
      <c r="AY310" s="39">
        <v>1.2392217523121999E-3</v>
      </c>
      <c r="AZ310" s="39">
        <v>1.2392217523121999E-3</v>
      </c>
      <c r="BA310" s="39">
        <v>1.2392217523121999E-3</v>
      </c>
      <c r="BB310" s="39">
        <v>1.2392217523121999E-3</v>
      </c>
      <c r="BC310" s="39">
        <v>1.2392217523121999E-3</v>
      </c>
      <c r="BD310" s="39">
        <v>1.2392217523121999E-3</v>
      </c>
      <c r="BE310" s="39">
        <v>1.2392217523121999E-3</v>
      </c>
      <c r="BF310" s="39">
        <v>1.2392217523121999E-3</v>
      </c>
      <c r="BG310" s="1"/>
      <c r="BH310" s="12">
        <f t="shared" si="168"/>
        <v>37.048100000000005</v>
      </c>
      <c r="BI310" s="12">
        <f t="shared" si="169"/>
        <v>27.164300000000001</v>
      </c>
      <c r="BJ310" s="12">
        <f t="shared" si="170"/>
        <v>23.7728</v>
      </c>
      <c r="BK310" s="12">
        <f t="shared" si="171"/>
        <v>23.7728</v>
      </c>
      <c r="BL310" s="12">
        <f t="shared" si="172"/>
        <v>23.7728</v>
      </c>
      <c r="BM310" s="12">
        <f t="shared" si="173"/>
        <v>13.5983</v>
      </c>
      <c r="BN310" s="12">
        <f t="shared" si="174"/>
        <v>13.5983</v>
      </c>
      <c r="BO310" s="12">
        <f t="shared" si="175"/>
        <v>40.762599999999999</v>
      </c>
      <c r="BP310" s="12">
        <f t="shared" si="176"/>
        <v>50.937100000000001</v>
      </c>
      <c r="BQ310" s="12">
        <f t="shared" si="177"/>
        <v>50.937100000000001</v>
      </c>
      <c r="BR310" s="12">
        <f t="shared" si="178"/>
        <v>50.937100000000001</v>
      </c>
      <c r="BS310" s="12">
        <f t="shared" si="179"/>
        <v>50.937100000000001</v>
      </c>
      <c r="BT310" s="1"/>
      <c r="BU310" s="11">
        <f t="shared" si="180"/>
        <v>37.589102017396748</v>
      </c>
      <c r="BV310" s="11">
        <f t="shared" si="181"/>
        <v>27.56097192382795</v>
      </c>
      <c r="BW310" s="11">
        <f t="shared" si="182"/>
        <v>24.119946891721014</v>
      </c>
      <c r="BX310" s="11">
        <f t="shared" si="183"/>
        <v>24.119946891721014</v>
      </c>
      <c r="BY310" s="11">
        <f t="shared" si="184"/>
        <v>24.119946891721014</v>
      </c>
      <c r="BZ310" s="11">
        <f t="shared" si="185"/>
        <v>13.796871795400198</v>
      </c>
      <c r="CA310" s="11">
        <f t="shared" si="186"/>
        <v>13.796871795400198</v>
      </c>
      <c r="CB310" s="11">
        <f t="shared" si="187"/>
        <v>41.35784371922815</v>
      </c>
      <c r="CC310" s="11">
        <f t="shared" si="188"/>
        <v>51.680918815548964</v>
      </c>
      <c r="CD310" s="11">
        <f t="shared" si="189"/>
        <v>51.680918815548964</v>
      </c>
      <c r="CE310" s="11">
        <f t="shared" si="190"/>
        <v>51.680918815548964</v>
      </c>
      <c r="CF310" s="11">
        <f t="shared" si="191"/>
        <v>51.680918815548964</v>
      </c>
      <c r="CG310" s="11"/>
      <c r="CH310" s="41">
        <v>3.23</v>
      </c>
      <c r="CI310" s="1"/>
      <c r="CJ310" s="53">
        <f t="shared" si="192"/>
        <v>12716</v>
      </c>
      <c r="CK310" s="53">
        <f t="shared" si="193"/>
        <v>9324</v>
      </c>
      <c r="CL310" s="53">
        <f t="shared" si="194"/>
        <v>8160</v>
      </c>
      <c r="CM310" s="53">
        <f t="shared" si="195"/>
        <v>8160</v>
      </c>
      <c r="CN310" s="53">
        <f t="shared" si="196"/>
        <v>8160</v>
      </c>
      <c r="CO310" s="53">
        <f t="shared" si="197"/>
        <v>4667</v>
      </c>
      <c r="CP310" s="53">
        <f t="shared" si="198"/>
        <v>4667</v>
      </c>
      <c r="CQ310" s="53">
        <f t="shared" si="199"/>
        <v>13991</v>
      </c>
      <c r="CR310" s="53">
        <f t="shared" si="200"/>
        <v>17483</v>
      </c>
      <c r="CS310" s="53">
        <f t="shared" si="201"/>
        <v>17483</v>
      </c>
      <c r="CT310" s="53">
        <f t="shared" si="202"/>
        <v>17483</v>
      </c>
      <c r="CU310" s="53">
        <f t="shared" si="203"/>
        <v>17483</v>
      </c>
      <c r="CV310" s="53">
        <f t="shared" si="205"/>
        <v>139777</v>
      </c>
      <c r="CW310" s="1"/>
      <c r="CX310" s="1"/>
      <c r="CY310" s="1"/>
      <c r="CZ310" s="1"/>
      <c r="DA310" s="1"/>
      <c r="DB310" s="1"/>
      <c r="DC310" s="1"/>
      <c r="DD310" s="1"/>
      <c r="DE310" s="1"/>
      <c r="DF310" s="1"/>
      <c r="DG310" s="1"/>
      <c r="DH310" s="1"/>
      <c r="DI310" s="1"/>
      <c r="DJ310" s="1"/>
      <c r="DK310" s="1"/>
      <c r="DL310" s="1"/>
    </row>
    <row r="311" spans="1:116" ht="15.75" hidden="1" x14ac:dyDescent="0.25">
      <c r="A311" s="17"/>
      <c r="B311" s="17"/>
      <c r="C311" s="17"/>
      <c r="D311" s="17"/>
      <c r="E311" s="17"/>
      <c r="F311" s="31" t="s">
        <v>2949</v>
      </c>
      <c r="G311" s="55">
        <v>188.84</v>
      </c>
      <c r="H311" s="55">
        <v>188.84</v>
      </c>
      <c r="I311" s="55">
        <v>177.04</v>
      </c>
      <c r="J311" s="55">
        <v>80.73</v>
      </c>
      <c r="K311" s="55">
        <v>60.55</v>
      </c>
      <c r="L311" s="55">
        <v>60.55</v>
      </c>
      <c r="M311" s="55">
        <v>70.819999999999993</v>
      </c>
      <c r="N311" s="55">
        <v>94.42</v>
      </c>
      <c r="O311" s="55">
        <v>177.04</v>
      </c>
      <c r="P311" s="55">
        <v>177.04</v>
      </c>
      <c r="Q311" s="55">
        <v>159.34</v>
      </c>
      <c r="R311" s="55">
        <v>127.47</v>
      </c>
      <c r="S311" s="11">
        <f t="shared" si="206"/>
        <v>1562.6799999999998</v>
      </c>
      <c r="T311" s="9"/>
      <c r="U311" s="1"/>
      <c r="V311" s="50">
        <f t="shared" si="204"/>
        <v>1473290</v>
      </c>
      <c r="W311" s="36">
        <v>3.476</v>
      </c>
      <c r="X311" s="36">
        <v>3.476</v>
      </c>
      <c r="Y311" s="36">
        <v>3.476</v>
      </c>
      <c r="Z311" s="36">
        <v>3.476</v>
      </c>
      <c r="AA311" s="36">
        <v>3.476</v>
      </c>
      <c r="AB311" s="36">
        <v>3.476</v>
      </c>
      <c r="AC311" s="36">
        <v>3.476</v>
      </c>
      <c r="AD311" s="36">
        <v>3.476</v>
      </c>
      <c r="AE311" s="36">
        <v>3.476</v>
      </c>
      <c r="AF311" s="36">
        <v>3.476</v>
      </c>
      <c r="AG311" s="36">
        <v>3.476</v>
      </c>
      <c r="AH311" s="36">
        <v>3.476</v>
      </c>
      <c r="AI311" s="39">
        <v>1.33634708931066E-2</v>
      </c>
      <c r="AJ311" s="39">
        <v>1.33634708931066E-2</v>
      </c>
      <c r="AK311" s="39">
        <v>1.33634708931066E-2</v>
      </c>
      <c r="AL311" s="39">
        <v>1.33634708931066E-2</v>
      </c>
      <c r="AM311" s="39">
        <v>1.33634708931066E-2</v>
      </c>
      <c r="AN311" s="39">
        <v>1.33634708931066E-2</v>
      </c>
      <c r="AO311" s="39">
        <v>1.33634708931066E-2</v>
      </c>
      <c r="AP311" s="39">
        <v>1.33634708931066E-2</v>
      </c>
      <c r="AQ311" s="39">
        <v>1.33634708931066E-2</v>
      </c>
      <c r="AR311" s="39">
        <v>1.33634708931066E-2</v>
      </c>
      <c r="AS311" s="39">
        <v>1.33634708931066E-2</v>
      </c>
      <c r="AT311" s="39">
        <v>1.33634708931066E-2</v>
      </c>
      <c r="AU311" s="39">
        <v>1.2392217523121999E-3</v>
      </c>
      <c r="AV311" s="39">
        <v>1.2392217523121999E-3</v>
      </c>
      <c r="AW311" s="39">
        <v>1.2392217523121999E-3</v>
      </c>
      <c r="AX311" s="39">
        <v>1.2392217523121999E-3</v>
      </c>
      <c r="AY311" s="39">
        <v>1.2392217523121999E-3</v>
      </c>
      <c r="AZ311" s="39">
        <v>1.2392217523121999E-3</v>
      </c>
      <c r="BA311" s="39">
        <v>1.2392217523121999E-3</v>
      </c>
      <c r="BB311" s="39">
        <v>1.2392217523121999E-3</v>
      </c>
      <c r="BC311" s="39">
        <v>1.2392217523121999E-3</v>
      </c>
      <c r="BD311" s="39">
        <v>1.2392217523121999E-3</v>
      </c>
      <c r="BE311" s="39">
        <v>1.2392217523121999E-3</v>
      </c>
      <c r="BF311" s="39">
        <v>1.2392217523121999E-3</v>
      </c>
      <c r="BG311" s="1"/>
      <c r="BH311" s="12">
        <f t="shared" si="168"/>
        <v>609.95320000000004</v>
      </c>
      <c r="BI311" s="12">
        <f t="shared" si="169"/>
        <v>609.95320000000004</v>
      </c>
      <c r="BJ311" s="12">
        <f t="shared" si="170"/>
        <v>571.83920000000001</v>
      </c>
      <c r="BK311" s="12">
        <f t="shared" si="171"/>
        <v>260.75790000000001</v>
      </c>
      <c r="BL311" s="12">
        <f t="shared" si="172"/>
        <v>195.57649999999998</v>
      </c>
      <c r="BM311" s="12">
        <f t="shared" si="173"/>
        <v>195.57649999999998</v>
      </c>
      <c r="BN311" s="12">
        <f t="shared" si="174"/>
        <v>228.74859999999998</v>
      </c>
      <c r="BO311" s="12">
        <f t="shared" si="175"/>
        <v>304.97660000000002</v>
      </c>
      <c r="BP311" s="12">
        <f t="shared" si="176"/>
        <v>571.83920000000001</v>
      </c>
      <c r="BQ311" s="12">
        <f t="shared" si="177"/>
        <v>571.83920000000001</v>
      </c>
      <c r="BR311" s="12">
        <f t="shared" si="178"/>
        <v>514.66819999999996</v>
      </c>
      <c r="BS311" s="12">
        <f t="shared" si="179"/>
        <v>411.72809999999998</v>
      </c>
      <c r="BT311" s="1"/>
      <c r="BU311" s="11">
        <f t="shared" si="180"/>
        <v>618.8601591076897</v>
      </c>
      <c r="BV311" s="11">
        <f t="shared" si="181"/>
        <v>618.8601591076897</v>
      </c>
      <c r="BW311" s="11">
        <f t="shared" si="182"/>
        <v>580.18959208020215</v>
      </c>
      <c r="BX311" s="11">
        <f t="shared" si="183"/>
        <v>264.56566746856487</v>
      </c>
      <c r="BY311" s="11">
        <f t="shared" si="184"/>
        <v>198.43244351816674</v>
      </c>
      <c r="BZ311" s="11">
        <f t="shared" si="185"/>
        <v>198.43244351816674</v>
      </c>
      <c r="CA311" s="11">
        <f t="shared" si="186"/>
        <v>232.08894549886983</v>
      </c>
      <c r="CB311" s="11">
        <f t="shared" si="187"/>
        <v>309.43007955384485</v>
      </c>
      <c r="CC311" s="11">
        <f t="shared" si="188"/>
        <v>580.18959208020215</v>
      </c>
      <c r="CD311" s="11">
        <f t="shared" si="189"/>
        <v>580.18959208020215</v>
      </c>
      <c r="CE311" s="11">
        <f t="shared" si="190"/>
        <v>522.18374153897093</v>
      </c>
      <c r="CF311" s="11">
        <f t="shared" si="191"/>
        <v>417.74043889778221</v>
      </c>
      <c r="CG311" s="11"/>
      <c r="CH311" s="41">
        <v>3.23</v>
      </c>
      <c r="CI311" s="1"/>
      <c r="CJ311" s="53">
        <f t="shared" si="192"/>
        <v>178038</v>
      </c>
      <c r="CK311" s="53">
        <f t="shared" si="193"/>
        <v>178038</v>
      </c>
      <c r="CL311" s="53">
        <f t="shared" si="194"/>
        <v>166913</v>
      </c>
      <c r="CM311" s="53">
        <f t="shared" si="195"/>
        <v>76112</v>
      </c>
      <c r="CN311" s="53">
        <f t="shared" si="196"/>
        <v>57086</v>
      </c>
      <c r="CO311" s="53">
        <f t="shared" si="197"/>
        <v>57086</v>
      </c>
      <c r="CP311" s="53">
        <f t="shared" si="198"/>
        <v>66769</v>
      </c>
      <c r="CQ311" s="53">
        <f t="shared" si="199"/>
        <v>89019</v>
      </c>
      <c r="CR311" s="53">
        <f t="shared" si="200"/>
        <v>166913</v>
      </c>
      <c r="CS311" s="53">
        <f t="shared" si="201"/>
        <v>166913</v>
      </c>
      <c r="CT311" s="53">
        <f t="shared" si="202"/>
        <v>150225</v>
      </c>
      <c r="CU311" s="53">
        <f t="shared" si="203"/>
        <v>120178</v>
      </c>
      <c r="CV311" s="53">
        <f t="shared" si="205"/>
        <v>1473290</v>
      </c>
      <c r="CW311" s="1"/>
      <c r="CX311" s="1"/>
      <c r="CY311" s="1"/>
      <c r="CZ311" s="1"/>
      <c r="DA311" s="1"/>
      <c r="DB311" s="1"/>
      <c r="DC311" s="1"/>
      <c r="DD311" s="1"/>
      <c r="DE311" s="1"/>
      <c r="DF311" s="1"/>
      <c r="DG311" s="1"/>
      <c r="DH311" s="1"/>
      <c r="DI311" s="1"/>
      <c r="DJ311" s="1"/>
      <c r="DK311" s="1"/>
      <c r="DL311" s="1"/>
    </row>
    <row r="312" spans="1:116" ht="15.75" hidden="1" x14ac:dyDescent="0.25">
      <c r="A312" s="17"/>
      <c r="B312" s="17"/>
      <c r="C312" s="17"/>
      <c r="D312" s="17"/>
      <c r="E312" s="17"/>
      <c r="F312" s="31" t="s">
        <v>2949</v>
      </c>
      <c r="G312" s="55">
        <v>278.52999999999997</v>
      </c>
      <c r="H312" s="55">
        <v>246.22</v>
      </c>
      <c r="I312" s="55">
        <v>197.5</v>
      </c>
      <c r="J312" s="55">
        <v>92.17</v>
      </c>
      <c r="K312" s="55">
        <v>92.17</v>
      </c>
      <c r="L312" s="55">
        <v>79</v>
      </c>
      <c r="M312" s="55">
        <v>79</v>
      </c>
      <c r="N312" s="55">
        <v>79</v>
      </c>
      <c r="O312" s="55">
        <v>158</v>
      </c>
      <c r="P312" s="55">
        <v>184.34</v>
      </c>
      <c r="Q312" s="55">
        <v>184.34</v>
      </c>
      <c r="R312" s="55">
        <v>131.66999999999999</v>
      </c>
      <c r="S312" s="11">
        <f t="shared" si="206"/>
        <v>1801.9399999999998</v>
      </c>
      <c r="T312" s="9"/>
      <c r="U312" s="1"/>
      <c r="V312" s="50">
        <f t="shared" si="204"/>
        <v>1508367</v>
      </c>
      <c r="W312" s="36">
        <v>3.915</v>
      </c>
      <c r="X312" s="36">
        <v>3.915</v>
      </c>
      <c r="Y312" s="36">
        <v>3.915</v>
      </c>
      <c r="Z312" s="36">
        <v>3.915</v>
      </c>
      <c r="AA312" s="36">
        <v>3.915</v>
      </c>
      <c r="AB312" s="36">
        <v>3.915</v>
      </c>
      <c r="AC312" s="36">
        <v>3.915</v>
      </c>
      <c r="AD312" s="36">
        <v>3.915</v>
      </c>
      <c r="AE312" s="36">
        <v>3.915</v>
      </c>
      <c r="AF312" s="36">
        <v>3.915</v>
      </c>
      <c r="AG312" s="36">
        <v>3.915</v>
      </c>
      <c r="AH312" s="36">
        <v>3.915</v>
      </c>
      <c r="AI312" s="39">
        <v>1.33634708931066E-2</v>
      </c>
      <c r="AJ312" s="39">
        <v>1.33634708931066E-2</v>
      </c>
      <c r="AK312" s="39">
        <v>1.33634708931066E-2</v>
      </c>
      <c r="AL312" s="39">
        <v>1.33634708931066E-2</v>
      </c>
      <c r="AM312" s="39">
        <v>1.33634708931066E-2</v>
      </c>
      <c r="AN312" s="39">
        <v>1.33634708931066E-2</v>
      </c>
      <c r="AO312" s="39">
        <v>1.33634708931066E-2</v>
      </c>
      <c r="AP312" s="39">
        <v>1.33634708931066E-2</v>
      </c>
      <c r="AQ312" s="39">
        <v>1.33634708931066E-2</v>
      </c>
      <c r="AR312" s="39">
        <v>1.33634708931066E-2</v>
      </c>
      <c r="AS312" s="39">
        <v>1.33634708931066E-2</v>
      </c>
      <c r="AT312" s="39">
        <v>1.33634708931066E-2</v>
      </c>
      <c r="AU312" s="39">
        <v>1.2392217523121999E-3</v>
      </c>
      <c r="AV312" s="39">
        <v>1.2392217523121999E-3</v>
      </c>
      <c r="AW312" s="39">
        <v>1.2392217523121999E-3</v>
      </c>
      <c r="AX312" s="39">
        <v>1.2392217523121999E-3</v>
      </c>
      <c r="AY312" s="39">
        <v>1.2392217523121999E-3</v>
      </c>
      <c r="AZ312" s="39">
        <v>1.2392217523121999E-3</v>
      </c>
      <c r="BA312" s="39">
        <v>1.2392217523121999E-3</v>
      </c>
      <c r="BB312" s="39">
        <v>1.2392217523121999E-3</v>
      </c>
      <c r="BC312" s="39">
        <v>1.2392217523121999E-3</v>
      </c>
      <c r="BD312" s="39">
        <v>1.2392217523121999E-3</v>
      </c>
      <c r="BE312" s="39">
        <v>1.2392217523121999E-3</v>
      </c>
      <c r="BF312" s="39">
        <v>1.2392217523121999E-3</v>
      </c>
      <c r="BG312" s="1"/>
      <c r="BH312" s="12">
        <f t="shared" si="168"/>
        <v>899.65189999999996</v>
      </c>
      <c r="BI312" s="12">
        <f t="shared" si="169"/>
        <v>795.29060000000004</v>
      </c>
      <c r="BJ312" s="12">
        <f t="shared" si="170"/>
        <v>637.92499999999995</v>
      </c>
      <c r="BK312" s="12">
        <f t="shared" si="171"/>
        <v>297.70909999999998</v>
      </c>
      <c r="BL312" s="12">
        <f t="shared" si="172"/>
        <v>297.70909999999998</v>
      </c>
      <c r="BM312" s="12">
        <f t="shared" si="173"/>
        <v>255.17</v>
      </c>
      <c r="BN312" s="12">
        <f t="shared" si="174"/>
        <v>255.17</v>
      </c>
      <c r="BO312" s="12">
        <f t="shared" si="175"/>
        <v>255.17</v>
      </c>
      <c r="BP312" s="12">
        <f t="shared" si="176"/>
        <v>510.34</v>
      </c>
      <c r="BQ312" s="12">
        <f t="shared" si="177"/>
        <v>595.41819999999996</v>
      </c>
      <c r="BR312" s="12">
        <f t="shared" si="178"/>
        <v>595.41819999999996</v>
      </c>
      <c r="BS312" s="12">
        <f t="shared" si="179"/>
        <v>425.29409999999996</v>
      </c>
      <c r="BT312" s="1"/>
      <c r="BU312" s="11">
        <f t="shared" si="180"/>
        <v>912.78924018356702</v>
      </c>
      <c r="BV312" s="11">
        <f t="shared" si="181"/>
        <v>806.90398419559074</v>
      </c>
      <c r="BW312" s="11">
        <f t="shared" si="182"/>
        <v>647.24042270582879</v>
      </c>
      <c r="BX312" s="11">
        <f t="shared" si="183"/>
        <v>302.05645448504424</v>
      </c>
      <c r="BY312" s="11">
        <f t="shared" si="184"/>
        <v>302.05645448504424</v>
      </c>
      <c r="BZ312" s="11">
        <f t="shared" si="185"/>
        <v>258.89616908233148</v>
      </c>
      <c r="CA312" s="11">
        <f t="shared" si="186"/>
        <v>258.89616908233148</v>
      </c>
      <c r="CB312" s="11">
        <f t="shared" si="187"/>
        <v>258.89616908233148</v>
      </c>
      <c r="CC312" s="11">
        <f t="shared" si="188"/>
        <v>517.79233816466297</v>
      </c>
      <c r="CD312" s="11">
        <f t="shared" si="189"/>
        <v>604.11290897008848</v>
      </c>
      <c r="CE312" s="11">
        <f t="shared" si="190"/>
        <v>604.11290897008848</v>
      </c>
      <c r="CF312" s="11">
        <f t="shared" si="191"/>
        <v>431.50453902620995</v>
      </c>
      <c r="CG312" s="11"/>
      <c r="CH312" s="41">
        <v>3.23</v>
      </c>
      <c r="CI312" s="1"/>
      <c r="CJ312" s="53">
        <f t="shared" si="192"/>
        <v>233152</v>
      </c>
      <c r="CK312" s="53">
        <f t="shared" si="193"/>
        <v>206106</v>
      </c>
      <c r="CL312" s="53">
        <f t="shared" si="194"/>
        <v>165323</v>
      </c>
      <c r="CM312" s="53">
        <f t="shared" si="195"/>
        <v>77154</v>
      </c>
      <c r="CN312" s="53">
        <f t="shared" si="196"/>
        <v>77154</v>
      </c>
      <c r="CO312" s="53">
        <f t="shared" si="197"/>
        <v>66129</v>
      </c>
      <c r="CP312" s="53">
        <f t="shared" si="198"/>
        <v>66129</v>
      </c>
      <c r="CQ312" s="53">
        <f t="shared" si="199"/>
        <v>66129</v>
      </c>
      <c r="CR312" s="53">
        <f t="shared" si="200"/>
        <v>132259</v>
      </c>
      <c r="CS312" s="53">
        <f t="shared" si="201"/>
        <v>154307</v>
      </c>
      <c r="CT312" s="53">
        <f t="shared" si="202"/>
        <v>154307</v>
      </c>
      <c r="CU312" s="53">
        <f t="shared" si="203"/>
        <v>110218</v>
      </c>
      <c r="CV312" s="53">
        <f t="shared" si="205"/>
        <v>1508367</v>
      </c>
      <c r="CW312" s="1"/>
      <c r="CX312" s="1"/>
      <c r="CY312" s="1"/>
      <c r="CZ312" s="1"/>
      <c r="DA312" s="1"/>
      <c r="DB312" s="1"/>
      <c r="DC312" s="1"/>
      <c r="DD312" s="1"/>
      <c r="DE312" s="1"/>
      <c r="DF312" s="1"/>
      <c r="DG312" s="1"/>
      <c r="DH312" s="1"/>
      <c r="DI312" s="1"/>
      <c r="DJ312" s="1"/>
      <c r="DK312" s="1"/>
      <c r="DL312" s="1"/>
    </row>
    <row r="313" spans="1:116" ht="15.75" hidden="1" x14ac:dyDescent="0.25">
      <c r="A313" s="17"/>
      <c r="B313" s="17"/>
      <c r="C313" s="17"/>
      <c r="D313" s="17"/>
      <c r="E313" s="17"/>
      <c r="F313" s="31" t="s">
        <v>2949</v>
      </c>
      <c r="G313" s="55">
        <v>41.1</v>
      </c>
      <c r="H313" s="55">
        <v>0</v>
      </c>
      <c r="I313" s="55">
        <v>82.19</v>
      </c>
      <c r="J313" s="55">
        <v>0</v>
      </c>
      <c r="K313" s="55">
        <v>0</v>
      </c>
      <c r="L313" s="55">
        <v>0</v>
      </c>
      <c r="M313" s="55">
        <v>0</v>
      </c>
      <c r="N313" s="55">
        <v>41.1</v>
      </c>
      <c r="O313" s="55">
        <v>0</v>
      </c>
      <c r="P313" s="55">
        <v>41.1</v>
      </c>
      <c r="Q313" s="55">
        <v>41.1</v>
      </c>
      <c r="R313" s="55">
        <v>41.1</v>
      </c>
      <c r="S313" s="11">
        <f t="shared" si="206"/>
        <v>287.69</v>
      </c>
      <c r="T313" s="9"/>
      <c r="U313" s="1"/>
      <c r="V313" s="50">
        <f t="shared" si="204"/>
        <v>31752</v>
      </c>
      <c r="W313" s="36">
        <v>9.06</v>
      </c>
      <c r="X313" s="36">
        <v>9.06</v>
      </c>
      <c r="Y313" s="36">
        <v>9.06</v>
      </c>
      <c r="Z313" s="36">
        <v>9.06</v>
      </c>
      <c r="AA313" s="36">
        <v>9.06</v>
      </c>
      <c r="AB313" s="36">
        <v>9.06</v>
      </c>
      <c r="AC313" s="36">
        <v>9.06</v>
      </c>
      <c r="AD313" s="36">
        <v>9.06</v>
      </c>
      <c r="AE313" s="36">
        <v>9.06</v>
      </c>
      <c r="AF313" s="36">
        <v>9.06</v>
      </c>
      <c r="AG313" s="36">
        <v>9.06</v>
      </c>
      <c r="AH313" s="36">
        <v>9.06</v>
      </c>
      <c r="AI313" s="39">
        <v>0</v>
      </c>
      <c r="AJ313" s="39">
        <v>0</v>
      </c>
      <c r="AK313" s="39">
        <v>0</v>
      </c>
      <c r="AL313" s="39">
        <v>0</v>
      </c>
      <c r="AM313" s="39">
        <v>0</v>
      </c>
      <c r="AN313" s="39">
        <v>0</v>
      </c>
      <c r="AO313" s="39">
        <v>0</v>
      </c>
      <c r="AP313" s="39">
        <v>0</v>
      </c>
      <c r="AQ313" s="39">
        <v>0</v>
      </c>
      <c r="AR313" s="39">
        <v>0</v>
      </c>
      <c r="AS313" s="39">
        <v>0</v>
      </c>
      <c r="AT313" s="39">
        <v>0</v>
      </c>
      <c r="AU313" s="39">
        <v>0</v>
      </c>
      <c r="AV313" s="39">
        <v>0</v>
      </c>
      <c r="AW313" s="39">
        <v>0</v>
      </c>
      <c r="AX313" s="39">
        <v>0</v>
      </c>
      <c r="AY313" s="39">
        <v>0</v>
      </c>
      <c r="AZ313" s="39">
        <v>0</v>
      </c>
      <c r="BA313" s="39">
        <v>0</v>
      </c>
      <c r="BB313" s="39">
        <v>0</v>
      </c>
      <c r="BC313" s="39">
        <v>0</v>
      </c>
      <c r="BD313" s="39">
        <v>0</v>
      </c>
      <c r="BE313" s="39">
        <v>0</v>
      </c>
      <c r="BF313" s="39">
        <v>0</v>
      </c>
      <c r="BG313" s="1"/>
      <c r="BH313" s="12">
        <f t="shared" si="168"/>
        <v>41.1</v>
      </c>
      <c r="BI313" s="12">
        <f t="shared" si="169"/>
        <v>0</v>
      </c>
      <c r="BJ313" s="12">
        <f t="shared" si="170"/>
        <v>82.19</v>
      </c>
      <c r="BK313" s="12">
        <f t="shared" si="171"/>
        <v>0</v>
      </c>
      <c r="BL313" s="12">
        <f t="shared" si="172"/>
        <v>0</v>
      </c>
      <c r="BM313" s="12">
        <f t="shared" si="173"/>
        <v>0</v>
      </c>
      <c r="BN313" s="12">
        <f t="shared" si="174"/>
        <v>0</v>
      </c>
      <c r="BO313" s="12">
        <f t="shared" si="175"/>
        <v>41.1</v>
      </c>
      <c r="BP313" s="12">
        <f t="shared" si="176"/>
        <v>0</v>
      </c>
      <c r="BQ313" s="12">
        <f t="shared" si="177"/>
        <v>41.1</v>
      </c>
      <c r="BR313" s="12">
        <f t="shared" si="178"/>
        <v>41.1</v>
      </c>
      <c r="BS313" s="12">
        <f t="shared" si="179"/>
        <v>41.1</v>
      </c>
      <c r="BT313" s="1"/>
      <c r="BU313" s="11">
        <f t="shared" si="180"/>
        <v>41.1</v>
      </c>
      <c r="BV313" s="11">
        <f t="shared" si="181"/>
        <v>0</v>
      </c>
      <c r="BW313" s="11">
        <f t="shared" si="182"/>
        <v>82.19</v>
      </c>
      <c r="BX313" s="11">
        <f t="shared" si="183"/>
        <v>0</v>
      </c>
      <c r="BY313" s="11">
        <f t="shared" si="184"/>
        <v>0</v>
      </c>
      <c r="BZ313" s="11">
        <f t="shared" si="185"/>
        <v>0</v>
      </c>
      <c r="CA313" s="11">
        <f t="shared" si="186"/>
        <v>0</v>
      </c>
      <c r="CB313" s="11">
        <f t="shared" si="187"/>
        <v>41.1</v>
      </c>
      <c r="CC313" s="11">
        <f t="shared" si="188"/>
        <v>0</v>
      </c>
      <c r="CD313" s="11">
        <f t="shared" si="189"/>
        <v>41.1</v>
      </c>
      <c r="CE313" s="11">
        <f t="shared" si="190"/>
        <v>41.1</v>
      </c>
      <c r="CF313" s="11">
        <f t="shared" si="191"/>
        <v>41.1</v>
      </c>
      <c r="CG313" s="11"/>
      <c r="CH313" s="41">
        <v>1</v>
      </c>
      <c r="CI313" s="1"/>
      <c r="CJ313" s="53">
        <f t="shared" si="192"/>
        <v>4536</v>
      </c>
      <c r="CK313" s="53">
        <f t="shared" si="193"/>
        <v>0</v>
      </c>
      <c r="CL313" s="53">
        <f t="shared" si="194"/>
        <v>9072</v>
      </c>
      <c r="CM313" s="53">
        <f t="shared" si="195"/>
        <v>0</v>
      </c>
      <c r="CN313" s="53">
        <f t="shared" si="196"/>
        <v>0</v>
      </c>
      <c r="CO313" s="53">
        <f t="shared" si="197"/>
        <v>0</v>
      </c>
      <c r="CP313" s="53">
        <f t="shared" si="198"/>
        <v>0</v>
      </c>
      <c r="CQ313" s="53">
        <f t="shared" si="199"/>
        <v>4536</v>
      </c>
      <c r="CR313" s="53">
        <f t="shared" si="200"/>
        <v>0</v>
      </c>
      <c r="CS313" s="53">
        <f t="shared" si="201"/>
        <v>4536</v>
      </c>
      <c r="CT313" s="53">
        <f t="shared" si="202"/>
        <v>4536</v>
      </c>
      <c r="CU313" s="53">
        <f t="shared" si="203"/>
        <v>4536</v>
      </c>
      <c r="CV313" s="53">
        <f t="shared" si="205"/>
        <v>31752</v>
      </c>
      <c r="CW313" s="1"/>
      <c r="CX313" s="1"/>
      <c r="CY313" s="1"/>
      <c r="CZ313" s="1"/>
      <c r="DA313" s="1"/>
      <c r="DB313" s="1"/>
      <c r="DC313" s="1"/>
      <c r="DD313" s="1"/>
      <c r="DE313" s="1"/>
      <c r="DF313" s="1"/>
      <c r="DG313" s="1"/>
      <c r="DH313" s="1"/>
      <c r="DI313" s="1"/>
      <c r="DJ313" s="1"/>
      <c r="DK313" s="1"/>
      <c r="DL313" s="1"/>
    </row>
    <row r="314" spans="1:116" ht="15.75" hidden="1" x14ac:dyDescent="0.25">
      <c r="A314" s="17"/>
      <c r="B314" s="17"/>
      <c r="C314" s="17"/>
      <c r="D314" s="17"/>
      <c r="E314" s="17"/>
      <c r="F314" s="31" t="s">
        <v>2949</v>
      </c>
      <c r="G314" s="55">
        <v>0</v>
      </c>
      <c r="H314" s="55">
        <v>17.579999999999998</v>
      </c>
      <c r="I314" s="55">
        <v>0</v>
      </c>
      <c r="J314" s="55">
        <v>0</v>
      </c>
      <c r="K314" s="55">
        <v>17.579999999999998</v>
      </c>
      <c r="L314" s="55">
        <v>0</v>
      </c>
      <c r="M314" s="55">
        <v>8.7899999999999991</v>
      </c>
      <c r="N314" s="55">
        <v>0</v>
      </c>
      <c r="O314" s="55">
        <v>17.579999999999998</v>
      </c>
      <c r="P314" s="55">
        <v>0</v>
      </c>
      <c r="Q314" s="55">
        <v>17.579999999999998</v>
      </c>
      <c r="R314" s="55">
        <v>8.7899999999999991</v>
      </c>
      <c r="S314" s="11">
        <f t="shared" si="206"/>
        <v>87.899999999999977</v>
      </c>
      <c r="T314" s="9"/>
      <c r="U314" s="1"/>
      <c r="V314" s="50">
        <f t="shared" si="204"/>
        <v>52010</v>
      </c>
      <c r="W314" s="36">
        <v>1.69</v>
      </c>
      <c r="X314" s="36">
        <v>1.69</v>
      </c>
      <c r="Y314" s="36">
        <v>1.69</v>
      </c>
      <c r="Z314" s="36">
        <v>1.69</v>
      </c>
      <c r="AA314" s="36">
        <v>1.69</v>
      </c>
      <c r="AB314" s="36">
        <v>1.69</v>
      </c>
      <c r="AC314" s="36">
        <v>1.69</v>
      </c>
      <c r="AD314" s="36">
        <v>1.69</v>
      </c>
      <c r="AE314" s="36">
        <v>1.69</v>
      </c>
      <c r="AF314" s="36">
        <v>1.69</v>
      </c>
      <c r="AG314" s="36">
        <v>1.69</v>
      </c>
      <c r="AH314" s="36">
        <v>1.69</v>
      </c>
      <c r="AI314" s="39">
        <v>0</v>
      </c>
      <c r="AJ314" s="39">
        <v>0</v>
      </c>
      <c r="AK314" s="39">
        <v>0</v>
      </c>
      <c r="AL314" s="39">
        <v>0</v>
      </c>
      <c r="AM314" s="39">
        <v>0</v>
      </c>
      <c r="AN314" s="39">
        <v>0</v>
      </c>
      <c r="AO314" s="39">
        <v>0</v>
      </c>
      <c r="AP314" s="39">
        <v>0</v>
      </c>
      <c r="AQ314" s="39">
        <v>0</v>
      </c>
      <c r="AR314" s="39">
        <v>0</v>
      </c>
      <c r="AS314" s="39">
        <v>0</v>
      </c>
      <c r="AT314" s="39">
        <v>0</v>
      </c>
      <c r="AU314" s="39">
        <v>0</v>
      </c>
      <c r="AV314" s="39">
        <v>0</v>
      </c>
      <c r="AW314" s="39">
        <v>0</v>
      </c>
      <c r="AX314" s="39">
        <v>0</v>
      </c>
      <c r="AY314" s="39">
        <v>0</v>
      </c>
      <c r="AZ314" s="39">
        <v>0</v>
      </c>
      <c r="BA314" s="39">
        <v>0</v>
      </c>
      <c r="BB314" s="39">
        <v>0</v>
      </c>
      <c r="BC314" s="39">
        <v>0</v>
      </c>
      <c r="BD314" s="39">
        <v>0</v>
      </c>
      <c r="BE314" s="39">
        <v>0</v>
      </c>
      <c r="BF314" s="39">
        <v>0</v>
      </c>
      <c r="BG314" s="1"/>
      <c r="BH314" s="12">
        <f t="shared" si="168"/>
        <v>0</v>
      </c>
      <c r="BI314" s="12">
        <f t="shared" si="169"/>
        <v>17.579999999999998</v>
      </c>
      <c r="BJ314" s="12">
        <f t="shared" si="170"/>
        <v>0</v>
      </c>
      <c r="BK314" s="12">
        <f t="shared" si="171"/>
        <v>0</v>
      </c>
      <c r="BL314" s="12">
        <f t="shared" si="172"/>
        <v>17.579999999999998</v>
      </c>
      <c r="BM314" s="12">
        <f t="shared" si="173"/>
        <v>0</v>
      </c>
      <c r="BN314" s="12">
        <f t="shared" si="174"/>
        <v>8.7899999999999991</v>
      </c>
      <c r="BO314" s="12">
        <f t="shared" si="175"/>
        <v>0</v>
      </c>
      <c r="BP314" s="12">
        <f t="shared" si="176"/>
        <v>17.579999999999998</v>
      </c>
      <c r="BQ314" s="12">
        <f t="shared" si="177"/>
        <v>0</v>
      </c>
      <c r="BR314" s="12">
        <f t="shared" si="178"/>
        <v>17.579999999999998</v>
      </c>
      <c r="BS314" s="12">
        <f t="shared" si="179"/>
        <v>8.7899999999999991</v>
      </c>
      <c r="BT314" s="1"/>
      <c r="BU314" s="11">
        <f t="shared" si="180"/>
        <v>0</v>
      </c>
      <c r="BV314" s="11">
        <f t="shared" si="181"/>
        <v>17.579999999999998</v>
      </c>
      <c r="BW314" s="11">
        <f t="shared" si="182"/>
        <v>0</v>
      </c>
      <c r="BX314" s="11">
        <f t="shared" si="183"/>
        <v>0</v>
      </c>
      <c r="BY314" s="11">
        <f t="shared" si="184"/>
        <v>17.579999999999998</v>
      </c>
      <c r="BZ314" s="11">
        <f t="shared" si="185"/>
        <v>0</v>
      </c>
      <c r="CA314" s="11">
        <f t="shared" si="186"/>
        <v>8.7899999999999991</v>
      </c>
      <c r="CB314" s="11">
        <f t="shared" si="187"/>
        <v>0</v>
      </c>
      <c r="CC314" s="11">
        <f t="shared" si="188"/>
        <v>17.579999999999998</v>
      </c>
      <c r="CD314" s="11">
        <f t="shared" si="189"/>
        <v>0</v>
      </c>
      <c r="CE314" s="11">
        <f t="shared" si="190"/>
        <v>17.579999999999998</v>
      </c>
      <c r="CF314" s="11">
        <f t="shared" si="191"/>
        <v>8.7899999999999991</v>
      </c>
      <c r="CG314" s="11"/>
      <c r="CH314" s="41">
        <v>1</v>
      </c>
      <c r="CI314" s="1"/>
      <c r="CJ314" s="53">
        <f t="shared" si="192"/>
        <v>0</v>
      </c>
      <c r="CK314" s="53">
        <f t="shared" si="193"/>
        <v>10402</v>
      </c>
      <c r="CL314" s="53">
        <f t="shared" si="194"/>
        <v>0</v>
      </c>
      <c r="CM314" s="53">
        <f t="shared" si="195"/>
        <v>0</v>
      </c>
      <c r="CN314" s="53">
        <f t="shared" si="196"/>
        <v>10402</v>
      </c>
      <c r="CO314" s="53">
        <f t="shared" si="197"/>
        <v>0</v>
      </c>
      <c r="CP314" s="53">
        <f t="shared" si="198"/>
        <v>5201</v>
      </c>
      <c r="CQ314" s="53">
        <f t="shared" si="199"/>
        <v>0</v>
      </c>
      <c r="CR314" s="53">
        <f t="shared" si="200"/>
        <v>10402</v>
      </c>
      <c r="CS314" s="53">
        <f t="shared" si="201"/>
        <v>0</v>
      </c>
      <c r="CT314" s="53">
        <f t="shared" si="202"/>
        <v>10402</v>
      </c>
      <c r="CU314" s="53">
        <f t="shared" si="203"/>
        <v>5201</v>
      </c>
      <c r="CV314" s="53">
        <f t="shared" si="205"/>
        <v>52010</v>
      </c>
      <c r="CW314" s="1"/>
      <c r="CX314" s="1"/>
      <c r="CY314" s="1"/>
      <c r="CZ314" s="1"/>
      <c r="DA314" s="1"/>
      <c r="DB314" s="1"/>
      <c r="DC314" s="1"/>
      <c r="DD314" s="1"/>
      <c r="DE314" s="1"/>
      <c r="DF314" s="1"/>
      <c r="DG314" s="1"/>
      <c r="DH314" s="1"/>
      <c r="DI314" s="1"/>
      <c r="DJ314" s="1"/>
      <c r="DK314" s="1"/>
      <c r="DL314" s="1"/>
    </row>
    <row r="315" spans="1:116" ht="15.75" hidden="1" x14ac:dyDescent="0.25">
      <c r="A315" s="17"/>
      <c r="B315" s="17"/>
      <c r="C315" s="17"/>
      <c r="D315" s="17"/>
      <c r="E315" s="17"/>
      <c r="F315" s="31" t="s">
        <v>2949</v>
      </c>
      <c r="G315" s="55">
        <v>19.14</v>
      </c>
      <c r="H315" s="55">
        <v>19.14</v>
      </c>
      <c r="I315" s="55">
        <v>0</v>
      </c>
      <c r="J315" s="55">
        <v>19.14</v>
      </c>
      <c r="K315" s="55">
        <v>0</v>
      </c>
      <c r="L315" s="55">
        <v>19.14</v>
      </c>
      <c r="M315" s="55">
        <v>0</v>
      </c>
      <c r="N315" s="55">
        <v>0</v>
      </c>
      <c r="O315" s="55">
        <v>19.14</v>
      </c>
      <c r="P315" s="55">
        <v>0</v>
      </c>
      <c r="Q315" s="55">
        <v>19.14</v>
      </c>
      <c r="R315" s="55">
        <v>9.57</v>
      </c>
      <c r="S315" s="11">
        <f t="shared" si="206"/>
        <v>124.41</v>
      </c>
      <c r="T315" s="9"/>
      <c r="U315" s="1"/>
      <c r="V315" s="50">
        <f t="shared" si="204"/>
        <v>67613</v>
      </c>
      <c r="W315" s="36">
        <v>1.8400042087542088</v>
      </c>
      <c r="X315" s="36">
        <v>1.8400042087542088</v>
      </c>
      <c r="Y315" s="36">
        <v>1.8400042087542088</v>
      </c>
      <c r="Z315" s="36">
        <v>1.8400042087542088</v>
      </c>
      <c r="AA315" s="36">
        <v>1.8400042087542088</v>
      </c>
      <c r="AB315" s="36">
        <v>1.8400042087542088</v>
      </c>
      <c r="AC315" s="36">
        <v>1.8400042087542088</v>
      </c>
      <c r="AD315" s="36">
        <v>1.8400042087542088</v>
      </c>
      <c r="AE315" s="36">
        <v>1.8400042087542088</v>
      </c>
      <c r="AF315" s="36">
        <v>1.8400042087542088</v>
      </c>
      <c r="AG315" s="36">
        <v>1.8400042087542088</v>
      </c>
      <c r="AH315" s="36">
        <v>1.8400042087542088</v>
      </c>
      <c r="AI315" s="39">
        <v>0</v>
      </c>
      <c r="AJ315" s="39">
        <v>0</v>
      </c>
      <c r="AK315" s="39">
        <v>0</v>
      </c>
      <c r="AL315" s="39">
        <v>0</v>
      </c>
      <c r="AM315" s="39">
        <v>0</v>
      </c>
      <c r="AN315" s="39">
        <v>0</v>
      </c>
      <c r="AO315" s="39">
        <v>0</v>
      </c>
      <c r="AP315" s="39">
        <v>0</v>
      </c>
      <c r="AQ315" s="39">
        <v>0</v>
      </c>
      <c r="AR315" s="39">
        <v>0</v>
      </c>
      <c r="AS315" s="39">
        <v>0</v>
      </c>
      <c r="AT315" s="39">
        <v>0</v>
      </c>
      <c r="AU315" s="39">
        <v>0</v>
      </c>
      <c r="AV315" s="39">
        <v>0</v>
      </c>
      <c r="AW315" s="39">
        <v>0</v>
      </c>
      <c r="AX315" s="39">
        <v>0</v>
      </c>
      <c r="AY315" s="39">
        <v>0</v>
      </c>
      <c r="AZ315" s="39">
        <v>0</v>
      </c>
      <c r="BA315" s="39">
        <v>0</v>
      </c>
      <c r="BB315" s="39">
        <v>0</v>
      </c>
      <c r="BC315" s="39">
        <v>0</v>
      </c>
      <c r="BD315" s="39">
        <v>0</v>
      </c>
      <c r="BE315" s="39">
        <v>0</v>
      </c>
      <c r="BF315" s="39">
        <v>0</v>
      </c>
      <c r="BG315" s="1"/>
      <c r="BH315" s="12">
        <f t="shared" si="168"/>
        <v>19.14</v>
      </c>
      <c r="BI315" s="12">
        <f t="shared" si="169"/>
        <v>19.14</v>
      </c>
      <c r="BJ315" s="12">
        <f t="shared" si="170"/>
        <v>0</v>
      </c>
      <c r="BK315" s="12">
        <f t="shared" si="171"/>
        <v>19.14</v>
      </c>
      <c r="BL315" s="12">
        <f t="shared" si="172"/>
        <v>0</v>
      </c>
      <c r="BM315" s="12">
        <f t="shared" si="173"/>
        <v>19.14</v>
      </c>
      <c r="BN315" s="12">
        <f t="shared" si="174"/>
        <v>0</v>
      </c>
      <c r="BO315" s="12">
        <f t="shared" si="175"/>
        <v>0</v>
      </c>
      <c r="BP315" s="12">
        <f t="shared" si="176"/>
        <v>19.14</v>
      </c>
      <c r="BQ315" s="12">
        <f t="shared" si="177"/>
        <v>0</v>
      </c>
      <c r="BR315" s="12">
        <f t="shared" si="178"/>
        <v>19.14</v>
      </c>
      <c r="BS315" s="12">
        <f t="shared" si="179"/>
        <v>9.57</v>
      </c>
      <c r="BT315" s="1"/>
      <c r="BU315" s="11">
        <f t="shared" si="180"/>
        <v>19.14</v>
      </c>
      <c r="BV315" s="11">
        <f t="shared" si="181"/>
        <v>19.14</v>
      </c>
      <c r="BW315" s="11">
        <f t="shared" si="182"/>
        <v>0</v>
      </c>
      <c r="BX315" s="11">
        <f t="shared" si="183"/>
        <v>19.14</v>
      </c>
      <c r="BY315" s="11">
        <f t="shared" si="184"/>
        <v>0</v>
      </c>
      <c r="BZ315" s="11">
        <f t="shared" si="185"/>
        <v>19.14</v>
      </c>
      <c r="CA315" s="11">
        <f t="shared" si="186"/>
        <v>0</v>
      </c>
      <c r="CB315" s="11">
        <f t="shared" si="187"/>
        <v>0</v>
      </c>
      <c r="CC315" s="11">
        <f t="shared" si="188"/>
        <v>19.14</v>
      </c>
      <c r="CD315" s="11">
        <f t="shared" si="189"/>
        <v>0</v>
      </c>
      <c r="CE315" s="11">
        <f t="shared" si="190"/>
        <v>19.14</v>
      </c>
      <c r="CF315" s="11">
        <f t="shared" si="191"/>
        <v>9.57</v>
      </c>
      <c r="CG315" s="11"/>
      <c r="CH315" s="41">
        <v>1</v>
      </c>
      <c r="CI315" s="1"/>
      <c r="CJ315" s="53">
        <f t="shared" si="192"/>
        <v>10402</v>
      </c>
      <c r="CK315" s="53">
        <f t="shared" si="193"/>
        <v>10402</v>
      </c>
      <c r="CL315" s="53">
        <f t="shared" si="194"/>
        <v>0</v>
      </c>
      <c r="CM315" s="53">
        <f t="shared" si="195"/>
        <v>10402</v>
      </c>
      <c r="CN315" s="53">
        <f t="shared" si="196"/>
        <v>0</v>
      </c>
      <c r="CO315" s="53">
        <f t="shared" si="197"/>
        <v>10402</v>
      </c>
      <c r="CP315" s="53">
        <f t="shared" si="198"/>
        <v>0</v>
      </c>
      <c r="CQ315" s="53">
        <f t="shared" si="199"/>
        <v>0</v>
      </c>
      <c r="CR315" s="53">
        <f t="shared" si="200"/>
        <v>10402</v>
      </c>
      <c r="CS315" s="53">
        <f t="shared" si="201"/>
        <v>0</v>
      </c>
      <c r="CT315" s="53">
        <f t="shared" si="202"/>
        <v>10402</v>
      </c>
      <c r="CU315" s="53">
        <f t="shared" si="203"/>
        <v>5201</v>
      </c>
      <c r="CV315" s="53">
        <f t="shared" si="205"/>
        <v>67613</v>
      </c>
      <c r="CW315" s="1"/>
      <c r="CX315" s="1"/>
      <c r="CY315" s="1"/>
      <c r="CZ315" s="1"/>
      <c r="DA315" s="1"/>
      <c r="DB315" s="1"/>
      <c r="DC315" s="1"/>
      <c r="DD315" s="1"/>
      <c r="DE315" s="1"/>
      <c r="DF315" s="1"/>
      <c r="DG315" s="1"/>
      <c r="DH315" s="1"/>
      <c r="DI315" s="1"/>
      <c r="DJ315" s="1"/>
      <c r="DK315" s="1"/>
      <c r="DL315" s="1"/>
    </row>
    <row r="316" spans="1:116" ht="15.75" hidden="1" x14ac:dyDescent="0.25">
      <c r="A316" s="17"/>
      <c r="B316" s="17"/>
      <c r="C316" s="17"/>
      <c r="D316" s="17"/>
      <c r="E316" s="17"/>
      <c r="F316" s="31" t="s">
        <v>2949</v>
      </c>
      <c r="G316" s="55">
        <v>0</v>
      </c>
      <c r="H316" s="55">
        <v>0</v>
      </c>
      <c r="I316" s="55">
        <v>0</v>
      </c>
      <c r="J316" s="55">
        <v>0</v>
      </c>
      <c r="K316" s="55">
        <v>0</v>
      </c>
      <c r="L316" s="55">
        <v>0</v>
      </c>
      <c r="M316" s="55">
        <v>0</v>
      </c>
      <c r="N316" s="55">
        <v>0</v>
      </c>
      <c r="O316" s="55">
        <v>0</v>
      </c>
      <c r="P316" s="55">
        <v>0</v>
      </c>
      <c r="Q316" s="55">
        <v>0</v>
      </c>
      <c r="R316" s="55">
        <v>0</v>
      </c>
      <c r="S316" s="11">
        <f>SUM(G316:R316)</f>
        <v>0</v>
      </c>
      <c r="T316" s="9"/>
      <c r="U316" s="1"/>
      <c r="V316" s="50">
        <f t="shared" si="204"/>
        <v>0</v>
      </c>
      <c r="W316" s="36">
        <v>11.423999999999999</v>
      </c>
      <c r="X316" s="36">
        <v>11.423999999999999</v>
      </c>
      <c r="Y316" s="36">
        <v>11.423999999999999</v>
      </c>
      <c r="Z316" s="36">
        <v>11.423999999999999</v>
      </c>
      <c r="AA316" s="36">
        <v>11.423999999999999</v>
      </c>
      <c r="AB316" s="36">
        <v>11.423999999999999</v>
      </c>
      <c r="AC316" s="36">
        <v>11.423999999999999</v>
      </c>
      <c r="AD316" s="36">
        <v>11.423999999999999</v>
      </c>
      <c r="AE316" s="36">
        <v>11.423999999999999</v>
      </c>
      <c r="AF316" s="36">
        <v>11.423999999999999</v>
      </c>
      <c r="AG316" s="36">
        <v>11.423999999999999</v>
      </c>
      <c r="AH316" s="36">
        <v>11.423999999999999</v>
      </c>
      <c r="AI316" s="39">
        <v>0.22999999999999998</v>
      </c>
      <c r="AJ316" s="39">
        <v>0.22999999999999998</v>
      </c>
      <c r="AK316" s="39">
        <v>0.22999999999999998</v>
      </c>
      <c r="AL316" s="39">
        <v>0.22999999999999998</v>
      </c>
      <c r="AM316" s="39">
        <v>0.22999999999999998</v>
      </c>
      <c r="AN316" s="39">
        <v>0.22999999999999998</v>
      </c>
      <c r="AO316" s="39">
        <v>0.22999999999999998</v>
      </c>
      <c r="AP316" s="39">
        <v>0.22999999999999998</v>
      </c>
      <c r="AQ316" s="39">
        <v>0.22999999999999998</v>
      </c>
      <c r="AR316" s="39">
        <v>0.22999999999999998</v>
      </c>
      <c r="AS316" s="39">
        <v>0.22999999999999998</v>
      </c>
      <c r="AT316" s="39">
        <v>0.22999999999999998</v>
      </c>
      <c r="AU316" s="39">
        <v>0</v>
      </c>
      <c r="AV316" s="39">
        <v>0</v>
      </c>
      <c r="AW316" s="39">
        <v>0</v>
      </c>
      <c r="AX316" s="39">
        <v>0</v>
      </c>
      <c r="AY316" s="39">
        <v>0</v>
      </c>
      <c r="AZ316" s="39">
        <v>0</v>
      </c>
      <c r="BA316" s="39">
        <v>0</v>
      </c>
      <c r="BB316" s="39">
        <v>0</v>
      </c>
      <c r="BC316" s="39">
        <v>0</v>
      </c>
      <c r="BD316" s="39">
        <v>0</v>
      </c>
      <c r="BE316" s="39">
        <v>0</v>
      </c>
      <c r="BF316" s="39">
        <v>0</v>
      </c>
      <c r="BG316" s="1"/>
      <c r="BH316" s="12">
        <f t="shared" si="168"/>
        <v>0</v>
      </c>
      <c r="BI316" s="12">
        <f t="shared" si="169"/>
        <v>0</v>
      </c>
      <c r="BJ316" s="12">
        <f t="shared" si="170"/>
        <v>0</v>
      </c>
      <c r="BK316" s="12">
        <f t="shared" si="171"/>
        <v>0</v>
      </c>
      <c r="BL316" s="12">
        <f t="shared" si="172"/>
        <v>0</v>
      </c>
      <c r="BM316" s="12">
        <f t="shared" si="173"/>
        <v>0</v>
      </c>
      <c r="BN316" s="12">
        <f t="shared" si="174"/>
        <v>0</v>
      </c>
      <c r="BO316" s="12">
        <f t="shared" si="175"/>
        <v>0</v>
      </c>
      <c r="BP316" s="12">
        <f t="shared" si="176"/>
        <v>0</v>
      </c>
      <c r="BQ316" s="12">
        <f t="shared" si="177"/>
        <v>0</v>
      </c>
      <c r="BR316" s="12">
        <f t="shared" si="178"/>
        <v>0</v>
      </c>
      <c r="BS316" s="12">
        <f t="shared" si="179"/>
        <v>0</v>
      </c>
      <c r="BT316" s="1"/>
      <c r="BU316" s="11">
        <f t="shared" si="180"/>
        <v>0</v>
      </c>
      <c r="BV316" s="11">
        <f t="shared" si="181"/>
        <v>0</v>
      </c>
      <c r="BW316" s="11">
        <f t="shared" si="182"/>
        <v>0</v>
      </c>
      <c r="BX316" s="11">
        <f t="shared" si="183"/>
        <v>0</v>
      </c>
      <c r="BY316" s="11">
        <f t="shared" si="184"/>
        <v>0</v>
      </c>
      <c r="BZ316" s="11">
        <f t="shared" si="185"/>
        <v>0</v>
      </c>
      <c r="CA316" s="11">
        <f t="shared" si="186"/>
        <v>0</v>
      </c>
      <c r="CB316" s="11">
        <f t="shared" si="187"/>
        <v>0</v>
      </c>
      <c r="CC316" s="11">
        <f t="shared" si="188"/>
        <v>0</v>
      </c>
      <c r="CD316" s="11">
        <f t="shared" si="189"/>
        <v>0</v>
      </c>
      <c r="CE316" s="11">
        <f t="shared" si="190"/>
        <v>0</v>
      </c>
      <c r="CF316" s="11">
        <f t="shared" si="191"/>
        <v>0</v>
      </c>
      <c r="CG316" s="11"/>
      <c r="CH316" s="41">
        <v>1</v>
      </c>
      <c r="CI316" s="1"/>
      <c r="CJ316" s="53">
        <f t="shared" si="192"/>
        <v>0</v>
      </c>
      <c r="CK316" s="53">
        <f t="shared" si="193"/>
        <v>0</v>
      </c>
      <c r="CL316" s="53">
        <f t="shared" si="194"/>
        <v>0</v>
      </c>
      <c r="CM316" s="53">
        <f t="shared" si="195"/>
        <v>0</v>
      </c>
      <c r="CN316" s="53">
        <f t="shared" si="196"/>
        <v>0</v>
      </c>
      <c r="CO316" s="53">
        <f t="shared" si="197"/>
        <v>0</v>
      </c>
      <c r="CP316" s="53">
        <f t="shared" si="198"/>
        <v>0</v>
      </c>
      <c r="CQ316" s="53">
        <f t="shared" si="199"/>
        <v>0</v>
      </c>
      <c r="CR316" s="53">
        <f t="shared" si="200"/>
        <v>0</v>
      </c>
      <c r="CS316" s="53">
        <f t="shared" si="201"/>
        <v>0</v>
      </c>
      <c r="CT316" s="53">
        <f t="shared" si="202"/>
        <v>0</v>
      </c>
      <c r="CU316" s="53">
        <f t="shared" si="203"/>
        <v>0</v>
      </c>
      <c r="CV316" s="53">
        <f t="shared" si="205"/>
        <v>0</v>
      </c>
      <c r="CW316" s="1"/>
      <c r="CX316" s="1"/>
      <c r="CY316" s="1"/>
      <c r="CZ316" s="1"/>
      <c r="DA316" s="1"/>
      <c r="DB316" s="1"/>
      <c r="DC316" s="1"/>
      <c r="DD316" s="1"/>
      <c r="DE316" s="1"/>
      <c r="DF316" s="1"/>
      <c r="DG316" s="1"/>
      <c r="DH316" s="1"/>
      <c r="DI316" s="1"/>
      <c r="DJ316" s="1"/>
      <c r="DK316" s="1"/>
      <c r="DL316" s="1"/>
    </row>
    <row r="317" spans="1:116" ht="15.75" hidden="1" x14ac:dyDescent="0.25">
      <c r="A317" s="17"/>
      <c r="B317" s="17"/>
      <c r="C317" s="17"/>
      <c r="D317" s="17"/>
      <c r="E317" s="17"/>
      <c r="F317" s="32" t="s">
        <v>2950</v>
      </c>
      <c r="G317" s="55">
        <v>300079031591.90002</v>
      </c>
      <c r="H317" s="55">
        <v>323567333455.48999</v>
      </c>
      <c r="I317" s="55">
        <v>204854011596.32001</v>
      </c>
      <c r="J317" s="55">
        <v>186317178230.89999</v>
      </c>
      <c r="K317" s="55">
        <v>207091557019.88</v>
      </c>
      <c r="L317" s="55">
        <v>327461249607.5</v>
      </c>
      <c r="M317" s="55">
        <v>230965888769.12</v>
      </c>
      <c r="N317" s="55">
        <v>33732549304.02</v>
      </c>
      <c r="O317" s="55">
        <v>380304223806.58002</v>
      </c>
      <c r="P317" s="55">
        <v>444363130395.06</v>
      </c>
      <c r="Q317" s="55">
        <v>321605615990.87</v>
      </c>
      <c r="R317" s="55">
        <v>539902214936.37</v>
      </c>
      <c r="S317" s="11">
        <f t="shared" si="206"/>
        <v>3500243984704.0103</v>
      </c>
      <c r="T317" s="9"/>
      <c r="U317" s="1"/>
      <c r="V317" s="50">
        <f t="shared" si="204"/>
        <v>3045906271615260</v>
      </c>
      <c r="W317" s="36">
        <v>3.766</v>
      </c>
      <c r="X317" s="36">
        <v>3.766</v>
      </c>
      <c r="Y317" s="36">
        <v>3.766</v>
      </c>
      <c r="Z317" s="36">
        <v>3.766</v>
      </c>
      <c r="AA317" s="36">
        <v>3.766</v>
      </c>
      <c r="AB317" s="36">
        <v>3.766</v>
      </c>
      <c r="AC317" s="36">
        <v>3.766</v>
      </c>
      <c r="AD317" s="36">
        <v>3.766</v>
      </c>
      <c r="AE317" s="36">
        <v>3.766</v>
      </c>
      <c r="AF317" s="36">
        <v>3.766</v>
      </c>
      <c r="AG317" s="36">
        <v>3.766</v>
      </c>
      <c r="AH317" s="36">
        <v>3.766</v>
      </c>
      <c r="AI317" s="39">
        <v>1.33634708931066E-2</v>
      </c>
      <c r="AJ317" s="39">
        <v>1.33634708931066E-2</v>
      </c>
      <c r="AK317" s="39">
        <v>1.33634708931066E-2</v>
      </c>
      <c r="AL317" s="39">
        <v>1.33634708931066E-2</v>
      </c>
      <c r="AM317" s="39">
        <v>1.33634708931066E-2</v>
      </c>
      <c r="AN317" s="39">
        <v>1.33634708931066E-2</v>
      </c>
      <c r="AO317" s="39">
        <v>1.33634708931066E-2</v>
      </c>
      <c r="AP317" s="39">
        <v>1.33634708931066E-2</v>
      </c>
      <c r="AQ317" s="39">
        <v>1.33634708931066E-2</v>
      </c>
      <c r="AR317" s="39">
        <v>1.33634708931066E-2</v>
      </c>
      <c r="AS317" s="39">
        <v>1.33634708931066E-2</v>
      </c>
      <c r="AT317" s="39">
        <v>1.33634708931066E-2</v>
      </c>
      <c r="AU317" s="39">
        <v>1.2392217523121999E-3</v>
      </c>
      <c r="AV317" s="39">
        <v>1.2392217523121999E-3</v>
      </c>
      <c r="AW317" s="39">
        <v>1.2392217523121999E-3</v>
      </c>
      <c r="AX317" s="39">
        <v>1.2392217523121999E-3</v>
      </c>
      <c r="AY317" s="39">
        <v>1.2392217523121999E-3</v>
      </c>
      <c r="AZ317" s="39">
        <v>1.2392217523121999E-3</v>
      </c>
      <c r="BA317" s="39">
        <v>1.2392217523121999E-3</v>
      </c>
      <c r="BB317" s="39">
        <v>1.2392217523121999E-3</v>
      </c>
      <c r="BC317" s="39">
        <v>1.2392217523121999E-3</v>
      </c>
      <c r="BD317" s="39">
        <v>1.2392217523121999E-3</v>
      </c>
      <c r="BE317" s="39">
        <v>1.2392217523121999E-3</v>
      </c>
      <c r="BF317" s="39">
        <v>1.2392217523121999E-3</v>
      </c>
      <c r="BG317" s="1"/>
      <c r="BH317" s="12">
        <f t="shared" si="168"/>
        <v>969255272041.83704</v>
      </c>
      <c r="BI317" s="12">
        <f t="shared" si="169"/>
        <v>1045122487061.2327</v>
      </c>
      <c r="BJ317" s="12">
        <f t="shared" si="170"/>
        <v>661678457456.11365</v>
      </c>
      <c r="BK317" s="12">
        <f t="shared" si="171"/>
        <v>601804485685.80701</v>
      </c>
      <c r="BL317" s="12">
        <f t="shared" si="172"/>
        <v>668905729174.2124</v>
      </c>
      <c r="BM317" s="12">
        <f t="shared" si="173"/>
        <v>1057699836232.225</v>
      </c>
      <c r="BN317" s="12">
        <f t="shared" si="174"/>
        <v>746019820724.25757</v>
      </c>
      <c r="BO317" s="12">
        <f t="shared" si="175"/>
        <v>108956134251.9846</v>
      </c>
      <c r="BP317" s="12">
        <f t="shared" si="176"/>
        <v>1228382642895.2534</v>
      </c>
      <c r="BQ317" s="12">
        <f t="shared" si="177"/>
        <v>1435292911176.0437</v>
      </c>
      <c r="BR317" s="12">
        <f t="shared" si="178"/>
        <v>1038786139650.5101</v>
      </c>
      <c r="BS317" s="12">
        <f t="shared" si="179"/>
        <v>1743884154244.4751</v>
      </c>
      <c r="BT317" s="1"/>
      <c r="BU317" s="11">
        <f t="shared" si="180"/>
        <v>983409008874.41577</v>
      </c>
      <c r="BV317" s="11">
        <f t="shared" si="181"/>
        <v>1060384089516.6035</v>
      </c>
      <c r="BW317" s="11">
        <f t="shared" si="182"/>
        <v>671340744600.44006</v>
      </c>
      <c r="BX317" s="11">
        <f t="shared" si="183"/>
        <v>610592451622.91113</v>
      </c>
      <c r="BY317" s="11">
        <f t="shared" si="184"/>
        <v>678673553946.10315</v>
      </c>
      <c r="BZ317" s="11">
        <f t="shared" si="185"/>
        <v>1073145101851.834</v>
      </c>
      <c r="CA317" s="11">
        <f t="shared" si="186"/>
        <v>756913718873.68433</v>
      </c>
      <c r="CB317" s="11">
        <f t="shared" si="187"/>
        <v>110547187192.29932</v>
      </c>
      <c r="CC317" s="11">
        <f t="shared" si="188"/>
        <v>1246320337080.4202</v>
      </c>
      <c r="CD317" s="11">
        <f t="shared" si="189"/>
        <v>1456252052414.0959</v>
      </c>
      <c r="CE317" s="11">
        <f t="shared" si="190"/>
        <v>1053955214372.1476</v>
      </c>
      <c r="CF317" s="11">
        <f t="shared" si="191"/>
        <v>1769349558558.1233</v>
      </c>
      <c r="CG317" s="11"/>
      <c r="CH317" s="41">
        <v>3.23</v>
      </c>
      <c r="CI317" s="1"/>
      <c r="CJ317" s="53">
        <f t="shared" si="192"/>
        <v>261128255144561</v>
      </c>
      <c r="CK317" s="53">
        <f t="shared" si="193"/>
        <v>281567734868987</v>
      </c>
      <c r="CL317" s="53">
        <f t="shared" si="194"/>
        <v>178263607169527</v>
      </c>
      <c r="CM317" s="53">
        <f t="shared" si="195"/>
        <v>162132886782504</v>
      </c>
      <c r="CN317" s="53">
        <f t="shared" si="196"/>
        <v>180210715333538</v>
      </c>
      <c r="CO317" s="53">
        <f t="shared" si="197"/>
        <v>284956213980837</v>
      </c>
      <c r="CP317" s="53">
        <f t="shared" si="198"/>
        <v>200986117597898</v>
      </c>
      <c r="CQ317" s="53">
        <f t="shared" si="199"/>
        <v>29354006158338</v>
      </c>
      <c r="CR317" s="53">
        <f t="shared" si="200"/>
        <v>330940078884870</v>
      </c>
      <c r="CS317" s="53">
        <f t="shared" si="201"/>
        <v>386684028787598</v>
      </c>
      <c r="CT317" s="53">
        <f t="shared" si="202"/>
        <v>279860651718573</v>
      </c>
      <c r="CU317" s="53">
        <f t="shared" si="203"/>
        <v>469821975188031</v>
      </c>
      <c r="CV317" s="53">
        <f t="shared" si="205"/>
        <v>3045906271615260</v>
      </c>
      <c r="CW317" s="1"/>
      <c r="CX317" s="1"/>
      <c r="CY317" s="1"/>
      <c r="CZ317" s="1"/>
      <c r="DA317" s="1"/>
      <c r="DB317" s="1"/>
      <c r="DC317" s="1"/>
      <c r="DD317" s="1"/>
      <c r="DE317" s="1"/>
      <c r="DF317" s="1"/>
      <c r="DG317" s="1"/>
      <c r="DH317" s="1"/>
      <c r="DI317" s="1"/>
      <c r="DJ317" s="1"/>
      <c r="DK317" s="1"/>
      <c r="DL317" s="1"/>
    </row>
    <row r="318" spans="1:116" ht="15.75" hidden="1" x14ac:dyDescent="0.25">
      <c r="A318" s="17"/>
      <c r="B318" s="17"/>
      <c r="C318" s="17"/>
      <c r="D318" s="17"/>
      <c r="E318" s="17"/>
      <c r="F318" s="32" t="s">
        <v>2950</v>
      </c>
      <c r="G318" s="55">
        <v>0</v>
      </c>
      <c r="H318" s="55">
        <v>0</v>
      </c>
      <c r="I318" s="55">
        <v>0</v>
      </c>
      <c r="J318" s="55">
        <v>0</v>
      </c>
      <c r="K318" s="55">
        <v>0</v>
      </c>
      <c r="L318" s="55">
        <v>0</v>
      </c>
      <c r="M318" s="55">
        <v>0</v>
      </c>
      <c r="N318" s="55">
        <v>0</v>
      </c>
      <c r="O318" s="55">
        <v>0</v>
      </c>
      <c r="P318" s="55">
        <v>0</v>
      </c>
      <c r="Q318" s="55">
        <v>0</v>
      </c>
      <c r="R318" s="55">
        <v>0</v>
      </c>
      <c r="S318" s="11">
        <f t="shared" si="206"/>
        <v>0</v>
      </c>
      <c r="T318" s="102"/>
      <c r="U318" s="1"/>
      <c r="V318" s="50">
        <f t="shared" si="204"/>
        <v>0</v>
      </c>
      <c r="W318" s="36">
        <v>0.94</v>
      </c>
      <c r="X318" s="36">
        <v>0.94</v>
      </c>
      <c r="Y318" s="36">
        <v>0.94</v>
      </c>
      <c r="Z318" s="36">
        <v>0.94</v>
      </c>
      <c r="AA318" s="36">
        <v>0.94</v>
      </c>
      <c r="AB318" s="36">
        <v>0.94</v>
      </c>
      <c r="AC318" s="36">
        <v>0.94</v>
      </c>
      <c r="AD318" s="36">
        <v>0.94</v>
      </c>
      <c r="AE318" s="36">
        <v>0.94</v>
      </c>
      <c r="AF318" s="36">
        <v>0.94</v>
      </c>
      <c r="AG318" s="36">
        <v>0.94</v>
      </c>
      <c r="AH318" s="36">
        <v>0.94</v>
      </c>
      <c r="AI318" s="39">
        <v>1.33634708931066E-2</v>
      </c>
      <c r="AJ318" s="39">
        <v>1.33634708931066E-2</v>
      </c>
      <c r="AK318" s="39">
        <v>1.33634708931066E-2</v>
      </c>
      <c r="AL318" s="39">
        <v>1.33634708931066E-2</v>
      </c>
      <c r="AM318" s="39">
        <v>1.33634708931066E-2</v>
      </c>
      <c r="AN318" s="39">
        <v>1.33634708931066E-2</v>
      </c>
      <c r="AO318" s="39">
        <v>1.33634708931066E-2</v>
      </c>
      <c r="AP318" s="39">
        <v>1.33634708931066E-2</v>
      </c>
      <c r="AQ318" s="39">
        <v>1.33634708931066E-2</v>
      </c>
      <c r="AR318" s="39">
        <v>1.33634708931066E-2</v>
      </c>
      <c r="AS318" s="39">
        <v>1.33634708931066E-2</v>
      </c>
      <c r="AT318" s="39">
        <v>1.33634708931066E-2</v>
      </c>
      <c r="AU318" s="39">
        <v>1.2392217523121999E-3</v>
      </c>
      <c r="AV318" s="39">
        <v>1.2392217523121999E-3</v>
      </c>
      <c r="AW318" s="39">
        <v>1.2392217523121999E-3</v>
      </c>
      <c r="AX318" s="39">
        <v>1.2392217523121999E-3</v>
      </c>
      <c r="AY318" s="39">
        <v>1.2392217523121999E-3</v>
      </c>
      <c r="AZ318" s="39">
        <v>1.2392217523121999E-3</v>
      </c>
      <c r="BA318" s="39">
        <v>1.2392217523121999E-3</v>
      </c>
      <c r="BB318" s="39">
        <v>1.2392217523121999E-3</v>
      </c>
      <c r="BC318" s="39">
        <v>1.2392217523121999E-3</v>
      </c>
      <c r="BD318" s="39">
        <v>1.2392217523121999E-3</v>
      </c>
      <c r="BE318" s="39">
        <v>1.2392217523121999E-3</v>
      </c>
      <c r="BF318" s="39">
        <v>1.2392217523121999E-3</v>
      </c>
      <c r="BG318" s="1"/>
      <c r="BH318" s="12">
        <f t="shared" si="168"/>
        <v>0</v>
      </c>
      <c r="BI318" s="12">
        <f t="shared" si="169"/>
        <v>0</v>
      </c>
      <c r="BJ318" s="12">
        <f t="shared" si="170"/>
        <v>0</v>
      </c>
      <c r="BK318" s="12">
        <f t="shared" si="171"/>
        <v>0</v>
      </c>
      <c r="BL318" s="12">
        <f t="shared" si="172"/>
        <v>0</v>
      </c>
      <c r="BM318" s="12">
        <f t="shared" si="173"/>
        <v>0</v>
      </c>
      <c r="BN318" s="12">
        <f t="shared" si="174"/>
        <v>0</v>
      </c>
      <c r="BO318" s="12">
        <f t="shared" si="175"/>
        <v>0</v>
      </c>
      <c r="BP318" s="12">
        <f t="shared" si="176"/>
        <v>0</v>
      </c>
      <c r="BQ318" s="12">
        <f t="shared" si="177"/>
        <v>0</v>
      </c>
      <c r="BR318" s="12">
        <f t="shared" si="178"/>
        <v>0</v>
      </c>
      <c r="BS318" s="12">
        <f t="shared" si="179"/>
        <v>0</v>
      </c>
      <c r="BT318" s="1"/>
      <c r="BU318" s="11">
        <f t="shared" si="180"/>
        <v>0</v>
      </c>
      <c r="BV318" s="11">
        <f t="shared" si="181"/>
        <v>0</v>
      </c>
      <c r="BW318" s="11">
        <f t="shared" si="182"/>
        <v>0</v>
      </c>
      <c r="BX318" s="11">
        <f t="shared" si="183"/>
        <v>0</v>
      </c>
      <c r="BY318" s="11">
        <f t="shared" si="184"/>
        <v>0</v>
      </c>
      <c r="BZ318" s="11">
        <f t="shared" si="185"/>
        <v>0</v>
      </c>
      <c r="CA318" s="11">
        <f t="shared" si="186"/>
        <v>0</v>
      </c>
      <c r="CB318" s="11">
        <f t="shared" si="187"/>
        <v>0</v>
      </c>
      <c r="CC318" s="11">
        <f t="shared" si="188"/>
        <v>0</v>
      </c>
      <c r="CD318" s="11">
        <f t="shared" si="189"/>
        <v>0</v>
      </c>
      <c r="CE318" s="11">
        <f t="shared" si="190"/>
        <v>0</v>
      </c>
      <c r="CF318" s="11">
        <f t="shared" si="191"/>
        <v>0</v>
      </c>
      <c r="CG318" s="11"/>
      <c r="CH318" s="41">
        <v>3.23</v>
      </c>
      <c r="CI318" s="1"/>
      <c r="CJ318" s="53">
        <f t="shared" si="192"/>
        <v>0</v>
      </c>
      <c r="CK318" s="53">
        <f t="shared" si="193"/>
        <v>0</v>
      </c>
      <c r="CL318" s="53">
        <f t="shared" si="194"/>
        <v>0</v>
      </c>
      <c r="CM318" s="53">
        <f t="shared" si="195"/>
        <v>0</v>
      </c>
      <c r="CN318" s="53">
        <f t="shared" si="196"/>
        <v>0</v>
      </c>
      <c r="CO318" s="53">
        <f t="shared" si="197"/>
        <v>0</v>
      </c>
      <c r="CP318" s="53">
        <f t="shared" si="198"/>
        <v>0</v>
      </c>
      <c r="CQ318" s="53">
        <f t="shared" si="199"/>
        <v>0</v>
      </c>
      <c r="CR318" s="53">
        <f t="shared" si="200"/>
        <v>0</v>
      </c>
      <c r="CS318" s="53">
        <f t="shared" si="201"/>
        <v>0</v>
      </c>
      <c r="CT318" s="53">
        <f t="shared" si="202"/>
        <v>0</v>
      </c>
      <c r="CU318" s="53">
        <f t="shared" si="203"/>
        <v>0</v>
      </c>
      <c r="CV318" s="53">
        <f t="shared" si="205"/>
        <v>0</v>
      </c>
      <c r="CW318" s="1"/>
      <c r="CX318" s="1"/>
      <c r="CY318" s="1"/>
      <c r="CZ318" s="1"/>
      <c r="DA318" s="1"/>
      <c r="DB318" s="1"/>
      <c r="DC318" s="1"/>
      <c r="DD318" s="1"/>
      <c r="DE318" s="1"/>
      <c r="DF318" s="1"/>
      <c r="DG318" s="1"/>
      <c r="DH318" s="1"/>
      <c r="DI318" s="1"/>
      <c r="DJ318" s="1"/>
      <c r="DK318" s="1"/>
      <c r="DL318" s="1"/>
    </row>
    <row r="319" spans="1:116" ht="15.75" hidden="1" x14ac:dyDescent="0.25">
      <c r="A319" s="17"/>
      <c r="B319" s="17"/>
      <c r="C319" s="17"/>
      <c r="D319" s="17"/>
      <c r="E319" s="17"/>
      <c r="F319" s="32" t="s">
        <v>2950</v>
      </c>
      <c r="G319" s="55">
        <v>0</v>
      </c>
      <c r="H319" s="55">
        <v>0</v>
      </c>
      <c r="I319" s="55">
        <v>0</v>
      </c>
      <c r="J319" s="55">
        <v>0</v>
      </c>
      <c r="K319" s="55">
        <v>0</v>
      </c>
      <c r="L319" s="55">
        <v>0</v>
      </c>
      <c r="M319" s="55">
        <v>0</v>
      </c>
      <c r="N319" s="55">
        <v>0</v>
      </c>
      <c r="O319" s="55">
        <v>0</v>
      </c>
      <c r="P319" s="55">
        <v>0</v>
      </c>
      <c r="Q319" s="55">
        <v>0</v>
      </c>
      <c r="R319" s="55">
        <v>0</v>
      </c>
      <c r="S319" s="11">
        <f t="shared" si="206"/>
        <v>0</v>
      </c>
      <c r="T319" s="102"/>
      <c r="U319" s="1"/>
      <c r="V319" s="50">
        <f t="shared" si="204"/>
        <v>0</v>
      </c>
      <c r="W319" s="36">
        <v>1.75</v>
      </c>
      <c r="X319" s="36">
        <v>1.75</v>
      </c>
      <c r="Y319" s="36">
        <v>1.75</v>
      </c>
      <c r="Z319" s="36">
        <v>1.75</v>
      </c>
      <c r="AA319" s="36">
        <v>1.75</v>
      </c>
      <c r="AB319" s="36">
        <v>1.75</v>
      </c>
      <c r="AC319" s="36">
        <v>1.75</v>
      </c>
      <c r="AD319" s="36">
        <v>1.75</v>
      </c>
      <c r="AE319" s="36">
        <v>1.75</v>
      </c>
      <c r="AF319" s="36">
        <v>1.75</v>
      </c>
      <c r="AG319" s="36">
        <v>1.75</v>
      </c>
      <c r="AH319" s="36">
        <v>1.75</v>
      </c>
      <c r="AI319" s="39">
        <v>1.33634708931066E-2</v>
      </c>
      <c r="AJ319" s="39">
        <v>1.33634708931066E-2</v>
      </c>
      <c r="AK319" s="39">
        <v>1.33634708931066E-2</v>
      </c>
      <c r="AL319" s="39">
        <v>1.33634708931066E-2</v>
      </c>
      <c r="AM319" s="39">
        <v>1.33634708931066E-2</v>
      </c>
      <c r="AN319" s="39">
        <v>1.33634708931066E-2</v>
      </c>
      <c r="AO319" s="39">
        <v>1.33634708931066E-2</v>
      </c>
      <c r="AP319" s="39">
        <v>1.33634708931066E-2</v>
      </c>
      <c r="AQ319" s="39">
        <v>1.33634708931066E-2</v>
      </c>
      <c r="AR319" s="39">
        <v>1.33634708931066E-2</v>
      </c>
      <c r="AS319" s="39">
        <v>1.33634708931066E-2</v>
      </c>
      <c r="AT319" s="39">
        <v>1.33634708931066E-2</v>
      </c>
      <c r="AU319" s="39">
        <v>1.2392217523121999E-3</v>
      </c>
      <c r="AV319" s="39">
        <v>1.2392217523121999E-3</v>
      </c>
      <c r="AW319" s="39">
        <v>1.2392217523121999E-3</v>
      </c>
      <c r="AX319" s="39">
        <v>1.2392217523121999E-3</v>
      </c>
      <c r="AY319" s="39">
        <v>1.2392217523121999E-3</v>
      </c>
      <c r="AZ319" s="39">
        <v>1.2392217523121999E-3</v>
      </c>
      <c r="BA319" s="39">
        <v>1.2392217523121999E-3</v>
      </c>
      <c r="BB319" s="39">
        <v>1.2392217523121999E-3</v>
      </c>
      <c r="BC319" s="39">
        <v>1.2392217523121999E-3</v>
      </c>
      <c r="BD319" s="39">
        <v>1.2392217523121999E-3</v>
      </c>
      <c r="BE319" s="39">
        <v>1.2392217523121999E-3</v>
      </c>
      <c r="BF319" s="39">
        <v>1.2392217523121999E-3</v>
      </c>
      <c r="BG319" s="1"/>
      <c r="BH319" s="12">
        <f t="shared" si="168"/>
        <v>0</v>
      </c>
      <c r="BI319" s="12">
        <f t="shared" si="169"/>
        <v>0</v>
      </c>
      <c r="BJ319" s="12">
        <f t="shared" si="170"/>
        <v>0</v>
      </c>
      <c r="BK319" s="12">
        <f t="shared" si="171"/>
        <v>0</v>
      </c>
      <c r="BL319" s="12">
        <f t="shared" si="172"/>
        <v>0</v>
      </c>
      <c r="BM319" s="12">
        <f t="shared" si="173"/>
        <v>0</v>
      </c>
      <c r="BN319" s="12">
        <f t="shared" si="174"/>
        <v>0</v>
      </c>
      <c r="BO319" s="12">
        <f t="shared" si="175"/>
        <v>0</v>
      </c>
      <c r="BP319" s="12">
        <f t="shared" si="176"/>
        <v>0</v>
      </c>
      <c r="BQ319" s="12">
        <f t="shared" si="177"/>
        <v>0</v>
      </c>
      <c r="BR319" s="12">
        <f t="shared" si="178"/>
        <v>0</v>
      </c>
      <c r="BS319" s="12">
        <f t="shared" si="179"/>
        <v>0</v>
      </c>
      <c r="BT319" s="1"/>
      <c r="BU319" s="11">
        <f t="shared" si="180"/>
        <v>0</v>
      </c>
      <c r="BV319" s="11">
        <f t="shared" si="181"/>
        <v>0</v>
      </c>
      <c r="BW319" s="11">
        <f t="shared" si="182"/>
        <v>0</v>
      </c>
      <c r="BX319" s="11">
        <f t="shared" si="183"/>
        <v>0</v>
      </c>
      <c r="BY319" s="11">
        <f t="shared" si="184"/>
        <v>0</v>
      </c>
      <c r="BZ319" s="11">
        <f t="shared" si="185"/>
        <v>0</v>
      </c>
      <c r="CA319" s="11">
        <f t="shared" si="186"/>
        <v>0</v>
      </c>
      <c r="CB319" s="11">
        <f t="shared" si="187"/>
        <v>0</v>
      </c>
      <c r="CC319" s="11">
        <f t="shared" si="188"/>
        <v>0</v>
      </c>
      <c r="CD319" s="11">
        <f t="shared" si="189"/>
        <v>0</v>
      </c>
      <c r="CE319" s="11">
        <f t="shared" si="190"/>
        <v>0</v>
      </c>
      <c r="CF319" s="11">
        <f t="shared" si="191"/>
        <v>0</v>
      </c>
      <c r="CG319" s="11"/>
      <c r="CH319" s="41">
        <v>3.23</v>
      </c>
      <c r="CI319" s="1"/>
      <c r="CJ319" s="53">
        <f t="shared" si="192"/>
        <v>0</v>
      </c>
      <c r="CK319" s="53">
        <f t="shared" si="193"/>
        <v>0</v>
      </c>
      <c r="CL319" s="53">
        <f t="shared" si="194"/>
        <v>0</v>
      </c>
      <c r="CM319" s="53">
        <f t="shared" si="195"/>
        <v>0</v>
      </c>
      <c r="CN319" s="53">
        <f t="shared" si="196"/>
        <v>0</v>
      </c>
      <c r="CO319" s="53">
        <f t="shared" si="197"/>
        <v>0</v>
      </c>
      <c r="CP319" s="53">
        <f t="shared" si="198"/>
        <v>0</v>
      </c>
      <c r="CQ319" s="53">
        <f t="shared" si="199"/>
        <v>0</v>
      </c>
      <c r="CR319" s="53">
        <f t="shared" si="200"/>
        <v>0</v>
      </c>
      <c r="CS319" s="53">
        <f t="shared" si="201"/>
        <v>0</v>
      </c>
      <c r="CT319" s="53">
        <f t="shared" si="202"/>
        <v>0</v>
      </c>
      <c r="CU319" s="53">
        <f t="shared" si="203"/>
        <v>0</v>
      </c>
      <c r="CV319" s="53">
        <f t="shared" si="205"/>
        <v>0</v>
      </c>
      <c r="CW319" s="1"/>
      <c r="CX319" s="1"/>
      <c r="CY319" s="1"/>
      <c r="CZ319" s="1"/>
      <c r="DA319" s="1"/>
      <c r="DB319" s="1"/>
      <c r="DC319" s="1"/>
      <c r="DD319" s="1"/>
      <c r="DE319" s="1"/>
      <c r="DF319" s="1"/>
      <c r="DG319" s="1"/>
      <c r="DH319" s="1"/>
      <c r="DI319" s="1"/>
      <c r="DJ319" s="1"/>
      <c r="DK319" s="1"/>
      <c r="DL319" s="1"/>
    </row>
    <row r="320" spans="1:116" ht="15.75" hidden="1" x14ac:dyDescent="0.25">
      <c r="A320" s="17"/>
      <c r="B320" s="17"/>
      <c r="C320" s="17"/>
      <c r="D320" s="17"/>
      <c r="E320" s="17"/>
      <c r="F320" s="32" t="s">
        <v>2950</v>
      </c>
      <c r="G320" s="55">
        <v>0</v>
      </c>
      <c r="H320" s="55">
        <v>14.44</v>
      </c>
      <c r="I320" s="55">
        <v>10.83</v>
      </c>
      <c r="J320" s="55">
        <v>7.22</v>
      </c>
      <c r="K320" s="55">
        <v>5.05</v>
      </c>
      <c r="L320" s="55">
        <v>5.59</v>
      </c>
      <c r="M320" s="55">
        <v>0</v>
      </c>
      <c r="N320" s="55">
        <v>0</v>
      </c>
      <c r="O320" s="55">
        <v>0</v>
      </c>
      <c r="P320" s="55">
        <v>0</v>
      </c>
      <c r="Q320" s="55">
        <v>0</v>
      </c>
      <c r="R320" s="55">
        <v>0</v>
      </c>
      <c r="S320" s="11">
        <f t="shared" si="206"/>
        <v>43.129999999999995</v>
      </c>
      <c r="T320" s="102"/>
      <c r="U320" s="1"/>
      <c r="V320" s="50">
        <f t="shared" si="204"/>
        <v>59714</v>
      </c>
      <c r="W320" s="36">
        <v>2.367</v>
      </c>
      <c r="X320" s="36">
        <v>2.367</v>
      </c>
      <c r="Y320" s="36">
        <v>2.367</v>
      </c>
      <c r="Z320" s="36">
        <v>2.367</v>
      </c>
      <c r="AA320" s="36">
        <v>2.367</v>
      </c>
      <c r="AB320" s="36">
        <v>2.367</v>
      </c>
      <c r="AC320" s="36">
        <v>2.367</v>
      </c>
      <c r="AD320" s="36">
        <v>2.367</v>
      </c>
      <c r="AE320" s="36">
        <v>2.367</v>
      </c>
      <c r="AF320" s="36">
        <v>2.367</v>
      </c>
      <c r="AG320" s="36">
        <v>2.367</v>
      </c>
      <c r="AH320" s="36">
        <v>2.367</v>
      </c>
      <c r="AI320" s="39">
        <v>1.33634708931066E-2</v>
      </c>
      <c r="AJ320" s="39">
        <v>1.33634708931066E-2</v>
      </c>
      <c r="AK320" s="39">
        <v>1.33634708931066E-2</v>
      </c>
      <c r="AL320" s="39">
        <v>1.33634708931066E-2</v>
      </c>
      <c r="AM320" s="39">
        <v>1.33634708931066E-2</v>
      </c>
      <c r="AN320" s="39">
        <v>1.33634708931066E-2</v>
      </c>
      <c r="AO320" s="39">
        <v>1.33634708931066E-2</v>
      </c>
      <c r="AP320" s="39">
        <v>1.33634708931066E-2</v>
      </c>
      <c r="AQ320" s="39">
        <v>1.33634708931066E-2</v>
      </c>
      <c r="AR320" s="39">
        <v>1.33634708931066E-2</v>
      </c>
      <c r="AS320" s="39">
        <v>1.33634708931066E-2</v>
      </c>
      <c r="AT320" s="39">
        <v>1.33634708931066E-2</v>
      </c>
      <c r="AU320" s="39">
        <v>1.2392217523121999E-3</v>
      </c>
      <c r="AV320" s="39">
        <v>1.2392217523121999E-3</v>
      </c>
      <c r="AW320" s="39">
        <v>1.2392217523121999E-3</v>
      </c>
      <c r="AX320" s="39">
        <v>1.2392217523121999E-3</v>
      </c>
      <c r="AY320" s="39">
        <v>1.2392217523121999E-3</v>
      </c>
      <c r="AZ320" s="39">
        <v>1.2392217523121999E-3</v>
      </c>
      <c r="BA320" s="39">
        <v>1.2392217523121999E-3</v>
      </c>
      <c r="BB320" s="39">
        <v>1.2392217523121999E-3</v>
      </c>
      <c r="BC320" s="39">
        <v>1.2392217523121999E-3</v>
      </c>
      <c r="BD320" s="39">
        <v>1.2392217523121999E-3</v>
      </c>
      <c r="BE320" s="39">
        <v>1.2392217523121999E-3</v>
      </c>
      <c r="BF320" s="39">
        <v>1.2392217523121999E-3</v>
      </c>
      <c r="BG320" s="1"/>
      <c r="BH320" s="12">
        <f t="shared" si="168"/>
        <v>0</v>
      </c>
      <c r="BI320" s="12">
        <f t="shared" si="169"/>
        <v>46.641199999999998</v>
      </c>
      <c r="BJ320" s="12">
        <f t="shared" si="170"/>
        <v>34.980899999999998</v>
      </c>
      <c r="BK320" s="12">
        <f t="shared" si="171"/>
        <v>23.320599999999999</v>
      </c>
      <c r="BL320" s="12">
        <f t="shared" si="172"/>
        <v>16.311499999999999</v>
      </c>
      <c r="BM320" s="12">
        <f t="shared" si="173"/>
        <v>18.055699999999998</v>
      </c>
      <c r="BN320" s="12">
        <f t="shared" si="174"/>
        <v>0</v>
      </c>
      <c r="BO320" s="12">
        <f t="shared" si="175"/>
        <v>0</v>
      </c>
      <c r="BP320" s="12">
        <f t="shared" si="176"/>
        <v>0</v>
      </c>
      <c r="BQ320" s="12">
        <f t="shared" si="177"/>
        <v>0</v>
      </c>
      <c r="BR320" s="12">
        <f t="shared" si="178"/>
        <v>0</v>
      </c>
      <c r="BS320" s="12">
        <f t="shared" si="179"/>
        <v>0</v>
      </c>
      <c r="BT320" s="1"/>
      <c r="BU320" s="11">
        <f t="shared" si="180"/>
        <v>0</v>
      </c>
      <c r="BV320" s="11">
        <f t="shared" si="181"/>
        <v>47.322287108213509</v>
      </c>
      <c r="BW320" s="11">
        <f t="shared" si="182"/>
        <v>35.49171533116013</v>
      </c>
      <c r="BX320" s="11">
        <f t="shared" si="183"/>
        <v>23.661143554106754</v>
      </c>
      <c r="BY320" s="11">
        <f t="shared" si="184"/>
        <v>16.549691821085748</v>
      </c>
      <c r="BZ320" s="11">
        <f t="shared" si="185"/>
        <v>18.319361837597885</v>
      </c>
      <c r="CA320" s="11">
        <f t="shared" si="186"/>
        <v>0</v>
      </c>
      <c r="CB320" s="11">
        <f t="shared" si="187"/>
        <v>0</v>
      </c>
      <c r="CC320" s="11">
        <f t="shared" si="188"/>
        <v>0</v>
      </c>
      <c r="CD320" s="11">
        <f t="shared" si="189"/>
        <v>0</v>
      </c>
      <c r="CE320" s="11">
        <f t="shared" si="190"/>
        <v>0</v>
      </c>
      <c r="CF320" s="11">
        <f t="shared" si="191"/>
        <v>0</v>
      </c>
      <c r="CG320" s="11"/>
      <c r="CH320" s="41">
        <v>3.23</v>
      </c>
      <c r="CI320" s="1"/>
      <c r="CJ320" s="53">
        <f t="shared" si="192"/>
        <v>0</v>
      </c>
      <c r="CK320" s="53">
        <f t="shared" si="193"/>
        <v>19993</v>
      </c>
      <c r="CL320" s="53">
        <f t="shared" si="194"/>
        <v>14994</v>
      </c>
      <c r="CM320" s="53">
        <f t="shared" si="195"/>
        <v>9996</v>
      </c>
      <c r="CN320" s="53">
        <f t="shared" si="196"/>
        <v>6992</v>
      </c>
      <c r="CO320" s="53">
        <f t="shared" si="197"/>
        <v>7739</v>
      </c>
      <c r="CP320" s="53">
        <f t="shared" si="198"/>
        <v>0</v>
      </c>
      <c r="CQ320" s="53">
        <f t="shared" si="199"/>
        <v>0</v>
      </c>
      <c r="CR320" s="53">
        <f t="shared" si="200"/>
        <v>0</v>
      </c>
      <c r="CS320" s="53">
        <f t="shared" si="201"/>
        <v>0</v>
      </c>
      <c r="CT320" s="53">
        <f t="shared" si="202"/>
        <v>0</v>
      </c>
      <c r="CU320" s="53">
        <f t="shared" si="203"/>
        <v>0</v>
      </c>
      <c r="CV320" s="53">
        <f t="shared" si="205"/>
        <v>59714</v>
      </c>
      <c r="CW320" s="1"/>
      <c r="CX320" s="1"/>
      <c r="CY320" s="1"/>
      <c r="CZ320" s="1"/>
      <c r="DA320" s="1"/>
      <c r="DB320" s="1"/>
      <c r="DC320" s="1"/>
      <c r="DD320" s="1"/>
      <c r="DE320" s="1"/>
      <c r="DF320" s="1"/>
      <c r="DG320" s="1"/>
      <c r="DH320" s="1"/>
      <c r="DI320" s="1"/>
      <c r="DJ320" s="1"/>
      <c r="DK320" s="1"/>
      <c r="DL320" s="1"/>
    </row>
    <row r="321" spans="1:116" ht="15.75" hidden="1" x14ac:dyDescent="0.25">
      <c r="A321" s="17"/>
      <c r="B321" s="17"/>
      <c r="C321" s="17"/>
      <c r="D321" s="17"/>
      <c r="E321" s="17"/>
      <c r="F321" s="32" t="s">
        <v>2950</v>
      </c>
      <c r="G321" s="55">
        <v>0</v>
      </c>
      <c r="H321" s="55">
        <v>0</v>
      </c>
      <c r="I321" s="55">
        <v>0</v>
      </c>
      <c r="J321" s="55">
        <v>0</v>
      </c>
      <c r="K321" s="55">
        <v>0</v>
      </c>
      <c r="L321" s="55">
        <v>0</v>
      </c>
      <c r="M321" s="55">
        <v>0</v>
      </c>
      <c r="N321" s="55">
        <v>0</v>
      </c>
      <c r="O321" s="55">
        <v>0</v>
      </c>
      <c r="P321" s="55">
        <v>0</v>
      </c>
      <c r="Q321" s="55">
        <v>0</v>
      </c>
      <c r="R321" s="55">
        <v>0</v>
      </c>
      <c r="S321" s="11">
        <f t="shared" si="206"/>
        <v>0</v>
      </c>
      <c r="T321" s="102"/>
      <c r="U321" s="1"/>
      <c r="V321" s="50">
        <f t="shared" si="204"/>
        <v>0</v>
      </c>
      <c r="W321" s="36">
        <v>1.9370000000000001</v>
      </c>
      <c r="X321" s="36">
        <v>1.9370000000000001</v>
      </c>
      <c r="Y321" s="36">
        <v>1.9370000000000001</v>
      </c>
      <c r="Z321" s="36">
        <v>1.9370000000000001</v>
      </c>
      <c r="AA321" s="36">
        <v>1.9370000000000001</v>
      </c>
      <c r="AB321" s="36">
        <v>1.9370000000000001</v>
      </c>
      <c r="AC321" s="36">
        <v>1.9370000000000001</v>
      </c>
      <c r="AD321" s="36">
        <v>1.9370000000000001</v>
      </c>
      <c r="AE321" s="36">
        <v>1.9370000000000001</v>
      </c>
      <c r="AF321" s="36">
        <v>1.9370000000000001</v>
      </c>
      <c r="AG321" s="36">
        <v>1.9370000000000001</v>
      </c>
      <c r="AH321" s="36">
        <v>1.9370000000000001</v>
      </c>
      <c r="AI321" s="39">
        <v>1.33634708931066E-2</v>
      </c>
      <c r="AJ321" s="39">
        <v>1.33634708931066E-2</v>
      </c>
      <c r="AK321" s="39">
        <v>1.33634708931066E-2</v>
      </c>
      <c r="AL321" s="39">
        <v>1.33634708931066E-2</v>
      </c>
      <c r="AM321" s="39">
        <v>1.33634708931066E-2</v>
      </c>
      <c r="AN321" s="39">
        <v>1.33634708931066E-2</v>
      </c>
      <c r="AO321" s="39">
        <v>1.33634708931066E-2</v>
      </c>
      <c r="AP321" s="39">
        <v>1.33634708931066E-2</v>
      </c>
      <c r="AQ321" s="39">
        <v>1.33634708931066E-2</v>
      </c>
      <c r="AR321" s="39">
        <v>1.33634708931066E-2</v>
      </c>
      <c r="AS321" s="39">
        <v>1.33634708931066E-2</v>
      </c>
      <c r="AT321" s="39">
        <v>1.33634708931066E-2</v>
      </c>
      <c r="AU321" s="39">
        <v>1.2392217523121999E-3</v>
      </c>
      <c r="AV321" s="39">
        <v>1.2392217523121999E-3</v>
      </c>
      <c r="AW321" s="39">
        <v>1.2392217523121999E-3</v>
      </c>
      <c r="AX321" s="39">
        <v>1.2392217523121999E-3</v>
      </c>
      <c r="AY321" s="39">
        <v>1.2392217523121999E-3</v>
      </c>
      <c r="AZ321" s="39">
        <v>1.2392217523121999E-3</v>
      </c>
      <c r="BA321" s="39">
        <v>1.2392217523121999E-3</v>
      </c>
      <c r="BB321" s="39">
        <v>1.2392217523121999E-3</v>
      </c>
      <c r="BC321" s="39">
        <v>1.2392217523121999E-3</v>
      </c>
      <c r="BD321" s="39">
        <v>1.2392217523121999E-3</v>
      </c>
      <c r="BE321" s="39">
        <v>1.2392217523121999E-3</v>
      </c>
      <c r="BF321" s="39">
        <v>1.2392217523121999E-3</v>
      </c>
      <c r="BG321" s="1"/>
      <c r="BH321" s="12">
        <f t="shared" si="168"/>
        <v>0</v>
      </c>
      <c r="BI321" s="12">
        <f t="shared" si="169"/>
        <v>0</v>
      </c>
      <c r="BJ321" s="12">
        <f t="shared" si="170"/>
        <v>0</v>
      </c>
      <c r="BK321" s="12">
        <f t="shared" si="171"/>
        <v>0</v>
      </c>
      <c r="BL321" s="12">
        <f t="shared" si="172"/>
        <v>0</v>
      </c>
      <c r="BM321" s="12">
        <f t="shared" si="173"/>
        <v>0</v>
      </c>
      <c r="BN321" s="12">
        <f t="shared" si="174"/>
        <v>0</v>
      </c>
      <c r="BO321" s="12">
        <f t="shared" si="175"/>
        <v>0</v>
      </c>
      <c r="BP321" s="12">
        <f t="shared" si="176"/>
        <v>0</v>
      </c>
      <c r="BQ321" s="12">
        <f t="shared" si="177"/>
        <v>0</v>
      </c>
      <c r="BR321" s="12">
        <f t="shared" si="178"/>
        <v>0</v>
      </c>
      <c r="BS321" s="12">
        <f t="shared" si="179"/>
        <v>0</v>
      </c>
      <c r="BT321" s="1"/>
      <c r="BU321" s="11">
        <f t="shared" si="180"/>
        <v>0</v>
      </c>
      <c r="BV321" s="11">
        <f t="shared" si="181"/>
        <v>0</v>
      </c>
      <c r="BW321" s="11">
        <f t="shared" si="182"/>
        <v>0</v>
      </c>
      <c r="BX321" s="11">
        <f t="shared" si="183"/>
        <v>0</v>
      </c>
      <c r="BY321" s="11">
        <f t="shared" si="184"/>
        <v>0</v>
      </c>
      <c r="BZ321" s="11">
        <f t="shared" si="185"/>
        <v>0</v>
      </c>
      <c r="CA321" s="11">
        <f t="shared" si="186"/>
        <v>0</v>
      </c>
      <c r="CB321" s="11">
        <f t="shared" si="187"/>
        <v>0</v>
      </c>
      <c r="CC321" s="11">
        <f t="shared" si="188"/>
        <v>0</v>
      </c>
      <c r="CD321" s="11">
        <f t="shared" si="189"/>
        <v>0</v>
      </c>
      <c r="CE321" s="11">
        <f t="shared" si="190"/>
        <v>0</v>
      </c>
      <c r="CF321" s="11">
        <f t="shared" si="191"/>
        <v>0</v>
      </c>
      <c r="CG321" s="11"/>
      <c r="CH321" s="41">
        <v>3.23</v>
      </c>
      <c r="CI321" s="1"/>
      <c r="CJ321" s="53">
        <f t="shared" si="192"/>
        <v>0</v>
      </c>
      <c r="CK321" s="53">
        <f t="shared" si="193"/>
        <v>0</v>
      </c>
      <c r="CL321" s="53">
        <f t="shared" si="194"/>
        <v>0</v>
      </c>
      <c r="CM321" s="53">
        <f t="shared" si="195"/>
        <v>0</v>
      </c>
      <c r="CN321" s="53">
        <f t="shared" si="196"/>
        <v>0</v>
      </c>
      <c r="CO321" s="53">
        <f t="shared" si="197"/>
        <v>0</v>
      </c>
      <c r="CP321" s="53">
        <f t="shared" si="198"/>
        <v>0</v>
      </c>
      <c r="CQ321" s="53">
        <f t="shared" si="199"/>
        <v>0</v>
      </c>
      <c r="CR321" s="53">
        <f t="shared" si="200"/>
        <v>0</v>
      </c>
      <c r="CS321" s="53">
        <f t="shared" si="201"/>
        <v>0</v>
      </c>
      <c r="CT321" s="53">
        <f t="shared" si="202"/>
        <v>0</v>
      </c>
      <c r="CU321" s="53">
        <f t="shared" si="203"/>
        <v>0</v>
      </c>
      <c r="CV321" s="53">
        <f t="shared" si="205"/>
        <v>0</v>
      </c>
      <c r="CW321" s="1"/>
      <c r="CX321" s="1"/>
      <c r="CY321" s="1"/>
      <c r="CZ321" s="1"/>
      <c r="DA321" s="1"/>
      <c r="DB321" s="1"/>
      <c r="DC321" s="1"/>
      <c r="DD321" s="1"/>
      <c r="DE321" s="1"/>
      <c r="DF321" s="1"/>
      <c r="DG321" s="1"/>
      <c r="DH321" s="1"/>
      <c r="DI321" s="1"/>
      <c r="DJ321" s="1"/>
      <c r="DK321" s="1"/>
      <c r="DL321" s="1"/>
    </row>
    <row r="322" spans="1:116" ht="15.75" hidden="1" x14ac:dyDescent="0.25">
      <c r="A322" s="17"/>
      <c r="B322" s="17"/>
      <c r="C322" s="17"/>
      <c r="D322" s="17"/>
      <c r="E322" s="17"/>
      <c r="F322" s="32" t="s">
        <v>2950</v>
      </c>
      <c r="G322" s="55">
        <v>1451078.02</v>
      </c>
      <c r="H322" s="55">
        <v>1342043.68</v>
      </c>
      <c r="I322" s="55">
        <v>1366743.7</v>
      </c>
      <c r="J322" s="55">
        <v>1135575.95</v>
      </c>
      <c r="K322" s="55">
        <v>1198242.99</v>
      </c>
      <c r="L322" s="55">
        <v>1328039.31</v>
      </c>
      <c r="M322" s="55">
        <v>1177343.76</v>
      </c>
      <c r="N322" s="55">
        <v>1251324.1000000001</v>
      </c>
      <c r="O322" s="55">
        <v>1735992.7</v>
      </c>
      <c r="P322" s="55">
        <v>1493140.77</v>
      </c>
      <c r="Q322" s="55">
        <v>1306335.53</v>
      </c>
      <c r="R322" s="55">
        <v>515596.02</v>
      </c>
      <c r="S322" s="11">
        <f t="shared" si="206"/>
        <v>15301456.529999997</v>
      </c>
      <c r="T322" s="102"/>
      <c r="U322" s="1"/>
      <c r="V322" s="50">
        <f t="shared" si="204"/>
        <v>18858752824</v>
      </c>
      <c r="W322" s="36">
        <v>2.6589999999999998</v>
      </c>
      <c r="X322" s="36">
        <v>2.6589999999999998</v>
      </c>
      <c r="Y322" s="36">
        <v>2.6589999999999998</v>
      </c>
      <c r="Z322" s="36">
        <v>2.6589999999999998</v>
      </c>
      <c r="AA322" s="36">
        <v>2.6589999999999998</v>
      </c>
      <c r="AB322" s="36">
        <v>2.6589999999999998</v>
      </c>
      <c r="AC322" s="36">
        <v>2.6589999999999998</v>
      </c>
      <c r="AD322" s="36">
        <v>2.6589999999999998</v>
      </c>
      <c r="AE322" s="36">
        <v>2.6589999999999998</v>
      </c>
      <c r="AF322" s="36">
        <v>2.6589999999999998</v>
      </c>
      <c r="AG322" s="36">
        <v>2.6589999999999998</v>
      </c>
      <c r="AH322" s="36">
        <v>2.6589999999999998</v>
      </c>
      <c r="AI322" s="39">
        <v>1.33634708931066E-2</v>
      </c>
      <c r="AJ322" s="39">
        <v>1.33634708931066E-2</v>
      </c>
      <c r="AK322" s="39">
        <v>1.33634708931066E-2</v>
      </c>
      <c r="AL322" s="39">
        <v>1.33634708931066E-2</v>
      </c>
      <c r="AM322" s="39">
        <v>1.33634708931066E-2</v>
      </c>
      <c r="AN322" s="39">
        <v>1.33634708931066E-2</v>
      </c>
      <c r="AO322" s="39">
        <v>1.33634708931066E-2</v>
      </c>
      <c r="AP322" s="39">
        <v>1.33634708931066E-2</v>
      </c>
      <c r="AQ322" s="39">
        <v>1.33634708931066E-2</v>
      </c>
      <c r="AR322" s="39">
        <v>1.33634708931066E-2</v>
      </c>
      <c r="AS322" s="39">
        <v>1.33634708931066E-2</v>
      </c>
      <c r="AT322" s="39">
        <v>1.33634708931066E-2</v>
      </c>
      <c r="AU322" s="39">
        <v>1.2392217523121999E-3</v>
      </c>
      <c r="AV322" s="39">
        <v>1.2392217523121999E-3</v>
      </c>
      <c r="AW322" s="39">
        <v>1.2392217523121999E-3</v>
      </c>
      <c r="AX322" s="39">
        <v>1.2392217523121999E-3</v>
      </c>
      <c r="AY322" s="39">
        <v>1.2392217523121999E-3</v>
      </c>
      <c r="AZ322" s="39">
        <v>1.2392217523121999E-3</v>
      </c>
      <c r="BA322" s="39">
        <v>1.2392217523121999E-3</v>
      </c>
      <c r="BB322" s="39">
        <v>1.2392217523121999E-3</v>
      </c>
      <c r="BC322" s="39">
        <v>1.2392217523121999E-3</v>
      </c>
      <c r="BD322" s="39">
        <v>1.2392217523121999E-3</v>
      </c>
      <c r="BE322" s="39">
        <v>1.2392217523121999E-3</v>
      </c>
      <c r="BF322" s="39">
        <v>1.2392217523121999E-3</v>
      </c>
      <c r="BG322" s="1"/>
      <c r="BH322" s="12">
        <f t="shared" si="168"/>
        <v>4686982.0045999996</v>
      </c>
      <c r="BI322" s="12">
        <f t="shared" si="169"/>
        <v>4334801.0863999994</v>
      </c>
      <c r="BJ322" s="12">
        <f t="shared" si="170"/>
        <v>4414582.1509999996</v>
      </c>
      <c r="BK322" s="12">
        <f t="shared" si="171"/>
        <v>3667910.3185000001</v>
      </c>
      <c r="BL322" s="12">
        <f t="shared" si="172"/>
        <v>3870324.8577000001</v>
      </c>
      <c r="BM322" s="12">
        <f t="shared" si="173"/>
        <v>4289566.9713000003</v>
      </c>
      <c r="BN322" s="12">
        <f t="shared" si="174"/>
        <v>3802820.3448000001</v>
      </c>
      <c r="BO322" s="12">
        <f t="shared" si="175"/>
        <v>4041776.8430000003</v>
      </c>
      <c r="BP322" s="12">
        <f t="shared" si="176"/>
        <v>5607256.4210000001</v>
      </c>
      <c r="BQ322" s="12">
        <f t="shared" si="177"/>
        <v>4822844.6870999997</v>
      </c>
      <c r="BR322" s="12">
        <f t="shared" si="178"/>
        <v>4219463.7619000003</v>
      </c>
      <c r="BS322" s="12">
        <f t="shared" si="179"/>
        <v>1665375.1446</v>
      </c>
      <c r="BT322" s="1"/>
      <c r="BU322" s="11">
        <f t="shared" si="180"/>
        <v>4755424.562247782</v>
      </c>
      <c r="BV322" s="11">
        <f t="shared" si="181"/>
        <v>4398100.8543437263</v>
      </c>
      <c r="BW322" s="11">
        <f t="shared" si="182"/>
        <v>4479046.9373090044</v>
      </c>
      <c r="BX322" s="11">
        <f t="shared" si="183"/>
        <v>3721471.6855320157</v>
      </c>
      <c r="BY322" s="11">
        <f t="shared" si="184"/>
        <v>3926842.0220349175</v>
      </c>
      <c r="BZ322" s="11">
        <f t="shared" si="185"/>
        <v>4352206.1993638342</v>
      </c>
      <c r="CA322" s="11">
        <f t="shared" si="186"/>
        <v>3858351.7614808599</v>
      </c>
      <c r="CB322" s="11">
        <f t="shared" si="187"/>
        <v>4100797.6679797005</v>
      </c>
      <c r="CC322" s="11">
        <f t="shared" si="188"/>
        <v>5689137.4630999146</v>
      </c>
      <c r="CD322" s="11">
        <f t="shared" si="189"/>
        <v>4893271.2057423117</v>
      </c>
      <c r="CE322" s="11">
        <f t="shared" si="190"/>
        <v>4281079.2943435088</v>
      </c>
      <c r="CF322" s="11">
        <f t="shared" si="191"/>
        <v>1689694.1059759136</v>
      </c>
      <c r="CG322" s="11"/>
      <c r="CH322" s="41">
        <v>3.23</v>
      </c>
      <c r="CI322" s="1"/>
      <c r="CJ322" s="53">
        <f t="shared" si="192"/>
        <v>1788425935</v>
      </c>
      <c r="CK322" s="53">
        <f t="shared" si="193"/>
        <v>1654043195</v>
      </c>
      <c r="CL322" s="53">
        <f t="shared" si="194"/>
        <v>1684485497</v>
      </c>
      <c r="CM322" s="53">
        <f t="shared" si="195"/>
        <v>1399575662</v>
      </c>
      <c r="CN322" s="53">
        <f t="shared" si="196"/>
        <v>1476811592</v>
      </c>
      <c r="CO322" s="53">
        <f t="shared" si="197"/>
        <v>1636783076</v>
      </c>
      <c r="CP322" s="53">
        <f t="shared" si="198"/>
        <v>1451053690</v>
      </c>
      <c r="CQ322" s="53">
        <f t="shared" si="199"/>
        <v>1542233045</v>
      </c>
      <c r="CR322" s="53">
        <f t="shared" si="200"/>
        <v>2139577835</v>
      </c>
      <c r="CS322" s="53">
        <f t="shared" si="201"/>
        <v>1840267471</v>
      </c>
      <c r="CT322" s="53">
        <f t="shared" si="202"/>
        <v>1610033582</v>
      </c>
      <c r="CU322" s="53">
        <f t="shared" si="203"/>
        <v>635462244</v>
      </c>
      <c r="CV322" s="53">
        <f t="shared" si="205"/>
        <v>18858752824</v>
      </c>
      <c r="CW322" s="1"/>
      <c r="CX322" s="1"/>
      <c r="CY322" s="1"/>
      <c r="CZ322" s="1"/>
      <c r="DA322" s="1"/>
      <c r="DB322" s="1"/>
      <c r="DC322" s="1"/>
      <c r="DD322" s="1"/>
      <c r="DE322" s="1"/>
      <c r="DF322" s="1"/>
      <c r="DG322" s="1"/>
      <c r="DH322" s="1"/>
      <c r="DI322" s="1"/>
      <c r="DJ322" s="1"/>
      <c r="DK322" s="1"/>
      <c r="DL322" s="1"/>
    </row>
    <row r="323" spans="1:116" ht="15.75" hidden="1" x14ac:dyDescent="0.25">
      <c r="A323" s="17"/>
      <c r="B323" s="17"/>
      <c r="C323" s="17"/>
      <c r="D323" s="17"/>
      <c r="E323" s="17"/>
      <c r="F323" s="32" t="s">
        <v>2950</v>
      </c>
      <c r="G323" s="55">
        <v>0</v>
      </c>
      <c r="H323" s="55">
        <v>0</v>
      </c>
      <c r="I323" s="55">
        <v>0</v>
      </c>
      <c r="J323" s="55">
        <v>0</v>
      </c>
      <c r="K323" s="55">
        <v>0</v>
      </c>
      <c r="L323" s="55">
        <v>0</v>
      </c>
      <c r="M323" s="55">
        <v>0</v>
      </c>
      <c r="N323" s="55">
        <v>0</v>
      </c>
      <c r="O323" s="55">
        <v>0</v>
      </c>
      <c r="P323" s="55">
        <v>0</v>
      </c>
      <c r="Q323" s="55">
        <v>0</v>
      </c>
      <c r="R323" s="55">
        <v>0</v>
      </c>
      <c r="S323" s="11">
        <f t="shared" si="206"/>
        <v>0</v>
      </c>
      <c r="T323" s="102"/>
      <c r="U323" s="1"/>
      <c r="V323" s="50">
        <f t="shared" si="204"/>
        <v>0</v>
      </c>
      <c r="W323" s="36">
        <v>1.8500010816189674</v>
      </c>
      <c r="X323" s="36">
        <v>1.8500010816189674</v>
      </c>
      <c r="Y323" s="36">
        <v>1.8500010816189674</v>
      </c>
      <c r="Z323" s="36">
        <v>1.8500010816189674</v>
      </c>
      <c r="AA323" s="36">
        <v>1.8500010816189674</v>
      </c>
      <c r="AB323" s="36">
        <v>1.8500010816189674</v>
      </c>
      <c r="AC323" s="36">
        <v>1.8500010816189674</v>
      </c>
      <c r="AD323" s="36">
        <v>1.8500010816189674</v>
      </c>
      <c r="AE323" s="36">
        <v>1.8500010816189674</v>
      </c>
      <c r="AF323" s="36">
        <v>1.8500010816189674</v>
      </c>
      <c r="AG323" s="36">
        <v>1.8500010816189674</v>
      </c>
      <c r="AH323" s="36">
        <v>1.8500010816189674</v>
      </c>
      <c r="AI323" s="39">
        <v>0</v>
      </c>
      <c r="AJ323" s="39">
        <v>0</v>
      </c>
      <c r="AK323" s="39">
        <v>0</v>
      </c>
      <c r="AL323" s="39">
        <v>0</v>
      </c>
      <c r="AM323" s="39">
        <v>0</v>
      </c>
      <c r="AN323" s="39">
        <v>0</v>
      </c>
      <c r="AO323" s="39">
        <v>0</v>
      </c>
      <c r="AP323" s="39">
        <v>0</v>
      </c>
      <c r="AQ323" s="39">
        <v>0</v>
      </c>
      <c r="AR323" s="39">
        <v>0</v>
      </c>
      <c r="AS323" s="39">
        <v>0</v>
      </c>
      <c r="AT323" s="39">
        <v>0</v>
      </c>
      <c r="AU323" s="39">
        <v>0</v>
      </c>
      <c r="AV323" s="39">
        <v>0</v>
      </c>
      <c r="AW323" s="39">
        <v>0</v>
      </c>
      <c r="AX323" s="39">
        <v>0</v>
      </c>
      <c r="AY323" s="39">
        <v>0</v>
      </c>
      <c r="AZ323" s="39">
        <v>0</v>
      </c>
      <c r="BA323" s="39">
        <v>0</v>
      </c>
      <c r="BB323" s="39">
        <v>0</v>
      </c>
      <c r="BC323" s="39">
        <v>0</v>
      </c>
      <c r="BD323" s="39">
        <v>0</v>
      </c>
      <c r="BE323" s="39">
        <v>0</v>
      </c>
      <c r="BF323" s="39">
        <v>0</v>
      </c>
      <c r="BG323" s="1"/>
      <c r="BH323" s="12">
        <f t="shared" si="168"/>
        <v>0</v>
      </c>
      <c r="BI323" s="12">
        <f t="shared" si="169"/>
        <v>0</v>
      </c>
      <c r="BJ323" s="12">
        <f t="shared" si="170"/>
        <v>0</v>
      </c>
      <c r="BK323" s="12">
        <f t="shared" si="171"/>
        <v>0</v>
      </c>
      <c r="BL323" s="12">
        <f t="shared" si="172"/>
        <v>0</v>
      </c>
      <c r="BM323" s="12">
        <f t="shared" si="173"/>
        <v>0</v>
      </c>
      <c r="BN323" s="12">
        <f t="shared" si="174"/>
        <v>0</v>
      </c>
      <c r="BO323" s="12">
        <f t="shared" si="175"/>
        <v>0</v>
      </c>
      <c r="BP323" s="12">
        <f t="shared" si="176"/>
        <v>0</v>
      </c>
      <c r="BQ323" s="12">
        <f t="shared" si="177"/>
        <v>0</v>
      </c>
      <c r="BR323" s="12">
        <f t="shared" si="178"/>
        <v>0</v>
      </c>
      <c r="BS323" s="12">
        <f t="shared" si="179"/>
        <v>0</v>
      </c>
      <c r="BT323" s="1"/>
      <c r="BU323" s="11">
        <f t="shared" si="180"/>
        <v>0</v>
      </c>
      <c r="BV323" s="11">
        <f t="shared" si="181"/>
        <v>0</v>
      </c>
      <c r="BW323" s="11">
        <f t="shared" si="182"/>
        <v>0</v>
      </c>
      <c r="BX323" s="11">
        <f t="shared" si="183"/>
        <v>0</v>
      </c>
      <c r="BY323" s="11">
        <f t="shared" si="184"/>
        <v>0</v>
      </c>
      <c r="BZ323" s="11">
        <f t="shared" si="185"/>
        <v>0</v>
      </c>
      <c r="CA323" s="11">
        <f t="shared" si="186"/>
        <v>0</v>
      </c>
      <c r="CB323" s="11">
        <f t="shared" si="187"/>
        <v>0</v>
      </c>
      <c r="CC323" s="11">
        <f t="shared" si="188"/>
        <v>0</v>
      </c>
      <c r="CD323" s="11">
        <f t="shared" si="189"/>
        <v>0</v>
      </c>
      <c r="CE323" s="11">
        <f t="shared" si="190"/>
        <v>0</v>
      </c>
      <c r="CF323" s="11">
        <f t="shared" si="191"/>
        <v>0</v>
      </c>
      <c r="CG323" s="11"/>
      <c r="CH323" s="41">
        <v>1</v>
      </c>
      <c r="CI323" s="1"/>
      <c r="CJ323" s="53">
        <f t="shared" si="192"/>
        <v>0</v>
      </c>
      <c r="CK323" s="53">
        <f t="shared" si="193"/>
        <v>0</v>
      </c>
      <c r="CL323" s="53">
        <f t="shared" si="194"/>
        <v>0</v>
      </c>
      <c r="CM323" s="53">
        <f t="shared" si="195"/>
        <v>0</v>
      </c>
      <c r="CN323" s="53">
        <f t="shared" si="196"/>
        <v>0</v>
      </c>
      <c r="CO323" s="53">
        <f t="shared" si="197"/>
        <v>0</v>
      </c>
      <c r="CP323" s="53">
        <f t="shared" si="198"/>
        <v>0</v>
      </c>
      <c r="CQ323" s="53">
        <f t="shared" si="199"/>
        <v>0</v>
      </c>
      <c r="CR323" s="53">
        <f t="shared" si="200"/>
        <v>0</v>
      </c>
      <c r="CS323" s="53">
        <f t="shared" si="201"/>
        <v>0</v>
      </c>
      <c r="CT323" s="53">
        <f t="shared" si="202"/>
        <v>0</v>
      </c>
      <c r="CU323" s="53">
        <f t="shared" si="203"/>
        <v>0</v>
      </c>
      <c r="CV323" s="53">
        <f t="shared" si="205"/>
        <v>0</v>
      </c>
      <c r="CW323" s="1"/>
      <c r="CX323" s="1"/>
      <c r="CY323" s="1"/>
      <c r="CZ323" s="1"/>
      <c r="DA323" s="1"/>
      <c r="DB323" s="1"/>
      <c r="DC323" s="1"/>
      <c r="DD323" s="1"/>
      <c r="DE323" s="1"/>
      <c r="DF323" s="1"/>
      <c r="DG323" s="1"/>
      <c r="DH323" s="1"/>
      <c r="DI323" s="1"/>
      <c r="DJ323" s="1"/>
      <c r="DK323" s="1"/>
      <c r="DL323" s="1"/>
    </row>
    <row r="324" spans="1:116" ht="15.75" hidden="1" x14ac:dyDescent="0.25">
      <c r="A324" s="17"/>
      <c r="B324" s="17"/>
      <c r="C324" s="17"/>
      <c r="D324" s="17"/>
      <c r="E324" s="17"/>
      <c r="F324" s="32" t="s">
        <v>2950</v>
      </c>
      <c r="G324" s="55">
        <v>0</v>
      </c>
      <c r="H324" s="55">
        <v>0</v>
      </c>
      <c r="I324" s="55">
        <v>0</v>
      </c>
      <c r="J324" s="55">
        <v>0</v>
      </c>
      <c r="K324" s="55">
        <v>0</v>
      </c>
      <c r="L324" s="55">
        <v>0</v>
      </c>
      <c r="M324" s="55">
        <v>0</v>
      </c>
      <c r="N324" s="55">
        <v>0</v>
      </c>
      <c r="O324" s="55">
        <v>0</v>
      </c>
      <c r="P324" s="55">
        <v>0</v>
      </c>
      <c r="Q324" s="55">
        <v>0</v>
      </c>
      <c r="R324" s="55">
        <v>0</v>
      </c>
      <c r="S324" s="11">
        <f t="shared" si="206"/>
        <v>0</v>
      </c>
      <c r="T324" s="102"/>
      <c r="U324" s="1"/>
      <c r="V324" s="50">
        <f t="shared" si="204"/>
        <v>0</v>
      </c>
      <c r="W324" s="36">
        <v>3.17</v>
      </c>
      <c r="X324" s="36">
        <v>3.17</v>
      </c>
      <c r="Y324" s="36">
        <v>3.17</v>
      </c>
      <c r="Z324" s="36">
        <v>3.17</v>
      </c>
      <c r="AA324" s="36">
        <v>3.17</v>
      </c>
      <c r="AB324" s="36">
        <v>3.17</v>
      </c>
      <c r="AC324" s="36">
        <v>3.17</v>
      </c>
      <c r="AD324" s="36">
        <v>3.17</v>
      </c>
      <c r="AE324" s="36">
        <v>3.17</v>
      </c>
      <c r="AF324" s="36">
        <v>3.17</v>
      </c>
      <c r="AG324" s="36">
        <v>3.17</v>
      </c>
      <c r="AH324" s="36">
        <v>3.17</v>
      </c>
      <c r="AI324" s="39">
        <v>0</v>
      </c>
      <c r="AJ324" s="39">
        <v>0</v>
      </c>
      <c r="AK324" s="39">
        <v>0</v>
      </c>
      <c r="AL324" s="39">
        <v>0</v>
      </c>
      <c r="AM324" s="39">
        <v>0</v>
      </c>
      <c r="AN324" s="39">
        <v>0</v>
      </c>
      <c r="AO324" s="39">
        <v>0</v>
      </c>
      <c r="AP324" s="39">
        <v>0</v>
      </c>
      <c r="AQ324" s="39">
        <v>0</v>
      </c>
      <c r="AR324" s="39">
        <v>0</v>
      </c>
      <c r="AS324" s="39">
        <v>0</v>
      </c>
      <c r="AT324" s="39">
        <v>0</v>
      </c>
      <c r="AU324" s="39">
        <v>0</v>
      </c>
      <c r="AV324" s="39">
        <v>0</v>
      </c>
      <c r="AW324" s="39">
        <v>0</v>
      </c>
      <c r="AX324" s="39">
        <v>0</v>
      </c>
      <c r="AY324" s="39">
        <v>0</v>
      </c>
      <c r="AZ324" s="39">
        <v>0</v>
      </c>
      <c r="BA324" s="39">
        <v>0</v>
      </c>
      <c r="BB324" s="39">
        <v>0</v>
      </c>
      <c r="BC324" s="39">
        <v>0</v>
      </c>
      <c r="BD324" s="39">
        <v>0</v>
      </c>
      <c r="BE324" s="39">
        <v>0</v>
      </c>
      <c r="BF324" s="39">
        <v>0</v>
      </c>
      <c r="BG324" s="1"/>
      <c r="BH324" s="12">
        <f t="shared" si="168"/>
        <v>0</v>
      </c>
      <c r="BI324" s="12">
        <f t="shared" si="169"/>
        <v>0</v>
      </c>
      <c r="BJ324" s="12">
        <f t="shared" si="170"/>
        <v>0</v>
      </c>
      <c r="BK324" s="12">
        <f t="shared" si="171"/>
        <v>0</v>
      </c>
      <c r="BL324" s="12">
        <f t="shared" si="172"/>
        <v>0</v>
      </c>
      <c r="BM324" s="12">
        <f t="shared" si="173"/>
        <v>0</v>
      </c>
      <c r="BN324" s="12">
        <f t="shared" si="174"/>
        <v>0</v>
      </c>
      <c r="BO324" s="12">
        <f t="shared" si="175"/>
        <v>0</v>
      </c>
      <c r="BP324" s="12">
        <f t="shared" si="176"/>
        <v>0</v>
      </c>
      <c r="BQ324" s="12">
        <f t="shared" si="177"/>
        <v>0</v>
      </c>
      <c r="BR324" s="12">
        <f t="shared" si="178"/>
        <v>0</v>
      </c>
      <c r="BS324" s="12">
        <f t="shared" si="179"/>
        <v>0</v>
      </c>
      <c r="BT324" s="1"/>
      <c r="BU324" s="11">
        <f t="shared" si="180"/>
        <v>0</v>
      </c>
      <c r="BV324" s="11">
        <f t="shared" si="181"/>
        <v>0</v>
      </c>
      <c r="BW324" s="11">
        <f t="shared" si="182"/>
        <v>0</v>
      </c>
      <c r="BX324" s="11">
        <f t="shared" si="183"/>
        <v>0</v>
      </c>
      <c r="BY324" s="11">
        <f t="shared" si="184"/>
        <v>0</v>
      </c>
      <c r="BZ324" s="11">
        <f t="shared" si="185"/>
        <v>0</v>
      </c>
      <c r="CA324" s="11">
        <f t="shared" si="186"/>
        <v>0</v>
      </c>
      <c r="CB324" s="11">
        <f t="shared" si="187"/>
        <v>0</v>
      </c>
      <c r="CC324" s="11">
        <f t="shared" si="188"/>
        <v>0</v>
      </c>
      <c r="CD324" s="11">
        <f t="shared" si="189"/>
        <v>0</v>
      </c>
      <c r="CE324" s="11">
        <f t="shared" si="190"/>
        <v>0</v>
      </c>
      <c r="CF324" s="11">
        <f t="shared" si="191"/>
        <v>0</v>
      </c>
      <c r="CG324" s="11"/>
      <c r="CH324" s="41">
        <v>1</v>
      </c>
      <c r="CI324" s="1"/>
      <c r="CJ324" s="53">
        <f t="shared" si="192"/>
        <v>0</v>
      </c>
      <c r="CK324" s="53">
        <f t="shared" si="193"/>
        <v>0</v>
      </c>
      <c r="CL324" s="53">
        <f t="shared" si="194"/>
        <v>0</v>
      </c>
      <c r="CM324" s="53">
        <f t="shared" si="195"/>
        <v>0</v>
      </c>
      <c r="CN324" s="53">
        <f t="shared" si="196"/>
        <v>0</v>
      </c>
      <c r="CO324" s="53">
        <f t="shared" si="197"/>
        <v>0</v>
      </c>
      <c r="CP324" s="53">
        <f t="shared" si="198"/>
        <v>0</v>
      </c>
      <c r="CQ324" s="53">
        <f t="shared" si="199"/>
        <v>0</v>
      </c>
      <c r="CR324" s="53">
        <f t="shared" si="200"/>
        <v>0</v>
      </c>
      <c r="CS324" s="53">
        <f t="shared" si="201"/>
        <v>0</v>
      </c>
      <c r="CT324" s="53">
        <f t="shared" si="202"/>
        <v>0</v>
      </c>
      <c r="CU324" s="53">
        <f t="shared" si="203"/>
        <v>0</v>
      </c>
      <c r="CV324" s="53">
        <f t="shared" si="205"/>
        <v>0</v>
      </c>
      <c r="CW324" s="1"/>
      <c r="CX324" s="1"/>
      <c r="CY324" s="1"/>
      <c r="CZ324" s="1"/>
      <c r="DA324" s="1"/>
      <c r="DB324" s="1"/>
      <c r="DC324" s="1"/>
      <c r="DD324" s="1"/>
      <c r="DE324" s="1"/>
      <c r="DF324" s="1"/>
      <c r="DG324" s="1"/>
      <c r="DH324" s="1"/>
      <c r="DI324" s="1"/>
      <c r="DJ324" s="1"/>
      <c r="DK324" s="1"/>
      <c r="DL324" s="1"/>
    </row>
    <row r="325" spans="1:116" ht="15.75" hidden="1" x14ac:dyDescent="0.25">
      <c r="A325" s="17"/>
      <c r="B325" s="17"/>
      <c r="C325" s="17"/>
      <c r="D325" s="17"/>
      <c r="E325" s="17"/>
      <c r="F325" s="32" t="s">
        <v>2950</v>
      </c>
      <c r="G325" s="55">
        <v>0</v>
      </c>
      <c r="H325" s="55">
        <v>0</v>
      </c>
      <c r="I325" s="55">
        <v>0</v>
      </c>
      <c r="J325" s="55">
        <v>0</v>
      </c>
      <c r="K325" s="55">
        <v>0</v>
      </c>
      <c r="L325" s="55">
        <v>0</v>
      </c>
      <c r="M325" s="55">
        <v>0</v>
      </c>
      <c r="N325" s="55">
        <v>0</v>
      </c>
      <c r="O325" s="55">
        <v>0</v>
      </c>
      <c r="P325" s="55">
        <v>0</v>
      </c>
      <c r="Q325" s="55">
        <v>0</v>
      </c>
      <c r="R325" s="55">
        <v>0</v>
      </c>
      <c r="S325" s="11">
        <f t="shared" si="206"/>
        <v>0</v>
      </c>
      <c r="T325" s="102"/>
      <c r="U325" s="1"/>
      <c r="V325" s="50">
        <f t="shared" si="204"/>
        <v>0</v>
      </c>
      <c r="W325" s="36">
        <v>3.149</v>
      </c>
      <c r="X325" s="36">
        <v>3.149</v>
      </c>
      <c r="Y325" s="36">
        <v>3.149</v>
      </c>
      <c r="Z325" s="36">
        <v>3.149</v>
      </c>
      <c r="AA325" s="36">
        <v>3.149</v>
      </c>
      <c r="AB325" s="36">
        <v>3.149</v>
      </c>
      <c r="AC325" s="36">
        <v>3.149</v>
      </c>
      <c r="AD325" s="36">
        <v>3.149</v>
      </c>
      <c r="AE325" s="36">
        <v>3.149</v>
      </c>
      <c r="AF325" s="36">
        <v>3.149</v>
      </c>
      <c r="AG325" s="36">
        <v>3.149</v>
      </c>
      <c r="AH325" s="36">
        <v>3.149</v>
      </c>
      <c r="AI325" s="39">
        <v>1.33634708931066E-2</v>
      </c>
      <c r="AJ325" s="39">
        <v>1.33634708931066E-2</v>
      </c>
      <c r="AK325" s="39">
        <v>1.33634708931066E-2</v>
      </c>
      <c r="AL325" s="39">
        <v>1.33634708931066E-2</v>
      </c>
      <c r="AM325" s="39">
        <v>1.33634708931066E-2</v>
      </c>
      <c r="AN325" s="39">
        <v>1.33634708931066E-2</v>
      </c>
      <c r="AO325" s="39">
        <v>1.33634708931066E-2</v>
      </c>
      <c r="AP325" s="39">
        <v>1.33634708931066E-2</v>
      </c>
      <c r="AQ325" s="39">
        <v>1.33634708931066E-2</v>
      </c>
      <c r="AR325" s="39">
        <v>1.33634708931066E-2</v>
      </c>
      <c r="AS325" s="39">
        <v>1.33634708931066E-2</v>
      </c>
      <c r="AT325" s="39">
        <v>1.33634708931066E-2</v>
      </c>
      <c r="AU325" s="39">
        <v>1.2392217523121999E-3</v>
      </c>
      <c r="AV325" s="39">
        <v>1.2392217523121999E-3</v>
      </c>
      <c r="AW325" s="39">
        <v>1.2392217523121999E-3</v>
      </c>
      <c r="AX325" s="39">
        <v>1.2392217523121999E-3</v>
      </c>
      <c r="AY325" s="39">
        <v>1.2392217523121999E-3</v>
      </c>
      <c r="AZ325" s="39">
        <v>1.2392217523121999E-3</v>
      </c>
      <c r="BA325" s="39">
        <v>1.2392217523121999E-3</v>
      </c>
      <c r="BB325" s="39">
        <v>1.2392217523121999E-3</v>
      </c>
      <c r="BC325" s="39">
        <v>1.2392217523121999E-3</v>
      </c>
      <c r="BD325" s="39">
        <v>1.2392217523121999E-3</v>
      </c>
      <c r="BE325" s="39">
        <v>1.2392217523121999E-3</v>
      </c>
      <c r="BF325" s="39">
        <v>1.2392217523121999E-3</v>
      </c>
      <c r="BG325" s="1"/>
      <c r="BH325" s="12">
        <f t="shared" si="168"/>
        <v>0</v>
      </c>
      <c r="BI325" s="12">
        <f t="shared" si="169"/>
        <v>0</v>
      </c>
      <c r="BJ325" s="12">
        <f t="shared" si="170"/>
        <v>0</v>
      </c>
      <c r="BK325" s="12">
        <f t="shared" si="171"/>
        <v>0</v>
      </c>
      <c r="BL325" s="12">
        <f t="shared" si="172"/>
        <v>0</v>
      </c>
      <c r="BM325" s="12">
        <f t="shared" si="173"/>
        <v>0</v>
      </c>
      <c r="BN325" s="12">
        <f t="shared" si="174"/>
        <v>0</v>
      </c>
      <c r="BO325" s="12">
        <f t="shared" si="175"/>
        <v>0</v>
      </c>
      <c r="BP325" s="12">
        <f t="shared" si="176"/>
        <v>0</v>
      </c>
      <c r="BQ325" s="12">
        <f t="shared" si="177"/>
        <v>0</v>
      </c>
      <c r="BR325" s="12">
        <f t="shared" si="178"/>
        <v>0</v>
      </c>
      <c r="BS325" s="12">
        <f t="shared" si="179"/>
        <v>0</v>
      </c>
      <c r="BT325" s="1"/>
      <c r="BU325" s="11">
        <f t="shared" si="180"/>
        <v>0</v>
      </c>
      <c r="BV325" s="11">
        <f t="shared" si="181"/>
        <v>0</v>
      </c>
      <c r="BW325" s="11">
        <f t="shared" si="182"/>
        <v>0</v>
      </c>
      <c r="BX325" s="11">
        <f t="shared" si="183"/>
        <v>0</v>
      </c>
      <c r="BY325" s="11">
        <f t="shared" si="184"/>
        <v>0</v>
      </c>
      <c r="BZ325" s="11">
        <f t="shared" si="185"/>
        <v>0</v>
      </c>
      <c r="CA325" s="11">
        <f t="shared" si="186"/>
        <v>0</v>
      </c>
      <c r="CB325" s="11">
        <f t="shared" si="187"/>
        <v>0</v>
      </c>
      <c r="CC325" s="11">
        <f t="shared" si="188"/>
        <v>0</v>
      </c>
      <c r="CD325" s="11">
        <f t="shared" si="189"/>
        <v>0</v>
      </c>
      <c r="CE325" s="11">
        <f t="shared" si="190"/>
        <v>0</v>
      </c>
      <c r="CF325" s="11">
        <f t="shared" si="191"/>
        <v>0</v>
      </c>
      <c r="CG325" s="11"/>
      <c r="CH325" s="41">
        <v>3.23</v>
      </c>
      <c r="CI325" s="1"/>
      <c r="CJ325" s="53">
        <f t="shared" si="192"/>
        <v>0</v>
      </c>
      <c r="CK325" s="53">
        <f t="shared" si="193"/>
        <v>0</v>
      </c>
      <c r="CL325" s="53">
        <f t="shared" si="194"/>
        <v>0</v>
      </c>
      <c r="CM325" s="53">
        <f t="shared" si="195"/>
        <v>0</v>
      </c>
      <c r="CN325" s="53">
        <f t="shared" si="196"/>
        <v>0</v>
      </c>
      <c r="CO325" s="53">
        <f t="shared" si="197"/>
        <v>0</v>
      </c>
      <c r="CP325" s="53">
        <f t="shared" si="198"/>
        <v>0</v>
      </c>
      <c r="CQ325" s="53">
        <f t="shared" si="199"/>
        <v>0</v>
      </c>
      <c r="CR325" s="53">
        <f t="shared" si="200"/>
        <v>0</v>
      </c>
      <c r="CS325" s="53">
        <f t="shared" si="201"/>
        <v>0</v>
      </c>
      <c r="CT325" s="53">
        <f t="shared" si="202"/>
        <v>0</v>
      </c>
      <c r="CU325" s="53">
        <f t="shared" si="203"/>
        <v>0</v>
      </c>
      <c r="CV325" s="53">
        <f t="shared" si="205"/>
        <v>0</v>
      </c>
      <c r="CW325" s="1"/>
      <c r="CX325" s="1"/>
      <c r="CY325" s="1"/>
      <c r="CZ325" s="1"/>
      <c r="DA325" s="1"/>
      <c r="DB325" s="1"/>
      <c r="DC325" s="1"/>
      <c r="DD325" s="1"/>
      <c r="DE325" s="1"/>
      <c r="DF325" s="1"/>
      <c r="DG325" s="1"/>
      <c r="DH325" s="1"/>
      <c r="DI325" s="1"/>
      <c r="DJ325" s="1"/>
      <c r="DK325" s="1"/>
      <c r="DL325" s="1"/>
    </row>
    <row r="326" spans="1:116" ht="15.75" hidden="1" x14ac:dyDescent="0.25">
      <c r="A326" s="17"/>
      <c r="B326" s="17"/>
      <c r="C326" s="17"/>
      <c r="D326" s="17"/>
      <c r="E326" s="17"/>
      <c r="F326" s="32" t="s">
        <v>2950</v>
      </c>
      <c r="G326" s="55">
        <v>0</v>
      </c>
      <c r="H326" s="55">
        <v>0</v>
      </c>
      <c r="I326" s="55">
        <v>0</v>
      </c>
      <c r="J326" s="55">
        <v>0</v>
      </c>
      <c r="K326" s="55">
        <v>0</v>
      </c>
      <c r="L326" s="55">
        <v>0</v>
      </c>
      <c r="M326" s="55">
        <v>0</v>
      </c>
      <c r="N326" s="55">
        <v>0</v>
      </c>
      <c r="O326" s="55">
        <v>0</v>
      </c>
      <c r="P326" s="55">
        <v>0</v>
      </c>
      <c r="Q326" s="55">
        <v>0</v>
      </c>
      <c r="R326" s="55">
        <v>0</v>
      </c>
      <c r="S326" s="11">
        <f t="shared" si="206"/>
        <v>0</v>
      </c>
      <c r="T326" s="102"/>
      <c r="U326" s="1"/>
      <c r="V326" s="50">
        <f t="shared" si="204"/>
        <v>0</v>
      </c>
      <c r="W326" s="36">
        <v>1.4379999999999999</v>
      </c>
      <c r="X326" s="36">
        <v>1.4379999999999999</v>
      </c>
      <c r="Y326" s="36">
        <v>1.4379999999999999</v>
      </c>
      <c r="Z326" s="36">
        <v>1.4379999999999999</v>
      </c>
      <c r="AA326" s="36">
        <v>1.4379999999999999</v>
      </c>
      <c r="AB326" s="36">
        <v>1.4379999999999999</v>
      </c>
      <c r="AC326" s="36">
        <v>1.4379999999999999</v>
      </c>
      <c r="AD326" s="36">
        <v>1.4379999999999999</v>
      </c>
      <c r="AE326" s="36">
        <v>1.4379999999999999</v>
      </c>
      <c r="AF326" s="36">
        <v>1.4379999999999999</v>
      </c>
      <c r="AG326" s="36">
        <v>1.4379999999999999</v>
      </c>
      <c r="AH326" s="36">
        <v>1.4379999999999999</v>
      </c>
      <c r="AI326" s="39">
        <v>1.33634708931066E-2</v>
      </c>
      <c r="AJ326" s="39">
        <v>1.33634708931066E-2</v>
      </c>
      <c r="AK326" s="39">
        <v>1.33634708931066E-2</v>
      </c>
      <c r="AL326" s="39">
        <v>1.33634708931066E-2</v>
      </c>
      <c r="AM326" s="39">
        <v>1.33634708931066E-2</v>
      </c>
      <c r="AN326" s="39">
        <v>1.33634708931066E-2</v>
      </c>
      <c r="AO326" s="39">
        <v>1.33634708931066E-2</v>
      </c>
      <c r="AP326" s="39">
        <v>1.33634708931066E-2</v>
      </c>
      <c r="AQ326" s="39">
        <v>1.33634708931066E-2</v>
      </c>
      <c r="AR326" s="39">
        <v>1.33634708931066E-2</v>
      </c>
      <c r="AS326" s="39">
        <v>1.33634708931066E-2</v>
      </c>
      <c r="AT326" s="39">
        <v>1.33634708931066E-2</v>
      </c>
      <c r="AU326" s="39">
        <v>1.2392217523121999E-3</v>
      </c>
      <c r="AV326" s="39">
        <v>1.2392217523121999E-3</v>
      </c>
      <c r="AW326" s="39">
        <v>1.2392217523121999E-3</v>
      </c>
      <c r="AX326" s="39">
        <v>1.2392217523121999E-3</v>
      </c>
      <c r="AY326" s="39">
        <v>1.2392217523121999E-3</v>
      </c>
      <c r="AZ326" s="39">
        <v>1.2392217523121999E-3</v>
      </c>
      <c r="BA326" s="39">
        <v>1.2392217523121999E-3</v>
      </c>
      <c r="BB326" s="39">
        <v>1.2392217523121999E-3</v>
      </c>
      <c r="BC326" s="39">
        <v>1.2392217523121999E-3</v>
      </c>
      <c r="BD326" s="39">
        <v>1.2392217523121999E-3</v>
      </c>
      <c r="BE326" s="39">
        <v>1.2392217523121999E-3</v>
      </c>
      <c r="BF326" s="39">
        <v>1.2392217523121999E-3</v>
      </c>
      <c r="BG326" s="1"/>
      <c r="BH326" s="12">
        <f t="shared" si="168"/>
        <v>0</v>
      </c>
      <c r="BI326" s="12">
        <f t="shared" si="169"/>
        <v>0</v>
      </c>
      <c r="BJ326" s="12">
        <f t="shared" si="170"/>
        <v>0</v>
      </c>
      <c r="BK326" s="12">
        <f t="shared" si="171"/>
        <v>0</v>
      </c>
      <c r="BL326" s="12">
        <f t="shared" si="172"/>
        <v>0</v>
      </c>
      <c r="BM326" s="12">
        <f t="shared" si="173"/>
        <v>0</v>
      </c>
      <c r="BN326" s="12">
        <f t="shared" si="174"/>
        <v>0</v>
      </c>
      <c r="BO326" s="12">
        <f t="shared" si="175"/>
        <v>0</v>
      </c>
      <c r="BP326" s="12">
        <f t="shared" si="176"/>
        <v>0</v>
      </c>
      <c r="BQ326" s="12">
        <f t="shared" si="177"/>
        <v>0</v>
      </c>
      <c r="BR326" s="12">
        <f t="shared" si="178"/>
        <v>0</v>
      </c>
      <c r="BS326" s="12">
        <f t="shared" si="179"/>
        <v>0</v>
      </c>
      <c r="BT326" s="1"/>
      <c r="BU326" s="11">
        <f t="shared" si="180"/>
        <v>0</v>
      </c>
      <c r="BV326" s="11">
        <f t="shared" si="181"/>
        <v>0</v>
      </c>
      <c r="BW326" s="11">
        <f t="shared" si="182"/>
        <v>0</v>
      </c>
      <c r="BX326" s="11">
        <f t="shared" si="183"/>
        <v>0</v>
      </c>
      <c r="BY326" s="11">
        <f t="shared" si="184"/>
        <v>0</v>
      </c>
      <c r="BZ326" s="11">
        <f t="shared" si="185"/>
        <v>0</v>
      </c>
      <c r="CA326" s="11">
        <f t="shared" si="186"/>
        <v>0</v>
      </c>
      <c r="CB326" s="11">
        <f t="shared" si="187"/>
        <v>0</v>
      </c>
      <c r="CC326" s="11">
        <f t="shared" si="188"/>
        <v>0</v>
      </c>
      <c r="CD326" s="11">
        <f t="shared" si="189"/>
        <v>0</v>
      </c>
      <c r="CE326" s="11">
        <f t="shared" si="190"/>
        <v>0</v>
      </c>
      <c r="CF326" s="11">
        <f t="shared" si="191"/>
        <v>0</v>
      </c>
      <c r="CG326" s="11"/>
      <c r="CH326" s="41">
        <v>3.23</v>
      </c>
      <c r="CI326" s="1"/>
      <c r="CJ326" s="53">
        <f t="shared" si="192"/>
        <v>0</v>
      </c>
      <c r="CK326" s="53">
        <f t="shared" si="193"/>
        <v>0</v>
      </c>
      <c r="CL326" s="53">
        <f t="shared" si="194"/>
        <v>0</v>
      </c>
      <c r="CM326" s="53">
        <f t="shared" si="195"/>
        <v>0</v>
      </c>
      <c r="CN326" s="53">
        <f t="shared" si="196"/>
        <v>0</v>
      </c>
      <c r="CO326" s="53">
        <f t="shared" si="197"/>
        <v>0</v>
      </c>
      <c r="CP326" s="53">
        <f t="shared" si="198"/>
        <v>0</v>
      </c>
      <c r="CQ326" s="53">
        <f t="shared" si="199"/>
        <v>0</v>
      </c>
      <c r="CR326" s="53">
        <f t="shared" si="200"/>
        <v>0</v>
      </c>
      <c r="CS326" s="53">
        <f t="shared" si="201"/>
        <v>0</v>
      </c>
      <c r="CT326" s="53">
        <f t="shared" si="202"/>
        <v>0</v>
      </c>
      <c r="CU326" s="53">
        <f t="shared" si="203"/>
        <v>0</v>
      </c>
      <c r="CV326" s="53">
        <f t="shared" si="205"/>
        <v>0</v>
      </c>
      <c r="CW326" s="1"/>
      <c r="CX326" s="1"/>
      <c r="CY326" s="1"/>
      <c r="CZ326" s="1"/>
      <c r="DA326" s="1"/>
      <c r="DB326" s="1"/>
      <c r="DC326" s="1"/>
      <c r="DD326" s="1"/>
      <c r="DE326" s="1"/>
      <c r="DF326" s="1"/>
      <c r="DG326" s="1"/>
      <c r="DH326" s="1"/>
      <c r="DI326" s="1"/>
      <c r="DJ326" s="1"/>
      <c r="DK326" s="1"/>
      <c r="DL326" s="1"/>
    </row>
    <row r="327" spans="1:116" ht="15.75" hidden="1" x14ac:dyDescent="0.25">
      <c r="A327" s="17"/>
      <c r="B327" s="17"/>
      <c r="C327" s="17"/>
      <c r="D327" s="17"/>
      <c r="E327" s="17"/>
      <c r="F327" s="32" t="s">
        <v>2950</v>
      </c>
      <c r="G327" s="55">
        <v>0</v>
      </c>
      <c r="H327" s="55">
        <v>99.7</v>
      </c>
      <c r="I327" s="55">
        <v>99.7</v>
      </c>
      <c r="J327" s="55">
        <v>79.760000000000005</v>
      </c>
      <c r="K327" s="55">
        <v>64.8</v>
      </c>
      <c r="L327" s="55">
        <v>64.8</v>
      </c>
      <c r="M327" s="55">
        <v>0</v>
      </c>
      <c r="N327" s="55">
        <v>0</v>
      </c>
      <c r="O327" s="55">
        <v>0</v>
      </c>
      <c r="P327" s="55">
        <v>0</v>
      </c>
      <c r="Q327" s="55">
        <v>0</v>
      </c>
      <c r="R327" s="55">
        <v>0</v>
      </c>
      <c r="S327" s="11">
        <f t="shared" si="206"/>
        <v>408.76000000000005</v>
      </c>
      <c r="T327" s="102"/>
      <c r="U327" s="1"/>
      <c r="V327" s="50">
        <f t="shared" si="204"/>
        <v>819813</v>
      </c>
      <c r="W327" s="36">
        <v>1.6339999999999999</v>
      </c>
      <c r="X327" s="36">
        <v>1.6339999999999999</v>
      </c>
      <c r="Y327" s="36">
        <v>1.6339999999999999</v>
      </c>
      <c r="Z327" s="36">
        <v>1.6339999999999999</v>
      </c>
      <c r="AA327" s="36">
        <v>1.6339999999999999</v>
      </c>
      <c r="AB327" s="36">
        <v>1.6339999999999999</v>
      </c>
      <c r="AC327" s="36">
        <v>1.6339999999999999</v>
      </c>
      <c r="AD327" s="36">
        <v>1.6339999999999999</v>
      </c>
      <c r="AE327" s="36">
        <v>1.6339999999999999</v>
      </c>
      <c r="AF327" s="36">
        <v>1.6339999999999999</v>
      </c>
      <c r="AG327" s="36">
        <v>1.6339999999999999</v>
      </c>
      <c r="AH327" s="36">
        <v>1.6339999999999999</v>
      </c>
      <c r="AI327" s="39">
        <v>1.33634708931066E-2</v>
      </c>
      <c r="AJ327" s="39">
        <v>1.33634708931066E-2</v>
      </c>
      <c r="AK327" s="39">
        <v>1.33634708931066E-2</v>
      </c>
      <c r="AL327" s="39">
        <v>1.33634708931066E-2</v>
      </c>
      <c r="AM327" s="39">
        <v>1.33634708931066E-2</v>
      </c>
      <c r="AN327" s="39">
        <v>1.33634708931066E-2</v>
      </c>
      <c r="AO327" s="39">
        <v>1.33634708931066E-2</v>
      </c>
      <c r="AP327" s="39">
        <v>1.33634708931066E-2</v>
      </c>
      <c r="AQ327" s="39">
        <v>1.33634708931066E-2</v>
      </c>
      <c r="AR327" s="39">
        <v>1.33634708931066E-2</v>
      </c>
      <c r="AS327" s="39">
        <v>1.33634708931066E-2</v>
      </c>
      <c r="AT327" s="39">
        <v>1.33634708931066E-2</v>
      </c>
      <c r="AU327" s="39">
        <v>1.2392217523121999E-3</v>
      </c>
      <c r="AV327" s="39">
        <v>1.2392217523121999E-3</v>
      </c>
      <c r="AW327" s="39">
        <v>1.2392217523121999E-3</v>
      </c>
      <c r="AX327" s="39">
        <v>1.2392217523121999E-3</v>
      </c>
      <c r="AY327" s="39">
        <v>1.2392217523121999E-3</v>
      </c>
      <c r="AZ327" s="39">
        <v>1.2392217523121999E-3</v>
      </c>
      <c r="BA327" s="39">
        <v>1.2392217523121999E-3</v>
      </c>
      <c r="BB327" s="39">
        <v>1.2392217523121999E-3</v>
      </c>
      <c r="BC327" s="39">
        <v>1.2392217523121999E-3</v>
      </c>
      <c r="BD327" s="39">
        <v>1.2392217523121999E-3</v>
      </c>
      <c r="BE327" s="39">
        <v>1.2392217523121999E-3</v>
      </c>
      <c r="BF327" s="39">
        <v>1.2392217523121999E-3</v>
      </c>
      <c r="BG327" s="1"/>
      <c r="BH327" s="12">
        <f t="shared" si="168"/>
        <v>0</v>
      </c>
      <c r="BI327" s="12">
        <f t="shared" si="169"/>
        <v>322.03100000000001</v>
      </c>
      <c r="BJ327" s="12">
        <f t="shared" si="170"/>
        <v>322.03100000000001</v>
      </c>
      <c r="BK327" s="12">
        <f t="shared" si="171"/>
        <v>257.62479999999999</v>
      </c>
      <c r="BL327" s="12">
        <f t="shared" si="172"/>
        <v>209.304</v>
      </c>
      <c r="BM327" s="12">
        <f t="shared" si="173"/>
        <v>209.304</v>
      </c>
      <c r="BN327" s="12">
        <f t="shared" si="174"/>
        <v>0</v>
      </c>
      <c r="BO327" s="12">
        <f t="shared" si="175"/>
        <v>0</v>
      </c>
      <c r="BP327" s="12">
        <f t="shared" si="176"/>
        <v>0</v>
      </c>
      <c r="BQ327" s="12">
        <f t="shared" si="177"/>
        <v>0</v>
      </c>
      <c r="BR327" s="12">
        <f t="shared" si="178"/>
        <v>0</v>
      </c>
      <c r="BS327" s="12">
        <f t="shared" si="179"/>
        <v>0</v>
      </c>
      <c r="BT327" s="1"/>
      <c r="BU327" s="11">
        <f t="shared" si="180"/>
        <v>0</v>
      </c>
      <c r="BV327" s="11">
        <f t="shared" si="181"/>
        <v>326.73351971529689</v>
      </c>
      <c r="BW327" s="11">
        <f t="shared" si="182"/>
        <v>326.73351971529689</v>
      </c>
      <c r="BX327" s="11">
        <f t="shared" si="183"/>
        <v>261.38681577223747</v>
      </c>
      <c r="BY327" s="11">
        <f t="shared" si="184"/>
        <v>212.36040198145673</v>
      </c>
      <c r="BZ327" s="11">
        <f t="shared" si="185"/>
        <v>212.36040198145673</v>
      </c>
      <c r="CA327" s="11">
        <f t="shared" si="186"/>
        <v>0</v>
      </c>
      <c r="CB327" s="11">
        <f t="shared" si="187"/>
        <v>0</v>
      </c>
      <c r="CC327" s="11">
        <f t="shared" si="188"/>
        <v>0</v>
      </c>
      <c r="CD327" s="11">
        <f t="shared" si="189"/>
        <v>0</v>
      </c>
      <c r="CE327" s="11">
        <f t="shared" si="190"/>
        <v>0</v>
      </c>
      <c r="CF327" s="11">
        <f t="shared" si="191"/>
        <v>0</v>
      </c>
      <c r="CG327" s="11"/>
      <c r="CH327" s="41">
        <v>3.23</v>
      </c>
      <c r="CI327" s="1"/>
      <c r="CJ327" s="53">
        <f t="shared" si="192"/>
        <v>0</v>
      </c>
      <c r="CK327" s="53">
        <f t="shared" si="193"/>
        <v>199959</v>
      </c>
      <c r="CL327" s="53">
        <f t="shared" si="194"/>
        <v>199959</v>
      </c>
      <c r="CM327" s="53">
        <f t="shared" si="195"/>
        <v>159967</v>
      </c>
      <c r="CN327" s="53">
        <f t="shared" si="196"/>
        <v>129964</v>
      </c>
      <c r="CO327" s="53">
        <f t="shared" si="197"/>
        <v>129964</v>
      </c>
      <c r="CP327" s="53">
        <f t="shared" si="198"/>
        <v>0</v>
      </c>
      <c r="CQ327" s="53">
        <f t="shared" si="199"/>
        <v>0</v>
      </c>
      <c r="CR327" s="53">
        <f t="shared" si="200"/>
        <v>0</v>
      </c>
      <c r="CS327" s="53">
        <f t="shared" si="201"/>
        <v>0</v>
      </c>
      <c r="CT327" s="53">
        <f t="shared" si="202"/>
        <v>0</v>
      </c>
      <c r="CU327" s="53">
        <f t="shared" si="203"/>
        <v>0</v>
      </c>
      <c r="CV327" s="53">
        <f t="shared" si="205"/>
        <v>819813</v>
      </c>
      <c r="CW327" s="1"/>
      <c r="CX327" s="1"/>
      <c r="CY327" s="1"/>
      <c r="CZ327" s="1"/>
      <c r="DA327" s="1"/>
      <c r="DB327" s="1"/>
      <c r="DC327" s="1"/>
      <c r="DD327" s="1"/>
      <c r="DE327" s="1"/>
      <c r="DF327" s="1"/>
      <c r="DG327" s="1"/>
      <c r="DH327" s="1"/>
      <c r="DI327" s="1"/>
      <c r="DJ327" s="1"/>
      <c r="DK327" s="1"/>
      <c r="DL327" s="1"/>
    </row>
    <row r="328" spans="1:116" ht="15.75" hidden="1" x14ac:dyDescent="0.25">
      <c r="A328" s="17"/>
      <c r="B328" s="17"/>
      <c r="C328" s="17"/>
      <c r="D328" s="17"/>
      <c r="E328" s="17"/>
      <c r="F328" s="32" t="s">
        <v>2950</v>
      </c>
      <c r="G328" s="55">
        <v>458418211157.35999</v>
      </c>
      <c r="H328" s="55">
        <v>458418211157.35999</v>
      </c>
      <c r="I328" s="55">
        <v>458418211157.35999</v>
      </c>
      <c r="J328" s="55">
        <v>458418211157.35999</v>
      </c>
      <c r="K328" s="55">
        <v>458418211157.35999</v>
      </c>
      <c r="L328" s="55">
        <v>458418211157.35999</v>
      </c>
      <c r="M328" s="55">
        <v>458418211157.35999</v>
      </c>
      <c r="N328" s="55">
        <v>458418211157.35999</v>
      </c>
      <c r="O328" s="55">
        <v>458418211157.35999</v>
      </c>
      <c r="P328" s="55">
        <v>458418211157.35999</v>
      </c>
      <c r="Q328" s="55">
        <v>458418211157.35999</v>
      </c>
      <c r="R328" s="55">
        <v>458418211157.35999</v>
      </c>
      <c r="S328" s="11">
        <f t="shared" si="206"/>
        <v>5501018533888.3203</v>
      </c>
      <c r="T328" s="102"/>
      <c r="U328" s="1"/>
      <c r="V328" s="50">
        <f t="shared" si="204"/>
        <v>6813210408233060</v>
      </c>
      <c r="W328" s="36">
        <v>2.6459999999999999</v>
      </c>
      <c r="X328" s="36">
        <v>2.6459999999999999</v>
      </c>
      <c r="Y328" s="36">
        <v>2.6459999999999999</v>
      </c>
      <c r="Z328" s="36">
        <v>2.6459999999999999</v>
      </c>
      <c r="AA328" s="36">
        <v>2.6459999999999999</v>
      </c>
      <c r="AB328" s="36">
        <v>2.6459999999999999</v>
      </c>
      <c r="AC328" s="36">
        <v>2.6459999999999999</v>
      </c>
      <c r="AD328" s="36">
        <v>2.6459999999999999</v>
      </c>
      <c r="AE328" s="36">
        <v>2.6459999999999999</v>
      </c>
      <c r="AF328" s="36">
        <v>2.6459999999999999</v>
      </c>
      <c r="AG328" s="36">
        <v>2.6459999999999999</v>
      </c>
      <c r="AH328" s="36">
        <v>2.6459999999999999</v>
      </c>
      <c r="AI328" s="39">
        <v>1.33634708931066E-2</v>
      </c>
      <c r="AJ328" s="39">
        <v>1.33634708931066E-2</v>
      </c>
      <c r="AK328" s="39">
        <v>1.33634708931066E-2</v>
      </c>
      <c r="AL328" s="39">
        <v>1.33634708931066E-2</v>
      </c>
      <c r="AM328" s="39">
        <v>1.33634708931066E-2</v>
      </c>
      <c r="AN328" s="39">
        <v>1.33634708931066E-2</v>
      </c>
      <c r="AO328" s="39">
        <v>1.33634708931066E-2</v>
      </c>
      <c r="AP328" s="39">
        <v>1.33634708931066E-2</v>
      </c>
      <c r="AQ328" s="39">
        <v>1.33634708931066E-2</v>
      </c>
      <c r="AR328" s="39">
        <v>1.33634708931066E-2</v>
      </c>
      <c r="AS328" s="39">
        <v>1.33634708931066E-2</v>
      </c>
      <c r="AT328" s="39">
        <v>1.33634708931066E-2</v>
      </c>
      <c r="AU328" s="39">
        <v>1.2392217523121999E-3</v>
      </c>
      <c r="AV328" s="39">
        <v>1.2392217523121999E-3</v>
      </c>
      <c r="AW328" s="39">
        <v>1.2392217523121999E-3</v>
      </c>
      <c r="AX328" s="39">
        <v>1.2392217523121999E-3</v>
      </c>
      <c r="AY328" s="39">
        <v>1.2392217523121999E-3</v>
      </c>
      <c r="AZ328" s="39">
        <v>1.2392217523121999E-3</v>
      </c>
      <c r="BA328" s="39">
        <v>1.2392217523121999E-3</v>
      </c>
      <c r="BB328" s="39">
        <v>1.2392217523121999E-3</v>
      </c>
      <c r="BC328" s="39">
        <v>1.2392217523121999E-3</v>
      </c>
      <c r="BD328" s="39">
        <v>1.2392217523121999E-3</v>
      </c>
      <c r="BE328" s="39">
        <v>1.2392217523121999E-3</v>
      </c>
      <c r="BF328" s="39">
        <v>1.2392217523121999E-3</v>
      </c>
      <c r="BG328" s="1"/>
      <c r="BH328" s="12">
        <f t="shared" si="168"/>
        <v>1480690822038.2727</v>
      </c>
      <c r="BI328" s="12">
        <f t="shared" si="169"/>
        <v>1480690822038.2727</v>
      </c>
      <c r="BJ328" s="12">
        <f t="shared" si="170"/>
        <v>1480690822038.2727</v>
      </c>
      <c r="BK328" s="12">
        <f t="shared" si="171"/>
        <v>1480690822038.2727</v>
      </c>
      <c r="BL328" s="12">
        <f t="shared" si="172"/>
        <v>1480690822038.2727</v>
      </c>
      <c r="BM328" s="12">
        <f t="shared" si="173"/>
        <v>1480690822038.2727</v>
      </c>
      <c r="BN328" s="12">
        <f t="shared" si="174"/>
        <v>1480690822038.2727</v>
      </c>
      <c r="BO328" s="12">
        <f t="shared" si="175"/>
        <v>1480690822038.2727</v>
      </c>
      <c r="BP328" s="12">
        <f t="shared" si="176"/>
        <v>1480690822038.2727</v>
      </c>
      <c r="BQ328" s="12">
        <f t="shared" si="177"/>
        <v>1480690822038.2727</v>
      </c>
      <c r="BR328" s="12">
        <f t="shared" si="178"/>
        <v>1480690822038.2727</v>
      </c>
      <c r="BS328" s="12">
        <f t="shared" si="179"/>
        <v>1480690822038.2727</v>
      </c>
      <c r="BT328" s="1"/>
      <c r="BU328" s="11">
        <f t="shared" si="180"/>
        <v>1502312895015.3901</v>
      </c>
      <c r="BV328" s="11">
        <f t="shared" si="181"/>
        <v>1502312895015.3901</v>
      </c>
      <c r="BW328" s="11">
        <f t="shared" si="182"/>
        <v>1502312895015.3901</v>
      </c>
      <c r="BX328" s="11">
        <f t="shared" si="183"/>
        <v>1502312895015.3901</v>
      </c>
      <c r="BY328" s="11">
        <f t="shared" si="184"/>
        <v>1502312895015.3901</v>
      </c>
      <c r="BZ328" s="11">
        <f t="shared" si="185"/>
        <v>1502312895015.3901</v>
      </c>
      <c r="CA328" s="11">
        <f t="shared" si="186"/>
        <v>1502312895015.3901</v>
      </c>
      <c r="CB328" s="11">
        <f t="shared" si="187"/>
        <v>1502312895015.3901</v>
      </c>
      <c r="CC328" s="11">
        <f t="shared" si="188"/>
        <v>1502312895015.3901</v>
      </c>
      <c r="CD328" s="11">
        <f t="shared" si="189"/>
        <v>1502312895015.3901</v>
      </c>
      <c r="CE328" s="11">
        <f t="shared" si="190"/>
        <v>1502312895015.3901</v>
      </c>
      <c r="CF328" s="11">
        <f t="shared" si="191"/>
        <v>1502312895015.3901</v>
      </c>
      <c r="CG328" s="11"/>
      <c r="CH328" s="41">
        <v>3.23</v>
      </c>
      <c r="CI328" s="1"/>
      <c r="CJ328" s="53">
        <f t="shared" si="192"/>
        <v>567767534019422</v>
      </c>
      <c r="CK328" s="53">
        <f t="shared" si="193"/>
        <v>567767534019422</v>
      </c>
      <c r="CL328" s="53">
        <f t="shared" si="194"/>
        <v>567767534019422</v>
      </c>
      <c r="CM328" s="53">
        <f t="shared" si="195"/>
        <v>567767534019422</v>
      </c>
      <c r="CN328" s="53">
        <f t="shared" si="196"/>
        <v>567767534019422</v>
      </c>
      <c r="CO328" s="53">
        <f t="shared" si="197"/>
        <v>567767534019422</v>
      </c>
      <c r="CP328" s="53">
        <f t="shared" si="198"/>
        <v>567767534019422</v>
      </c>
      <c r="CQ328" s="53">
        <f t="shared" si="199"/>
        <v>567767534019422</v>
      </c>
      <c r="CR328" s="53">
        <f t="shared" si="200"/>
        <v>567767534019422</v>
      </c>
      <c r="CS328" s="53">
        <f t="shared" si="201"/>
        <v>567767534019422</v>
      </c>
      <c r="CT328" s="53">
        <f t="shared" si="202"/>
        <v>567767534019422</v>
      </c>
      <c r="CU328" s="53">
        <f t="shared" si="203"/>
        <v>567767534019422</v>
      </c>
      <c r="CV328" s="53">
        <f t="shared" si="205"/>
        <v>6813210408233060</v>
      </c>
      <c r="CW328" s="1"/>
      <c r="CX328" s="1"/>
      <c r="CY328" s="1"/>
      <c r="CZ328" s="1"/>
      <c r="DA328" s="1"/>
      <c r="DB328" s="1"/>
      <c r="DC328" s="1"/>
      <c r="DD328" s="1"/>
      <c r="DE328" s="1"/>
      <c r="DF328" s="1"/>
      <c r="DG328" s="1"/>
      <c r="DH328" s="1"/>
      <c r="DI328" s="1"/>
      <c r="DJ328" s="1"/>
      <c r="DK328" s="1"/>
      <c r="DL328" s="1"/>
    </row>
    <row r="329" spans="1:116" ht="15.75" hidden="1" x14ac:dyDescent="0.25">
      <c r="A329" s="17"/>
      <c r="B329" s="17"/>
      <c r="C329" s="17"/>
      <c r="D329" s="17"/>
      <c r="E329" s="17"/>
      <c r="F329" s="32" t="s">
        <v>2950</v>
      </c>
      <c r="G329" s="55">
        <v>453851540146.40002</v>
      </c>
      <c r="H329" s="55">
        <v>37184294087.080002</v>
      </c>
      <c r="I329" s="55">
        <v>15567980128.74</v>
      </c>
      <c r="J329" s="55">
        <v>361766435195.35999</v>
      </c>
      <c r="K329" s="55">
        <v>256587448167.20001</v>
      </c>
      <c r="L329" s="55">
        <v>295436398406.77002</v>
      </c>
      <c r="M329" s="55">
        <v>446665020250.60999</v>
      </c>
      <c r="N329" s="55">
        <v>337934825618.25</v>
      </c>
      <c r="O329" s="55">
        <v>350769402152.60999</v>
      </c>
      <c r="P329" s="55">
        <v>309084739181.44</v>
      </c>
      <c r="Q329" s="55">
        <v>322442165606.65002</v>
      </c>
      <c r="R329" s="55">
        <v>31427519341.639999</v>
      </c>
      <c r="S329" s="11">
        <f t="shared" si="206"/>
        <v>3218717768282.75</v>
      </c>
      <c r="T329" s="102"/>
      <c r="U329" s="1"/>
      <c r="V329" s="50">
        <f t="shared" si="204"/>
        <v>4456389809060420</v>
      </c>
      <c r="W329" s="36">
        <v>2.367</v>
      </c>
      <c r="X329" s="36">
        <v>2.367</v>
      </c>
      <c r="Y329" s="36">
        <v>2.367</v>
      </c>
      <c r="Z329" s="36">
        <v>2.367</v>
      </c>
      <c r="AA329" s="36">
        <v>2.367</v>
      </c>
      <c r="AB329" s="36">
        <v>2.367</v>
      </c>
      <c r="AC329" s="36">
        <v>2.367</v>
      </c>
      <c r="AD329" s="36">
        <v>2.367</v>
      </c>
      <c r="AE329" s="36">
        <v>2.367</v>
      </c>
      <c r="AF329" s="36">
        <v>2.367</v>
      </c>
      <c r="AG329" s="36">
        <v>2.367</v>
      </c>
      <c r="AH329" s="36">
        <v>2.367</v>
      </c>
      <c r="AI329" s="39">
        <v>1.33634708931066E-2</v>
      </c>
      <c r="AJ329" s="39">
        <v>1.33634708931066E-2</v>
      </c>
      <c r="AK329" s="39">
        <v>1.33634708931066E-2</v>
      </c>
      <c r="AL329" s="39">
        <v>1.33634708931066E-2</v>
      </c>
      <c r="AM329" s="39">
        <v>1.33634708931066E-2</v>
      </c>
      <c r="AN329" s="39">
        <v>1.33634708931066E-2</v>
      </c>
      <c r="AO329" s="39">
        <v>1.33634708931066E-2</v>
      </c>
      <c r="AP329" s="39">
        <v>1.33634708931066E-2</v>
      </c>
      <c r="AQ329" s="39">
        <v>1.33634708931066E-2</v>
      </c>
      <c r="AR329" s="39">
        <v>1.33634708931066E-2</v>
      </c>
      <c r="AS329" s="39">
        <v>1.33634708931066E-2</v>
      </c>
      <c r="AT329" s="39">
        <v>1.33634708931066E-2</v>
      </c>
      <c r="AU329" s="39">
        <v>1.2392217523121999E-3</v>
      </c>
      <c r="AV329" s="39">
        <v>1.2392217523121999E-3</v>
      </c>
      <c r="AW329" s="39">
        <v>1.2392217523121999E-3</v>
      </c>
      <c r="AX329" s="39">
        <v>1.2392217523121999E-3</v>
      </c>
      <c r="AY329" s="39">
        <v>1.2392217523121999E-3</v>
      </c>
      <c r="AZ329" s="39">
        <v>1.2392217523121999E-3</v>
      </c>
      <c r="BA329" s="39">
        <v>1.2392217523121999E-3</v>
      </c>
      <c r="BB329" s="39">
        <v>1.2392217523121999E-3</v>
      </c>
      <c r="BC329" s="39">
        <v>1.2392217523121999E-3</v>
      </c>
      <c r="BD329" s="39">
        <v>1.2392217523121999E-3</v>
      </c>
      <c r="BE329" s="39">
        <v>1.2392217523121999E-3</v>
      </c>
      <c r="BF329" s="39">
        <v>1.2392217523121999E-3</v>
      </c>
      <c r="BG329" s="1"/>
      <c r="BH329" s="12">
        <f t="shared" si="168"/>
        <v>1465940474672.8721</v>
      </c>
      <c r="BI329" s="12">
        <f t="shared" si="169"/>
        <v>120105269901.2684</v>
      </c>
      <c r="BJ329" s="12">
        <f t="shared" si="170"/>
        <v>50284575815.8302</v>
      </c>
      <c r="BK329" s="12">
        <f t="shared" si="171"/>
        <v>1168505585681.0127</v>
      </c>
      <c r="BL329" s="12">
        <f t="shared" si="172"/>
        <v>828777457580.05603</v>
      </c>
      <c r="BM329" s="12">
        <f t="shared" si="173"/>
        <v>954259566853.86719</v>
      </c>
      <c r="BN329" s="12">
        <f t="shared" si="174"/>
        <v>1442728015409.4702</v>
      </c>
      <c r="BO329" s="12">
        <f t="shared" si="175"/>
        <v>1091529486746.9475</v>
      </c>
      <c r="BP329" s="12">
        <f t="shared" si="176"/>
        <v>1132985168952.9302</v>
      </c>
      <c r="BQ329" s="12">
        <f t="shared" si="177"/>
        <v>998343707556.05115</v>
      </c>
      <c r="BR329" s="12">
        <f t="shared" si="178"/>
        <v>1041488194909.4796</v>
      </c>
      <c r="BS329" s="12">
        <f t="shared" si="179"/>
        <v>101510887473.49719</v>
      </c>
      <c r="BT329" s="1"/>
      <c r="BU329" s="11">
        <f t="shared" si="180"/>
        <v>1487347152860.9993</v>
      </c>
      <c r="BV329" s="11">
        <f t="shared" si="181"/>
        <v>121859130242.73169</v>
      </c>
      <c r="BW329" s="11">
        <f t="shared" si="182"/>
        <v>51018866021.274025</v>
      </c>
      <c r="BX329" s="11">
        <f t="shared" si="183"/>
        <v>1185568913603.1677</v>
      </c>
      <c r="BY329" s="11">
        <f t="shared" si="184"/>
        <v>840879840064.54919</v>
      </c>
      <c r="BZ329" s="11">
        <f t="shared" si="185"/>
        <v>968194326012.58472</v>
      </c>
      <c r="CA329" s="11">
        <f t="shared" si="186"/>
        <v>1463795729189.4297</v>
      </c>
      <c r="CB329" s="11">
        <f t="shared" si="187"/>
        <v>1107468756355.325</v>
      </c>
      <c r="CC329" s="11">
        <f t="shared" si="188"/>
        <v>1149529803146.9678</v>
      </c>
      <c r="CD329" s="11">
        <f t="shared" si="189"/>
        <v>1012922213871.98</v>
      </c>
      <c r="CE329" s="11">
        <f t="shared" si="190"/>
        <v>1056696726913.5748</v>
      </c>
      <c r="CF329" s="11">
        <f t="shared" si="191"/>
        <v>102993219763.43637</v>
      </c>
      <c r="CG329" s="11"/>
      <c r="CH329" s="41">
        <v>3.23</v>
      </c>
      <c r="CI329" s="1"/>
      <c r="CJ329" s="53">
        <f t="shared" si="192"/>
        <v>628368040921419</v>
      </c>
      <c r="CK329" s="53">
        <f t="shared" si="193"/>
        <v>51482522282523</v>
      </c>
      <c r="CL329" s="53">
        <f t="shared" si="194"/>
        <v>21554231525676</v>
      </c>
      <c r="CM329" s="53">
        <f t="shared" si="195"/>
        <v>500874065738558</v>
      </c>
      <c r="CN329" s="53">
        <f t="shared" si="196"/>
        <v>355251305477207</v>
      </c>
      <c r="CO329" s="53">
        <f t="shared" si="197"/>
        <v>409038583021793</v>
      </c>
      <c r="CP329" s="53">
        <f t="shared" si="198"/>
        <v>618418136539683</v>
      </c>
      <c r="CQ329" s="53">
        <f t="shared" si="199"/>
        <v>467878646537949</v>
      </c>
      <c r="CR329" s="53">
        <f t="shared" si="200"/>
        <v>485648417045614</v>
      </c>
      <c r="CS329" s="53">
        <f t="shared" si="201"/>
        <v>427935029096738</v>
      </c>
      <c r="CT329" s="53">
        <f t="shared" si="202"/>
        <v>446428697470881</v>
      </c>
      <c r="CU329" s="53">
        <f t="shared" si="203"/>
        <v>43512133402381</v>
      </c>
      <c r="CV329" s="53">
        <f t="shared" si="205"/>
        <v>4456389809060420</v>
      </c>
      <c r="CW329" s="1"/>
      <c r="CX329" s="1"/>
      <c r="CY329" s="1"/>
      <c r="CZ329" s="1"/>
      <c r="DA329" s="1"/>
      <c r="DB329" s="1"/>
      <c r="DC329" s="1"/>
      <c r="DD329" s="1"/>
      <c r="DE329" s="1"/>
      <c r="DF329" s="1"/>
      <c r="DG329" s="1"/>
      <c r="DH329" s="1"/>
      <c r="DI329" s="1"/>
      <c r="DJ329" s="1"/>
      <c r="DK329" s="1"/>
      <c r="DL329" s="1"/>
    </row>
    <row r="330" spans="1:116" ht="15.75" hidden="1" x14ac:dyDescent="0.25">
      <c r="A330" s="17"/>
      <c r="B330" s="17"/>
      <c r="C330" s="17"/>
      <c r="D330" s="17"/>
      <c r="E330" s="17"/>
      <c r="F330" s="32" t="s">
        <v>2950</v>
      </c>
      <c r="G330" s="55">
        <v>0</v>
      </c>
      <c r="H330" s="55">
        <v>186.95</v>
      </c>
      <c r="I330" s="55">
        <v>158.91</v>
      </c>
      <c r="J330" s="55">
        <v>130.87</v>
      </c>
      <c r="K330" s="55">
        <v>130.87</v>
      </c>
      <c r="L330" s="55">
        <v>130.87</v>
      </c>
      <c r="M330" s="55">
        <v>0</v>
      </c>
      <c r="N330" s="55">
        <v>0</v>
      </c>
      <c r="O330" s="55">
        <v>0</v>
      </c>
      <c r="P330" s="55">
        <v>0</v>
      </c>
      <c r="Q330" s="55">
        <v>0</v>
      </c>
      <c r="R330" s="55">
        <v>0</v>
      </c>
      <c r="S330" s="11">
        <f t="shared" si="206"/>
        <v>738.47</v>
      </c>
      <c r="T330" s="102"/>
      <c r="U330" s="1"/>
      <c r="V330" s="50">
        <f t="shared" si="204"/>
        <v>789847</v>
      </c>
      <c r="W330" s="36">
        <v>3.0640000000000001</v>
      </c>
      <c r="X330" s="36">
        <v>3.0640000000000001</v>
      </c>
      <c r="Y330" s="36">
        <v>3.0640000000000001</v>
      </c>
      <c r="Z330" s="36">
        <v>3.0640000000000001</v>
      </c>
      <c r="AA330" s="36">
        <v>3.0640000000000001</v>
      </c>
      <c r="AB330" s="36">
        <v>3.0640000000000001</v>
      </c>
      <c r="AC330" s="36">
        <v>3.0640000000000001</v>
      </c>
      <c r="AD330" s="36">
        <v>3.0640000000000001</v>
      </c>
      <c r="AE330" s="36">
        <v>3.0640000000000001</v>
      </c>
      <c r="AF330" s="36">
        <v>3.0640000000000001</v>
      </c>
      <c r="AG330" s="36">
        <v>3.0640000000000001</v>
      </c>
      <c r="AH330" s="36">
        <v>3.0640000000000001</v>
      </c>
      <c r="AI330" s="39">
        <v>1.33634708931066E-2</v>
      </c>
      <c r="AJ330" s="39">
        <v>1.33634708931066E-2</v>
      </c>
      <c r="AK330" s="39">
        <v>1.33634708931066E-2</v>
      </c>
      <c r="AL330" s="39">
        <v>1.33634708931066E-2</v>
      </c>
      <c r="AM330" s="39">
        <v>1.33634708931066E-2</v>
      </c>
      <c r="AN330" s="39">
        <v>1.33634708931066E-2</v>
      </c>
      <c r="AO330" s="39">
        <v>1.33634708931066E-2</v>
      </c>
      <c r="AP330" s="39">
        <v>1.33634708931066E-2</v>
      </c>
      <c r="AQ330" s="39">
        <v>1.33634708931066E-2</v>
      </c>
      <c r="AR330" s="39">
        <v>1.33634708931066E-2</v>
      </c>
      <c r="AS330" s="39">
        <v>1.33634708931066E-2</v>
      </c>
      <c r="AT330" s="39">
        <v>1.33634708931066E-2</v>
      </c>
      <c r="AU330" s="39">
        <v>1.2392217523121999E-3</v>
      </c>
      <c r="AV330" s="39">
        <v>1.2392217523121999E-3</v>
      </c>
      <c r="AW330" s="39">
        <v>1.2392217523121999E-3</v>
      </c>
      <c r="AX330" s="39">
        <v>1.2392217523121999E-3</v>
      </c>
      <c r="AY330" s="39">
        <v>1.2392217523121999E-3</v>
      </c>
      <c r="AZ330" s="39">
        <v>1.2392217523121999E-3</v>
      </c>
      <c r="BA330" s="39">
        <v>1.2392217523121999E-3</v>
      </c>
      <c r="BB330" s="39">
        <v>1.2392217523121999E-3</v>
      </c>
      <c r="BC330" s="39">
        <v>1.2392217523121999E-3</v>
      </c>
      <c r="BD330" s="39">
        <v>1.2392217523121999E-3</v>
      </c>
      <c r="BE330" s="39">
        <v>1.2392217523121999E-3</v>
      </c>
      <c r="BF330" s="39">
        <v>1.2392217523121999E-3</v>
      </c>
      <c r="BG330" s="1"/>
      <c r="BH330" s="12">
        <f t="shared" si="168"/>
        <v>0</v>
      </c>
      <c r="BI330" s="12">
        <f t="shared" si="169"/>
        <v>603.84849999999994</v>
      </c>
      <c r="BJ330" s="12">
        <f t="shared" si="170"/>
        <v>513.27930000000003</v>
      </c>
      <c r="BK330" s="12">
        <f t="shared" si="171"/>
        <v>422.71010000000001</v>
      </c>
      <c r="BL330" s="12">
        <f t="shared" si="172"/>
        <v>422.71010000000001</v>
      </c>
      <c r="BM330" s="12">
        <f t="shared" si="173"/>
        <v>422.71010000000001</v>
      </c>
      <c r="BN330" s="12">
        <f t="shared" si="174"/>
        <v>0</v>
      </c>
      <c r="BO330" s="12">
        <f t="shared" si="175"/>
        <v>0</v>
      </c>
      <c r="BP330" s="12">
        <f t="shared" si="176"/>
        <v>0</v>
      </c>
      <c r="BQ330" s="12">
        <f t="shared" si="177"/>
        <v>0</v>
      </c>
      <c r="BR330" s="12">
        <f t="shared" si="178"/>
        <v>0</v>
      </c>
      <c r="BS330" s="12">
        <f t="shared" si="179"/>
        <v>0</v>
      </c>
      <c r="BT330" s="1"/>
      <c r="BU330" s="11">
        <f t="shared" si="180"/>
        <v>0</v>
      </c>
      <c r="BV330" s="11">
        <f t="shared" si="181"/>
        <v>612.6663140498971</v>
      </c>
      <c r="BW330" s="11">
        <f t="shared" si="182"/>
        <v>520.77455985915572</v>
      </c>
      <c r="BX330" s="11">
        <f t="shared" si="183"/>
        <v>428.88280566841428</v>
      </c>
      <c r="BY330" s="11">
        <f t="shared" si="184"/>
        <v>428.88280566841428</v>
      </c>
      <c r="BZ330" s="11">
        <f t="shared" si="185"/>
        <v>428.88280566841428</v>
      </c>
      <c r="CA330" s="11">
        <f t="shared" si="186"/>
        <v>0</v>
      </c>
      <c r="CB330" s="11">
        <f t="shared" si="187"/>
        <v>0</v>
      </c>
      <c r="CC330" s="11">
        <f t="shared" si="188"/>
        <v>0</v>
      </c>
      <c r="CD330" s="11">
        <f t="shared" si="189"/>
        <v>0</v>
      </c>
      <c r="CE330" s="11">
        <f t="shared" si="190"/>
        <v>0</v>
      </c>
      <c r="CF330" s="11">
        <f t="shared" si="191"/>
        <v>0</v>
      </c>
      <c r="CG330" s="11"/>
      <c r="CH330" s="41">
        <v>3.23</v>
      </c>
      <c r="CI330" s="1"/>
      <c r="CJ330" s="53">
        <f t="shared" si="192"/>
        <v>0</v>
      </c>
      <c r="CK330" s="53">
        <f t="shared" si="193"/>
        <v>199956</v>
      </c>
      <c r="CL330" s="53">
        <f t="shared" si="194"/>
        <v>169966</v>
      </c>
      <c r="CM330" s="53">
        <f t="shared" si="195"/>
        <v>139975</v>
      </c>
      <c r="CN330" s="53">
        <f t="shared" si="196"/>
        <v>139975</v>
      </c>
      <c r="CO330" s="53">
        <f t="shared" si="197"/>
        <v>139975</v>
      </c>
      <c r="CP330" s="53">
        <f t="shared" si="198"/>
        <v>0</v>
      </c>
      <c r="CQ330" s="53">
        <f t="shared" si="199"/>
        <v>0</v>
      </c>
      <c r="CR330" s="53">
        <f t="shared" si="200"/>
        <v>0</v>
      </c>
      <c r="CS330" s="53">
        <f t="shared" si="201"/>
        <v>0</v>
      </c>
      <c r="CT330" s="53">
        <f t="shared" si="202"/>
        <v>0</v>
      </c>
      <c r="CU330" s="53">
        <f t="shared" si="203"/>
        <v>0</v>
      </c>
      <c r="CV330" s="53">
        <f t="shared" si="205"/>
        <v>789847</v>
      </c>
      <c r="CW330" s="1"/>
      <c r="CX330" s="1"/>
      <c r="CY330" s="1"/>
      <c r="CZ330" s="1"/>
      <c r="DA330" s="1"/>
      <c r="DB330" s="1"/>
      <c r="DC330" s="1"/>
      <c r="DD330" s="1"/>
      <c r="DE330" s="1"/>
      <c r="DF330" s="1"/>
      <c r="DG330" s="1"/>
      <c r="DH330" s="1"/>
      <c r="DI330" s="1"/>
      <c r="DJ330" s="1"/>
      <c r="DK330" s="1"/>
      <c r="DL330" s="1"/>
    </row>
    <row r="331" spans="1:116" ht="15.75" hidden="1" x14ac:dyDescent="0.25">
      <c r="A331" s="17"/>
      <c r="B331" s="17"/>
      <c r="C331" s="17"/>
      <c r="D331" s="17"/>
      <c r="E331" s="17"/>
      <c r="F331" s="32" t="s">
        <v>2950</v>
      </c>
      <c r="G331" s="55">
        <v>121778559288.34</v>
      </c>
      <c r="H331" s="55">
        <v>103992162471.11</v>
      </c>
      <c r="I331" s="55">
        <v>62570330579.889999</v>
      </c>
      <c r="J331" s="55">
        <v>177009350136.39999</v>
      </c>
      <c r="K331" s="55">
        <v>243912341556.20999</v>
      </c>
      <c r="L331" s="55">
        <v>526658034928.34003</v>
      </c>
      <c r="M331" s="55">
        <v>660202682354.05005</v>
      </c>
      <c r="N331" s="55">
        <v>649689936711.03003</v>
      </c>
      <c r="O331" s="55">
        <v>674320766499.33997</v>
      </c>
      <c r="P331" s="55">
        <v>697884208003.43005</v>
      </c>
      <c r="Q331" s="55">
        <v>725770520785.17004</v>
      </c>
      <c r="R331" s="55">
        <v>40965783081.279999</v>
      </c>
      <c r="S331" s="11">
        <f t="shared" si="206"/>
        <v>4684754676394.5908</v>
      </c>
      <c r="T331" s="102"/>
      <c r="U331" s="1"/>
      <c r="V331" s="50">
        <f t="shared" si="204"/>
        <v>5841979455951950</v>
      </c>
      <c r="W331" s="36">
        <v>2.6280000000000001</v>
      </c>
      <c r="X331" s="36">
        <v>2.6280000000000001</v>
      </c>
      <c r="Y331" s="36">
        <v>2.6280000000000001</v>
      </c>
      <c r="Z331" s="36">
        <v>2.6280000000000001</v>
      </c>
      <c r="AA331" s="36">
        <v>2.6280000000000001</v>
      </c>
      <c r="AB331" s="36">
        <v>2.6280000000000001</v>
      </c>
      <c r="AC331" s="36">
        <v>2.6280000000000001</v>
      </c>
      <c r="AD331" s="36">
        <v>2.6280000000000001</v>
      </c>
      <c r="AE331" s="36">
        <v>2.6280000000000001</v>
      </c>
      <c r="AF331" s="36">
        <v>2.6280000000000001</v>
      </c>
      <c r="AG331" s="36">
        <v>2.6280000000000001</v>
      </c>
      <c r="AH331" s="36">
        <v>2.6280000000000001</v>
      </c>
      <c r="AI331" s="39">
        <v>1.33634708931066E-2</v>
      </c>
      <c r="AJ331" s="39">
        <v>1.33634708931066E-2</v>
      </c>
      <c r="AK331" s="39">
        <v>1.33634708931066E-2</v>
      </c>
      <c r="AL331" s="39">
        <v>1.33634708931066E-2</v>
      </c>
      <c r="AM331" s="39">
        <v>1.33634708931066E-2</v>
      </c>
      <c r="AN331" s="39">
        <v>1.33634708931066E-2</v>
      </c>
      <c r="AO331" s="39">
        <v>1.33634708931066E-2</v>
      </c>
      <c r="AP331" s="39">
        <v>1.33634708931066E-2</v>
      </c>
      <c r="AQ331" s="39">
        <v>1.33634708931066E-2</v>
      </c>
      <c r="AR331" s="39">
        <v>1.33634708931066E-2</v>
      </c>
      <c r="AS331" s="39">
        <v>1.33634708931066E-2</v>
      </c>
      <c r="AT331" s="39">
        <v>1.33634708931066E-2</v>
      </c>
      <c r="AU331" s="39">
        <v>1.2392217523121999E-3</v>
      </c>
      <c r="AV331" s="39">
        <v>1.2392217523121999E-3</v>
      </c>
      <c r="AW331" s="39">
        <v>1.2392217523121999E-3</v>
      </c>
      <c r="AX331" s="39">
        <v>1.2392217523121999E-3</v>
      </c>
      <c r="AY331" s="39">
        <v>1.2392217523121999E-3</v>
      </c>
      <c r="AZ331" s="39">
        <v>1.2392217523121999E-3</v>
      </c>
      <c r="BA331" s="39">
        <v>1.2392217523121999E-3</v>
      </c>
      <c r="BB331" s="39">
        <v>1.2392217523121999E-3</v>
      </c>
      <c r="BC331" s="39">
        <v>1.2392217523121999E-3</v>
      </c>
      <c r="BD331" s="39">
        <v>1.2392217523121999E-3</v>
      </c>
      <c r="BE331" s="39">
        <v>1.2392217523121999E-3</v>
      </c>
      <c r="BF331" s="39">
        <v>1.2392217523121999E-3</v>
      </c>
      <c r="BG331" s="1"/>
      <c r="BH331" s="12">
        <f t="shared" si="168"/>
        <v>393344746501.3382</v>
      </c>
      <c r="BI331" s="12">
        <f t="shared" si="169"/>
        <v>335894684781.6853</v>
      </c>
      <c r="BJ331" s="12">
        <f t="shared" si="170"/>
        <v>202102167773.04471</v>
      </c>
      <c r="BK331" s="12">
        <f t="shared" si="171"/>
        <v>571740200940.57202</v>
      </c>
      <c r="BL331" s="12">
        <f t="shared" si="172"/>
        <v>787836863226.55823</v>
      </c>
      <c r="BM331" s="12">
        <f t="shared" si="173"/>
        <v>1701105452818.5383</v>
      </c>
      <c r="BN331" s="12">
        <f t="shared" si="174"/>
        <v>2132454664003.5815</v>
      </c>
      <c r="BO331" s="12">
        <f t="shared" si="175"/>
        <v>2098498495576.627</v>
      </c>
      <c r="BP331" s="12">
        <f t="shared" si="176"/>
        <v>2178056075792.8682</v>
      </c>
      <c r="BQ331" s="12">
        <f t="shared" si="177"/>
        <v>2254165991851.0791</v>
      </c>
      <c r="BR331" s="12">
        <f t="shared" si="178"/>
        <v>2344238782136.0991</v>
      </c>
      <c r="BS331" s="12">
        <f t="shared" si="179"/>
        <v>132319479352.53439</v>
      </c>
      <c r="BT331" s="1"/>
      <c r="BU331" s="11">
        <f t="shared" si="180"/>
        <v>399088638938.18744</v>
      </c>
      <c r="BV331" s="11">
        <f t="shared" si="181"/>
        <v>340799651624.7821</v>
      </c>
      <c r="BW331" s="11">
        <f t="shared" si="182"/>
        <v>205053403612.00735</v>
      </c>
      <c r="BX331" s="11">
        <f t="shared" si="183"/>
        <v>580089147367.93713</v>
      </c>
      <c r="BY331" s="11">
        <f t="shared" si="184"/>
        <v>799341402794.98645</v>
      </c>
      <c r="BZ331" s="11">
        <f t="shared" si="185"/>
        <v>1725946172903.4934</v>
      </c>
      <c r="CA331" s="11">
        <f t="shared" si="186"/>
        <v>2163594244042.3157</v>
      </c>
      <c r="CB331" s="11">
        <f t="shared" si="187"/>
        <v>2129142224124.4063</v>
      </c>
      <c r="CC331" s="11">
        <f t="shared" si="188"/>
        <v>2209861559232.1582</v>
      </c>
      <c r="CD331" s="11">
        <f t="shared" si="189"/>
        <v>2287082885001.8359</v>
      </c>
      <c r="CE331" s="11">
        <f t="shared" si="190"/>
        <v>2378470980559.1035</v>
      </c>
      <c r="CF331" s="11">
        <f t="shared" si="191"/>
        <v>134251700040.52129</v>
      </c>
      <c r="CG331" s="11"/>
      <c r="CH331" s="41">
        <v>3.23</v>
      </c>
      <c r="CI331" s="1"/>
      <c r="CJ331" s="53">
        <f t="shared" si="192"/>
        <v>151860212685764</v>
      </c>
      <c r="CK331" s="53">
        <f t="shared" si="193"/>
        <v>129680232733935</v>
      </c>
      <c r="CL331" s="53">
        <f t="shared" si="194"/>
        <v>78026409289196</v>
      </c>
      <c r="CM331" s="53">
        <f t="shared" si="195"/>
        <v>220734074340920</v>
      </c>
      <c r="CN331" s="53">
        <f t="shared" si="196"/>
        <v>304163395279675</v>
      </c>
      <c r="CO331" s="53">
        <f t="shared" si="197"/>
        <v>656752729415332</v>
      </c>
      <c r="CP331" s="53">
        <f t="shared" si="198"/>
        <v>823285480990227</v>
      </c>
      <c r="CQ331" s="53">
        <f t="shared" si="199"/>
        <v>810175884370018</v>
      </c>
      <c r="CR331" s="53">
        <f t="shared" si="200"/>
        <v>840891004274033</v>
      </c>
      <c r="CS331" s="53">
        <f t="shared" si="201"/>
        <v>870275070396437</v>
      </c>
      <c r="CT331" s="53">
        <f t="shared" si="202"/>
        <v>905049840395397</v>
      </c>
      <c r="CU331" s="53">
        <f t="shared" si="203"/>
        <v>51085121781020</v>
      </c>
      <c r="CV331" s="53">
        <f t="shared" si="205"/>
        <v>5841979455951950</v>
      </c>
      <c r="CW331" s="1"/>
      <c r="CX331" s="1"/>
      <c r="CY331" s="1"/>
      <c r="CZ331" s="1"/>
      <c r="DA331" s="1"/>
      <c r="DB331" s="1"/>
      <c r="DC331" s="1"/>
      <c r="DD331" s="1"/>
      <c r="DE331" s="1"/>
      <c r="DF331" s="1"/>
      <c r="DG331" s="1"/>
      <c r="DH331" s="1"/>
      <c r="DI331" s="1"/>
      <c r="DJ331" s="1"/>
      <c r="DK331" s="1"/>
      <c r="DL331" s="1"/>
    </row>
    <row r="332" spans="1:116" ht="15.75" hidden="1" x14ac:dyDescent="0.25">
      <c r="A332" s="17"/>
      <c r="B332" s="17"/>
      <c r="C332" s="17"/>
      <c r="D332" s="17"/>
      <c r="E332" s="17"/>
      <c r="F332" s="32" t="s">
        <v>2950</v>
      </c>
      <c r="G332" s="55">
        <v>0</v>
      </c>
      <c r="H332" s="55">
        <v>25.71</v>
      </c>
      <c r="I332" s="55">
        <v>25.71</v>
      </c>
      <c r="J332" s="55">
        <v>25.71</v>
      </c>
      <c r="K332" s="55">
        <v>0</v>
      </c>
      <c r="L332" s="55">
        <v>0</v>
      </c>
      <c r="M332" s="55">
        <v>0</v>
      </c>
      <c r="N332" s="55">
        <v>0</v>
      </c>
      <c r="O332" s="55">
        <v>0</v>
      </c>
      <c r="P332" s="55">
        <v>0</v>
      </c>
      <c r="Q332" s="55">
        <v>0</v>
      </c>
      <c r="R332" s="55">
        <v>0</v>
      </c>
      <c r="S332" s="11">
        <f t="shared" si="206"/>
        <v>77.13</v>
      </c>
      <c r="T332" s="102"/>
      <c r="U332" s="1"/>
      <c r="V332" s="50">
        <f t="shared" si="204"/>
        <v>49494</v>
      </c>
      <c r="W332" s="36">
        <v>5.1070000000000002</v>
      </c>
      <c r="X332" s="36">
        <v>5.1070000000000002</v>
      </c>
      <c r="Y332" s="36">
        <v>5.1070000000000002</v>
      </c>
      <c r="Z332" s="36">
        <v>5.1070000000000002</v>
      </c>
      <c r="AA332" s="36">
        <v>5.1070000000000002</v>
      </c>
      <c r="AB332" s="36">
        <v>5.1070000000000002</v>
      </c>
      <c r="AC332" s="36">
        <v>5.1070000000000002</v>
      </c>
      <c r="AD332" s="36">
        <v>5.1070000000000002</v>
      </c>
      <c r="AE332" s="36">
        <v>5.1070000000000002</v>
      </c>
      <c r="AF332" s="36">
        <v>5.1070000000000002</v>
      </c>
      <c r="AG332" s="36">
        <v>5.1070000000000002</v>
      </c>
      <c r="AH332" s="36">
        <v>5.1070000000000002</v>
      </c>
      <c r="AI332" s="39">
        <v>1.33634708931066E-2</v>
      </c>
      <c r="AJ332" s="39">
        <v>1.33634708931066E-2</v>
      </c>
      <c r="AK332" s="39">
        <v>1.33634708931066E-2</v>
      </c>
      <c r="AL332" s="39">
        <v>1.33634708931066E-2</v>
      </c>
      <c r="AM332" s="39">
        <v>1.33634708931066E-2</v>
      </c>
      <c r="AN332" s="39">
        <v>1.33634708931066E-2</v>
      </c>
      <c r="AO332" s="39">
        <v>1.33634708931066E-2</v>
      </c>
      <c r="AP332" s="39">
        <v>1.33634708931066E-2</v>
      </c>
      <c r="AQ332" s="39">
        <v>1.33634708931066E-2</v>
      </c>
      <c r="AR332" s="39">
        <v>1.33634708931066E-2</v>
      </c>
      <c r="AS332" s="39">
        <v>1.33634708931066E-2</v>
      </c>
      <c r="AT332" s="39">
        <v>1.33634708931066E-2</v>
      </c>
      <c r="AU332" s="39">
        <v>1.2392217523121999E-3</v>
      </c>
      <c r="AV332" s="39">
        <v>1.2392217523121999E-3</v>
      </c>
      <c r="AW332" s="39">
        <v>1.2392217523121999E-3</v>
      </c>
      <c r="AX332" s="39">
        <v>1.2392217523121999E-3</v>
      </c>
      <c r="AY332" s="39">
        <v>1.2392217523121999E-3</v>
      </c>
      <c r="AZ332" s="39">
        <v>1.2392217523121999E-3</v>
      </c>
      <c r="BA332" s="39">
        <v>1.2392217523121999E-3</v>
      </c>
      <c r="BB332" s="39">
        <v>1.2392217523121999E-3</v>
      </c>
      <c r="BC332" s="39">
        <v>1.2392217523121999E-3</v>
      </c>
      <c r="BD332" s="39">
        <v>1.2392217523121999E-3</v>
      </c>
      <c r="BE332" s="39">
        <v>1.2392217523121999E-3</v>
      </c>
      <c r="BF332" s="39">
        <v>1.2392217523121999E-3</v>
      </c>
      <c r="BG332" s="1"/>
      <c r="BH332" s="12">
        <f t="shared" si="168"/>
        <v>0</v>
      </c>
      <c r="BI332" s="12">
        <f t="shared" si="169"/>
        <v>83.043300000000002</v>
      </c>
      <c r="BJ332" s="12">
        <f t="shared" si="170"/>
        <v>83.043300000000002</v>
      </c>
      <c r="BK332" s="12">
        <f t="shared" si="171"/>
        <v>83.043300000000002</v>
      </c>
      <c r="BL332" s="12">
        <f t="shared" si="172"/>
        <v>0</v>
      </c>
      <c r="BM332" s="12">
        <f t="shared" si="173"/>
        <v>0</v>
      </c>
      <c r="BN332" s="12">
        <f t="shared" si="174"/>
        <v>0</v>
      </c>
      <c r="BO332" s="12">
        <f t="shared" si="175"/>
        <v>0</v>
      </c>
      <c r="BP332" s="12">
        <f t="shared" si="176"/>
        <v>0</v>
      </c>
      <c r="BQ332" s="12">
        <f t="shared" si="177"/>
        <v>0</v>
      </c>
      <c r="BR332" s="12">
        <f t="shared" si="178"/>
        <v>0</v>
      </c>
      <c r="BS332" s="12">
        <f t="shared" si="179"/>
        <v>0</v>
      </c>
      <c r="BT332" s="1"/>
      <c r="BU332" s="11">
        <f t="shared" si="180"/>
        <v>0</v>
      </c>
      <c r="BV332" s="11">
        <f t="shared" si="181"/>
        <v>84.255955786161309</v>
      </c>
      <c r="BW332" s="11">
        <f t="shared" si="182"/>
        <v>84.255955786161309</v>
      </c>
      <c r="BX332" s="11">
        <f t="shared" si="183"/>
        <v>84.255955786161309</v>
      </c>
      <c r="BY332" s="11">
        <f t="shared" si="184"/>
        <v>0</v>
      </c>
      <c r="BZ332" s="11">
        <f t="shared" si="185"/>
        <v>0</v>
      </c>
      <c r="CA332" s="11">
        <f t="shared" si="186"/>
        <v>0</v>
      </c>
      <c r="CB332" s="11">
        <f t="shared" si="187"/>
        <v>0</v>
      </c>
      <c r="CC332" s="11">
        <f t="shared" si="188"/>
        <v>0</v>
      </c>
      <c r="CD332" s="11">
        <f t="shared" si="189"/>
        <v>0</v>
      </c>
      <c r="CE332" s="11">
        <f t="shared" si="190"/>
        <v>0</v>
      </c>
      <c r="CF332" s="11">
        <f t="shared" si="191"/>
        <v>0</v>
      </c>
      <c r="CG332" s="11"/>
      <c r="CH332" s="41">
        <v>3.23</v>
      </c>
      <c r="CI332" s="1"/>
      <c r="CJ332" s="53">
        <f t="shared" si="192"/>
        <v>0</v>
      </c>
      <c r="CK332" s="53">
        <f t="shared" si="193"/>
        <v>16498</v>
      </c>
      <c r="CL332" s="53">
        <f t="shared" si="194"/>
        <v>16498</v>
      </c>
      <c r="CM332" s="53">
        <f t="shared" si="195"/>
        <v>16498</v>
      </c>
      <c r="CN332" s="53">
        <f t="shared" si="196"/>
        <v>0</v>
      </c>
      <c r="CO332" s="53">
        <f t="shared" si="197"/>
        <v>0</v>
      </c>
      <c r="CP332" s="53">
        <f t="shared" si="198"/>
        <v>0</v>
      </c>
      <c r="CQ332" s="53">
        <f t="shared" si="199"/>
        <v>0</v>
      </c>
      <c r="CR332" s="53">
        <f t="shared" si="200"/>
        <v>0</v>
      </c>
      <c r="CS332" s="53">
        <f t="shared" si="201"/>
        <v>0</v>
      </c>
      <c r="CT332" s="53">
        <f t="shared" si="202"/>
        <v>0</v>
      </c>
      <c r="CU332" s="53">
        <f t="shared" si="203"/>
        <v>0</v>
      </c>
      <c r="CV332" s="53">
        <f t="shared" si="205"/>
        <v>49494</v>
      </c>
      <c r="CW332" s="1"/>
      <c r="CX332" s="1"/>
      <c r="CY332" s="1"/>
      <c r="CZ332" s="1"/>
      <c r="DA332" s="1"/>
      <c r="DB332" s="1"/>
      <c r="DC332" s="1"/>
      <c r="DD332" s="1"/>
      <c r="DE332" s="1"/>
      <c r="DF332" s="1"/>
      <c r="DG332" s="1"/>
      <c r="DH332" s="1"/>
      <c r="DI332" s="1"/>
      <c r="DJ332" s="1"/>
      <c r="DK332" s="1"/>
      <c r="DL332" s="1"/>
    </row>
    <row r="333" spans="1:116" ht="15.75" hidden="1" x14ac:dyDescent="0.25">
      <c r="A333" s="17"/>
      <c r="B333" s="17"/>
      <c r="C333" s="17"/>
      <c r="D333" s="17"/>
      <c r="E333" s="17"/>
      <c r="F333" s="32" t="s">
        <v>2950</v>
      </c>
      <c r="G333" s="55">
        <v>0</v>
      </c>
      <c r="H333" s="55">
        <v>24.83</v>
      </c>
      <c r="I333" s="55">
        <v>24.83</v>
      </c>
      <c r="J333" s="55">
        <v>26.07</v>
      </c>
      <c r="K333" s="55">
        <v>20.86</v>
      </c>
      <c r="L333" s="55">
        <v>4.17</v>
      </c>
      <c r="M333" s="55">
        <v>0</v>
      </c>
      <c r="N333" s="55">
        <v>0</v>
      </c>
      <c r="O333" s="55">
        <v>0</v>
      </c>
      <c r="P333" s="55">
        <v>0</v>
      </c>
      <c r="Q333" s="55">
        <v>0</v>
      </c>
      <c r="R333" s="55">
        <v>0</v>
      </c>
      <c r="S333" s="11">
        <f t="shared" si="206"/>
        <v>100.75999999999999</v>
      </c>
      <c r="T333" s="102"/>
      <c r="U333" s="1"/>
      <c r="V333" s="50">
        <f t="shared" si="204"/>
        <v>101414</v>
      </c>
      <c r="W333" s="36">
        <v>3.2559999999999998</v>
      </c>
      <c r="X333" s="36">
        <v>3.2559999999999998</v>
      </c>
      <c r="Y333" s="36">
        <v>3.2559999999999998</v>
      </c>
      <c r="Z333" s="36">
        <v>3.2559999999999998</v>
      </c>
      <c r="AA333" s="36">
        <v>3.2559999999999998</v>
      </c>
      <c r="AB333" s="36">
        <v>3.2559999999999998</v>
      </c>
      <c r="AC333" s="36">
        <v>3.2559999999999998</v>
      </c>
      <c r="AD333" s="36">
        <v>3.2559999999999998</v>
      </c>
      <c r="AE333" s="36">
        <v>3.2559999999999998</v>
      </c>
      <c r="AF333" s="36">
        <v>3.2559999999999998</v>
      </c>
      <c r="AG333" s="36">
        <v>3.2559999999999998</v>
      </c>
      <c r="AH333" s="36">
        <v>3.2559999999999998</v>
      </c>
      <c r="AI333" s="39">
        <v>1.33634708931066E-2</v>
      </c>
      <c r="AJ333" s="39">
        <v>1.33634708931066E-2</v>
      </c>
      <c r="AK333" s="39">
        <v>1.33634708931066E-2</v>
      </c>
      <c r="AL333" s="39">
        <v>1.33634708931066E-2</v>
      </c>
      <c r="AM333" s="39">
        <v>1.33634708931066E-2</v>
      </c>
      <c r="AN333" s="39">
        <v>1.33634708931066E-2</v>
      </c>
      <c r="AO333" s="39">
        <v>1.33634708931066E-2</v>
      </c>
      <c r="AP333" s="39">
        <v>1.33634708931066E-2</v>
      </c>
      <c r="AQ333" s="39">
        <v>1.33634708931066E-2</v>
      </c>
      <c r="AR333" s="39">
        <v>1.33634708931066E-2</v>
      </c>
      <c r="AS333" s="39">
        <v>1.33634708931066E-2</v>
      </c>
      <c r="AT333" s="39">
        <v>1.33634708931066E-2</v>
      </c>
      <c r="AU333" s="39">
        <v>1.2392217523121999E-3</v>
      </c>
      <c r="AV333" s="39">
        <v>1.2392217523121999E-3</v>
      </c>
      <c r="AW333" s="39">
        <v>1.2392217523121999E-3</v>
      </c>
      <c r="AX333" s="39">
        <v>1.2392217523121999E-3</v>
      </c>
      <c r="AY333" s="39">
        <v>1.2392217523121999E-3</v>
      </c>
      <c r="AZ333" s="39">
        <v>1.2392217523121999E-3</v>
      </c>
      <c r="BA333" s="39">
        <v>1.2392217523121999E-3</v>
      </c>
      <c r="BB333" s="39">
        <v>1.2392217523121999E-3</v>
      </c>
      <c r="BC333" s="39">
        <v>1.2392217523121999E-3</v>
      </c>
      <c r="BD333" s="39">
        <v>1.2392217523121999E-3</v>
      </c>
      <c r="BE333" s="39">
        <v>1.2392217523121999E-3</v>
      </c>
      <c r="BF333" s="39">
        <v>1.2392217523121999E-3</v>
      </c>
      <c r="BG333" s="1"/>
      <c r="BH333" s="12">
        <f t="shared" si="168"/>
        <v>0</v>
      </c>
      <c r="BI333" s="12">
        <f t="shared" si="169"/>
        <v>80.20089999999999</v>
      </c>
      <c r="BJ333" s="12">
        <f t="shared" si="170"/>
        <v>80.20089999999999</v>
      </c>
      <c r="BK333" s="12">
        <f t="shared" si="171"/>
        <v>84.206100000000006</v>
      </c>
      <c r="BL333" s="12">
        <f t="shared" si="172"/>
        <v>67.377799999999993</v>
      </c>
      <c r="BM333" s="12">
        <f t="shared" si="173"/>
        <v>13.469099999999999</v>
      </c>
      <c r="BN333" s="12">
        <f t="shared" si="174"/>
        <v>0</v>
      </c>
      <c r="BO333" s="12">
        <f t="shared" si="175"/>
        <v>0</v>
      </c>
      <c r="BP333" s="12">
        <f t="shared" si="176"/>
        <v>0</v>
      </c>
      <c r="BQ333" s="12">
        <f t="shared" si="177"/>
        <v>0</v>
      </c>
      <c r="BR333" s="12">
        <f t="shared" si="178"/>
        <v>0</v>
      </c>
      <c r="BS333" s="12">
        <f t="shared" si="179"/>
        <v>0</v>
      </c>
      <c r="BT333" s="1"/>
      <c r="BU333" s="11">
        <f t="shared" si="180"/>
        <v>0</v>
      </c>
      <c r="BV333" s="11">
        <f t="shared" si="181"/>
        <v>81.372049092585954</v>
      </c>
      <c r="BW333" s="11">
        <f t="shared" si="182"/>
        <v>81.372049092585954</v>
      </c>
      <c r="BX333" s="11">
        <f t="shared" si="183"/>
        <v>85.4357357971694</v>
      </c>
      <c r="BY333" s="11">
        <f t="shared" si="184"/>
        <v>68.361697304524498</v>
      </c>
      <c r="BZ333" s="11">
        <f t="shared" si="185"/>
        <v>13.665785127510409</v>
      </c>
      <c r="CA333" s="11">
        <f t="shared" si="186"/>
        <v>0</v>
      </c>
      <c r="CB333" s="11">
        <f t="shared" si="187"/>
        <v>0</v>
      </c>
      <c r="CC333" s="11">
        <f t="shared" si="188"/>
        <v>0</v>
      </c>
      <c r="CD333" s="11">
        <f t="shared" si="189"/>
        <v>0</v>
      </c>
      <c r="CE333" s="11">
        <f t="shared" si="190"/>
        <v>0</v>
      </c>
      <c r="CF333" s="11">
        <f t="shared" si="191"/>
        <v>0</v>
      </c>
      <c r="CG333" s="11"/>
      <c r="CH333" s="41">
        <v>3.23</v>
      </c>
      <c r="CI333" s="1"/>
      <c r="CJ333" s="53">
        <f t="shared" si="192"/>
        <v>0</v>
      </c>
      <c r="CK333" s="53">
        <f t="shared" si="193"/>
        <v>24991</v>
      </c>
      <c r="CL333" s="53">
        <f t="shared" si="194"/>
        <v>24991</v>
      </c>
      <c r="CM333" s="53">
        <f t="shared" si="195"/>
        <v>26239</v>
      </c>
      <c r="CN333" s="53">
        <f t="shared" si="196"/>
        <v>20996</v>
      </c>
      <c r="CO333" s="53">
        <f t="shared" si="197"/>
        <v>4197</v>
      </c>
      <c r="CP333" s="53">
        <f t="shared" si="198"/>
        <v>0</v>
      </c>
      <c r="CQ333" s="53">
        <f t="shared" si="199"/>
        <v>0</v>
      </c>
      <c r="CR333" s="53">
        <f t="shared" si="200"/>
        <v>0</v>
      </c>
      <c r="CS333" s="53">
        <f t="shared" si="201"/>
        <v>0</v>
      </c>
      <c r="CT333" s="53">
        <f t="shared" si="202"/>
        <v>0</v>
      </c>
      <c r="CU333" s="53">
        <f t="shared" si="203"/>
        <v>0</v>
      </c>
      <c r="CV333" s="53">
        <f t="shared" si="205"/>
        <v>101414</v>
      </c>
      <c r="CW333" s="1"/>
      <c r="CX333" s="1"/>
      <c r="CY333" s="1"/>
      <c r="CZ333" s="1"/>
      <c r="DA333" s="1"/>
      <c r="DB333" s="1"/>
      <c r="DC333" s="1"/>
      <c r="DD333" s="1"/>
      <c r="DE333" s="1"/>
      <c r="DF333" s="1"/>
      <c r="DG333" s="1"/>
      <c r="DH333" s="1"/>
      <c r="DI333" s="1"/>
      <c r="DJ333" s="1"/>
      <c r="DK333" s="1"/>
      <c r="DL333" s="1"/>
    </row>
    <row r="334" spans="1:116" ht="15.75" hidden="1" x14ac:dyDescent="0.25">
      <c r="A334" s="17"/>
      <c r="B334" s="17"/>
      <c r="C334" s="17"/>
      <c r="D334" s="17"/>
      <c r="E334" s="17"/>
      <c r="F334" s="32" t="s">
        <v>2950</v>
      </c>
      <c r="G334" s="55">
        <v>72375711124.009995</v>
      </c>
      <c r="H334" s="55">
        <v>129266480627.00999</v>
      </c>
      <c r="I334" s="55">
        <v>40946009441.860001</v>
      </c>
      <c r="J334" s="55">
        <v>311498849867.08002</v>
      </c>
      <c r="K334" s="55">
        <v>45896981098.230003</v>
      </c>
      <c r="L334" s="55">
        <v>304069015184.94</v>
      </c>
      <c r="M334" s="55">
        <v>273021312073.81</v>
      </c>
      <c r="N334" s="55">
        <v>64268935948.610001</v>
      </c>
      <c r="O334" s="55">
        <v>107316947803.92</v>
      </c>
      <c r="P334" s="55">
        <v>122730477571.78</v>
      </c>
      <c r="Q334" s="55">
        <v>125754830169.50999</v>
      </c>
      <c r="R334" s="55">
        <v>82344520062.399994</v>
      </c>
      <c r="S334" s="11">
        <f t="shared" si="206"/>
        <v>1679490070973.1599</v>
      </c>
      <c r="T334" s="102"/>
      <c r="U334" s="1"/>
      <c r="V334" s="50">
        <f t="shared" si="204"/>
        <v>3835518417384240</v>
      </c>
      <c r="W334" s="36">
        <v>1.4350000000000001</v>
      </c>
      <c r="X334" s="36">
        <v>1.4350000000000001</v>
      </c>
      <c r="Y334" s="36">
        <v>1.4350000000000001</v>
      </c>
      <c r="Z334" s="36">
        <v>1.4350000000000001</v>
      </c>
      <c r="AA334" s="36">
        <v>1.4350000000000001</v>
      </c>
      <c r="AB334" s="36">
        <v>1.4350000000000001</v>
      </c>
      <c r="AC334" s="36">
        <v>1.4350000000000001</v>
      </c>
      <c r="AD334" s="36">
        <v>1.4350000000000001</v>
      </c>
      <c r="AE334" s="36">
        <v>1.4350000000000001</v>
      </c>
      <c r="AF334" s="36">
        <v>1.4350000000000001</v>
      </c>
      <c r="AG334" s="36">
        <v>1.4350000000000001</v>
      </c>
      <c r="AH334" s="36">
        <v>1.4350000000000001</v>
      </c>
      <c r="AI334" s="39">
        <v>1.33634708931066E-2</v>
      </c>
      <c r="AJ334" s="39">
        <v>1.33634708931066E-2</v>
      </c>
      <c r="AK334" s="39">
        <v>1.33634708931066E-2</v>
      </c>
      <c r="AL334" s="39">
        <v>1.33634708931066E-2</v>
      </c>
      <c r="AM334" s="39">
        <v>1.33634708931066E-2</v>
      </c>
      <c r="AN334" s="39">
        <v>1.33634708931066E-2</v>
      </c>
      <c r="AO334" s="39">
        <v>1.33634708931066E-2</v>
      </c>
      <c r="AP334" s="39">
        <v>1.33634708931066E-2</v>
      </c>
      <c r="AQ334" s="39">
        <v>1.33634708931066E-2</v>
      </c>
      <c r="AR334" s="39">
        <v>1.33634708931066E-2</v>
      </c>
      <c r="AS334" s="39">
        <v>1.33634708931066E-2</v>
      </c>
      <c r="AT334" s="39">
        <v>1.33634708931066E-2</v>
      </c>
      <c r="AU334" s="39">
        <v>1.2392217523121999E-3</v>
      </c>
      <c r="AV334" s="39">
        <v>1.2392217523121999E-3</v>
      </c>
      <c r="AW334" s="39">
        <v>1.2392217523121999E-3</v>
      </c>
      <c r="AX334" s="39">
        <v>1.2392217523121999E-3</v>
      </c>
      <c r="AY334" s="39">
        <v>1.2392217523121999E-3</v>
      </c>
      <c r="AZ334" s="39">
        <v>1.2392217523121999E-3</v>
      </c>
      <c r="BA334" s="39">
        <v>1.2392217523121999E-3</v>
      </c>
      <c r="BB334" s="39">
        <v>1.2392217523121999E-3</v>
      </c>
      <c r="BC334" s="39">
        <v>1.2392217523121999E-3</v>
      </c>
      <c r="BD334" s="39">
        <v>1.2392217523121999E-3</v>
      </c>
      <c r="BE334" s="39">
        <v>1.2392217523121999E-3</v>
      </c>
      <c r="BF334" s="39">
        <v>1.2392217523121999E-3</v>
      </c>
      <c r="BG334" s="1"/>
      <c r="BH334" s="12">
        <f t="shared" si="168"/>
        <v>233773546930.55228</v>
      </c>
      <c r="BI334" s="12">
        <f t="shared" si="169"/>
        <v>417530732425.24231</v>
      </c>
      <c r="BJ334" s="12">
        <f t="shared" si="170"/>
        <v>132255610497.20779</v>
      </c>
      <c r="BK334" s="12">
        <f t="shared" si="171"/>
        <v>1006141285070.6685</v>
      </c>
      <c r="BL334" s="12">
        <f t="shared" si="172"/>
        <v>148247248947.2829</v>
      </c>
      <c r="BM334" s="12">
        <f t="shared" si="173"/>
        <v>982142919047.3562</v>
      </c>
      <c r="BN334" s="12">
        <f t="shared" si="174"/>
        <v>881858837998.40625</v>
      </c>
      <c r="BO334" s="12">
        <f t="shared" si="175"/>
        <v>207588663114.01031</v>
      </c>
      <c r="BP334" s="12">
        <f t="shared" si="176"/>
        <v>346633741406.66162</v>
      </c>
      <c r="BQ334" s="12">
        <f t="shared" si="177"/>
        <v>396419442556.84937</v>
      </c>
      <c r="BR334" s="12">
        <f t="shared" si="178"/>
        <v>406188101447.51727</v>
      </c>
      <c r="BS334" s="12">
        <f t="shared" si="179"/>
        <v>265972799801.55197</v>
      </c>
      <c r="BT334" s="1"/>
      <c r="BU334" s="11">
        <f t="shared" si="180"/>
        <v>237187270185.00851</v>
      </c>
      <c r="BV334" s="11">
        <f t="shared" si="181"/>
        <v>423627805380.86475</v>
      </c>
      <c r="BW334" s="11">
        <f t="shared" si="182"/>
        <v>134186898527.93074</v>
      </c>
      <c r="BX334" s="11">
        <f t="shared" si="183"/>
        <v>1020833657014.4221</v>
      </c>
      <c r="BY334" s="11">
        <f t="shared" si="184"/>
        <v>150412057959.18896</v>
      </c>
      <c r="BZ334" s="11">
        <f t="shared" si="185"/>
        <v>996484850228.07922</v>
      </c>
      <c r="CA334" s="11">
        <f t="shared" si="186"/>
        <v>894736351566.34314</v>
      </c>
      <c r="CB334" s="11">
        <f t="shared" si="187"/>
        <v>210620016558.1376</v>
      </c>
      <c r="CC334" s="11">
        <f t="shared" si="188"/>
        <v>351695527392.95471</v>
      </c>
      <c r="CD334" s="11">
        <f t="shared" si="189"/>
        <v>402208233835.17529</v>
      </c>
      <c r="CE334" s="11">
        <f t="shared" si="190"/>
        <v>412119541449.18158</v>
      </c>
      <c r="CF334" s="11">
        <f t="shared" si="191"/>
        <v>269856718849.09555</v>
      </c>
      <c r="CG334" s="11"/>
      <c r="CH334" s="41">
        <v>3.23</v>
      </c>
      <c r="CI334" s="1"/>
      <c r="CJ334" s="53">
        <f t="shared" si="192"/>
        <v>165287296296173</v>
      </c>
      <c r="CK334" s="53">
        <f t="shared" si="193"/>
        <v>295211014202693</v>
      </c>
      <c r="CL334" s="53">
        <f t="shared" si="194"/>
        <v>93510033817373</v>
      </c>
      <c r="CM334" s="53">
        <f t="shared" si="195"/>
        <v>711382339382872</v>
      </c>
      <c r="CN334" s="53">
        <f t="shared" si="196"/>
        <v>104816765128355</v>
      </c>
      <c r="CO334" s="53">
        <f t="shared" si="197"/>
        <v>694414529775665</v>
      </c>
      <c r="CP334" s="53">
        <f t="shared" si="198"/>
        <v>623509652659472</v>
      </c>
      <c r="CQ334" s="53">
        <f t="shared" si="199"/>
        <v>146773530702535</v>
      </c>
      <c r="CR334" s="53">
        <f t="shared" si="200"/>
        <v>245083991214603</v>
      </c>
      <c r="CS334" s="53">
        <f t="shared" si="201"/>
        <v>280284483508833</v>
      </c>
      <c r="CT334" s="53">
        <f t="shared" si="202"/>
        <v>287191318083053</v>
      </c>
      <c r="CU334" s="53">
        <f t="shared" si="203"/>
        <v>188053462612610</v>
      </c>
      <c r="CV334" s="53">
        <f t="shared" si="205"/>
        <v>3835518417384240</v>
      </c>
      <c r="CW334" s="1"/>
      <c r="CX334" s="1"/>
      <c r="CY334" s="1"/>
      <c r="CZ334" s="1"/>
      <c r="DA334" s="1"/>
      <c r="DB334" s="1"/>
      <c r="DC334" s="1"/>
      <c r="DD334" s="1"/>
      <c r="DE334" s="1"/>
      <c r="DF334" s="1"/>
      <c r="DG334" s="1"/>
      <c r="DH334" s="1"/>
      <c r="DI334" s="1"/>
      <c r="DJ334" s="1"/>
      <c r="DK334" s="1"/>
      <c r="DL334" s="1"/>
    </row>
    <row r="335" spans="1:116" ht="15.75" hidden="1" x14ac:dyDescent="0.25">
      <c r="A335" s="17"/>
      <c r="B335" s="17"/>
      <c r="C335" s="17"/>
      <c r="D335" s="17"/>
      <c r="E335" s="17"/>
      <c r="F335" s="32" t="s">
        <v>2950</v>
      </c>
      <c r="G335" s="55">
        <v>641272940115.55005</v>
      </c>
      <c r="H335" s="55">
        <v>351811538239.15002</v>
      </c>
      <c r="I335" s="55">
        <v>222681893629.67999</v>
      </c>
      <c r="J335" s="55">
        <v>230318172697.63</v>
      </c>
      <c r="K335" s="55">
        <v>676133204999.95996</v>
      </c>
      <c r="L335" s="55">
        <v>373746442547.89001</v>
      </c>
      <c r="M335" s="55">
        <v>277043149482.51001</v>
      </c>
      <c r="N335" s="55">
        <v>158721083070.20999</v>
      </c>
      <c r="O335" s="55">
        <v>251343508168.17999</v>
      </c>
      <c r="P335" s="55">
        <v>230782391675.04999</v>
      </c>
      <c r="Q335" s="55">
        <v>624997748461.35999</v>
      </c>
      <c r="R335" s="55">
        <v>292983858322.34998</v>
      </c>
      <c r="S335" s="11">
        <f t="shared" si="206"/>
        <v>4331835931409.52</v>
      </c>
      <c r="T335" s="102"/>
      <c r="U335" s="1"/>
      <c r="V335" s="50">
        <f t="shared" si="204"/>
        <v>4802485944635750</v>
      </c>
      <c r="W335" s="36">
        <v>2.956</v>
      </c>
      <c r="X335" s="36">
        <v>2.956</v>
      </c>
      <c r="Y335" s="36">
        <v>2.956</v>
      </c>
      <c r="Z335" s="36">
        <v>2.956</v>
      </c>
      <c r="AA335" s="36">
        <v>2.956</v>
      </c>
      <c r="AB335" s="36">
        <v>2.956</v>
      </c>
      <c r="AC335" s="36">
        <v>2.956</v>
      </c>
      <c r="AD335" s="36">
        <v>2.956</v>
      </c>
      <c r="AE335" s="36">
        <v>2.956</v>
      </c>
      <c r="AF335" s="36">
        <v>2.956</v>
      </c>
      <c r="AG335" s="36">
        <v>2.956</v>
      </c>
      <c r="AH335" s="36">
        <v>2.956</v>
      </c>
      <c r="AI335" s="39">
        <v>1.33634708931066E-2</v>
      </c>
      <c r="AJ335" s="39">
        <v>1.33634708931066E-2</v>
      </c>
      <c r="AK335" s="39">
        <v>1.33634708931066E-2</v>
      </c>
      <c r="AL335" s="39">
        <v>1.33634708931066E-2</v>
      </c>
      <c r="AM335" s="39">
        <v>1.33634708931066E-2</v>
      </c>
      <c r="AN335" s="39">
        <v>1.33634708931066E-2</v>
      </c>
      <c r="AO335" s="39">
        <v>1.33634708931066E-2</v>
      </c>
      <c r="AP335" s="39">
        <v>1.33634708931066E-2</v>
      </c>
      <c r="AQ335" s="39">
        <v>1.33634708931066E-2</v>
      </c>
      <c r="AR335" s="39">
        <v>1.33634708931066E-2</v>
      </c>
      <c r="AS335" s="39">
        <v>1.33634708931066E-2</v>
      </c>
      <c r="AT335" s="39">
        <v>1.33634708931066E-2</v>
      </c>
      <c r="AU335" s="39">
        <v>1.2392217523121999E-3</v>
      </c>
      <c r="AV335" s="39">
        <v>1.2392217523121999E-3</v>
      </c>
      <c r="AW335" s="39">
        <v>1.2392217523121999E-3</v>
      </c>
      <c r="AX335" s="39">
        <v>1.2392217523121999E-3</v>
      </c>
      <c r="AY335" s="39">
        <v>1.2392217523121999E-3</v>
      </c>
      <c r="AZ335" s="39">
        <v>1.2392217523121999E-3</v>
      </c>
      <c r="BA335" s="39">
        <v>1.2392217523121999E-3</v>
      </c>
      <c r="BB335" s="39">
        <v>1.2392217523121999E-3</v>
      </c>
      <c r="BC335" s="39">
        <v>1.2392217523121999E-3</v>
      </c>
      <c r="BD335" s="39">
        <v>1.2392217523121999E-3</v>
      </c>
      <c r="BE335" s="39">
        <v>1.2392217523121999E-3</v>
      </c>
      <c r="BF335" s="39">
        <v>1.2392217523121999E-3</v>
      </c>
      <c r="BG335" s="1"/>
      <c r="BH335" s="12">
        <f t="shared" si="168"/>
        <v>2071311596573.2266</v>
      </c>
      <c r="BI335" s="12">
        <f t="shared" si="169"/>
        <v>1136351268512.4546</v>
      </c>
      <c r="BJ335" s="12">
        <f t="shared" si="170"/>
        <v>719262516423.86633</v>
      </c>
      <c r="BK335" s="12">
        <f t="shared" si="171"/>
        <v>743927697813.34497</v>
      </c>
      <c r="BL335" s="12">
        <f t="shared" si="172"/>
        <v>2183910252149.8706</v>
      </c>
      <c r="BM335" s="12">
        <f t="shared" si="173"/>
        <v>1207201009429.6848</v>
      </c>
      <c r="BN335" s="12">
        <f t="shared" si="174"/>
        <v>894849372828.50732</v>
      </c>
      <c r="BO335" s="12">
        <f t="shared" si="175"/>
        <v>512669098316.77826</v>
      </c>
      <c r="BP335" s="12">
        <f t="shared" si="176"/>
        <v>811839531383.22131</v>
      </c>
      <c r="BQ335" s="12">
        <f t="shared" si="177"/>
        <v>745427125110.4115</v>
      </c>
      <c r="BR335" s="12">
        <f t="shared" si="178"/>
        <v>2018742727530.1926</v>
      </c>
      <c r="BS335" s="12">
        <f t="shared" si="179"/>
        <v>946337862381.19043</v>
      </c>
      <c r="BT335" s="1"/>
      <c r="BU335" s="11">
        <f t="shared" si="180"/>
        <v>2101558323190.8772</v>
      </c>
      <c r="BV335" s="11">
        <f t="shared" si="181"/>
        <v>1152945056823.7737</v>
      </c>
      <c r="BW335" s="11">
        <f t="shared" si="182"/>
        <v>729765685882.57458</v>
      </c>
      <c r="BX335" s="11">
        <f t="shared" si="183"/>
        <v>754791045334.92725</v>
      </c>
      <c r="BY335" s="11">
        <f t="shared" si="184"/>
        <v>2215801222327.1943</v>
      </c>
      <c r="BZ335" s="11">
        <f t="shared" si="185"/>
        <v>1224829394731.6257</v>
      </c>
      <c r="CA335" s="11">
        <f t="shared" si="186"/>
        <v>907916583183.8678</v>
      </c>
      <c r="CB335" s="11">
        <f t="shared" si="187"/>
        <v>520155447588.30219</v>
      </c>
      <c r="CC335" s="11">
        <f t="shared" si="188"/>
        <v>823694574537.41138</v>
      </c>
      <c r="CD335" s="11">
        <f t="shared" si="189"/>
        <v>756312368307.95703</v>
      </c>
      <c r="CE335" s="11">
        <f t="shared" si="190"/>
        <v>2048221807110.4905</v>
      </c>
      <c r="CF335" s="11">
        <f t="shared" si="191"/>
        <v>960156943324.26563</v>
      </c>
      <c r="CG335" s="11"/>
      <c r="CH335" s="41">
        <v>3.23</v>
      </c>
      <c r="CI335" s="1"/>
      <c r="CJ335" s="53">
        <f t="shared" si="192"/>
        <v>710946658724925</v>
      </c>
      <c r="CK335" s="53">
        <f t="shared" si="193"/>
        <v>390035540197488</v>
      </c>
      <c r="CL335" s="53">
        <f t="shared" si="194"/>
        <v>246876077768124</v>
      </c>
      <c r="CM335" s="53">
        <f t="shared" si="195"/>
        <v>255342031574739</v>
      </c>
      <c r="CN335" s="53">
        <f t="shared" si="196"/>
        <v>749594459515289</v>
      </c>
      <c r="CO335" s="53">
        <f t="shared" si="197"/>
        <v>414353651803662</v>
      </c>
      <c r="CP335" s="53">
        <f t="shared" si="198"/>
        <v>307143634365314</v>
      </c>
      <c r="CQ335" s="53">
        <f t="shared" si="199"/>
        <v>175965983622565</v>
      </c>
      <c r="CR335" s="53">
        <f t="shared" si="200"/>
        <v>278651750520099</v>
      </c>
      <c r="CS335" s="53">
        <f t="shared" si="201"/>
        <v>255856687519607</v>
      </c>
      <c r="CT335" s="53">
        <f t="shared" si="202"/>
        <v>692903182378380</v>
      </c>
      <c r="CU335" s="53">
        <f t="shared" si="203"/>
        <v>324816286645557</v>
      </c>
      <c r="CV335" s="53">
        <f t="shared" si="205"/>
        <v>4802485944635750</v>
      </c>
      <c r="CW335" s="1"/>
      <c r="CX335" s="1"/>
      <c r="CY335" s="1"/>
      <c r="CZ335" s="1"/>
      <c r="DA335" s="1"/>
      <c r="DB335" s="1"/>
      <c r="DC335" s="1"/>
      <c r="DD335" s="1"/>
      <c r="DE335" s="1"/>
      <c r="DF335" s="1"/>
      <c r="DG335" s="1"/>
      <c r="DH335" s="1"/>
      <c r="DI335" s="1"/>
      <c r="DJ335" s="1"/>
      <c r="DK335" s="1"/>
      <c r="DL335" s="1"/>
    </row>
    <row r="336" spans="1:116" ht="15.75" hidden="1" x14ac:dyDescent="0.25">
      <c r="A336" s="17"/>
      <c r="B336" s="17"/>
      <c r="C336" s="17"/>
      <c r="D336" s="17"/>
      <c r="E336" s="17"/>
      <c r="F336" s="32" t="s">
        <v>2950</v>
      </c>
      <c r="G336" s="55">
        <v>104.71</v>
      </c>
      <c r="H336" s="55">
        <v>159.1</v>
      </c>
      <c r="I336" s="55">
        <v>140.87</v>
      </c>
      <c r="J336" s="55">
        <v>53.73</v>
      </c>
      <c r="K336" s="55">
        <v>49.12</v>
      </c>
      <c r="L336" s="55">
        <v>40.159999999999997</v>
      </c>
      <c r="M336" s="55">
        <v>40.93</v>
      </c>
      <c r="N336" s="55">
        <v>57.13</v>
      </c>
      <c r="O336" s="55">
        <v>109.89</v>
      </c>
      <c r="P336" s="55">
        <v>161.24</v>
      </c>
      <c r="Q336" s="55">
        <v>125.91</v>
      </c>
      <c r="R336" s="55">
        <v>78.62</v>
      </c>
      <c r="S336" s="11">
        <f t="shared" si="206"/>
        <v>1121.4099999999999</v>
      </c>
      <c r="T336" s="102"/>
      <c r="U336" s="1"/>
      <c r="V336" s="50">
        <f t="shared" si="204"/>
        <v>1057264</v>
      </c>
      <c r="W336" s="36">
        <v>3.476</v>
      </c>
      <c r="X336" s="36">
        <v>3.476</v>
      </c>
      <c r="Y336" s="36">
        <v>3.476</v>
      </c>
      <c r="Z336" s="36">
        <v>3.476</v>
      </c>
      <c r="AA336" s="36">
        <v>3.476</v>
      </c>
      <c r="AB336" s="36">
        <v>3.476</v>
      </c>
      <c r="AC336" s="36">
        <v>3.476</v>
      </c>
      <c r="AD336" s="36">
        <v>3.476</v>
      </c>
      <c r="AE336" s="36">
        <v>3.476</v>
      </c>
      <c r="AF336" s="36">
        <v>3.476</v>
      </c>
      <c r="AG336" s="36">
        <v>3.476</v>
      </c>
      <c r="AH336" s="36">
        <v>3.476</v>
      </c>
      <c r="AI336" s="39">
        <v>1.33634708931066E-2</v>
      </c>
      <c r="AJ336" s="39">
        <v>1.33634708931066E-2</v>
      </c>
      <c r="AK336" s="39">
        <v>1.33634708931066E-2</v>
      </c>
      <c r="AL336" s="39">
        <v>1.33634708931066E-2</v>
      </c>
      <c r="AM336" s="39">
        <v>1.33634708931066E-2</v>
      </c>
      <c r="AN336" s="39">
        <v>1.33634708931066E-2</v>
      </c>
      <c r="AO336" s="39">
        <v>1.33634708931066E-2</v>
      </c>
      <c r="AP336" s="39">
        <v>1.33634708931066E-2</v>
      </c>
      <c r="AQ336" s="39">
        <v>1.33634708931066E-2</v>
      </c>
      <c r="AR336" s="39">
        <v>1.33634708931066E-2</v>
      </c>
      <c r="AS336" s="39">
        <v>1.33634708931066E-2</v>
      </c>
      <c r="AT336" s="39">
        <v>1.33634708931066E-2</v>
      </c>
      <c r="AU336" s="39">
        <v>1.2392217523121999E-3</v>
      </c>
      <c r="AV336" s="39">
        <v>1.2392217523121999E-3</v>
      </c>
      <c r="AW336" s="39">
        <v>1.2392217523121999E-3</v>
      </c>
      <c r="AX336" s="39">
        <v>1.2392217523121999E-3</v>
      </c>
      <c r="AY336" s="39">
        <v>1.2392217523121999E-3</v>
      </c>
      <c r="AZ336" s="39">
        <v>1.2392217523121999E-3</v>
      </c>
      <c r="BA336" s="39">
        <v>1.2392217523121999E-3</v>
      </c>
      <c r="BB336" s="39">
        <v>1.2392217523121999E-3</v>
      </c>
      <c r="BC336" s="39">
        <v>1.2392217523121999E-3</v>
      </c>
      <c r="BD336" s="39">
        <v>1.2392217523121999E-3</v>
      </c>
      <c r="BE336" s="39">
        <v>1.2392217523121999E-3</v>
      </c>
      <c r="BF336" s="39">
        <v>1.2392217523121999E-3</v>
      </c>
      <c r="BG336" s="1"/>
      <c r="BH336" s="12">
        <f t="shared" si="168"/>
        <v>338.2133</v>
      </c>
      <c r="BI336" s="12">
        <f t="shared" si="169"/>
        <v>513.89300000000003</v>
      </c>
      <c r="BJ336" s="12">
        <f t="shared" si="170"/>
        <v>455.01010000000002</v>
      </c>
      <c r="BK336" s="12">
        <f t="shared" si="171"/>
        <v>173.5479</v>
      </c>
      <c r="BL336" s="12">
        <f t="shared" si="172"/>
        <v>158.6576</v>
      </c>
      <c r="BM336" s="12">
        <f t="shared" si="173"/>
        <v>129.71679999999998</v>
      </c>
      <c r="BN336" s="12">
        <f t="shared" si="174"/>
        <v>132.2039</v>
      </c>
      <c r="BO336" s="12">
        <f t="shared" si="175"/>
        <v>184.5299</v>
      </c>
      <c r="BP336" s="12">
        <f t="shared" si="176"/>
        <v>354.94470000000001</v>
      </c>
      <c r="BQ336" s="12">
        <f t="shared" si="177"/>
        <v>520.80520000000001</v>
      </c>
      <c r="BR336" s="12">
        <f t="shared" si="178"/>
        <v>406.6893</v>
      </c>
      <c r="BS336" s="12">
        <f t="shared" si="179"/>
        <v>253.94260000000003</v>
      </c>
      <c r="BT336" s="1"/>
      <c r="BU336" s="11">
        <f t="shared" si="180"/>
        <v>343.15212486849282</v>
      </c>
      <c r="BV336" s="11">
        <f t="shared" si="181"/>
        <v>521.39722153163223</v>
      </c>
      <c r="BW336" s="11">
        <f t="shared" si="182"/>
        <v>461.65447264086129</v>
      </c>
      <c r="BX336" s="11">
        <f t="shared" si="183"/>
        <v>176.08216664295787</v>
      </c>
      <c r="BY336" s="11">
        <f t="shared" si="184"/>
        <v>160.97442816865981</v>
      </c>
      <c r="BZ336" s="11">
        <f t="shared" si="185"/>
        <v>131.61101456134725</v>
      </c>
      <c r="CA336" s="11">
        <f t="shared" si="186"/>
        <v>134.13443291822568</v>
      </c>
      <c r="CB336" s="11">
        <f t="shared" si="187"/>
        <v>187.22453341358985</v>
      </c>
      <c r="CC336" s="11">
        <f t="shared" si="188"/>
        <v>360.12784836022041</v>
      </c>
      <c r="CD336" s="11">
        <f t="shared" si="189"/>
        <v>528.41035826373593</v>
      </c>
      <c r="CE336" s="11">
        <f t="shared" si="190"/>
        <v>412.62805885008055</v>
      </c>
      <c r="CF336" s="11">
        <f t="shared" si="191"/>
        <v>257.65084573737857</v>
      </c>
      <c r="CG336" s="11"/>
      <c r="CH336" s="41">
        <v>3.23</v>
      </c>
      <c r="CI336" s="1"/>
      <c r="CJ336" s="53">
        <f t="shared" si="192"/>
        <v>98720</v>
      </c>
      <c r="CK336" s="53">
        <f t="shared" si="193"/>
        <v>149999</v>
      </c>
      <c r="CL336" s="53">
        <f t="shared" si="194"/>
        <v>132812</v>
      </c>
      <c r="CM336" s="53">
        <f t="shared" si="195"/>
        <v>50657</v>
      </c>
      <c r="CN336" s="53">
        <f t="shared" si="196"/>
        <v>46310</v>
      </c>
      <c r="CO336" s="53">
        <f t="shared" si="197"/>
        <v>37863</v>
      </c>
      <c r="CP336" s="53">
        <f t="shared" si="198"/>
        <v>38589</v>
      </c>
      <c r="CQ336" s="53">
        <f t="shared" si="199"/>
        <v>53862</v>
      </c>
      <c r="CR336" s="53">
        <f t="shared" si="200"/>
        <v>103604</v>
      </c>
      <c r="CS336" s="53">
        <f t="shared" si="201"/>
        <v>152017</v>
      </c>
      <c r="CT336" s="53">
        <f t="shared" si="202"/>
        <v>118708</v>
      </c>
      <c r="CU336" s="53">
        <f t="shared" si="203"/>
        <v>74123</v>
      </c>
      <c r="CV336" s="53">
        <f t="shared" si="205"/>
        <v>1057264</v>
      </c>
      <c r="CW336" s="1"/>
      <c r="CX336" s="1"/>
      <c r="CY336" s="1"/>
      <c r="CZ336" s="1"/>
      <c r="DA336" s="1"/>
      <c r="DB336" s="1"/>
      <c r="DC336" s="1"/>
      <c r="DD336" s="1"/>
      <c r="DE336" s="1"/>
      <c r="DF336" s="1"/>
      <c r="DG336" s="1"/>
      <c r="DH336" s="1"/>
      <c r="DI336" s="1"/>
      <c r="DJ336" s="1"/>
      <c r="DK336" s="1"/>
      <c r="DL336" s="1"/>
    </row>
    <row r="337" spans="1:116" ht="15.75" hidden="1" x14ac:dyDescent="0.25">
      <c r="A337" s="17"/>
      <c r="B337" s="17"/>
      <c r="C337" s="17"/>
      <c r="D337" s="17"/>
      <c r="E337" s="17"/>
      <c r="F337" s="32" t="s">
        <v>2950</v>
      </c>
      <c r="G337" s="55">
        <v>0</v>
      </c>
      <c r="H337" s="55">
        <v>203.04</v>
      </c>
      <c r="I337" s="55">
        <v>179.16</v>
      </c>
      <c r="J337" s="55">
        <v>119.44</v>
      </c>
      <c r="K337" s="55">
        <v>83.61</v>
      </c>
      <c r="L337" s="55">
        <v>71.66</v>
      </c>
      <c r="M337" s="55">
        <v>0</v>
      </c>
      <c r="N337" s="55">
        <v>0</v>
      </c>
      <c r="O337" s="55">
        <v>0</v>
      </c>
      <c r="P337" s="55">
        <v>0</v>
      </c>
      <c r="Q337" s="55">
        <v>0</v>
      </c>
      <c r="R337" s="55">
        <v>0</v>
      </c>
      <c r="S337" s="11">
        <f t="shared" si="206"/>
        <v>656.91</v>
      </c>
      <c r="T337" s="102"/>
      <c r="U337" s="1"/>
      <c r="V337" s="50">
        <f t="shared" si="204"/>
        <v>549886</v>
      </c>
      <c r="W337" s="36">
        <v>3.915</v>
      </c>
      <c r="X337" s="36">
        <v>3.915</v>
      </c>
      <c r="Y337" s="36">
        <v>3.915</v>
      </c>
      <c r="Z337" s="36">
        <v>3.915</v>
      </c>
      <c r="AA337" s="36">
        <v>3.915</v>
      </c>
      <c r="AB337" s="36">
        <v>3.915</v>
      </c>
      <c r="AC337" s="36">
        <v>3.915</v>
      </c>
      <c r="AD337" s="36">
        <v>3.915</v>
      </c>
      <c r="AE337" s="36">
        <v>3.915</v>
      </c>
      <c r="AF337" s="36">
        <v>3.915</v>
      </c>
      <c r="AG337" s="36">
        <v>3.915</v>
      </c>
      <c r="AH337" s="36">
        <v>3.915</v>
      </c>
      <c r="AI337" s="39">
        <v>1.33634708931066E-2</v>
      </c>
      <c r="AJ337" s="39">
        <v>1.33634708931066E-2</v>
      </c>
      <c r="AK337" s="39">
        <v>1.33634708931066E-2</v>
      </c>
      <c r="AL337" s="39">
        <v>1.33634708931066E-2</v>
      </c>
      <c r="AM337" s="39">
        <v>1.33634708931066E-2</v>
      </c>
      <c r="AN337" s="39">
        <v>1.33634708931066E-2</v>
      </c>
      <c r="AO337" s="39">
        <v>1.33634708931066E-2</v>
      </c>
      <c r="AP337" s="39">
        <v>1.33634708931066E-2</v>
      </c>
      <c r="AQ337" s="39">
        <v>1.33634708931066E-2</v>
      </c>
      <c r="AR337" s="39">
        <v>1.33634708931066E-2</v>
      </c>
      <c r="AS337" s="39">
        <v>1.33634708931066E-2</v>
      </c>
      <c r="AT337" s="39">
        <v>1.33634708931066E-2</v>
      </c>
      <c r="AU337" s="39">
        <v>1.2392217523121999E-3</v>
      </c>
      <c r="AV337" s="39">
        <v>1.2392217523121999E-3</v>
      </c>
      <c r="AW337" s="39">
        <v>1.2392217523121999E-3</v>
      </c>
      <c r="AX337" s="39">
        <v>1.2392217523121999E-3</v>
      </c>
      <c r="AY337" s="39">
        <v>1.2392217523121999E-3</v>
      </c>
      <c r="AZ337" s="39">
        <v>1.2392217523121999E-3</v>
      </c>
      <c r="BA337" s="39">
        <v>1.2392217523121999E-3</v>
      </c>
      <c r="BB337" s="39">
        <v>1.2392217523121999E-3</v>
      </c>
      <c r="BC337" s="39">
        <v>1.2392217523121999E-3</v>
      </c>
      <c r="BD337" s="39">
        <v>1.2392217523121999E-3</v>
      </c>
      <c r="BE337" s="39">
        <v>1.2392217523121999E-3</v>
      </c>
      <c r="BF337" s="39">
        <v>1.2392217523121999E-3</v>
      </c>
      <c r="BG337" s="1"/>
      <c r="BH337" s="12">
        <f t="shared" si="168"/>
        <v>0</v>
      </c>
      <c r="BI337" s="12">
        <f t="shared" si="169"/>
        <v>655.81920000000002</v>
      </c>
      <c r="BJ337" s="12">
        <f t="shared" si="170"/>
        <v>578.68679999999995</v>
      </c>
      <c r="BK337" s="12">
        <f t="shared" si="171"/>
        <v>385.7912</v>
      </c>
      <c r="BL337" s="12">
        <f t="shared" si="172"/>
        <v>270.06029999999998</v>
      </c>
      <c r="BM337" s="12">
        <f t="shared" si="173"/>
        <v>231.46179999999998</v>
      </c>
      <c r="BN337" s="12">
        <f t="shared" si="174"/>
        <v>0</v>
      </c>
      <c r="BO337" s="12">
        <f t="shared" si="175"/>
        <v>0</v>
      </c>
      <c r="BP337" s="12">
        <f t="shared" si="176"/>
        <v>0</v>
      </c>
      <c r="BQ337" s="12">
        <f t="shared" si="177"/>
        <v>0</v>
      </c>
      <c r="BR337" s="12">
        <f t="shared" si="178"/>
        <v>0</v>
      </c>
      <c r="BS337" s="12">
        <f t="shared" si="179"/>
        <v>0</v>
      </c>
      <c r="BT337" s="1"/>
      <c r="BU337" s="11">
        <f t="shared" si="180"/>
        <v>0</v>
      </c>
      <c r="BV337" s="11">
        <f t="shared" si="181"/>
        <v>665.39592620856445</v>
      </c>
      <c r="BW337" s="11">
        <f t="shared" si="182"/>
        <v>587.13718547836083</v>
      </c>
      <c r="BX337" s="11">
        <f t="shared" si="183"/>
        <v>391.4247903189073</v>
      </c>
      <c r="BY337" s="11">
        <f t="shared" si="184"/>
        <v>274.0039075566296</v>
      </c>
      <c r="BZ337" s="11">
        <f t="shared" si="185"/>
        <v>234.84176552455537</v>
      </c>
      <c r="CA337" s="11">
        <f t="shared" si="186"/>
        <v>0</v>
      </c>
      <c r="CB337" s="11">
        <f t="shared" si="187"/>
        <v>0</v>
      </c>
      <c r="CC337" s="11">
        <f t="shared" si="188"/>
        <v>0</v>
      </c>
      <c r="CD337" s="11">
        <f t="shared" si="189"/>
        <v>0</v>
      </c>
      <c r="CE337" s="11">
        <f t="shared" si="190"/>
        <v>0</v>
      </c>
      <c r="CF337" s="11">
        <f t="shared" si="191"/>
        <v>0</v>
      </c>
      <c r="CG337" s="11"/>
      <c r="CH337" s="41">
        <v>3.23</v>
      </c>
      <c r="CI337" s="1"/>
      <c r="CJ337" s="53">
        <f t="shared" si="192"/>
        <v>0</v>
      </c>
      <c r="CK337" s="53">
        <f t="shared" si="193"/>
        <v>169961</v>
      </c>
      <c r="CL337" s="53">
        <f t="shared" si="194"/>
        <v>149971</v>
      </c>
      <c r="CM337" s="53">
        <f t="shared" si="195"/>
        <v>99981</v>
      </c>
      <c r="CN337" s="53">
        <f t="shared" si="196"/>
        <v>69988</v>
      </c>
      <c r="CO337" s="53">
        <f t="shared" si="197"/>
        <v>59985</v>
      </c>
      <c r="CP337" s="53">
        <f t="shared" si="198"/>
        <v>0</v>
      </c>
      <c r="CQ337" s="53">
        <f t="shared" si="199"/>
        <v>0</v>
      </c>
      <c r="CR337" s="53">
        <f t="shared" si="200"/>
        <v>0</v>
      </c>
      <c r="CS337" s="53">
        <f t="shared" si="201"/>
        <v>0</v>
      </c>
      <c r="CT337" s="53">
        <f t="shared" si="202"/>
        <v>0</v>
      </c>
      <c r="CU337" s="53">
        <f t="shared" si="203"/>
        <v>0</v>
      </c>
      <c r="CV337" s="53">
        <f t="shared" si="205"/>
        <v>549886</v>
      </c>
      <c r="CW337" s="1"/>
      <c r="CX337" s="1"/>
      <c r="CY337" s="1"/>
      <c r="CZ337" s="1"/>
      <c r="DA337" s="1"/>
      <c r="DB337" s="1"/>
      <c r="DC337" s="1"/>
      <c r="DD337" s="1"/>
      <c r="DE337" s="1"/>
      <c r="DF337" s="1"/>
      <c r="DG337" s="1"/>
      <c r="DH337" s="1"/>
      <c r="DI337" s="1"/>
      <c r="DJ337" s="1"/>
      <c r="DK337" s="1"/>
      <c r="DL337" s="1"/>
    </row>
    <row r="338" spans="1:116" ht="15.75" hidden="1" x14ac:dyDescent="0.25">
      <c r="A338" s="17"/>
      <c r="B338" s="17"/>
      <c r="C338" s="17"/>
      <c r="D338" s="17"/>
      <c r="E338" s="17"/>
      <c r="F338" s="32" t="s">
        <v>2950</v>
      </c>
      <c r="G338" s="55">
        <v>0</v>
      </c>
      <c r="H338" s="55">
        <v>0</v>
      </c>
      <c r="I338" s="55">
        <v>0</v>
      </c>
      <c r="J338" s="55">
        <v>0</v>
      </c>
      <c r="K338" s="55">
        <v>0</v>
      </c>
      <c r="L338" s="55">
        <v>0</v>
      </c>
      <c r="M338" s="55">
        <v>0</v>
      </c>
      <c r="N338" s="55">
        <v>0</v>
      </c>
      <c r="O338" s="55">
        <v>0</v>
      </c>
      <c r="P338" s="55">
        <v>0</v>
      </c>
      <c r="Q338" s="55">
        <v>0</v>
      </c>
      <c r="R338" s="55">
        <v>0</v>
      </c>
      <c r="S338" s="11">
        <f t="shared" si="206"/>
        <v>0</v>
      </c>
      <c r="T338" s="102"/>
      <c r="U338" s="1"/>
      <c r="V338" s="50">
        <f t="shared" si="204"/>
        <v>0</v>
      </c>
      <c r="W338" s="36">
        <v>9.06</v>
      </c>
      <c r="X338" s="36">
        <v>9.06</v>
      </c>
      <c r="Y338" s="36">
        <v>9.06</v>
      </c>
      <c r="Z338" s="36">
        <v>9.06</v>
      </c>
      <c r="AA338" s="36">
        <v>9.06</v>
      </c>
      <c r="AB338" s="36">
        <v>9.06</v>
      </c>
      <c r="AC338" s="36">
        <v>9.06</v>
      </c>
      <c r="AD338" s="36">
        <v>9.06</v>
      </c>
      <c r="AE338" s="36">
        <v>9.06</v>
      </c>
      <c r="AF338" s="36">
        <v>9.06</v>
      </c>
      <c r="AG338" s="36">
        <v>9.06</v>
      </c>
      <c r="AH338" s="36">
        <v>9.06</v>
      </c>
      <c r="AI338" s="39">
        <v>0</v>
      </c>
      <c r="AJ338" s="39">
        <v>0</v>
      </c>
      <c r="AK338" s="39">
        <v>0</v>
      </c>
      <c r="AL338" s="39">
        <v>0</v>
      </c>
      <c r="AM338" s="39">
        <v>0</v>
      </c>
      <c r="AN338" s="39">
        <v>0</v>
      </c>
      <c r="AO338" s="39">
        <v>0</v>
      </c>
      <c r="AP338" s="39">
        <v>0</v>
      </c>
      <c r="AQ338" s="39">
        <v>0</v>
      </c>
      <c r="AR338" s="39">
        <v>0</v>
      </c>
      <c r="AS338" s="39">
        <v>0</v>
      </c>
      <c r="AT338" s="39">
        <v>0</v>
      </c>
      <c r="AU338" s="39">
        <v>0</v>
      </c>
      <c r="AV338" s="39">
        <v>0</v>
      </c>
      <c r="AW338" s="39">
        <v>0</v>
      </c>
      <c r="AX338" s="39">
        <v>0</v>
      </c>
      <c r="AY338" s="39">
        <v>0</v>
      </c>
      <c r="AZ338" s="39">
        <v>0</v>
      </c>
      <c r="BA338" s="39">
        <v>0</v>
      </c>
      <c r="BB338" s="39">
        <v>0</v>
      </c>
      <c r="BC338" s="39">
        <v>0</v>
      </c>
      <c r="BD338" s="39">
        <v>0</v>
      </c>
      <c r="BE338" s="39">
        <v>0</v>
      </c>
      <c r="BF338" s="39">
        <v>0</v>
      </c>
      <c r="BG338" s="1"/>
      <c r="BH338" s="12">
        <f t="shared" ref="BH338:BH366" si="207">G338*$CH338</f>
        <v>0</v>
      </c>
      <c r="BI338" s="12">
        <f t="shared" ref="BI338:BI366" si="208">H338*$CH338</f>
        <v>0</v>
      </c>
      <c r="BJ338" s="12">
        <f t="shared" ref="BJ338:BJ366" si="209">I338*$CH338</f>
        <v>0</v>
      </c>
      <c r="BK338" s="12">
        <f t="shared" ref="BK338:BK366" si="210">J338*$CH338</f>
        <v>0</v>
      </c>
      <c r="BL338" s="12">
        <f t="shared" ref="BL338:BL366" si="211">K338*$CH338</f>
        <v>0</v>
      </c>
      <c r="BM338" s="12">
        <f t="shared" ref="BM338:BM366" si="212">L338*$CH338</f>
        <v>0</v>
      </c>
      <c r="BN338" s="12">
        <f t="shared" ref="BN338:BN366" si="213">M338*$CH338</f>
        <v>0</v>
      </c>
      <c r="BO338" s="12">
        <f t="shared" ref="BO338:BO366" si="214">N338*$CH338</f>
        <v>0</v>
      </c>
      <c r="BP338" s="12">
        <f t="shared" ref="BP338:BP366" si="215">O338*$CH338</f>
        <v>0</v>
      </c>
      <c r="BQ338" s="12">
        <f t="shared" ref="BQ338:BQ366" si="216">P338*$CH338</f>
        <v>0</v>
      </c>
      <c r="BR338" s="12">
        <f t="shared" ref="BR338:BR366" si="217">Q338*$CH338</f>
        <v>0</v>
      </c>
      <c r="BS338" s="12">
        <f t="shared" ref="BS338:BS366" si="218">R338*$CH338</f>
        <v>0</v>
      </c>
      <c r="BT338" s="1"/>
      <c r="BU338" s="11">
        <f t="shared" ref="BU338:BU366" si="219">BH338*(1+(AI338+AU338))</f>
        <v>0</v>
      </c>
      <c r="BV338" s="11">
        <f t="shared" ref="BV338:BV366" si="220">BI338*(1+(AJ338+AV338))</f>
        <v>0</v>
      </c>
      <c r="BW338" s="11">
        <f t="shared" ref="BW338:BW366" si="221">BJ338*(1+(AK338+AW338))</f>
        <v>0</v>
      </c>
      <c r="BX338" s="11">
        <f t="shared" ref="BX338:BX366" si="222">BK338*(1+(AL338+AX338))</f>
        <v>0</v>
      </c>
      <c r="BY338" s="11">
        <f t="shared" ref="BY338:BY366" si="223">BL338*(1+(AM338+AY338))</f>
        <v>0</v>
      </c>
      <c r="BZ338" s="11">
        <f t="shared" ref="BZ338:BZ366" si="224">BM338*(1+(AN338+AZ338))</f>
        <v>0</v>
      </c>
      <c r="CA338" s="11">
        <f t="shared" ref="CA338:CA366" si="225">BN338*(1+(AO338+BA338))</f>
        <v>0</v>
      </c>
      <c r="CB338" s="11">
        <f t="shared" ref="CB338:CB366" si="226">BO338*(1+(AP338+BB338))</f>
        <v>0</v>
      </c>
      <c r="CC338" s="11">
        <f t="shared" ref="CC338:CC366" si="227">BP338*(1+(AQ338+BC338))</f>
        <v>0</v>
      </c>
      <c r="CD338" s="11">
        <f t="shared" ref="CD338:CD366" si="228">BQ338*(1+(AR338+BD338))</f>
        <v>0</v>
      </c>
      <c r="CE338" s="11">
        <f t="shared" ref="CE338:CE366" si="229">BR338*(1+(AS338+BE338))</f>
        <v>0</v>
      </c>
      <c r="CF338" s="11">
        <f t="shared" ref="CF338:CF366" si="230">BS338*(1+(AT338+BF338))</f>
        <v>0</v>
      </c>
      <c r="CG338" s="11"/>
      <c r="CH338" s="41">
        <v>1</v>
      </c>
      <c r="CI338" s="1"/>
      <c r="CJ338" s="53">
        <f t="shared" ref="CJ338:CJ366" si="231">IFERROR(ROUND((BU338*1000)/W338,),0)</f>
        <v>0</v>
      </c>
      <c r="CK338" s="53">
        <f t="shared" ref="CK338:CK366" si="232">IFERROR(ROUND((BV338*1000)/X338,),0)</f>
        <v>0</v>
      </c>
      <c r="CL338" s="53">
        <f t="shared" ref="CL338:CL366" si="233">IFERROR(ROUND((BW338*1000)/Y338,),0)</f>
        <v>0</v>
      </c>
      <c r="CM338" s="53">
        <f t="shared" ref="CM338:CM366" si="234">IFERROR(ROUND((BX338*1000)/Z338,),0)</f>
        <v>0</v>
      </c>
      <c r="CN338" s="53">
        <f t="shared" ref="CN338:CN366" si="235">IFERROR(ROUND((BY338*1000)/AA338,),0)</f>
        <v>0</v>
      </c>
      <c r="CO338" s="53">
        <f t="shared" ref="CO338:CO366" si="236">IFERROR(ROUND((BZ338*1000)/AB338,),0)</f>
        <v>0</v>
      </c>
      <c r="CP338" s="53">
        <f t="shared" ref="CP338:CP366" si="237">IFERROR(ROUND((CA338*1000)/AC338,),0)</f>
        <v>0</v>
      </c>
      <c r="CQ338" s="53">
        <f t="shared" ref="CQ338:CQ366" si="238">IFERROR(ROUND((CB338*1000)/AD338,),0)</f>
        <v>0</v>
      </c>
      <c r="CR338" s="53">
        <f t="shared" ref="CR338:CR366" si="239">IFERROR(ROUND((CC338*1000)/AE338,),0)</f>
        <v>0</v>
      </c>
      <c r="CS338" s="53">
        <f t="shared" ref="CS338:CS366" si="240">IFERROR(ROUND((CD338*1000)/AF338,),0)</f>
        <v>0</v>
      </c>
      <c r="CT338" s="53">
        <f t="shared" ref="CT338:CT366" si="241">IFERROR(ROUND((CE338*1000)/AG338,),0)</f>
        <v>0</v>
      </c>
      <c r="CU338" s="53">
        <f t="shared" ref="CU338:CU366" si="242">IFERROR(ROUND((CF338*1000)/AH338,),0)</f>
        <v>0</v>
      </c>
      <c r="CV338" s="53">
        <f t="shared" si="205"/>
        <v>0</v>
      </c>
      <c r="CW338" s="1"/>
      <c r="CX338" s="1"/>
      <c r="CY338" s="1"/>
      <c r="CZ338" s="1"/>
      <c r="DA338" s="1"/>
      <c r="DB338" s="1"/>
      <c r="DC338" s="1"/>
      <c r="DD338" s="1"/>
      <c r="DE338" s="1"/>
      <c r="DF338" s="1"/>
      <c r="DG338" s="1"/>
      <c r="DH338" s="1"/>
      <c r="DI338" s="1"/>
      <c r="DJ338" s="1"/>
      <c r="DK338" s="1"/>
      <c r="DL338" s="1"/>
    </row>
    <row r="339" spans="1:116" ht="15.75" hidden="1" x14ac:dyDescent="0.25">
      <c r="A339" s="17"/>
      <c r="B339" s="17"/>
      <c r="C339" s="17"/>
      <c r="D339" s="17"/>
      <c r="E339" s="17"/>
      <c r="F339" s="32" t="s">
        <v>2950</v>
      </c>
      <c r="G339" s="55">
        <v>0</v>
      </c>
      <c r="H339" s="55">
        <v>0</v>
      </c>
      <c r="I339" s="55">
        <v>0</v>
      </c>
      <c r="J339" s="55">
        <v>0</v>
      </c>
      <c r="K339" s="55">
        <v>0</v>
      </c>
      <c r="L339" s="55">
        <v>0</v>
      </c>
      <c r="M339" s="55">
        <v>0</v>
      </c>
      <c r="N339" s="55">
        <v>0</v>
      </c>
      <c r="O339" s="55">
        <v>0</v>
      </c>
      <c r="P339" s="55">
        <v>0</v>
      </c>
      <c r="Q339" s="55">
        <v>0</v>
      </c>
      <c r="R339" s="55">
        <v>0</v>
      </c>
      <c r="S339" s="11">
        <f t="shared" si="206"/>
        <v>0</v>
      </c>
      <c r="T339" s="102"/>
      <c r="U339" s="1"/>
      <c r="V339" s="50">
        <f t="shared" si="204"/>
        <v>0</v>
      </c>
      <c r="W339" s="36">
        <v>1.69</v>
      </c>
      <c r="X339" s="36">
        <v>1.69</v>
      </c>
      <c r="Y339" s="36">
        <v>1.69</v>
      </c>
      <c r="Z339" s="36">
        <v>1.69</v>
      </c>
      <c r="AA339" s="36">
        <v>1.69</v>
      </c>
      <c r="AB339" s="36">
        <v>1.69</v>
      </c>
      <c r="AC339" s="36">
        <v>1.69</v>
      </c>
      <c r="AD339" s="36">
        <v>1.69</v>
      </c>
      <c r="AE339" s="36">
        <v>1.69</v>
      </c>
      <c r="AF339" s="36">
        <v>1.69</v>
      </c>
      <c r="AG339" s="36">
        <v>1.69</v>
      </c>
      <c r="AH339" s="36">
        <v>1.69</v>
      </c>
      <c r="AI339" s="39">
        <v>0</v>
      </c>
      <c r="AJ339" s="39">
        <v>0</v>
      </c>
      <c r="AK339" s="39">
        <v>0</v>
      </c>
      <c r="AL339" s="39">
        <v>0</v>
      </c>
      <c r="AM339" s="39">
        <v>0</v>
      </c>
      <c r="AN339" s="39">
        <v>0</v>
      </c>
      <c r="AO339" s="39">
        <v>0</v>
      </c>
      <c r="AP339" s="39">
        <v>0</v>
      </c>
      <c r="AQ339" s="39">
        <v>0</v>
      </c>
      <c r="AR339" s="39">
        <v>0</v>
      </c>
      <c r="AS339" s="39">
        <v>0</v>
      </c>
      <c r="AT339" s="39">
        <v>0</v>
      </c>
      <c r="AU339" s="39">
        <v>0</v>
      </c>
      <c r="AV339" s="39">
        <v>0</v>
      </c>
      <c r="AW339" s="39">
        <v>0</v>
      </c>
      <c r="AX339" s="39">
        <v>0</v>
      </c>
      <c r="AY339" s="39">
        <v>0</v>
      </c>
      <c r="AZ339" s="39">
        <v>0</v>
      </c>
      <c r="BA339" s="39">
        <v>0</v>
      </c>
      <c r="BB339" s="39">
        <v>0</v>
      </c>
      <c r="BC339" s="39">
        <v>0</v>
      </c>
      <c r="BD339" s="39">
        <v>0</v>
      </c>
      <c r="BE339" s="39">
        <v>0</v>
      </c>
      <c r="BF339" s="39">
        <v>0</v>
      </c>
      <c r="BG339" s="1"/>
      <c r="BH339" s="12">
        <f t="shared" si="207"/>
        <v>0</v>
      </c>
      <c r="BI339" s="12">
        <f t="shared" si="208"/>
        <v>0</v>
      </c>
      <c r="BJ339" s="12">
        <f t="shared" si="209"/>
        <v>0</v>
      </c>
      <c r="BK339" s="12">
        <f t="shared" si="210"/>
        <v>0</v>
      </c>
      <c r="BL339" s="12">
        <f t="shared" si="211"/>
        <v>0</v>
      </c>
      <c r="BM339" s="12">
        <f t="shared" si="212"/>
        <v>0</v>
      </c>
      <c r="BN339" s="12">
        <f t="shared" si="213"/>
        <v>0</v>
      </c>
      <c r="BO339" s="12">
        <f t="shared" si="214"/>
        <v>0</v>
      </c>
      <c r="BP339" s="12">
        <f t="shared" si="215"/>
        <v>0</v>
      </c>
      <c r="BQ339" s="12">
        <f t="shared" si="216"/>
        <v>0</v>
      </c>
      <c r="BR339" s="12">
        <f t="shared" si="217"/>
        <v>0</v>
      </c>
      <c r="BS339" s="12">
        <f t="shared" si="218"/>
        <v>0</v>
      </c>
      <c r="BT339" s="1"/>
      <c r="BU339" s="11">
        <f t="shared" si="219"/>
        <v>0</v>
      </c>
      <c r="BV339" s="11">
        <f t="shared" si="220"/>
        <v>0</v>
      </c>
      <c r="BW339" s="11">
        <f t="shared" si="221"/>
        <v>0</v>
      </c>
      <c r="BX339" s="11">
        <f t="shared" si="222"/>
        <v>0</v>
      </c>
      <c r="BY339" s="11">
        <f t="shared" si="223"/>
        <v>0</v>
      </c>
      <c r="BZ339" s="11">
        <f t="shared" si="224"/>
        <v>0</v>
      </c>
      <c r="CA339" s="11">
        <f t="shared" si="225"/>
        <v>0</v>
      </c>
      <c r="CB339" s="11">
        <f t="shared" si="226"/>
        <v>0</v>
      </c>
      <c r="CC339" s="11">
        <f t="shared" si="227"/>
        <v>0</v>
      </c>
      <c r="CD339" s="11">
        <f t="shared" si="228"/>
        <v>0</v>
      </c>
      <c r="CE339" s="11">
        <f t="shared" si="229"/>
        <v>0</v>
      </c>
      <c r="CF339" s="11">
        <f t="shared" si="230"/>
        <v>0</v>
      </c>
      <c r="CG339" s="11"/>
      <c r="CH339" s="41">
        <v>1</v>
      </c>
      <c r="CI339" s="1"/>
      <c r="CJ339" s="53">
        <f t="shared" si="231"/>
        <v>0</v>
      </c>
      <c r="CK339" s="53">
        <f t="shared" si="232"/>
        <v>0</v>
      </c>
      <c r="CL339" s="53">
        <f t="shared" si="233"/>
        <v>0</v>
      </c>
      <c r="CM339" s="53">
        <f t="shared" si="234"/>
        <v>0</v>
      </c>
      <c r="CN339" s="53">
        <f t="shared" si="235"/>
        <v>0</v>
      </c>
      <c r="CO339" s="53">
        <f t="shared" si="236"/>
        <v>0</v>
      </c>
      <c r="CP339" s="53">
        <f t="shared" si="237"/>
        <v>0</v>
      </c>
      <c r="CQ339" s="53">
        <f t="shared" si="238"/>
        <v>0</v>
      </c>
      <c r="CR339" s="53">
        <f t="shared" si="239"/>
        <v>0</v>
      </c>
      <c r="CS339" s="53">
        <f t="shared" si="240"/>
        <v>0</v>
      </c>
      <c r="CT339" s="53">
        <f t="shared" si="241"/>
        <v>0</v>
      </c>
      <c r="CU339" s="53">
        <f t="shared" si="242"/>
        <v>0</v>
      </c>
      <c r="CV339" s="53">
        <f t="shared" si="205"/>
        <v>0</v>
      </c>
      <c r="CW339" s="1"/>
      <c r="CX339" s="1"/>
      <c r="CY339" s="1"/>
      <c r="CZ339" s="1"/>
      <c r="DA339" s="1"/>
      <c r="DB339" s="1"/>
      <c r="DC339" s="1"/>
      <c r="DD339" s="1"/>
      <c r="DE339" s="1"/>
      <c r="DF339" s="1"/>
      <c r="DG339" s="1"/>
      <c r="DH339" s="1"/>
      <c r="DI339" s="1"/>
      <c r="DJ339" s="1"/>
      <c r="DK339" s="1"/>
      <c r="DL339" s="1"/>
    </row>
    <row r="340" spans="1:116" ht="15.75" hidden="1" x14ac:dyDescent="0.25">
      <c r="A340" s="17"/>
      <c r="B340" s="17"/>
      <c r="C340" s="17"/>
      <c r="D340" s="17"/>
      <c r="E340" s="17"/>
      <c r="F340" s="32" t="s">
        <v>2950</v>
      </c>
      <c r="G340" s="55">
        <v>0</v>
      </c>
      <c r="H340" s="55">
        <v>0</v>
      </c>
      <c r="I340" s="55">
        <v>0</v>
      </c>
      <c r="J340" s="55">
        <v>0</v>
      </c>
      <c r="K340" s="55">
        <v>0</v>
      </c>
      <c r="L340" s="55">
        <v>0</v>
      </c>
      <c r="M340" s="55">
        <v>0</v>
      </c>
      <c r="N340" s="55">
        <v>0</v>
      </c>
      <c r="O340" s="55">
        <v>0</v>
      </c>
      <c r="P340" s="55">
        <v>0</v>
      </c>
      <c r="Q340" s="55">
        <v>0</v>
      </c>
      <c r="R340" s="55">
        <v>0</v>
      </c>
      <c r="S340" s="11">
        <f t="shared" si="206"/>
        <v>0</v>
      </c>
      <c r="T340" s="102"/>
      <c r="U340" s="1"/>
      <c r="V340" s="50">
        <f t="shared" si="204"/>
        <v>0</v>
      </c>
      <c r="W340" s="36">
        <v>1.8400042087542088</v>
      </c>
      <c r="X340" s="36">
        <v>1.8400042087542088</v>
      </c>
      <c r="Y340" s="36">
        <v>1.8400042087542088</v>
      </c>
      <c r="Z340" s="36">
        <v>1.8400042087542088</v>
      </c>
      <c r="AA340" s="36">
        <v>1.8400042087542088</v>
      </c>
      <c r="AB340" s="36">
        <v>1.8400042087542088</v>
      </c>
      <c r="AC340" s="36">
        <v>1.8400042087542088</v>
      </c>
      <c r="AD340" s="36">
        <v>1.8400042087542088</v>
      </c>
      <c r="AE340" s="36">
        <v>1.8400042087542088</v>
      </c>
      <c r="AF340" s="36">
        <v>1.8400042087542088</v>
      </c>
      <c r="AG340" s="36">
        <v>1.8400042087542088</v>
      </c>
      <c r="AH340" s="36">
        <v>1.8400042087542088</v>
      </c>
      <c r="AI340" s="39">
        <v>0</v>
      </c>
      <c r="AJ340" s="39">
        <v>0</v>
      </c>
      <c r="AK340" s="39">
        <v>0</v>
      </c>
      <c r="AL340" s="39">
        <v>0</v>
      </c>
      <c r="AM340" s="39">
        <v>0</v>
      </c>
      <c r="AN340" s="39">
        <v>0</v>
      </c>
      <c r="AO340" s="39">
        <v>0</v>
      </c>
      <c r="AP340" s="39">
        <v>0</v>
      </c>
      <c r="AQ340" s="39">
        <v>0</v>
      </c>
      <c r="AR340" s="39">
        <v>0</v>
      </c>
      <c r="AS340" s="39">
        <v>0</v>
      </c>
      <c r="AT340" s="39">
        <v>0</v>
      </c>
      <c r="AU340" s="39">
        <v>0</v>
      </c>
      <c r="AV340" s="39">
        <v>0</v>
      </c>
      <c r="AW340" s="39">
        <v>0</v>
      </c>
      <c r="AX340" s="39">
        <v>0</v>
      </c>
      <c r="AY340" s="39">
        <v>0</v>
      </c>
      <c r="AZ340" s="39">
        <v>0</v>
      </c>
      <c r="BA340" s="39">
        <v>0</v>
      </c>
      <c r="BB340" s="39">
        <v>0</v>
      </c>
      <c r="BC340" s="39">
        <v>0</v>
      </c>
      <c r="BD340" s="39">
        <v>0</v>
      </c>
      <c r="BE340" s="39">
        <v>0</v>
      </c>
      <c r="BF340" s="39">
        <v>0</v>
      </c>
      <c r="BG340" s="1"/>
      <c r="BH340" s="12">
        <f t="shared" si="207"/>
        <v>0</v>
      </c>
      <c r="BI340" s="12">
        <f t="shared" si="208"/>
        <v>0</v>
      </c>
      <c r="BJ340" s="12">
        <f t="shared" si="209"/>
        <v>0</v>
      </c>
      <c r="BK340" s="12">
        <f t="shared" si="210"/>
        <v>0</v>
      </c>
      <c r="BL340" s="12">
        <f t="shared" si="211"/>
        <v>0</v>
      </c>
      <c r="BM340" s="12">
        <f t="shared" si="212"/>
        <v>0</v>
      </c>
      <c r="BN340" s="12">
        <f t="shared" si="213"/>
        <v>0</v>
      </c>
      <c r="BO340" s="12">
        <f t="shared" si="214"/>
        <v>0</v>
      </c>
      <c r="BP340" s="12">
        <f t="shared" si="215"/>
        <v>0</v>
      </c>
      <c r="BQ340" s="12">
        <f t="shared" si="216"/>
        <v>0</v>
      </c>
      <c r="BR340" s="12">
        <f t="shared" si="217"/>
        <v>0</v>
      </c>
      <c r="BS340" s="12">
        <f t="shared" si="218"/>
        <v>0</v>
      </c>
      <c r="BT340" s="1"/>
      <c r="BU340" s="11">
        <f t="shared" si="219"/>
        <v>0</v>
      </c>
      <c r="BV340" s="11">
        <f t="shared" si="220"/>
        <v>0</v>
      </c>
      <c r="BW340" s="11">
        <f t="shared" si="221"/>
        <v>0</v>
      </c>
      <c r="BX340" s="11">
        <f t="shared" si="222"/>
        <v>0</v>
      </c>
      <c r="BY340" s="11">
        <f t="shared" si="223"/>
        <v>0</v>
      </c>
      <c r="BZ340" s="11">
        <f t="shared" si="224"/>
        <v>0</v>
      </c>
      <c r="CA340" s="11">
        <f t="shared" si="225"/>
        <v>0</v>
      </c>
      <c r="CB340" s="11">
        <f t="shared" si="226"/>
        <v>0</v>
      </c>
      <c r="CC340" s="11">
        <f t="shared" si="227"/>
        <v>0</v>
      </c>
      <c r="CD340" s="11">
        <f t="shared" si="228"/>
        <v>0</v>
      </c>
      <c r="CE340" s="11">
        <f t="shared" si="229"/>
        <v>0</v>
      </c>
      <c r="CF340" s="11">
        <f t="shared" si="230"/>
        <v>0</v>
      </c>
      <c r="CG340" s="11"/>
      <c r="CH340" s="41">
        <v>1</v>
      </c>
      <c r="CI340" s="1"/>
      <c r="CJ340" s="53">
        <f t="shared" si="231"/>
        <v>0</v>
      </c>
      <c r="CK340" s="53">
        <f t="shared" si="232"/>
        <v>0</v>
      </c>
      <c r="CL340" s="53">
        <f t="shared" si="233"/>
        <v>0</v>
      </c>
      <c r="CM340" s="53">
        <f t="shared" si="234"/>
        <v>0</v>
      </c>
      <c r="CN340" s="53">
        <f t="shared" si="235"/>
        <v>0</v>
      </c>
      <c r="CO340" s="53">
        <f t="shared" si="236"/>
        <v>0</v>
      </c>
      <c r="CP340" s="53">
        <f t="shared" si="237"/>
        <v>0</v>
      </c>
      <c r="CQ340" s="53">
        <f t="shared" si="238"/>
        <v>0</v>
      </c>
      <c r="CR340" s="53">
        <f t="shared" si="239"/>
        <v>0</v>
      </c>
      <c r="CS340" s="53">
        <f t="shared" si="240"/>
        <v>0</v>
      </c>
      <c r="CT340" s="53">
        <f t="shared" si="241"/>
        <v>0</v>
      </c>
      <c r="CU340" s="53">
        <f t="shared" si="242"/>
        <v>0</v>
      </c>
      <c r="CV340" s="53">
        <f t="shared" si="205"/>
        <v>0</v>
      </c>
      <c r="CW340" s="1"/>
      <c r="CX340" s="1"/>
      <c r="CY340" s="1"/>
      <c r="CZ340" s="1"/>
      <c r="DA340" s="1"/>
      <c r="DB340" s="1"/>
      <c r="DC340" s="1"/>
      <c r="DD340" s="1"/>
      <c r="DE340" s="1"/>
      <c r="DF340" s="1"/>
      <c r="DG340" s="1"/>
      <c r="DH340" s="1"/>
      <c r="DI340" s="1"/>
      <c r="DJ340" s="1"/>
      <c r="DK340" s="1"/>
      <c r="DL340" s="1"/>
    </row>
    <row r="341" spans="1:116" ht="15.75" hidden="1" x14ac:dyDescent="0.25">
      <c r="A341" s="17"/>
      <c r="B341" s="17"/>
      <c r="C341" s="17"/>
      <c r="D341" s="17"/>
      <c r="E341" s="17"/>
      <c r="F341" s="32" t="s">
        <v>2950</v>
      </c>
      <c r="G341" s="55">
        <v>0</v>
      </c>
      <c r="H341" s="55">
        <v>0</v>
      </c>
      <c r="I341" s="55">
        <v>0</v>
      </c>
      <c r="J341" s="55">
        <v>0</v>
      </c>
      <c r="K341" s="55">
        <v>0</v>
      </c>
      <c r="L341" s="55">
        <v>0</v>
      </c>
      <c r="M341" s="55">
        <v>0</v>
      </c>
      <c r="N341" s="55">
        <v>0</v>
      </c>
      <c r="O341" s="55">
        <v>0</v>
      </c>
      <c r="P341" s="55">
        <v>0</v>
      </c>
      <c r="Q341" s="55">
        <v>0</v>
      </c>
      <c r="R341" s="55">
        <v>0</v>
      </c>
      <c r="S341" s="11">
        <f>SUM(G341:R341)</f>
        <v>0</v>
      </c>
      <c r="T341" s="102"/>
      <c r="U341" s="1"/>
      <c r="V341" s="50">
        <f t="shared" si="204"/>
        <v>0</v>
      </c>
      <c r="W341" s="36">
        <v>11.423999999999999</v>
      </c>
      <c r="X341" s="36">
        <v>11.423999999999999</v>
      </c>
      <c r="Y341" s="36">
        <v>11.423999999999999</v>
      </c>
      <c r="Z341" s="36">
        <v>11.423999999999999</v>
      </c>
      <c r="AA341" s="36">
        <v>11.423999999999999</v>
      </c>
      <c r="AB341" s="36">
        <v>11.423999999999999</v>
      </c>
      <c r="AC341" s="36">
        <v>11.423999999999999</v>
      </c>
      <c r="AD341" s="36">
        <v>11.423999999999999</v>
      </c>
      <c r="AE341" s="36">
        <v>11.423999999999999</v>
      </c>
      <c r="AF341" s="36">
        <v>11.423999999999999</v>
      </c>
      <c r="AG341" s="36">
        <v>11.423999999999999</v>
      </c>
      <c r="AH341" s="36">
        <v>11.423999999999999</v>
      </c>
      <c r="AI341" s="39">
        <v>0.22999999999999998</v>
      </c>
      <c r="AJ341" s="39">
        <v>0.22999999999999998</v>
      </c>
      <c r="AK341" s="39">
        <v>0.22999999999999998</v>
      </c>
      <c r="AL341" s="39">
        <v>0.22999999999999998</v>
      </c>
      <c r="AM341" s="39">
        <v>0.22999999999999998</v>
      </c>
      <c r="AN341" s="39">
        <v>0.22999999999999998</v>
      </c>
      <c r="AO341" s="39">
        <v>0.22999999999999998</v>
      </c>
      <c r="AP341" s="39">
        <v>0.22999999999999998</v>
      </c>
      <c r="AQ341" s="39">
        <v>0.22999999999999998</v>
      </c>
      <c r="AR341" s="39">
        <v>0.22999999999999998</v>
      </c>
      <c r="AS341" s="39">
        <v>0.22999999999999998</v>
      </c>
      <c r="AT341" s="39">
        <v>0.22999999999999998</v>
      </c>
      <c r="AU341" s="39">
        <v>0</v>
      </c>
      <c r="AV341" s="39">
        <v>0</v>
      </c>
      <c r="AW341" s="39">
        <v>0</v>
      </c>
      <c r="AX341" s="39">
        <v>0</v>
      </c>
      <c r="AY341" s="39">
        <v>0</v>
      </c>
      <c r="AZ341" s="39">
        <v>0</v>
      </c>
      <c r="BA341" s="39">
        <v>0</v>
      </c>
      <c r="BB341" s="39">
        <v>0</v>
      </c>
      <c r="BC341" s="39">
        <v>0</v>
      </c>
      <c r="BD341" s="39">
        <v>0</v>
      </c>
      <c r="BE341" s="39">
        <v>0</v>
      </c>
      <c r="BF341" s="39">
        <v>0</v>
      </c>
      <c r="BG341" s="1"/>
      <c r="BH341" s="12">
        <f t="shared" si="207"/>
        <v>0</v>
      </c>
      <c r="BI341" s="12">
        <f t="shared" si="208"/>
        <v>0</v>
      </c>
      <c r="BJ341" s="12">
        <f t="shared" si="209"/>
        <v>0</v>
      </c>
      <c r="BK341" s="12">
        <f t="shared" si="210"/>
        <v>0</v>
      </c>
      <c r="BL341" s="12">
        <f t="shared" si="211"/>
        <v>0</v>
      </c>
      <c r="BM341" s="12">
        <f t="shared" si="212"/>
        <v>0</v>
      </c>
      <c r="BN341" s="12">
        <f t="shared" si="213"/>
        <v>0</v>
      </c>
      <c r="BO341" s="12">
        <f t="shared" si="214"/>
        <v>0</v>
      </c>
      <c r="BP341" s="12">
        <f t="shared" si="215"/>
        <v>0</v>
      </c>
      <c r="BQ341" s="12">
        <f t="shared" si="216"/>
        <v>0</v>
      </c>
      <c r="BR341" s="12">
        <f t="shared" si="217"/>
        <v>0</v>
      </c>
      <c r="BS341" s="12">
        <f t="shared" si="218"/>
        <v>0</v>
      </c>
      <c r="BT341" s="1"/>
      <c r="BU341" s="11">
        <f t="shared" si="219"/>
        <v>0</v>
      </c>
      <c r="BV341" s="11">
        <f t="shared" si="220"/>
        <v>0</v>
      </c>
      <c r="BW341" s="11">
        <f t="shared" si="221"/>
        <v>0</v>
      </c>
      <c r="BX341" s="11">
        <f t="shared" si="222"/>
        <v>0</v>
      </c>
      <c r="BY341" s="11">
        <f t="shared" si="223"/>
        <v>0</v>
      </c>
      <c r="BZ341" s="11">
        <f t="shared" si="224"/>
        <v>0</v>
      </c>
      <c r="CA341" s="11">
        <f t="shared" si="225"/>
        <v>0</v>
      </c>
      <c r="CB341" s="11">
        <f t="shared" si="226"/>
        <v>0</v>
      </c>
      <c r="CC341" s="11">
        <f t="shared" si="227"/>
        <v>0</v>
      </c>
      <c r="CD341" s="11">
        <f t="shared" si="228"/>
        <v>0</v>
      </c>
      <c r="CE341" s="11">
        <f t="shared" si="229"/>
        <v>0</v>
      </c>
      <c r="CF341" s="11">
        <f t="shared" si="230"/>
        <v>0</v>
      </c>
      <c r="CG341" s="11"/>
      <c r="CH341" s="41">
        <v>1</v>
      </c>
      <c r="CI341" s="1"/>
      <c r="CJ341" s="53">
        <f t="shared" si="231"/>
        <v>0</v>
      </c>
      <c r="CK341" s="53">
        <f t="shared" si="232"/>
        <v>0</v>
      </c>
      <c r="CL341" s="53">
        <f t="shared" si="233"/>
        <v>0</v>
      </c>
      <c r="CM341" s="53">
        <f t="shared" si="234"/>
        <v>0</v>
      </c>
      <c r="CN341" s="53">
        <f t="shared" si="235"/>
        <v>0</v>
      </c>
      <c r="CO341" s="53">
        <f t="shared" si="236"/>
        <v>0</v>
      </c>
      <c r="CP341" s="53">
        <f t="shared" si="237"/>
        <v>0</v>
      </c>
      <c r="CQ341" s="53">
        <f t="shared" si="238"/>
        <v>0</v>
      </c>
      <c r="CR341" s="53">
        <f t="shared" si="239"/>
        <v>0</v>
      </c>
      <c r="CS341" s="53">
        <f t="shared" si="240"/>
        <v>0</v>
      </c>
      <c r="CT341" s="53">
        <f t="shared" si="241"/>
        <v>0</v>
      </c>
      <c r="CU341" s="53">
        <f t="shared" si="242"/>
        <v>0</v>
      </c>
      <c r="CV341" s="53">
        <f t="shared" si="205"/>
        <v>0</v>
      </c>
      <c r="CW341" s="1"/>
      <c r="CX341" s="1"/>
      <c r="CY341" s="1"/>
      <c r="CZ341" s="1"/>
      <c r="DA341" s="1"/>
      <c r="DB341" s="1"/>
      <c r="DC341" s="1"/>
      <c r="DD341" s="1"/>
      <c r="DE341" s="1"/>
      <c r="DF341" s="1"/>
      <c r="DG341" s="1"/>
      <c r="DH341" s="1"/>
      <c r="DI341" s="1"/>
      <c r="DJ341" s="1"/>
      <c r="DK341" s="1"/>
      <c r="DL341" s="1"/>
    </row>
    <row r="342" spans="1:116" ht="15.75" hidden="1" x14ac:dyDescent="0.25">
      <c r="A342" s="17"/>
      <c r="B342" s="17"/>
      <c r="C342" s="17"/>
      <c r="D342" s="17"/>
      <c r="E342" s="17"/>
      <c r="F342" s="18" t="s">
        <v>3604</v>
      </c>
      <c r="G342" s="57">
        <v>0</v>
      </c>
      <c r="H342" s="57">
        <v>0</v>
      </c>
      <c r="I342" s="57">
        <v>0</v>
      </c>
      <c r="J342" s="57">
        <v>0</v>
      </c>
      <c r="K342" s="57">
        <v>0</v>
      </c>
      <c r="L342" s="57">
        <v>0</v>
      </c>
      <c r="M342" s="57">
        <v>0</v>
      </c>
      <c r="N342" s="57">
        <v>0</v>
      </c>
      <c r="O342" s="57">
        <v>0</v>
      </c>
      <c r="P342" s="57">
        <v>0</v>
      </c>
      <c r="Q342" s="57">
        <v>0</v>
      </c>
      <c r="R342" s="57">
        <v>0</v>
      </c>
      <c r="S342" s="12">
        <f t="shared" si="206"/>
        <v>0</v>
      </c>
      <c r="T342" s="1"/>
      <c r="U342" s="1"/>
      <c r="V342" s="50">
        <f t="shared" si="204"/>
        <v>0</v>
      </c>
      <c r="W342" s="36">
        <v>3.766</v>
      </c>
      <c r="X342" s="36">
        <v>3.766</v>
      </c>
      <c r="Y342" s="36">
        <v>3.766</v>
      </c>
      <c r="Z342" s="36">
        <v>3.766</v>
      </c>
      <c r="AA342" s="36">
        <v>3.766</v>
      </c>
      <c r="AB342" s="36">
        <v>3.766</v>
      </c>
      <c r="AC342" s="36">
        <v>3.766</v>
      </c>
      <c r="AD342" s="36">
        <v>3.766</v>
      </c>
      <c r="AE342" s="36">
        <v>3.766</v>
      </c>
      <c r="AF342" s="36">
        <v>3.766</v>
      </c>
      <c r="AG342" s="36">
        <v>3.766</v>
      </c>
      <c r="AH342" s="36">
        <v>3.766</v>
      </c>
      <c r="AI342" s="39">
        <v>1.33634708931066E-2</v>
      </c>
      <c r="AJ342" s="39">
        <v>1.33634708931066E-2</v>
      </c>
      <c r="AK342" s="39">
        <v>1.33634708931066E-2</v>
      </c>
      <c r="AL342" s="39">
        <v>1.33634708931066E-2</v>
      </c>
      <c r="AM342" s="39">
        <v>1.33634708931066E-2</v>
      </c>
      <c r="AN342" s="39">
        <v>1.33634708931066E-2</v>
      </c>
      <c r="AO342" s="39">
        <v>1.33634708931066E-2</v>
      </c>
      <c r="AP342" s="39">
        <v>1.33634708931066E-2</v>
      </c>
      <c r="AQ342" s="39">
        <v>1.33634708931066E-2</v>
      </c>
      <c r="AR342" s="39">
        <v>1.33634708931066E-2</v>
      </c>
      <c r="AS342" s="39">
        <v>1.33634708931066E-2</v>
      </c>
      <c r="AT342" s="39">
        <v>1.33634708931066E-2</v>
      </c>
      <c r="AU342" s="39">
        <v>1.2392217523121999E-3</v>
      </c>
      <c r="AV342" s="39">
        <v>1.2392217523121999E-3</v>
      </c>
      <c r="AW342" s="39">
        <v>1.2392217523121999E-3</v>
      </c>
      <c r="AX342" s="39">
        <v>1.2392217523121999E-3</v>
      </c>
      <c r="AY342" s="39">
        <v>1.2392217523121999E-3</v>
      </c>
      <c r="AZ342" s="39">
        <v>1.2392217523121999E-3</v>
      </c>
      <c r="BA342" s="39">
        <v>1.2392217523121999E-3</v>
      </c>
      <c r="BB342" s="39">
        <v>1.2392217523121999E-3</v>
      </c>
      <c r="BC342" s="39">
        <v>1.2392217523121999E-3</v>
      </c>
      <c r="BD342" s="39">
        <v>1.2392217523121999E-3</v>
      </c>
      <c r="BE342" s="39">
        <v>1.2392217523121999E-3</v>
      </c>
      <c r="BF342" s="39">
        <v>1.2392217523121999E-3</v>
      </c>
      <c r="BG342" s="1"/>
      <c r="BH342" s="12">
        <f t="shared" si="207"/>
        <v>0</v>
      </c>
      <c r="BI342" s="12">
        <f t="shared" si="208"/>
        <v>0</v>
      </c>
      <c r="BJ342" s="12">
        <f t="shared" si="209"/>
        <v>0</v>
      </c>
      <c r="BK342" s="12">
        <f t="shared" si="210"/>
        <v>0</v>
      </c>
      <c r="BL342" s="12">
        <f t="shared" si="211"/>
        <v>0</v>
      </c>
      <c r="BM342" s="12">
        <f t="shared" si="212"/>
        <v>0</v>
      </c>
      <c r="BN342" s="12">
        <f t="shared" si="213"/>
        <v>0</v>
      </c>
      <c r="BO342" s="12">
        <f t="shared" si="214"/>
        <v>0</v>
      </c>
      <c r="BP342" s="12">
        <f t="shared" si="215"/>
        <v>0</v>
      </c>
      <c r="BQ342" s="12">
        <f t="shared" si="216"/>
        <v>0</v>
      </c>
      <c r="BR342" s="12">
        <f t="shared" si="217"/>
        <v>0</v>
      </c>
      <c r="BS342" s="12">
        <f t="shared" si="218"/>
        <v>0</v>
      </c>
      <c r="BT342" s="1"/>
      <c r="BU342" s="11">
        <f t="shared" si="219"/>
        <v>0</v>
      </c>
      <c r="BV342" s="11">
        <f t="shared" si="220"/>
        <v>0</v>
      </c>
      <c r="BW342" s="11">
        <f t="shared" si="221"/>
        <v>0</v>
      </c>
      <c r="BX342" s="11">
        <f t="shared" si="222"/>
        <v>0</v>
      </c>
      <c r="BY342" s="11">
        <f t="shared" si="223"/>
        <v>0</v>
      </c>
      <c r="BZ342" s="11">
        <f t="shared" si="224"/>
        <v>0</v>
      </c>
      <c r="CA342" s="11">
        <f t="shared" si="225"/>
        <v>0</v>
      </c>
      <c r="CB342" s="11">
        <f t="shared" si="226"/>
        <v>0</v>
      </c>
      <c r="CC342" s="11">
        <f t="shared" si="227"/>
        <v>0</v>
      </c>
      <c r="CD342" s="11">
        <f t="shared" si="228"/>
        <v>0</v>
      </c>
      <c r="CE342" s="11">
        <f t="shared" si="229"/>
        <v>0</v>
      </c>
      <c r="CF342" s="11">
        <f t="shared" si="230"/>
        <v>0</v>
      </c>
      <c r="CG342" s="11"/>
      <c r="CH342" s="41">
        <v>3.23</v>
      </c>
      <c r="CI342" s="1"/>
      <c r="CJ342" s="53">
        <f t="shared" si="231"/>
        <v>0</v>
      </c>
      <c r="CK342" s="53">
        <f t="shared" si="232"/>
        <v>0</v>
      </c>
      <c r="CL342" s="53">
        <f t="shared" si="233"/>
        <v>0</v>
      </c>
      <c r="CM342" s="53">
        <f t="shared" si="234"/>
        <v>0</v>
      </c>
      <c r="CN342" s="53">
        <f t="shared" si="235"/>
        <v>0</v>
      </c>
      <c r="CO342" s="53">
        <f t="shared" si="236"/>
        <v>0</v>
      </c>
      <c r="CP342" s="53">
        <f t="shared" si="237"/>
        <v>0</v>
      </c>
      <c r="CQ342" s="53">
        <f t="shared" si="238"/>
        <v>0</v>
      </c>
      <c r="CR342" s="53">
        <f t="shared" si="239"/>
        <v>0</v>
      </c>
      <c r="CS342" s="53">
        <f t="shared" si="240"/>
        <v>0</v>
      </c>
      <c r="CT342" s="53">
        <f t="shared" si="241"/>
        <v>0</v>
      </c>
      <c r="CU342" s="53">
        <f t="shared" si="242"/>
        <v>0</v>
      </c>
      <c r="CV342" s="53">
        <f t="shared" si="205"/>
        <v>0</v>
      </c>
      <c r="CW342" s="1"/>
      <c r="CX342" s="1"/>
      <c r="CY342" s="1"/>
      <c r="CZ342" s="1"/>
      <c r="DA342" s="1"/>
      <c r="DB342" s="1"/>
      <c r="DC342" s="1"/>
      <c r="DD342" s="1"/>
      <c r="DE342" s="1"/>
      <c r="DF342" s="1"/>
      <c r="DG342" s="1"/>
      <c r="DH342" s="1"/>
      <c r="DI342" s="1"/>
      <c r="DJ342" s="1"/>
      <c r="DK342" s="1"/>
      <c r="DL342" s="1"/>
    </row>
    <row r="343" spans="1:116" ht="15.75" hidden="1" x14ac:dyDescent="0.25">
      <c r="A343" s="17"/>
      <c r="B343" s="17"/>
      <c r="C343" s="17"/>
      <c r="D343" s="17"/>
      <c r="E343" s="17"/>
      <c r="F343" s="18" t="s">
        <v>3604</v>
      </c>
      <c r="G343" s="57">
        <v>0</v>
      </c>
      <c r="H343" s="57">
        <v>0</v>
      </c>
      <c r="I343" s="57">
        <v>0</v>
      </c>
      <c r="J343" s="57">
        <v>0</v>
      </c>
      <c r="K343" s="57">
        <v>0</v>
      </c>
      <c r="L343" s="57">
        <v>0</v>
      </c>
      <c r="M343" s="57">
        <v>0</v>
      </c>
      <c r="N343" s="57">
        <v>0</v>
      </c>
      <c r="O343" s="57">
        <v>0</v>
      </c>
      <c r="P343" s="57">
        <v>0</v>
      </c>
      <c r="Q343" s="57">
        <v>0</v>
      </c>
      <c r="R343" s="57">
        <v>0</v>
      </c>
      <c r="S343" s="12">
        <f t="shared" si="206"/>
        <v>0</v>
      </c>
      <c r="T343" s="1"/>
      <c r="U343" s="1"/>
      <c r="V343" s="50">
        <f t="shared" si="204"/>
        <v>0</v>
      </c>
      <c r="W343" s="36">
        <v>0.94</v>
      </c>
      <c r="X343" s="36">
        <v>0.94</v>
      </c>
      <c r="Y343" s="36">
        <v>0.94</v>
      </c>
      <c r="Z343" s="36">
        <v>0.94</v>
      </c>
      <c r="AA343" s="36">
        <v>0.94</v>
      </c>
      <c r="AB343" s="36">
        <v>0.94</v>
      </c>
      <c r="AC343" s="36">
        <v>0.94</v>
      </c>
      <c r="AD343" s="36">
        <v>0.94</v>
      </c>
      <c r="AE343" s="36">
        <v>0.94</v>
      </c>
      <c r="AF343" s="36">
        <v>0.94</v>
      </c>
      <c r="AG343" s="36">
        <v>0.94</v>
      </c>
      <c r="AH343" s="36">
        <v>0.94</v>
      </c>
      <c r="AI343" s="39">
        <v>1.33634708931066E-2</v>
      </c>
      <c r="AJ343" s="39">
        <v>1.33634708931066E-2</v>
      </c>
      <c r="AK343" s="39">
        <v>1.33634708931066E-2</v>
      </c>
      <c r="AL343" s="39">
        <v>1.33634708931066E-2</v>
      </c>
      <c r="AM343" s="39">
        <v>1.33634708931066E-2</v>
      </c>
      <c r="AN343" s="39">
        <v>1.33634708931066E-2</v>
      </c>
      <c r="AO343" s="39">
        <v>1.33634708931066E-2</v>
      </c>
      <c r="AP343" s="39">
        <v>1.33634708931066E-2</v>
      </c>
      <c r="AQ343" s="39">
        <v>1.33634708931066E-2</v>
      </c>
      <c r="AR343" s="39">
        <v>1.33634708931066E-2</v>
      </c>
      <c r="AS343" s="39">
        <v>1.33634708931066E-2</v>
      </c>
      <c r="AT343" s="39">
        <v>1.33634708931066E-2</v>
      </c>
      <c r="AU343" s="39">
        <v>1.2392217523121999E-3</v>
      </c>
      <c r="AV343" s="39">
        <v>1.2392217523121999E-3</v>
      </c>
      <c r="AW343" s="39">
        <v>1.2392217523121999E-3</v>
      </c>
      <c r="AX343" s="39">
        <v>1.2392217523121999E-3</v>
      </c>
      <c r="AY343" s="39">
        <v>1.2392217523121999E-3</v>
      </c>
      <c r="AZ343" s="39">
        <v>1.2392217523121999E-3</v>
      </c>
      <c r="BA343" s="39">
        <v>1.2392217523121999E-3</v>
      </c>
      <c r="BB343" s="39">
        <v>1.2392217523121999E-3</v>
      </c>
      <c r="BC343" s="39">
        <v>1.2392217523121999E-3</v>
      </c>
      <c r="BD343" s="39">
        <v>1.2392217523121999E-3</v>
      </c>
      <c r="BE343" s="39">
        <v>1.2392217523121999E-3</v>
      </c>
      <c r="BF343" s="39">
        <v>1.2392217523121999E-3</v>
      </c>
      <c r="BG343" s="1"/>
      <c r="BH343" s="12">
        <f t="shared" si="207"/>
        <v>0</v>
      </c>
      <c r="BI343" s="12">
        <f t="shared" si="208"/>
        <v>0</v>
      </c>
      <c r="BJ343" s="12">
        <f t="shared" si="209"/>
        <v>0</v>
      </c>
      <c r="BK343" s="12">
        <f t="shared" si="210"/>
        <v>0</v>
      </c>
      <c r="BL343" s="12">
        <f t="shared" si="211"/>
        <v>0</v>
      </c>
      <c r="BM343" s="12">
        <f t="shared" si="212"/>
        <v>0</v>
      </c>
      <c r="BN343" s="12">
        <f t="shared" si="213"/>
        <v>0</v>
      </c>
      <c r="BO343" s="12">
        <f t="shared" si="214"/>
        <v>0</v>
      </c>
      <c r="BP343" s="12">
        <f t="shared" si="215"/>
        <v>0</v>
      </c>
      <c r="BQ343" s="12">
        <f t="shared" si="216"/>
        <v>0</v>
      </c>
      <c r="BR343" s="12">
        <f t="shared" si="217"/>
        <v>0</v>
      </c>
      <c r="BS343" s="12">
        <f t="shared" si="218"/>
        <v>0</v>
      </c>
      <c r="BT343" s="1"/>
      <c r="BU343" s="11">
        <f t="shared" si="219"/>
        <v>0</v>
      </c>
      <c r="BV343" s="11">
        <f t="shared" si="220"/>
        <v>0</v>
      </c>
      <c r="BW343" s="11">
        <f t="shared" si="221"/>
        <v>0</v>
      </c>
      <c r="BX343" s="11">
        <f t="shared" si="222"/>
        <v>0</v>
      </c>
      <c r="BY343" s="11">
        <f t="shared" si="223"/>
        <v>0</v>
      </c>
      <c r="BZ343" s="11">
        <f t="shared" si="224"/>
        <v>0</v>
      </c>
      <c r="CA343" s="11">
        <f t="shared" si="225"/>
        <v>0</v>
      </c>
      <c r="CB343" s="11">
        <f t="shared" si="226"/>
        <v>0</v>
      </c>
      <c r="CC343" s="11">
        <f t="shared" si="227"/>
        <v>0</v>
      </c>
      <c r="CD343" s="11">
        <f t="shared" si="228"/>
        <v>0</v>
      </c>
      <c r="CE343" s="11">
        <f t="shared" si="229"/>
        <v>0</v>
      </c>
      <c r="CF343" s="11">
        <f t="shared" si="230"/>
        <v>0</v>
      </c>
      <c r="CG343" s="11"/>
      <c r="CH343" s="41">
        <v>3.23</v>
      </c>
      <c r="CI343" s="1"/>
      <c r="CJ343" s="53">
        <f t="shared" si="231"/>
        <v>0</v>
      </c>
      <c r="CK343" s="53">
        <f t="shared" si="232"/>
        <v>0</v>
      </c>
      <c r="CL343" s="53">
        <f t="shared" si="233"/>
        <v>0</v>
      </c>
      <c r="CM343" s="53">
        <f t="shared" si="234"/>
        <v>0</v>
      </c>
      <c r="CN343" s="53">
        <f t="shared" si="235"/>
        <v>0</v>
      </c>
      <c r="CO343" s="53">
        <f t="shared" si="236"/>
        <v>0</v>
      </c>
      <c r="CP343" s="53">
        <f t="shared" si="237"/>
        <v>0</v>
      </c>
      <c r="CQ343" s="53">
        <f t="shared" si="238"/>
        <v>0</v>
      </c>
      <c r="CR343" s="53">
        <f t="shared" si="239"/>
        <v>0</v>
      </c>
      <c r="CS343" s="53">
        <f t="shared" si="240"/>
        <v>0</v>
      </c>
      <c r="CT343" s="53">
        <f t="shared" si="241"/>
        <v>0</v>
      </c>
      <c r="CU343" s="53">
        <f t="shared" si="242"/>
        <v>0</v>
      </c>
      <c r="CV343" s="53">
        <f t="shared" si="205"/>
        <v>0</v>
      </c>
      <c r="CW343" s="1"/>
      <c r="CX343" s="1"/>
      <c r="CY343" s="1"/>
      <c r="CZ343" s="1"/>
      <c r="DA343" s="1"/>
      <c r="DB343" s="1"/>
      <c r="DC343" s="1"/>
      <c r="DD343" s="1"/>
      <c r="DE343" s="1"/>
      <c r="DF343" s="1"/>
      <c r="DG343" s="1"/>
      <c r="DH343" s="1"/>
      <c r="DI343" s="1"/>
      <c r="DJ343" s="1"/>
      <c r="DK343" s="1"/>
      <c r="DL343" s="1"/>
    </row>
    <row r="344" spans="1:116" ht="15.75" hidden="1" x14ac:dyDescent="0.25">
      <c r="A344" s="17"/>
      <c r="B344" s="17"/>
      <c r="C344" s="17"/>
      <c r="D344" s="17"/>
      <c r="E344" s="17"/>
      <c r="F344" s="18" t="s">
        <v>3604</v>
      </c>
      <c r="G344" s="57">
        <v>0</v>
      </c>
      <c r="H344" s="57">
        <v>0</v>
      </c>
      <c r="I344" s="57">
        <v>0</v>
      </c>
      <c r="J344" s="57">
        <v>0</v>
      </c>
      <c r="K344" s="57">
        <v>0</v>
      </c>
      <c r="L344" s="57">
        <v>0</v>
      </c>
      <c r="M344" s="57">
        <v>0</v>
      </c>
      <c r="N344" s="57">
        <v>0</v>
      </c>
      <c r="O344" s="57">
        <v>0</v>
      </c>
      <c r="P344" s="57">
        <v>0</v>
      </c>
      <c r="Q344" s="57">
        <v>0</v>
      </c>
      <c r="R344" s="57">
        <v>0</v>
      </c>
      <c r="S344" s="12">
        <f t="shared" si="206"/>
        <v>0</v>
      </c>
      <c r="T344" s="1"/>
      <c r="U344" s="1"/>
      <c r="V344" s="50">
        <f t="shared" si="204"/>
        <v>0</v>
      </c>
      <c r="W344" s="36">
        <v>1.75</v>
      </c>
      <c r="X344" s="36">
        <v>1.75</v>
      </c>
      <c r="Y344" s="36">
        <v>1.75</v>
      </c>
      <c r="Z344" s="36">
        <v>1.75</v>
      </c>
      <c r="AA344" s="36">
        <v>1.75</v>
      </c>
      <c r="AB344" s="36">
        <v>1.75</v>
      </c>
      <c r="AC344" s="36">
        <v>1.75</v>
      </c>
      <c r="AD344" s="36">
        <v>1.75</v>
      </c>
      <c r="AE344" s="36">
        <v>1.75</v>
      </c>
      <c r="AF344" s="36">
        <v>1.75</v>
      </c>
      <c r="AG344" s="36">
        <v>1.75</v>
      </c>
      <c r="AH344" s="36">
        <v>1.75</v>
      </c>
      <c r="AI344" s="39">
        <v>1.33634708931066E-2</v>
      </c>
      <c r="AJ344" s="39">
        <v>1.33634708931066E-2</v>
      </c>
      <c r="AK344" s="39">
        <v>1.33634708931066E-2</v>
      </c>
      <c r="AL344" s="39">
        <v>1.33634708931066E-2</v>
      </c>
      <c r="AM344" s="39">
        <v>1.33634708931066E-2</v>
      </c>
      <c r="AN344" s="39">
        <v>1.33634708931066E-2</v>
      </c>
      <c r="AO344" s="39">
        <v>1.33634708931066E-2</v>
      </c>
      <c r="AP344" s="39">
        <v>1.33634708931066E-2</v>
      </c>
      <c r="AQ344" s="39">
        <v>1.33634708931066E-2</v>
      </c>
      <c r="AR344" s="39">
        <v>1.33634708931066E-2</v>
      </c>
      <c r="AS344" s="39">
        <v>1.33634708931066E-2</v>
      </c>
      <c r="AT344" s="39">
        <v>1.33634708931066E-2</v>
      </c>
      <c r="AU344" s="39">
        <v>1.2392217523121999E-3</v>
      </c>
      <c r="AV344" s="39">
        <v>1.2392217523121999E-3</v>
      </c>
      <c r="AW344" s="39">
        <v>1.2392217523121999E-3</v>
      </c>
      <c r="AX344" s="39">
        <v>1.2392217523121999E-3</v>
      </c>
      <c r="AY344" s="39">
        <v>1.2392217523121999E-3</v>
      </c>
      <c r="AZ344" s="39">
        <v>1.2392217523121999E-3</v>
      </c>
      <c r="BA344" s="39">
        <v>1.2392217523121999E-3</v>
      </c>
      <c r="BB344" s="39">
        <v>1.2392217523121999E-3</v>
      </c>
      <c r="BC344" s="39">
        <v>1.2392217523121999E-3</v>
      </c>
      <c r="BD344" s="39">
        <v>1.2392217523121999E-3</v>
      </c>
      <c r="BE344" s="39">
        <v>1.2392217523121999E-3</v>
      </c>
      <c r="BF344" s="39">
        <v>1.2392217523121999E-3</v>
      </c>
      <c r="BG344" s="1"/>
      <c r="BH344" s="12">
        <f t="shared" si="207"/>
        <v>0</v>
      </c>
      <c r="BI344" s="12">
        <f t="shared" si="208"/>
        <v>0</v>
      </c>
      <c r="BJ344" s="12">
        <f t="shared" si="209"/>
        <v>0</v>
      </c>
      <c r="BK344" s="12">
        <f t="shared" si="210"/>
        <v>0</v>
      </c>
      <c r="BL344" s="12">
        <f t="shared" si="211"/>
        <v>0</v>
      </c>
      <c r="BM344" s="12">
        <f t="shared" si="212"/>
        <v>0</v>
      </c>
      <c r="BN344" s="12">
        <f t="shared" si="213"/>
        <v>0</v>
      </c>
      <c r="BO344" s="12">
        <f t="shared" si="214"/>
        <v>0</v>
      </c>
      <c r="BP344" s="12">
        <f t="shared" si="215"/>
        <v>0</v>
      </c>
      <c r="BQ344" s="12">
        <f t="shared" si="216"/>
        <v>0</v>
      </c>
      <c r="BR344" s="12">
        <f t="shared" si="217"/>
        <v>0</v>
      </c>
      <c r="BS344" s="12">
        <f t="shared" si="218"/>
        <v>0</v>
      </c>
      <c r="BT344" s="1"/>
      <c r="BU344" s="11">
        <f t="shared" si="219"/>
        <v>0</v>
      </c>
      <c r="BV344" s="11">
        <f t="shared" si="220"/>
        <v>0</v>
      </c>
      <c r="BW344" s="11">
        <f t="shared" si="221"/>
        <v>0</v>
      </c>
      <c r="BX344" s="11">
        <f t="shared" si="222"/>
        <v>0</v>
      </c>
      <c r="BY344" s="11">
        <f t="shared" si="223"/>
        <v>0</v>
      </c>
      <c r="BZ344" s="11">
        <f t="shared" si="224"/>
        <v>0</v>
      </c>
      <c r="CA344" s="11">
        <f t="shared" si="225"/>
        <v>0</v>
      </c>
      <c r="CB344" s="11">
        <f t="shared" si="226"/>
        <v>0</v>
      </c>
      <c r="CC344" s="11">
        <f t="shared" si="227"/>
        <v>0</v>
      </c>
      <c r="CD344" s="11">
        <f t="shared" si="228"/>
        <v>0</v>
      </c>
      <c r="CE344" s="11">
        <f t="shared" si="229"/>
        <v>0</v>
      </c>
      <c r="CF344" s="11">
        <f t="shared" si="230"/>
        <v>0</v>
      </c>
      <c r="CG344" s="11"/>
      <c r="CH344" s="41">
        <v>3.23</v>
      </c>
      <c r="CI344" s="1"/>
      <c r="CJ344" s="53">
        <f t="shared" si="231"/>
        <v>0</v>
      </c>
      <c r="CK344" s="53">
        <f t="shared" si="232"/>
        <v>0</v>
      </c>
      <c r="CL344" s="53">
        <f t="shared" si="233"/>
        <v>0</v>
      </c>
      <c r="CM344" s="53">
        <f t="shared" si="234"/>
        <v>0</v>
      </c>
      <c r="CN344" s="53">
        <f t="shared" si="235"/>
        <v>0</v>
      </c>
      <c r="CO344" s="53">
        <f t="shared" si="236"/>
        <v>0</v>
      </c>
      <c r="CP344" s="53">
        <f t="shared" si="237"/>
        <v>0</v>
      </c>
      <c r="CQ344" s="53">
        <f t="shared" si="238"/>
        <v>0</v>
      </c>
      <c r="CR344" s="53">
        <f t="shared" si="239"/>
        <v>0</v>
      </c>
      <c r="CS344" s="53">
        <f t="shared" si="240"/>
        <v>0</v>
      </c>
      <c r="CT344" s="53">
        <f t="shared" si="241"/>
        <v>0</v>
      </c>
      <c r="CU344" s="53">
        <f t="shared" si="242"/>
        <v>0</v>
      </c>
      <c r="CV344" s="53">
        <f t="shared" si="205"/>
        <v>0</v>
      </c>
      <c r="CW344" s="1"/>
      <c r="CX344" s="1"/>
      <c r="CY344" s="1"/>
      <c r="CZ344" s="1"/>
      <c r="DA344" s="1"/>
      <c r="DB344" s="1"/>
      <c r="DC344" s="1"/>
      <c r="DD344" s="1"/>
      <c r="DE344" s="1"/>
      <c r="DF344" s="1"/>
      <c r="DG344" s="1"/>
      <c r="DH344" s="1"/>
      <c r="DI344" s="1"/>
      <c r="DJ344" s="1"/>
      <c r="DK344" s="1"/>
      <c r="DL344" s="1"/>
    </row>
    <row r="345" spans="1:116" ht="15.75" hidden="1" x14ac:dyDescent="0.25">
      <c r="A345" s="17"/>
      <c r="B345" s="17"/>
      <c r="C345" s="17"/>
      <c r="D345" s="17"/>
      <c r="E345" s="17"/>
      <c r="F345" s="18" t="s">
        <v>3604</v>
      </c>
      <c r="G345" s="57">
        <v>0</v>
      </c>
      <c r="H345" s="57">
        <v>0</v>
      </c>
      <c r="I345" s="57">
        <v>0</v>
      </c>
      <c r="J345" s="57">
        <v>0</v>
      </c>
      <c r="K345" s="57">
        <v>0</v>
      </c>
      <c r="L345" s="57">
        <v>0</v>
      </c>
      <c r="M345" s="57">
        <v>0</v>
      </c>
      <c r="N345" s="57">
        <v>0</v>
      </c>
      <c r="O345" s="57">
        <v>0</v>
      </c>
      <c r="P345" s="57">
        <v>0</v>
      </c>
      <c r="Q345" s="57">
        <v>0</v>
      </c>
      <c r="R345" s="57">
        <v>0</v>
      </c>
      <c r="S345" s="12">
        <f t="shared" si="206"/>
        <v>0</v>
      </c>
      <c r="T345" s="1"/>
      <c r="U345" s="1"/>
      <c r="V345" s="50">
        <f t="shared" si="204"/>
        <v>0</v>
      </c>
      <c r="W345" s="36">
        <v>2.367</v>
      </c>
      <c r="X345" s="36">
        <v>2.367</v>
      </c>
      <c r="Y345" s="36">
        <v>2.367</v>
      </c>
      <c r="Z345" s="36">
        <v>2.367</v>
      </c>
      <c r="AA345" s="36">
        <v>2.367</v>
      </c>
      <c r="AB345" s="36">
        <v>2.367</v>
      </c>
      <c r="AC345" s="36">
        <v>2.367</v>
      </c>
      <c r="AD345" s="36">
        <v>2.367</v>
      </c>
      <c r="AE345" s="36">
        <v>2.367</v>
      </c>
      <c r="AF345" s="36">
        <v>2.367</v>
      </c>
      <c r="AG345" s="36">
        <v>2.367</v>
      </c>
      <c r="AH345" s="36">
        <v>2.367</v>
      </c>
      <c r="AI345" s="39">
        <v>1.33634708931066E-2</v>
      </c>
      <c r="AJ345" s="39">
        <v>1.33634708931066E-2</v>
      </c>
      <c r="AK345" s="39">
        <v>1.33634708931066E-2</v>
      </c>
      <c r="AL345" s="39">
        <v>1.33634708931066E-2</v>
      </c>
      <c r="AM345" s="39">
        <v>1.33634708931066E-2</v>
      </c>
      <c r="AN345" s="39">
        <v>1.33634708931066E-2</v>
      </c>
      <c r="AO345" s="39">
        <v>1.33634708931066E-2</v>
      </c>
      <c r="AP345" s="39">
        <v>1.33634708931066E-2</v>
      </c>
      <c r="AQ345" s="39">
        <v>1.33634708931066E-2</v>
      </c>
      <c r="AR345" s="39">
        <v>1.33634708931066E-2</v>
      </c>
      <c r="AS345" s="39">
        <v>1.33634708931066E-2</v>
      </c>
      <c r="AT345" s="39">
        <v>1.33634708931066E-2</v>
      </c>
      <c r="AU345" s="39">
        <v>1.2392217523121999E-3</v>
      </c>
      <c r="AV345" s="39">
        <v>1.2392217523121999E-3</v>
      </c>
      <c r="AW345" s="39">
        <v>1.2392217523121999E-3</v>
      </c>
      <c r="AX345" s="39">
        <v>1.2392217523121999E-3</v>
      </c>
      <c r="AY345" s="39">
        <v>1.2392217523121999E-3</v>
      </c>
      <c r="AZ345" s="39">
        <v>1.2392217523121999E-3</v>
      </c>
      <c r="BA345" s="39">
        <v>1.2392217523121999E-3</v>
      </c>
      <c r="BB345" s="39">
        <v>1.2392217523121999E-3</v>
      </c>
      <c r="BC345" s="39">
        <v>1.2392217523121999E-3</v>
      </c>
      <c r="BD345" s="39">
        <v>1.2392217523121999E-3</v>
      </c>
      <c r="BE345" s="39">
        <v>1.2392217523121999E-3</v>
      </c>
      <c r="BF345" s="39">
        <v>1.2392217523121999E-3</v>
      </c>
      <c r="BG345" s="1"/>
      <c r="BH345" s="12">
        <f t="shared" si="207"/>
        <v>0</v>
      </c>
      <c r="BI345" s="12">
        <f t="shared" si="208"/>
        <v>0</v>
      </c>
      <c r="BJ345" s="12">
        <f t="shared" si="209"/>
        <v>0</v>
      </c>
      <c r="BK345" s="12">
        <f t="shared" si="210"/>
        <v>0</v>
      </c>
      <c r="BL345" s="12">
        <f t="shared" si="211"/>
        <v>0</v>
      </c>
      <c r="BM345" s="12">
        <f t="shared" si="212"/>
        <v>0</v>
      </c>
      <c r="BN345" s="12">
        <f t="shared" si="213"/>
        <v>0</v>
      </c>
      <c r="BO345" s="12">
        <f t="shared" si="214"/>
        <v>0</v>
      </c>
      <c r="BP345" s="12">
        <f t="shared" si="215"/>
        <v>0</v>
      </c>
      <c r="BQ345" s="12">
        <f t="shared" si="216"/>
        <v>0</v>
      </c>
      <c r="BR345" s="12">
        <f t="shared" si="217"/>
        <v>0</v>
      </c>
      <c r="BS345" s="12">
        <f t="shared" si="218"/>
        <v>0</v>
      </c>
      <c r="BT345" s="1"/>
      <c r="BU345" s="11">
        <f t="shared" si="219"/>
        <v>0</v>
      </c>
      <c r="BV345" s="11">
        <f t="shared" si="220"/>
        <v>0</v>
      </c>
      <c r="BW345" s="11">
        <f t="shared" si="221"/>
        <v>0</v>
      </c>
      <c r="BX345" s="11">
        <f t="shared" si="222"/>
        <v>0</v>
      </c>
      <c r="BY345" s="11">
        <f t="shared" si="223"/>
        <v>0</v>
      </c>
      <c r="BZ345" s="11">
        <f t="shared" si="224"/>
        <v>0</v>
      </c>
      <c r="CA345" s="11">
        <f t="shared" si="225"/>
        <v>0</v>
      </c>
      <c r="CB345" s="11">
        <f t="shared" si="226"/>
        <v>0</v>
      </c>
      <c r="CC345" s="11">
        <f t="shared" si="227"/>
        <v>0</v>
      </c>
      <c r="CD345" s="11">
        <f t="shared" si="228"/>
        <v>0</v>
      </c>
      <c r="CE345" s="11">
        <f t="shared" si="229"/>
        <v>0</v>
      </c>
      <c r="CF345" s="11">
        <f t="shared" si="230"/>
        <v>0</v>
      </c>
      <c r="CG345" s="11"/>
      <c r="CH345" s="41">
        <v>3.23</v>
      </c>
      <c r="CI345" s="1"/>
      <c r="CJ345" s="53">
        <f t="shared" si="231"/>
        <v>0</v>
      </c>
      <c r="CK345" s="53">
        <f t="shared" si="232"/>
        <v>0</v>
      </c>
      <c r="CL345" s="53">
        <f t="shared" si="233"/>
        <v>0</v>
      </c>
      <c r="CM345" s="53">
        <f t="shared" si="234"/>
        <v>0</v>
      </c>
      <c r="CN345" s="53">
        <f t="shared" si="235"/>
        <v>0</v>
      </c>
      <c r="CO345" s="53">
        <f t="shared" si="236"/>
        <v>0</v>
      </c>
      <c r="CP345" s="53">
        <f t="shared" si="237"/>
        <v>0</v>
      </c>
      <c r="CQ345" s="53">
        <f t="shared" si="238"/>
        <v>0</v>
      </c>
      <c r="CR345" s="53">
        <f t="shared" si="239"/>
        <v>0</v>
      </c>
      <c r="CS345" s="53">
        <f t="shared" si="240"/>
        <v>0</v>
      </c>
      <c r="CT345" s="53">
        <f t="shared" si="241"/>
        <v>0</v>
      </c>
      <c r="CU345" s="53">
        <f t="shared" si="242"/>
        <v>0</v>
      </c>
      <c r="CV345" s="53">
        <f t="shared" si="205"/>
        <v>0</v>
      </c>
      <c r="CW345" s="1"/>
      <c r="CX345" s="1"/>
      <c r="CY345" s="1"/>
      <c r="CZ345" s="1"/>
      <c r="DA345" s="1"/>
      <c r="DB345" s="1"/>
      <c r="DC345" s="1"/>
      <c r="DD345" s="1"/>
      <c r="DE345" s="1"/>
      <c r="DF345" s="1"/>
      <c r="DG345" s="1"/>
      <c r="DH345" s="1"/>
      <c r="DI345" s="1"/>
      <c r="DJ345" s="1"/>
      <c r="DK345" s="1"/>
      <c r="DL345" s="1"/>
    </row>
    <row r="346" spans="1:116" ht="15.75" hidden="1" x14ac:dyDescent="0.25">
      <c r="A346" s="17"/>
      <c r="B346" s="17"/>
      <c r="C346" s="17"/>
      <c r="D346" s="17"/>
      <c r="E346" s="17"/>
      <c r="F346" s="18" t="s">
        <v>3604</v>
      </c>
      <c r="G346" s="57">
        <v>0</v>
      </c>
      <c r="H346" s="57">
        <v>0</v>
      </c>
      <c r="I346" s="57">
        <v>0</v>
      </c>
      <c r="J346" s="57">
        <v>0</v>
      </c>
      <c r="K346" s="57">
        <v>0</v>
      </c>
      <c r="L346" s="57">
        <v>0</v>
      </c>
      <c r="M346" s="57">
        <v>0</v>
      </c>
      <c r="N346" s="57">
        <v>0</v>
      </c>
      <c r="O346" s="57">
        <v>0</v>
      </c>
      <c r="P346" s="57">
        <v>0</v>
      </c>
      <c r="Q346" s="57">
        <v>0</v>
      </c>
      <c r="R346" s="57">
        <v>0</v>
      </c>
      <c r="S346" s="12">
        <f t="shared" si="206"/>
        <v>0</v>
      </c>
      <c r="T346" s="1"/>
      <c r="U346" s="1"/>
      <c r="V346" s="50">
        <f t="shared" si="204"/>
        <v>0</v>
      </c>
      <c r="W346" s="36">
        <v>1.9370000000000001</v>
      </c>
      <c r="X346" s="36">
        <v>1.9370000000000001</v>
      </c>
      <c r="Y346" s="36">
        <v>1.9370000000000001</v>
      </c>
      <c r="Z346" s="36">
        <v>1.9370000000000001</v>
      </c>
      <c r="AA346" s="36">
        <v>1.9370000000000001</v>
      </c>
      <c r="AB346" s="36">
        <v>1.9370000000000001</v>
      </c>
      <c r="AC346" s="36">
        <v>1.9370000000000001</v>
      </c>
      <c r="AD346" s="36">
        <v>1.9370000000000001</v>
      </c>
      <c r="AE346" s="36">
        <v>1.9370000000000001</v>
      </c>
      <c r="AF346" s="36">
        <v>1.9370000000000001</v>
      </c>
      <c r="AG346" s="36">
        <v>1.9370000000000001</v>
      </c>
      <c r="AH346" s="36">
        <v>1.9370000000000001</v>
      </c>
      <c r="AI346" s="39">
        <v>1.33634708931066E-2</v>
      </c>
      <c r="AJ346" s="39">
        <v>1.33634708931066E-2</v>
      </c>
      <c r="AK346" s="39">
        <v>1.33634708931066E-2</v>
      </c>
      <c r="AL346" s="39">
        <v>1.33634708931066E-2</v>
      </c>
      <c r="AM346" s="39">
        <v>1.33634708931066E-2</v>
      </c>
      <c r="AN346" s="39">
        <v>1.33634708931066E-2</v>
      </c>
      <c r="AO346" s="39">
        <v>1.33634708931066E-2</v>
      </c>
      <c r="AP346" s="39">
        <v>1.33634708931066E-2</v>
      </c>
      <c r="AQ346" s="39">
        <v>1.33634708931066E-2</v>
      </c>
      <c r="AR346" s="39">
        <v>1.33634708931066E-2</v>
      </c>
      <c r="AS346" s="39">
        <v>1.33634708931066E-2</v>
      </c>
      <c r="AT346" s="39">
        <v>1.33634708931066E-2</v>
      </c>
      <c r="AU346" s="39">
        <v>1.2392217523121999E-3</v>
      </c>
      <c r="AV346" s="39">
        <v>1.2392217523121999E-3</v>
      </c>
      <c r="AW346" s="39">
        <v>1.2392217523121999E-3</v>
      </c>
      <c r="AX346" s="39">
        <v>1.2392217523121999E-3</v>
      </c>
      <c r="AY346" s="39">
        <v>1.2392217523121999E-3</v>
      </c>
      <c r="AZ346" s="39">
        <v>1.2392217523121999E-3</v>
      </c>
      <c r="BA346" s="39">
        <v>1.2392217523121999E-3</v>
      </c>
      <c r="BB346" s="39">
        <v>1.2392217523121999E-3</v>
      </c>
      <c r="BC346" s="39">
        <v>1.2392217523121999E-3</v>
      </c>
      <c r="BD346" s="39">
        <v>1.2392217523121999E-3</v>
      </c>
      <c r="BE346" s="39">
        <v>1.2392217523121999E-3</v>
      </c>
      <c r="BF346" s="39">
        <v>1.2392217523121999E-3</v>
      </c>
      <c r="BG346" s="1"/>
      <c r="BH346" s="12">
        <f t="shared" si="207"/>
        <v>0</v>
      </c>
      <c r="BI346" s="12">
        <f t="shared" si="208"/>
        <v>0</v>
      </c>
      <c r="BJ346" s="12">
        <f t="shared" si="209"/>
        <v>0</v>
      </c>
      <c r="BK346" s="12">
        <f t="shared" si="210"/>
        <v>0</v>
      </c>
      <c r="BL346" s="12">
        <f t="shared" si="211"/>
        <v>0</v>
      </c>
      <c r="BM346" s="12">
        <f t="shared" si="212"/>
        <v>0</v>
      </c>
      <c r="BN346" s="12">
        <f t="shared" si="213"/>
        <v>0</v>
      </c>
      <c r="BO346" s="12">
        <f t="shared" si="214"/>
        <v>0</v>
      </c>
      <c r="BP346" s="12">
        <f t="shared" si="215"/>
        <v>0</v>
      </c>
      <c r="BQ346" s="12">
        <f t="shared" si="216"/>
        <v>0</v>
      </c>
      <c r="BR346" s="12">
        <f t="shared" si="217"/>
        <v>0</v>
      </c>
      <c r="BS346" s="12">
        <f t="shared" si="218"/>
        <v>0</v>
      </c>
      <c r="BT346" s="1"/>
      <c r="BU346" s="11">
        <f t="shared" si="219"/>
        <v>0</v>
      </c>
      <c r="BV346" s="11">
        <f t="shared" si="220"/>
        <v>0</v>
      </c>
      <c r="BW346" s="11">
        <f t="shared" si="221"/>
        <v>0</v>
      </c>
      <c r="BX346" s="11">
        <f t="shared" si="222"/>
        <v>0</v>
      </c>
      <c r="BY346" s="11">
        <f t="shared" si="223"/>
        <v>0</v>
      </c>
      <c r="BZ346" s="11">
        <f t="shared" si="224"/>
        <v>0</v>
      </c>
      <c r="CA346" s="11">
        <f t="shared" si="225"/>
        <v>0</v>
      </c>
      <c r="CB346" s="11">
        <f t="shared" si="226"/>
        <v>0</v>
      </c>
      <c r="CC346" s="11">
        <f t="shared" si="227"/>
        <v>0</v>
      </c>
      <c r="CD346" s="11">
        <f t="shared" si="228"/>
        <v>0</v>
      </c>
      <c r="CE346" s="11">
        <f t="shared" si="229"/>
        <v>0</v>
      </c>
      <c r="CF346" s="11">
        <f t="shared" si="230"/>
        <v>0</v>
      </c>
      <c r="CG346" s="11"/>
      <c r="CH346" s="41">
        <v>3.23</v>
      </c>
      <c r="CI346" s="1"/>
      <c r="CJ346" s="53">
        <f t="shared" si="231"/>
        <v>0</v>
      </c>
      <c r="CK346" s="53">
        <f t="shared" si="232"/>
        <v>0</v>
      </c>
      <c r="CL346" s="53">
        <f t="shared" si="233"/>
        <v>0</v>
      </c>
      <c r="CM346" s="53">
        <f t="shared" si="234"/>
        <v>0</v>
      </c>
      <c r="CN346" s="53">
        <f t="shared" si="235"/>
        <v>0</v>
      </c>
      <c r="CO346" s="53">
        <f t="shared" si="236"/>
        <v>0</v>
      </c>
      <c r="CP346" s="53">
        <f t="shared" si="237"/>
        <v>0</v>
      </c>
      <c r="CQ346" s="53">
        <f t="shared" si="238"/>
        <v>0</v>
      </c>
      <c r="CR346" s="53">
        <f t="shared" si="239"/>
        <v>0</v>
      </c>
      <c r="CS346" s="53">
        <f t="shared" si="240"/>
        <v>0</v>
      </c>
      <c r="CT346" s="53">
        <f t="shared" si="241"/>
        <v>0</v>
      </c>
      <c r="CU346" s="53">
        <f t="shared" si="242"/>
        <v>0</v>
      </c>
      <c r="CV346" s="53">
        <f t="shared" si="205"/>
        <v>0</v>
      </c>
      <c r="CW346" s="1"/>
      <c r="CX346" s="1"/>
      <c r="CY346" s="1"/>
      <c r="CZ346" s="1"/>
      <c r="DA346" s="1"/>
      <c r="DB346" s="1"/>
      <c r="DC346" s="1"/>
      <c r="DD346" s="1"/>
      <c r="DE346" s="1"/>
      <c r="DF346" s="1"/>
      <c r="DG346" s="1"/>
      <c r="DH346" s="1"/>
      <c r="DI346" s="1"/>
      <c r="DJ346" s="1"/>
      <c r="DK346" s="1"/>
      <c r="DL346" s="1"/>
    </row>
    <row r="347" spans="1:116" ht="15.75" hidden="1" x14ac:dyDescent="0.25">
      <c r="A347" s="17"/>
      <c r="B347" s="17"/>
      <c r="C347" s="17"/>
      <c r="D347" s="17"/>
      <c r="E347" s="17"/>
      <c r="F347" s="18" t="s">
        <v>3604</v>
      </c>
      <c r="G347" s="57">
        <v>0</v>
      </c>
      <c r="H347" s="57">
        <v>0</v>
      </c>
      <c r="I347" s="57">
        <v>0</v>
      </c>
      <c r="J347" s="57">
        <v>0</v>
      </c>
      <c r="K347" s="57">
        <v>0</v>
      </c>
      <c r="L347" s="57">
        <v>0</v>
      </c>
      <c r="M347" s="57">
        <v>0</v>
      </c>
      <c r="N347" s="57">
        <v>0</v>
      </c>
      <c r="O347" s="57">
        <v>0</v>
      </c>
      <c r="P347" s="57">
        <v>0</v>
      </c>
      <c r="Q347" s="57">
        <v>0</v>
      </c>
      <c r="R347" s="57">
        <v>0</v>
      </c>
      <c r="S347" s="12">
        <f t="shared" si="206"/>
        <v>0</v>
      </c>
      <c r="T347" s="1"/>
      <c r="U347" s="1"/>
      <c r="V347" s="50">
        <f t="shared" si="204"/>
        <v>0</v>
      </c>
      <c r="W347" s="36">
        <v>2.6589999999999998</v>
      </c>
      <c r="X347" s="36">
        <v>2.6589999999999998</v>
      </c>
      <c r="Y347" s="36">
        <v>2.6589999999999998</v>
      </c>
      <c r="Z347" s="36">
        <v>2.6589999999999998</v>
      </c>
      <c r="AA347" s="36">
        <v>2.6589999999999998</v>
      </c>
      <c r="AB347" s="36">
        <v>2.6589999999999998</v>
      </c>
      <c r="AC347" s="36">
        <v>2.6589999999999998</v>
      </c>
      <c r="AD347" s="36">
        <v>2.6589999999999998</v>
      </c>
      <c r="AE347" s="36">
        <v>2.6589999999999998</v>
      </c>
      <c r="AF347" s="36">
        <v>2.6589999999999998</v>
      </c>
      <c r="AG347" s="36">
        <v>2.6589999999999998</v>
      </c>
      <c r="AH347" s="36">
        <v>2.6589999999999998</v>
      </c>
      <c r="AI347" s="39">
        <v>1.33634708931066E-2</v>
      </c>
      <c r="AJ347" s="39">
        <v>1.33634708931066E-2</v>
      </c>
      <c r="AK347" s="39">
        <v>1.33634708931066E-2</v>
      </c>
      <c r="AL347" s="39">
        <v>1.33634708931066E-2</v>
      </c>
      <c r="AM347" s="39">
        <v>1.33634708931066E-2</v>
      </c>
      <c r="AN347" s="39">
        <v>1.33634708931066E-2</v>
      </c>
      <c r="AO347" s="39">
        <v>1.33634708931066E-2</v>
      </c>
      <c r="AP347" s="39">
        <v>1.33634708931066E-2</v>
      </c>
      <c r="AQ347" s="39">
        <v>1.33634708931066E-2</v>
      </c>
      <c r="AR347" s="39">
        <v>1.33634708931066E-2</v>
      </c>
      <c r="AS347" s="39">
        <v>1.33634708931066E-2</v>
      </c>
      <c r="AT347" s="39">
        <v>1.33634708931066E-2</v>
      </c>
      <c r="AU347" s="39">
        <v>1.2392217523121999E-3</v>
      </c>
      <c r="AV347" s="39">
        <v>1.2392217523121999E-3</v>
      </c>
      <c r="AW347" s="39">
        <v>1.2392217523121999E-3</v>
      </c>
      <c r="AX347" s="39">
        <v>1.2392217523121999E-3</v>
      </c>
      <c r="AY347" s="39">
        <v>1.2392217523121999E-3</v>
      </c>
      <c r="AZ347" s="39">
        <v>1.2392217523121999E-3</v>
      </c>
      <c r="BA347" s="39">
        <v>1.2392217523121999E-3</v>
      </c>
      <c r="BB347" s="39">
        <v>1.2392217523121999E-3</v>
      </c>
      <c r="BC347" s="39">
        <v>1.2392217523121999E-3</v>
      </c>
      <c r="BD347" s="39">
        <v>1.2392217523121999E-3</v>
      </c>
      <c r="BE347" s="39">
        <v>1.2392217523121999E-3</v>
      </c>
      <c r="BF347" s="39">
        <v>1.2392217523121999E-3</v>
      </c>
      <c r="BG347" s="1"/>
      <c r="BH347" s="12">
        <f t="shared" si="207"/>
        <v>0</v>
      </c>
      <c r="BI347" s="12">
        <f t="shared" si="208"/>
        <v>0</v>
      </c>
      <c r="BJ347" s="12">
        <f t="shared" si="209"/>
        <v>0</v>
      </c>
      <c r="BK347" s="12">
        <f t="shared" si="210"/>
        <v>0</v>
      </c>
      <c r="BL347" s="12">
        <f t="shared" si="211"/>
        <v>0</v>
      </c>
      <c r="BM347" s="12">
        <f t="shared" si="212"/>
        <v>0</v>
      </c>
      <c r="BN347" s="12">
        <f t="shared" si="213"/>
        <v>0</v>
      </c>
      <c r="BO347" s="12">
        <f t="shared" si="214"/>
        <v>0</v>
      </c>
      <c r="BP347" s="12">
        <f t="shared" si="215"/>
        <v>0</v>
      </c>
      <c r="BQ347" s="12">
        <f t="shared" si="216"/>
        <v>0</v>
      </c>
      <c r="BR347" s="12">
        <f t="shared" si="217"/>
        <v>0</v>
      </c>
      <c r="BS347" s="12">
        <f t="shared" si="218"/>
        <v>0</v>
      </c>
      <c r="BT347" s="1"/>
      <c r="BU347" s="11">
        <f t="shared" si="219"/>
        <v>0</v>
      </c>
      <c r="BV347" s="11">
        <f t="shared" si="220"/>
        <v>0</v>
      </c>
      <c r="BW347" s="11">
        <f t="shared" si="221"/>
        <v>0</v>
      </c>
      <c r="BX347" s="11">
        <f t="shared" si="222"/>
        <v>0</v>
      </c>
      <c r="BY347" s="11">
        <f t="shared" si="223"/>
        <v>0</v>
      </c>
      <c r="BZ347" s="11">
        <f t="shared" si="224"/>
        <v>0</v>
      </c>
      <c r="CA347" s="11">
        <f t="shared" si="225"/>
        <v>0</v>
      </c>
      <c r="CB347" s="11">
        <f t="shared" si="226"/>
        <v>0</v>
      </c>
      <c r="CC347" s="11">
        <f t="shared" si="227"/>
        <v>0</v>
      </c>
      <c r="CD347" s="11">
        <f t="shared" si="228"/>
        <v>0</v>
      </c>
      <c r="CE347" s="11">
        <f t="shared" si="229"/>
        <v>0</v>
      </c>
      <c r="CF347" s="11">
        <f t="shared" si="230"/>
        <v>0</v>
      </c>
      <c r="CG347" s="11"/>
      <c r="CH347" s="41">
        <v>3.23</v>
      </c>
      <c r="CI347" s="1"/>
      <c r="CJ347" s="53">
        <f t="shared" si="231"/>
        <v>0</v>
      </c>
      <c r="CK347" s="53">
        <f t="shared" si="232"/>
        <v>0</v>
      </c>
      <c r="CL347" s="53">
        <f t="shared" si="233"/>
        <v>0</v>
      </c>
      <c r="CM347" s="53">
        <f t="shared" si="234"/>
        <v>0</v>
      </c>
      <c r="CN347" s="53">
        <f t="shared" si="235"/>
        <v>0</v>
      </c>
      <c r="CO347" s="53">
        <f t="shared" si="236"/>
        <v>0</v>
      </c>
      <c r="CP347" s="53">
        <f t="shared" si="237"/>
        <v>0</v>
      </c>
      <c r="CQ347" s="53">
        <f t="shared" si="238"/>
        <v>0</v>
      </c>
      <c r="CR347" s="53">
        <f t="shared" si="239"/>
        <v>0</v>
      </c>
      <c r="CS347" s="53">
        <f t="shared" si="240"/>
        <v>0</v>
      </c>
      <c r="CT347" s="53">
        <f t="shared" si="241"/>
        <v>0</v>
      </c>
      <c r="CU347" s="53">
        <f t="shared" si="242"/>
        <v>0</v>
      </c>
      <c r="CV347" s="53">
        <f t="shared" si="205"/>
        <v>0</v>
      </c>
      <c r="CW347" s="1"/>
      <c r="CX347" s="1"/>
      <c r="CY347" s="1"/>
      <c r="CZ347" s="1"/>
      <c r="DA347" s="1"/>
      <c r="DB347" s="1"/>
      <c r="DC347" s="1"/>
      <c r="DD347" s="1"/>
      <c r="DE347" s="1"/>
      <c r="DF347" s="1"/>
      <c r="DG347" s="1"/>
      <c r="DH347" s="1"/>
      <c r="DI347" s="1"/>
      <c r="DJ347" s="1"/>
      <c r="DK347" s="1"/>
      <c r="DL347" s="1"/>
    </row>
    <row r="348" spans="1:116" ht="15.75" hidden="1" x14ac:dyDescent="0.25">
      <c r="A348" s="17"/>
      <c r="B348" s="17"/>
      <c r="C348" s="17"/>
      <c r="D348" s="17"/>
      <c r="E348" s="17"/>
      <c r="F348" s="18" t="s">
        <v>3604</v>
      </c>
      <c r="G348" s="57">
        <v>0</v>
      </c>
      <c r="H348" s="57">
        <v>0</v>
      </c>
      <c r="I348" s="57">
        <v>0</v>
      </c>
      <c r="J348" s="57">
        <v>0</v>
      </c>
      <c r="K348" s="57">
        <v>0</v>
      </c>
      <c r="L348" s="57">
        <v>0</v>
      </c>
      <c r="M348" s="57">
        <v>0</v>
      </c>
      <c r="N348" s="57">
        <v>0</v>
      </c>
      <c r="O348" s="57">
        <v>0</v>
      </c>
      <c r="P348" s="57">
        <v>0</v>
      </c>
      <c r="Q348" s="57">
        <v>0</v>
      </c>
      <c r="R348" s="57">
        <v>0</v>
      </c>
      <c r="S348" s="12">
        <f t="shared" si="206"/>
        <v>0</v>
      </c>
      <c r="T348" s="1"/>
      <c r="U348" s="1"/>
      <c r="V348" s="50">
        <f t="shared" si="204"/>
        <v>0</v>
      </c>
      <c r="W348" s="36">
        <v>1.8500010816189674</v>
      </c>
      <c r="X348" s="36">
        <v>1.8500010816189674</v>
      </c>
      <c r="Y348" s="36">
        <v>1.8500010816189674</v>
      </c>
      <c r="Z348" s="36">
        <v>1.8500010816189674</v>
      </c>
      <c r="AA348" s="36">
        <v>1.8500010816189674</v>
      </c>
      <c r="AB348" s="36">
        <v>1.8500010816189674</v>
      </c>
      <c r="AC348" s="36">
        <v>1.8500010816189674</v>
      </c>
      <c r="AD348" s="36">
        <v>1.8500010816189674</v>
      </c>
      <c r="AE348" s="36">
        <v>1.8500010816189674</v>
      </c>
      <c r="AF348" s="36">
        <v>1.8500010816189674</v>
      </c>
      <c r="AG348" s="36">
        <v>1.8500010816189674</v>
      </c>
      <c r="AH348" s="36">
        <v>1.8500010816189674</v>
      </c>
      <c r="AI348" s="39">
        <v>0</v>
      </c>
      <c r="AJ348" s="39">
        <v>0</v>
      </c>
      <c r="AK348" s="39">
        <v>0</v>
      </c>
      <c r="AL348" s="39">
        <v>0</v>
      </c>
      <c r="AM348" s="39">
        <v>0</v>
      </c>
      <c r="AN348" s="39">
        <v>0</v>
      </c>
      <c r="AO348" s="39">
        <v>0</v>
      </c>
      <c r="AP348" s="39">
        <v>0</v>
      </c>
      <c r="AQ348" s="39">
        <v>0</v>
      </c>
      <c r="AR348" s="39">
        <v>0</v>
      </c>
      <c r="AS348" s="39">
        <v>0</v>
      </c>
      <c r="AT348" s="39">
        <v>0</v>
      </c>
      <c r="AU348" s="39">
        <v>0</v>
      </c>
      <c r="AV348" s="39">
        <v>0</v>
      </c>
      <c r="AW348" s="39">
        <v>0</v>
      </c>
      <c r="AX348" s="39">
        <v>0</v>
      </c>
      <c r="AY348" s="39">
        <v>0</v>
      </c>
      <c r="AZ348" s="39">
        <v>0</v>
      </c>
      <c r="BA348" s="39">
        <v>0</v>
      </c>
      <c r="BB348" s="39">
        <v>0</v>
      </c>
      <c r="BC348" s="39">
        <v>0</v>
      </c>
      <c r="BD348" s="39">
        <v>0</v>
      </c>
      <c r="BE348" s="39">
        <v>0</v>
      </c>
      <c r="BF348" s="39">
        <v>0</v>
      </c>
      <c r="BG348" s="1"/>
      <c r="BH348" s="12">
        <f t="shared" si="207"/>
        <v>0</v>
      </c>
      <c r="BI348" s="12">
        <f t="shared" si="208"/>
        <v>0</v>
      </c>
      <c r="BJ348" s="12">
        <f t="shared" si="209"/>
        <v>0</v>
      </c>
      <c r="BK348" s="12">
        <f t="shared" si="210"/>
        <v>0</v>
      </c>
      <c r="BL348" s="12">
        <f t="shared" si="211"/>
        <v>0</v>
      </c>
      <c r="BM348" s="12">
        <f t="shared" si="212"/>
        <v>0</v>
      </c>
      <c r="BN348" s="12">
        <f t="shared" si="213"/>
        <v>0</v>
      </c>
      <c r="BO348" s="12">
        <f t="shared" si="214"/>
        <v>0</v>
      </c>
      <c r="BP348" s="12">
        <f t="shared" si="215"/>
        <v>0</v>
      </c>
      <c r="BQ348" s="12">
        <f t="shared" si="216"/>
        <v>0</v>
      </c>
      <c r="BR348" s="12">
        <f t="shared" si="217"/>
        <v>0</v>
      </c>
      <c r="BS348" s="12">
        <f t="shared" si="218"/>
        <v>0</v>
      </c>
      <c r="BT348" s="1"/>
      <c r="BU348" s="11">
        <f t="shared" si="219"/>
        <v>0</v>
      </c>
      <c r="BV348" s="11">
        <f t="shared" si="220"/>
        <v>0</v>
      </c>
      <c r="BW348" s="11">
        <f t="shared" si="221"/>
        <v>0</v>
      </c>
      <c r="BX348" s="11">
        <f t="shared" si="222"/>
        <v>0</v>
      </c>
      <c r="BY348" s="11">
        <f t="shared" si="223"/>
        <v>0</v>
      </c>
      <c r="BZ348" s="11">
        <f t="shared" si="224"/>
        <v>0</v>
      </c>
      <c r="CA348" s="11">
        <f t="shared" si="225"/>
        <v>0</v>
      </c>
      <c r="CB348" s="11">
        <f t="shared" si="226"/>
        <v>0</v>
      </c>
      <c r="CC348" s="11">
        <f t="shared" si="227"/>
        <v>0</v>
      </c>
      <c r="CD348" s="11">
        <f t="shared" si="228"/>
        <v>0</v>
      </c>
      <c r="CE348" s="11">
        <f t="shared" si="229"/>
        <v>0</v>
      </c>
      <c r="CF348" s="11">
        <f t="shared" si="230"/>
        <v>0</v>
      </c>
      <c r="CG348" s="11"/>
      <c r="CH348" s="41">
        <v>1</v>
      </c>
      <c r="CI348" s="1"/>
      <c r="CJ348" s="53">
        <f t="shared" si="231"/>
        <v>0</v>
      </c>
      <c r="CK348" s="53">
        <f t="shared" si="232"/>
        <v>0</v>
      </c>
      <c r="CL348" s="53">
        <f t="shared" si="233"/>
        <v>0</v>
      </c>
      <c r="CM348" s="53">
        <f t="shared" si="234"/>
        <v>0</v>
      </c>
      <c r="CN348" s="53">
        <f t="shared" si="235"/>
        <v>0</v>
      </c>
      <c r="CO348" s="53">
        <f t="shared" si="236"/>
        <v>0</v>
      </c>
      <c r="CP348" s="53">
        <f t="shared" si="237"/>
        <v>0</v>
      </c>
      <c r="CQ348" s="53">
        <f t="shared" si="238"/>
        <v>0</v>
      </c>
      <c r="CR348" s="53">
        <f t="shared" si="239"/>
        <v>0</v>
      </c>
      <c r="CS348" s="53">
        <f t="shared" si="240"/>
        <v>0</v>
      </c>
      <c r="CT348" s="53">
        <f t="shared" si="241"/>
        <v>0</v>
      </c>
      <c r="CU348" s="53">
        <f t="shared" si="242"/>
        <v>0</v>
      </c>
      <c r="CV348" s="53">
        <f t="shared" si="205"/>
        <v>0</v>
      </c>
      <c r="CW348" s="1"/>
      <c r="CX348" s="1"/>
      <c r="CY348" s="1"/>
      <c r="CZ348" s="1"/>
      <c r="DA348" s="1"/>
      <c r="DB348" s="1"/>
      <c r="DC348" s="1"/>
      <c r="DD348" s="1"/>
      <c r="DE348" s="1"/>
      <c r="DF348" s="1"/>
      <c r="DG348" s="1"/>
      <c r="DH348" s="1"/>
      <c r="DI348" s="1"/>
      <c r="DJ348" s="1"/>
      <c r="DK348" s="1"/>
      <c r="DL348" s="1"/>
    </row>
    <row r="349" spans="1:116" ht="15.75" hidden="1" x14ac:dyDescent="0.25">
      <c r="A349" s="17"/>
      <c r="B349" s="17"/>
      <c r="C349" s="17"/>
      <c r="D349" s="17"/>
      <c r="E349" s="17"/>
      <c r="F349" s="18" t="s">
        <v>3604</v>
      </c>
      <c r="G349" s="57">
        <v>0</v>
      </c>
      <c r="H349" s="57">
        <v>0</v>
      </c>
      <c r="I349" s="57">
        <v>0</v>
      </c>
      <c r="J349" s="57">
        <v>0</v>
      </c>
      <c r="K349" s="57">
        <v>0</v>
      </c>
      <c r="L349" s="57">
        <v>0</v>
      </c>
      <c r="M349" s="57">
        <v>0</v>
      </c>
      <c r="N349" s="57">
        <v>0</v>
      </c>
      <c r="O349" s="57">
        <v>0</v>
      </c>
      <c r="P349" s="57">
        <v>0</v>
      </c>
      <c r="Q349" s="57">
        <v>0</v>
      </c>
      <c r="R349" s="57">
        <v>0</v>
      </c>
      <c r="S349" s="12">
        <f t="shared" si="206"/>
        <v>0</v>
      </c>
      <c r="T349" s="1"/>
      <c r="U349" s="1"/>
      <c r="V349" s="50">
        <f t="shared" si="204"/>
        <v>0</v>
      </c>
      <c r="W349" s="36">
        <v>3.17</v>
      </c>
      <c r="X349" s="36">
        <v>3.17</v>
      </c>
      <c r="Y349" s="36">
        <v>3.17</v>
      </c>
      <c r="Z349" s="36">
        <v>3.17</v>
      </c>
      <c r="AA349" s="36">
        <v>3.17</v>
      </c>
      <c r="AB349" s="36">
        <v>3.17</v>
      </c>
      <c r="AC349" s="36">
        <v>3.17</v>
      </c>
      <c r="AD349" s="36">
        <v>3.17</v>
      </c>
      <c r="AE349" s="36">
        <v>3.17</v>
      </c>
      <c r="AF349" s="36">
        <v>3.17</v>
      </c>
      <c r="AG349" s="36">
        <v>3.17</v>
      </c>
      <c r="AH349" s="36">
        <v>3.17</v>
      </c>
      <c r="AI349" s="39">
        <v>0</v>
      </c>
      <c r="AJ349" s="39">
        <v>0</v>
      </c>
      <c r="AK349" s="39">
        <v>0</v>
      </c>
      <c r="AL349" s="39">
        <v>0</v>
      </c>
      <c r="AM349" s="39">
        <v>0</v>
      </c>
      <c r="AN349" s="39">
        <v>0</v>
      </c>
      <c r="AO349" s="39">
        <v>0</v>
      </c>
      <c r="AP349" s="39">
        <v>0</v>
      </c>
      <c r="AQ349" s="39">
        <v>0</v>
      </c>
      <c r="AR349" s="39">
        <v>0</v>
      </c>
      <c r="AS349" s="39">
        <v>0</v>
      </c>
      <c r="AT349" s="39">
        <v>0</v>
      </c>
      <c r="AU349" s="39">
        <v>0</v>
      </c>
      <c r="AV349" s="39">
        <v>0</v>
      </c>
      <c r="AW349" s="39">
        <v>0</v>
      </c>
      <c r="AX349" s="39">
        <v>0</v>
      </c>
      <c r="AY349" s="39">
        <v>0</v>
      </c>
      <c r="AZ349" s="39">
        <v>0</v>
      </c>
      <c r="BA349" s="39">
        <v>0</v>
      </c>
      <c r="BB349" s="39">
        <v>0</v>
      </c>
      <c r="BC349" s="39">
        <v>0</v>
      </c>
      <c r="BD349" s="39">
        <v>0</v>
      </c>
      <c r="BE349" s="39">
        <v>0</v>
      </c>
      <c r="BF349" s="39">
        <v>0</v>
      </c>
      <c r="BG349" s="1"/>
      <c r="BH349" s="12">
        <f t="shared" si="207"/>
        <v>0</v>
      </c>
      <c r="BI349" s="12">
        <f t="shared" si="208"/>
        <v>0</v>
      </c>
      <c r="BJ349" s="12">
        <f t="shared" si="209"/>
        <v>0</v>
      </c>
      <c r="BK349" s="12">
        <f t="shared" si="210"/>
        <v>0</v>
      </c>
      <c r="BL349" s="12">
        <f t="shared" si="211"/>
        <v>0</v>
      </c>
      <c r="BM349" s="12">
        <f t="shared" si="212"/>
        <v>0</v>
      </c>
      <c r="BN349" s="12">
        <f t="shared" si="213"/>
        <v>0</v>
      </c>
      <c r="BO349" s="12">
        <f t="shared" si="214"/>
        <v>0</v>
      </c>
      <c r="BP349" s="12">
        <f t="shared" si="215"/>
        <v>0</v>
      </c>
      <c r="BQ349" s="12">
        <f t="shared" si="216"/>
        <v>0</v>
      </c>
      <c r="BR349" s="12">
        <f t="shared" si="217"/>
        <v>0</v>
      </c>
      <c r="BS349" s="12">
        <f t="shared" si="218"/>
        <v>0</v>
      </c>
      <c r="BT349" s="1"/>
      <c r="BU349" s="11">
        <f t="shared" si="219"/>
        <v>0</v>
      </c>
      <c r="BV349" s="11">
        <f t="shared" si="220"/>
        <v>0</v>
      </c>
      <c r="BW349" s="11">
        <f t="shared" si="221"/>
        <v>0</v>
      </c>
      <c r="BX349" s="11">
        <f t="shared" si="222"/>
        <v>0</v>
      </c>
      <c r="BY349" s="11">
        <f t="shared" si="223"/>
        <v>0</v>
      </c>
      <c r="BZ349" s="11">
        <f t="shared" si="224"/>
        <v>0</v>
      </c>
      <c r="CA349" s="11">
        <f t="shared" si="225"/>
        <v>0</v>
      </c>
      <c r="CB349" s="11">
        <f t="shared" si="226"/>
        <v>0</v>
      </c>
      <c r="CC349" s="11">
        <f t="shared" si="227"/>
        <v>0</v>
      </c>
      <c r="CD349" s="11">
        <f t="shared" si="228"/>
        <v>0</v>
      </c>
      <c r="CE349" s="11">
        <f t="shared" si="229"/>
        <v>0</v>
      </c>
      <c r="CF349" s="11">
        <f t="shared" si="230"/>
        <v>0</v>
      </c>
      <c r="CG349" s="11"/>
      <c r="CH349" s="41">
        <v>1</v>
      </c>
      <c r="CI349" s="1"/>
      <c r="CJ349" s="53">
        <f t="shared" si="231"/>
        <v>0</v>
      </c>
      <c r="CK349" s="53">
        <f t="shared" si="232"/>
        <v>0</v>
      </c>
      <c r="CL349" s="53">
        <f t="shared" si="233"/>
        <v>0</v>
      </c>
      <c r="CM349" s="53">
        <f t="shared" si="234"/>
        <v>0</v>
      </c>
      <c r="CN349" s="53">
        <f t="shared" si="235"/>
        <v>0</v>
      </c>
      <c r="CO349" s="53">
        <f t="shared" si="236"/>
        <v>0</v>
      </c>
      <c r="CP349" s="53">
        <f t="shared" si="237"/>
        <v>0</v>
      </c>
      <c r="CQ349" s="53">
        <f t="shared" si="238"/>
        <v>0</v>
      </c>
      <c r="CR349" s="53">
        <f t="shared" si="239"/>
        <v>0</v>
      </c>
      <c r="CS349" s="53">
        <f t="shared" si="240"/>
        <v>0</v>
      </c>
      <c r="CT349" s="53">
        <f t="shared" si="241"/>
        <v>0</v>
      </c>
      <c r="CU349" s="53">
        <f t="shared" si="242"/>
        <v>0</v>
      </c>
      <c r="CV349" s="53">
        <f t="shared" si="205"/>
        <v>0</v>
      </c>
      <c r="CW349" s="1"/>
      <c r="CX349" s="1"/>
      <c r="CY349" s="1"/>
      <c r="CZ349" s="1"/>
      <c r="DA349" s="1"/>
      <c r="DB349" s="1"/>
      <c r="DC349" s="1"/>
      <c r="DD349" s="1"/>
      <c r="DE349" s="1"/>
      <c r="DF349" s="1"/>
      <c r="DG349" s="1"/>
      <c r="DH349" s="1"/>
      <c r="DI349" s="1"/>
      <c r="DJ349" s="1"/>
      <c r="DK349" s="1"/>
      <c r="DL349" s="1"/>
    </row>
    <row r="350" spans="1:116" ht="15.75" hidden="1" x14ac:dyDescent="0.25">
      <c r="A350" s="17"/>
      <c r="B350" s="17"/>
      <c r="C350" s="17"/>
      <c r="D350" s="17"/>
      <c r="E350" s="17"/>
      <c r="F350" s="18" t="s">
        <v>3604</v>
      </c>
      <c r="G350" s="57">
        <v>0</v>
      </c>
      <c r="H350" s="57">
        <v>0</v>
      </c>
      <c r="I350" s="57">
        <v>0</v>
      </c>
      <c r="J350" s="57">
        <v>0</v>
      </c>
      <c r="K350" s="57">
        <v>0</v>
      </c>
      <c r="L350" s="57">
        <v>0</v>
      </c>
      <c r="M350" s="57">
        <v>0</v>
      </c>
      <c r="N350" s="57">
        <v>0</v>
      </c>
      <c r="O350" s="57">
        <v>0</v>
      </c>
      <c r="P350" s="57">
        <v>0</v>
      </c>
      <c r="Q350" s="57">
        <v>0</v>
      </c>
      <c r="R350" s="57">
        <v>0</v>
      </c>
      <c r="S350" s="12">
        <f t="shared" si="206"/>
        <v>0</v>
      </c>
      <c r="T350" s="1"/>
      <c r="U350" s="1"/>
      <c r="V350" s="50">
        <f t="shared" si="204"/>
        <v>0</v>
      </c>
      <c r="W350" s="36">
        <v>3.149</v>
      </c>
      <c r="X350" s="36">
        <v>3.149</v>
      </c>
      <c r="Y350" s="36">
        <v>3.149</v>
      </c>
      <c r="Z350" s="36">
        <v>3.149</v>
      </c>
      <c r="AA350" s="36">
        <v>3.149</v>
      </c>
      <c r="AB350" s="36">
        <v>3.149</v>
      </c>
      <c r="AC350" s="36">
        <v>3.149</v>
      </c>
      <c r="AD350" s="36">
        <v>3.149</v>
      </c>
      <c r="AE350" s="36">
        <v>3.149</v>
      </c>
      <c r="AF350" s="36">
        <v>3.149</v>
      </c>
      <c r="AG350" s="36">
        <v>3.149</v>
      </c>
      <c r="AH350" s="36">
        <v>3.149</v>
      </c>
      <c r="AI350" s="39">
        <v>1.33634708931066E-2</v>
      </c>
      <c r="AJ350" s="39">
        <v>1.33634708931066E-2</v>
      </c>
      <c r="AK350" s="39">
        <v>1.33634708931066E-2</v>
      </c>
      <c r="AL350" s="39">
        <v>1.33634708931066E-2</v>
      </c>
      <c r="AM350" s="39">
        <v>1.33634708931066E-2</v>
      </c>
      <c r="AN350" s="39">
        <v>1.33634708931066E-2</v>
      </c>
      <c r="AO350" s="39">
        <v>1.33634708931066E-2</v>
      </c>
      <c r="AP350" s="39">
        <v>1.33634708931066E-2</v>
      </c>
      <c r="AQ350" s="39">
        <v>1.33634708931066E-2</v>
      </c>
      <c r="AR350" s="39">
        <v>1.33634708931066E-2</v>
      </c>
      <c r="AS350" s="39">
        <v>1.33634708931066E-2</v>
      </c>
      <c r="AT350" s="39">
        <v>1.33634708931066E-2</v>
      </c>
      <c r="AU350" s="39">
        <v>1.2392217523121999E-3</v>
      </c>
      <c r="AV350" s="39">
        <v>1.2392217523121999E-3</v>
      </c>
      <c r="AW350" s="39">
        <v>1.2392217523121999E-3</v>
      </c>
      <c r="AX350" s="39">
        <v>1.2392217523121999E-3</v>
      </c>
      <c r="AY350" s="39">
        <v>1.2392217523121999E-3</v>
      </c>
      <c r="AZ350" s="39">
        <v>1.2392217523121999E-3</v>
      </c>
      <c r="BA350" s="39">
        <v>1.2392217523121999E-3</v>
      </c>
      <c r="BB350" s="39">
        <v>1.2392217523121999E-3</v>
      </c>
      <c r="BC350" s="39">
        <v>1.2392217523121999E-3</v>
      </c>
      <c r="BD350" s="39">
        <v>1.2392217523121999E-3</v>
      </c>
      <c r="BE350" s="39">
        <v>1.2392217523121999E-3</v>
      </c>
      <c r="BF350" s="39">
        <v>1.2392217523121999E-3</v>
      </c>
      <c r="BG350" s="1"/>
      <c r="BH350" s="12">
        <f t="shared" si="207"/>
        <v>0</v>
      </c>
      <c r="BI350" s="12">
        <f t="shared" si="208"/>
        <v>0</v>
      </c>
      <c r="BJ350" s="12">
        <f t="shared" si="209"/>
        <v>0</v>
      </c>
      <c r="BK350" s="12">
        <f t="shared" si="210"/>
        <v>0</v>
      </c>
      <c r="BL350" s="12">
        <f t="shared" si="211"/>
        <v>0</v>
      </c>
      <c r="BM350" s="12">
        <f t="shared" si="212"/>
        <v>0</v>
      </c>
      <c r="BN350" s="12">
        <f t="shared" si="213"/>
        <v>0</v>
      </c>
      <c r="BO350" s="12">
        <f t="shared" si="214"/>
        <v>0</v>
      </c>
      <c r="BP350" s="12">
        <f t="shared" si="215"/>
        <v>0</v>
      </c>
      <c r="BQ350" s="12">
        <f t="shared" si="216"/>
        <v>0</v>
      </c>
      <c r="BR350" s="12">
        <f t="shared" si="217"/>
        <v>0</v>
      </c>
      <c r="BS350" s="12">
        <f t="shared" si="218"/>
        <v>0</v>
      </c>
      <c r="BT350" s="1"/>
      <c r="BU350" s="11">
        <f t="shared" si="219"/>
        <v>0</v>
      </c>
      <c r="BV350" s="11">
        <f t="shared" si="220"/>
        <v>0</v>
      </c>
      <c r="BW350" s="11">
        <f t="shared" si="221"/>
        <v>0</v>
      </c>
      <c r="BX350" s="11">
        <f t="shared" si="222"/>
        <v>0</v>
      </c>
      <c r="BY350" s="11">
        <f t="shared" si="223"/>
        <v>0</v>
      </c>
      <c r="BZ350" s="11">
        <f t="shared" si="224"/>
        <v>0</v>
      </c>
      <c r="CA350" s="11">
        <f t="shared" si="225"/>
        <v>0</v>
      </c>
      <c r="CB350" s="11">
        <f t="shared" si="226"/>
        <v>0</v>
      </c>
      <c r="CC350" s="11">
        <f t="shared" si="227"/>
        <v>0</v>
      </c>
      <c r="CD350" s="11">
        <f t="shared" si="228"/>
        <v>0</v>
      </c>
      <c r="CE350" s="11">
        <f t="shared" si="229"/>
        <v>0</v>
      </c>
      <c r="CF350" s="11">
        <f t="shared" si="230"/>
        <v>0</v>
      </c>
      <c r="CG350" s="11"/>
      <c r="CH350" s="41">
        <v>3.23</v>
      </c>
      <c r="CI350" s="1"/>
      <c r="CJ350" s="53">
        <f t="shared" si="231"/>
        <v>0</v>
      </c>
      <c r="CK350" s="53">
        <f t="shared" si="232"/>
        <v>0</v>
      </c>
      <c r="CL350" s="53">
        <f t="shared" si="233"/>
        <v>0</v>
      </c>
      <c r="CM350" s="53">
        <f t="shared" si="234"/>
        <v>0</v>
      </c>
      <c r="CN350" s="53">
        <f t="shared" si="235"/>
        <v>0</v>
      </c>
      <c r="CO350" s="53">
        <f t="shared" si="236"/>
        <v>0</v>
      </c>
      <c r="CP350" s="53">
        <f t="shared" si="237"/>
        <v>0</v>
      </c>
      <c r="CQ350" s="53">
        <f t="shared" si="238"/>
        <v>0</v>
      </c>
      <c r="CR350" s="53">
        <f t="shared" si="239"/>
        <v>0</v>
      </c>
      <c r="CS350" s="53">
        <f t="shared" si="240"/>
        <v>0</v>
      </c>
      <c r="CT350" s="53">
        <f t="shared" si="241"/>
        <v>0</v>
      </c>
      <c r="CU350" s="53">
        <f t="shared" si="242"/>
        <v>0</v>
      </c>
      <c r="CV350" s="53">
        <f t="shared" si="205"/>
        <v>0</v>
      </c>
      <c r="CW350" s="1"/>
      <c r="CX350" s="1"/>
      <c r="CY350" s="1"/>
      <c r="CZ350" s="1"/>
      <c r="DA350" s="1"/>
      <c r="DB350" s="1"/>
      <c r="DC350" s="1"/>
      <c r="DD350" s="1"/>
      <c r="DE350" s="1"/>
      <c r="DF350" s="1"/>
      <c r="DG350" s="1"/>
      <c r="DH350" s="1"/>
      <c r="DI350" s="1"/>
      <c r="DJ350" s="1"/>
      <c r="DK350" s="1"/>
      <c r="DL350" s="1"/>
    </row>
    <row r="351" spans="1:116" ht="15.75" hidden="1" x14ac:dyDescent="0.25">
      <c r="A351" s="17"/>
      <c r="B351" s="17"/>
      <c r="C351" s="17"/>
      <c r="D351" s="17"/>
      <c r="E351" s="17"/>
      <c r="F351" s="18" t="s">
        <v>3604</v>
      </c>
      <c r="G351" s="57">
        <v>0</v>
      </c>
      <c r="H351" s="57">
        <v>0</v>
      </c>
      <c r="I351" s="57">
        <v>0</v>
      </c>
      <c r="J351" s="57">
        <v>0</v>
      </c>
      <c r="K351" s="57">
        <v>0</v>
      </c>
      <c r="L351" s="57">
        <v>0</v>
      </c>
      <c r="M351" s="57">
        <v>0</v>
      </c>
      <c r="N351" s="57">
        <v>0</v>
      </c>
      <c r="O351" s="57">
        <v>0</v>
      </c>
      <c r="P351" s="57">
        <v>0</v>
      </c>
      <c r="Q351" s="57">
        <v>0</v>
      </c>
      <c r="R351" s="57">
        <v>0</v>
      </c>
      <c r="S351" s="12">
        <f t="shared" si="206"/>
        <v>0</v>
      </c>
      <c r="T351" s="1"/>
      <c r="U351" s="1"/>
      <c r="V351" s="50">
        <f t="shared" si="204"/>
        <v>0</v>
      </c>
      <c r="W351" s="36">
        <v>1.4379999999999999</v>
      </c>
      <c r="X351" s="36">
        <v>1.4379999999999999</v>
      </c>
      <c r="Y351" s="36">
        <v>1.4379999999999999</v>
      </c>
      <c r="Z351" s="36">
        <v>1.4379999999999999</v>
      </c>
      <c r="AA351" s="36">
        <v>1.4379999999999999</v>
      </c>
      <c r="AB351" s="36">
        <v>1.4379999999999999</v>
      </c>
      <c r="AC351" s="36">
        <v>1.4379999999999999</v>
      </c>
      <c r="AD351" s="36">
        <v>1.4379999999999999</v>
      </c>
      <c r="AE351" s="36">
        <v>1.4379999999999999</v>
      </c>
      <c r="AF351" s="36">
        <v>1.4379999999999999</v>
      </c>
      <c r="AG351" s="36">
        <v>1.4379999999999999</v>
      </c>
      <c r="AH351" s="36">
        <v>1.4379999999999999</v>
      </c>
      <c r="AI351" s="39">
        <v>1.33634708931066E-2</v>
      </c>
      <c r="AJ351" s="39">
        <v>1.33634708931066E-2</v>
      </c>
      <c r="AK351" s="39">
        <v>1.33634708931066E-2</v>
      </c>
      <c r="AL351" s="39">
        <v>1.33634708931066E-2</v>
      </c>
      <c r="AM351" s="39">
        <v>1.33634708931066E-2</v>
      </c>
      <c r="AN351" s="39">
        <v>1.33634708931066E-2</v>
      </c>
      <c r="AO351" s="39">
        <v>1.33634708931066E-2</v>
      </c>
      <c r="AP351" s="39">
        <v>1.33634708931066E-2</v>
      </c>
      <c r="AQ351" s="39">
        <v>1.33634708931066E-2</v>
      </c>
      <c r="AR351" s="39">
        <v>1.33634708931066E-2</v>
      </c>
      <c r="AS351" s="39">
        <v>1.33634708931066E-2</v>
      </c>
      <c r="AT351" s="39">
        <v>1.33634708931066E-2</v>
      </c>
      <c r="AU351" s="39">
        <v>1.2392217523121999E-3</v>
      </c>
      <c r="AV351" s="39">
        <v>1.2392217523121999E-3</v>
      </c>
      <c r="AW351" s="39">
        <v>1.2392217523121999E-3</v>
      </c>
      <c r="AX351" s="39">
        <v>1.2392217523121999E-3</v>
      </c>
      <c r="AY351" s="39">
        <v>1.2392217523121999E-3</v>
      </c>
      <c r="AZ351" s="39">
        <v>1.2392217523121999E-3</v>
      </c>
      <c r="BA351" s="39">
        <v>1.2392217523121999E-3</v>
      </c>
      <c r="BB351" s="39">
        <v>1.2392217523121999E-3</v>
      </c>
      <c r="BC351" s="39">
        <v>1.2392217523121999E-3</v>
      </c>
      <c r="BD351" s="39">
        <v>1.2392217523121999E-3</v>
      </c>
      <c r="BE351" s="39">
        <v>1.2392217523121999E-3</v>
      </c>
      <c r="BF351" s="39">
        <v>1.2392217523121999E-3</v>
      </c>
      <c r="BG351" s="1"/>
      <c r="BH351" s="12">
        <f t="shared" si="207"/>
        <v>0</v>
      </c>
      <c r="BI351" s="12">
        <f t="shared" si="208"/>
        <v>0</v>
      </c>
      <c r="BJ351" s="12">
        <f t="shared" si="209"/>
        <v>0</v>
      </c>
      <c r="BK351" s="12">
        <f t="shared" si="210"/>
        <v>0</v>
      </c>
      <c r="BL351" s="12">
        <f t="shared" si="211"/>
        <v>0</v>
      </c>
      <c r="BM351" s="12">
        <f t="shared" si="212"/>
        <v>0</v>
      </c>
      <c r="BN351" s="12">
        <f t="shared" si="213"/>
        <v>0</v>
      </c>
      <c r="BO351" s="12">
        <f t="shared" si="214"/>
        <v>0</v>
      </c>
      <c r="BP351" s="12">
        <f t="shared" si="215"/>
        <v>0</v>
      </c>
      <c r="BQ351" s="12">
        <f t="shared" si="216"/>
        <v>0</v>
      </c>
      <c r="BR351" s="12">
        <f t="shared" si="217"/>
        <v>0</v>
      </c>
      <c r="BS351" s="12">
        <f t="shared" si="218"/>
        <v>0</v>
      </c>
      <c r="BT351" s="1"/>
      <c r="BU351" s="11">
        <f t="shared" si="219"/>
        <v>0</v>
      </c>
      <c r="BV351" s="11">
        <f t="shared" si="220"/>
        <v>0</v>
      </c>
      <c r="BW351" s="11">
        <f t="shared" si="221"/>
        <v>0</v>
      </c>
      <c r="BX351" s="11">
        <f t="shared" si="222"/>
        <v>0</v>
      </c>
      <c r="BY351" s="11">
        <f t="shared" si="223"/>
        <v>0</v>
      </c>
      <c r="BZ351" s="11">
        <f t="shared" si="224"/>
        <v>0</v>
      </c>
      <c r="CA351" s="11">
        <f t="shared" si="225"/>
        <v>0</v>
      </c>
      <c r="CB351" s="11">
        <f t="shared" si="226"/>
        <v>0</v>
      </c>
      <c r="CC351" s="11">
        <f t="shared" si="227"/>
        <v>0</v>
      </c>
      <c r="CD351" s="11">
        <f t="shared" si="228"/>
        <v>0</v>
      </c>
      <c r="CE351" s="11">
        <f t="shared" si="229"/>
        <v>0</v>
      </c>
      <c r="CF351" s="11">
        <f t="shared" si="230"/>
        <v>0</v>
      </c>
      <c r="CG351" s="11"/>
      <c r="CH351" s="41">
        <v>3.23</v>
      </c>
      <c r="CI351" s="1"/>
      <c r="CJ351" s="53">
        <f t="shared" si="231"/>
        <v>0</v>
      </c>
      <c r="CK351" s="53">
        <f t="shared" si="232"/>
        <v>0</v>
      </c>
      <c r="CL351" s="53">
        <f t="shared" si="233"/>
        <v>0</v>
      </c>
      <c r="CM351" s="53">
        <f t="shared" si="234"/>
        <v>0</v>
      </c>
      <c r="CN351" s="53">
        <f t="shared" si="235"/>
        <v>0</v>
      </c>
      <c r="CO351" s="53">
        <f t="shared" si="236"/>
        <v>0</v>
      </c>
      <c r="CP351" s="53">
        <f t="shared" si="237"/>
        <v>0</v>
      </c>
      <c r="CQ351" s="53">
        <f t="shared" si="238"/>
        <v>0</v>
      </c>
      <c r="CR351" s="53">
        <f t="shared" si="239"/>
        <v>0</v>
      </c>
      <c r="CS351" s="53">
        <f t="shared" si="240"/>
        <v>0</v>
      </c>
      <c r="CT351" s="53">
        <f t="shared" si="241"/>
        <v>0</v>
      </c>
      <c r="CU351" s="53">
        <f t="shared" si="242"/>
        <v>0</v>
      </c>
      <c r="CV351" s="53">
        <f t="shared" si="205"/>
        <v>0</v>
      </c>
      <c r="CW351" s="1"/>
      <c r="CX351" s="1"/>
      <c r="CY351" s="1"/>
      <c r="CZ351" s="1"/>
      <c r="DA351" s="1"/>
      <c r="DB351" s="1"/>
      <c r="DC351" s="1"/>
      <c r="DD351" s="1"/>
      <c r="DE351" s="1"/>
      <c r="DF351" s="1"/>
      <c r="DG351" s="1"/>
      <c r="DH351" s="1"/>
      <c r="DI351" s="1"/>
      <c r="DJ351" s="1"/>
      <c r="DK351" s="1"/>
      <c r="DL351" s="1"/>
    </row>
    <row r="352" spans="1:116" ht="15.75" hidden="1" x14ac:dyDescent="0.25">
      <c r="A352" s="17"/>
      <c r="B352" s="17"/>
      <c r="C352" s="17"/>
      <c r="D352" s="17"/>
      <c r="E352" s="17"/>
      <c r="F352" s="18" t="s">
        <v>3604</v>
      </c>
      <c r="G352" s="57">
        <v>0</v>
      </c>
      <c r="H352" s="57">
        <v>0</v>
      </c>
      <c r="I352" s="57">
        <v>0</v>
      </c>
      <c r="J352" s="57">
        <v>0</v>
      </c>
      <c r="K352" s="57">
        <v>0</v>
      </c>
      <c r="L352" s="57">
        <v>0</v>
      </c>
      <c r="M352" s="57">
        <v>0</v>
      </c>
      <c r="N352" s="57">
        <v>0</v>
      </c>
      <c r="O352" s="57">
        <v>0</v>
      </c>
      <c r="P352" s="57">
        <v>0</v>
      </c>
      <c r="Q352" s="57">
        <v>0</v>
      </c>
      <c r="R352" s="57">
        <v>0</v>
      </c>
      <c r="S352" s="12">
        <f t="shared" si="206"/>
        <v>0</v>
      </c>
      <c r="T352" s="1"/>
      <c r="U352" s="1"/>
      <c r="V352" s="50">
        <f t="shared" si="204"/>
        <v>0</v>
      </c>
      <c r="W352" s="36">
        <v>1.6339999999999999</v>
      </c>
      <c r="X352" s="36">
        <v>1.6339999999999999</v>
      </c>
      <c r="Y352" s="36">
        <v>1.6339999999999999</v>
      </c>
      <c r="Z352" s="36">
        <v>1.6339999999999999</v>
      </c>
      <c r="AA352" s="36">
        <v>1.6339999999999999</v>
      </c>
      <c r="AB352" s="36">
        <v>1.6339999999999999</v>
      </c>
      <c r="AC352" s="36">
        <v>1.6339999999999999</v>
      </c>
      <c r="AD352" s="36">
        <v>1.6339999999999999</v>
      </c>
      <c r="AE352" s="36">
        <v>1.6339999999999999</v>
      </c>
      <c r="AF352" s="36">
        <v>1.6339999999999999</v>
      </c>
      <c r="AG352" s="36">
        <v>1.6339999999999999</v>
      </c>
      <c r="AH352" s="36">
        <v>1.6339999999999999</v>
      </c>
      <c r="AI352" s="39">
        <v>1.33634708931066E-2</v>
      </c>
      <c r="AJ352" s="39">
        <v>1.33634708931066E-2</v>
      </c>
      <c r="AK352" s="39">
        <v>1.33634708931066E-2</v>
      </c>
      <c r="AL352" s="39">
        <v>1.33634708931066E-2</v>
      </c>
      <c r="AM352" s="39">
        <v>1.33634708931066E-2</v>
      </c>
      <c r="AN352" s="39">
        <v>1.33634708931066E-2</v>
      </c>
      <c r="AO352" s="39">
        <v>1.33634708931066E-2</v>
      </c>
      <c r="AP352" s="39">
        <v>1.33634708931066E-2</v>
      </c>
      <c r="AQ352" s="39">
        <v>1.33634708931066E-2</v>
      </c>
      <c r="AR352" s="39">
        <v>1.33634708931066E-2</v>
      </c>
      <c r="AS352" s="39">
        <v>1.33634708931066E-2</v>
      </c>
      <c r="AT352" s="39">
        <v>1.33634708931066E-2</v>
      </c>
      <c r="AU352" s="39">
        <v>1.2392217523121999E-3</v>
      </c>
      <c r="AV352" s="39">
        <v>1.2392217523121999E-3</v>
      </c>
      <c r="AW352" s="39">
        <v>1.2392217523121999E-3</v>
      </c>
      <c r="AX352" s="39">
        <v>1.2392217523121999E-3</v>
      </c>
      <c r="AY352" s="39">
        <v>1.2392217523121999E-3</v>
      </c>
      <c r="AZ352" s="39">
        <v>1.2392217523121999E-3</v>
      </c>
      <c r="BA352" s="39">
        <v>1.2392217523121999E-3</v>
      </c>
      <c r="BB352" s="39">
        <v>1.2392217523121999E-3</v>
      </c>
      <c r="BC352" s="39">
        <v>1.2392217523121999E-3</v>
      </c>
      <c r="BD352" s="39">
        <v>1.2392217523121999E-3</v>
      </c>
      <c r="BE352" s="39">
        <v>1.2392217523121999E-3</v>
      </c>
      <c r="BF352" s="39">
        <v>1.2392217523121999E-3</v>
      </c>
      <c r="BG352" s="1"/>
      <c r="BH352" s="12">
        <f t="shared" si="207"/>
        <v>0</v>
      </c>
      <c r="BI352" s="12">
        <f t="shared" si="208"/>
        <v>0</v>
      </c>
      <c r="BJ352" s="12">
        <f t="shared" si="209"/>
        <v>0</v>
      </c>
      <c r="BK352" s="12">
        <f t="shared" si="210"/>
        <v>0</v>
      </c>
      <c r="BL352" s="12">
        <f t="shared" si="211"/>
        <v>0</v>
      </c>
      <c r="BM352" s="12">
        <f t="shared" si="212"/>
        <v>0</v>
      </c>
      <c r="BN352" s="12">
        <f t="shared" si="213"/>
        <v>0</v>
      </c>
      <c r="BO352" s="12">
        <f t="shared" si="214"/>
        <v>0</v>
      </c>
      <c r="BP352" s="12">
        <f t="shared" si="215"/>
        <v>0</v>
      </c>
      <c r="BQ352" s="12">
        <f t="shared" si="216"/>
        <v>0</v>
      </c>
      <c r="BR352" s="12">
        <f t="shared" si="217"/>
        <v>0</v>
      </c>
      <c r="BS352" s="12">
        <f t="shared" si="218"/>
        <v>0</v>
      </c>
      <c r="BT352" s="1"/>
      <c r="BU352" s="11">
        <f t="shared" si="219"/>
        <v>0</v>
      </c>
      <c r="BV352" s="11">
        <f t="shared" si="220"/>
        <v>0</v>
      </c>
      <c r="BW352" s="11">
        <f t="shared" si="221"/>
        <v>0</v>
      </c>
      <c r="BX352" s="11">
        <f t="shared" si="222"/>
        <v>0</v>
      </c>
      <c r="BY352" s="11">
        <f t="shared" si="223"/>
        <v>0</v>
      </c>
      <c r="BZ352" s="11">
        <f t="shared" si="224"/>
        <v>0</v>
      </c>
      <c r="CA352" s="11">
        <f t="shared" si="225"/>
        <v>0</v>
      </c>
      <c r="CB352" s="11">
        <f t="shared" si="226"/>
        <v>0</v>
      </c>
      <c r="CC352" s="11">
        <f t="shared" si="227"/>
        <v>0</v>
      </c>
      <c r="CD352" s="11">
        <f t="shared" si="228"/>
        <v>0</v>
      </c>
      <c r="CE352" s="11">
        <f t="shared" si="229"/>
        <v>0</v>
      </c>
      <c r="CF352" s="11">
        <f t="shared" si="230"/>
        <v>0</v>
      </c>
      <c r="CG352" s="11"/>
      <c r="CH352" s="41">
        <v>3.23</v>
      </c>
      <c r="CI352" s="1"/>
      <c r="CJ352" s="53">
        <f t="shared" si="231"/>
        <v>0</v>
      </c>
      <c r="CK352" s="53">
        <f t="shared" si="232"/>
        <v>0</v>
      </c>
      <c r="CL352" s="53">
        <f t="shared" si="233"/>
        <v>0</v>
      </c>
      <c r="CM352" s="53">
        <f t="shared" si="234"/>
        <v>0</v>
      </c>
      <c r="CN352" s="53">
        <f t="shared" si="235"/>
        <v>0</v>
      </c>
      <c r="CO352" s="53">
        <f t="shared" si="236"/>
        <v>0</v>
      </c>
      <c r="CP352" s="53">
        <f t="shared" si="237"/>
        <v>0</v>
      </c>
      <c r="CQ352" s="53">
        <f t="shared" si="238"/>
        <v>0</v>
      </c>
      <c r="CR352" s="53">
        <f t="shared" si="239"/>
        <v>0</v>
      </c>
      <c r="CS352" s="53">
        <f t="shared" si="240"/>
        <v>0</v>
      </c>
      <c r="CT352" s="53">
        <f t="shared" si="241"/>
        <v>0</v>
      </c>
      <c r="CU352" s="53">
        <f t="shared" si="242"/>
        <v>0</v>
      </c>
      <c r="CV352" s="53">
        <f t="shared" si="205"/>
        <v>0</v>
      </c>
      <c r="CW352" s="1"/>
      <c r="CX352" s="1"/>
      <c r="CY352" s="1"/>
      <c r="CZ352" s="1"/>
      <c r="DA352" s="1"/>
      <c r="DB352" s="1"/>
      <c r="DC352" s="1"/>
      <c r="DD352" s="1"/>
      <c r="DE352" s="1"/>
      <c r="DF352" s="1"/>
      <c r="DG352" s="1"/>
      <c r="DH352" s="1"/>
      <c r="DI352" s="1"/>
      <c r="DJ352" s="1"/>
      <c r="DK352" s="1"/>
      <c r="DL352" s="1"/>
    </row>
    <row r="353" spans="1:116" ht="15.75" hidden="1" x14ac:dyDescent="0.25">
      <c r="A353" s="17"/>
      <c r="B353" s="17"/>
      <c r="C353" s="17"/>
      <c r="D353" s="17"/>
      <c r="E353" s="17"/>
      <c r="F353" s="18" t="s">
        <v>3604</v>
      </c>
      <c r="G353" s="57">
        <v>0</v>
      </c>
      <c r="H353" s="57">
        <v>0</v>
      </c>
      <c r="I353" s="57">
        <v>0</v>
      </c>
      <c r="J353" s="57">
        <v>0</v>
      </c>
      <c r="K353" s="57">
        <v>0</v>
      </c>
      <c r="L353" s="57">
        <v>0</v>
      </c>
      <c r="M353" s="57">
        <v>0</v>
      </c>
      <c r="N353" s="57">
        <v>0</v>
      </c>
      <c r="O353" s="57">
        <v>0</v>
      </c>
      <c r="P353" s="57">
        <v>0</v>
      </c>
      <c r="Q353" s="57">
        <v>0</v>
      </c>
      <c r="R353" s="57">
        <v>0</v>
      </c>
      <c r="S353" s="12">
        <f t="shared" si="206"/>
        <v>0</v>
      </c>
      <c r="T353" s="1"/>
      <c r="U353" s="1"/>
      <c r="V353" s="50">
        <f t="shared" si="204"/>
        <v>0</v>
      </c>
      <c r="W353" s="36">
        <v>2.6459999999999999</v>
      </c>
      <c r="X353" s="36">
        <v>2.6459999999999999</v>
      </c>
      <c r="Y353" s="36">
        <v>2.6459999999999999</v>
      </c>
      <c r="Z353" s="36">
        <v>2.6459999999999999</v>
      </c>
      <c r="AA353" s="36">
        <v>2.6459999999999999</v>
      </c>
      <c r="AB353" s="36">
        <v>2.6459999999999999</v>
      </c>
      <c r="AC353" s="36">
        <v>2.6459999999999999</v>
      </c>
      <c r="AD353" s="36">
        <v>2.6459999999999999</v>
      </c>
      <c r="AE353" s="36">
        <v>2.6459999999999999</v>
      </c>
      <c r="AF353" s="36">
        <v>2.6459999999999999</v>
      </c>
      <c r="AG353" s="36">
        <v>2.6459999999999999</v>
      </c>
      <c r="AH353" s="36">
        <v>2.6459999999999999</v>
      </c>
      <c r="AI353" s="39">
        <v>1.33634708931066E-2</v>
      </c>
      <c r="AJ353" s="39">
        <v>1.33634708931066E-2</v>
      </c>
      <c r="AK353" s="39">
        <v>1.33634708931066E-2</v>
      </c>
      <c r="AL353" s="39">
        <v>1.33634708931066E-2</v>
      </c>
      <c r="AM353" s="39">
        <v>1.33634708931066E-2</v>
      </c>
      <c r="AN353" s="39">
        <v>1.33634708931066E-2</v>
      </c>
      <c r="AO353" s="39">
        <v>1.33634708931066E-2</v>
      </c>
      <c r="AP353" s="39">
        <v>1.33634708931066E-2</v>
      </c>
      <c r="AQ353" s="39">
        <v>1.33634708931066E-2</v>
      </c>
      <c r="AR353" s="39">
        <v>1.33634708931066E-2</v>
      </c>
      <c r="AS353" s="39">
        <v>1.33634708931066E-2</v>
      </c>
      <c r="AT353" s="39">
        <v>1.33634708931066E-2</v>
      </c>
      <c r="AU353" s="39">
        <v>1.2392217523121999E-3</v>
      </c>
      <c r="AV353" s="39">
        <v>1.2392217523121999E-3</v>
      </c>
      <c r="AW353" s="39">
        <v>1.2392217523121999E-3</v>
      </c>
      <c r="AX353" s="39">
        <v>1.2392217523121999E-3</v>
      </c>
      <c r="AY353" s="39">
        <v>1.2392217523121999E-3</v>
      </c>
      <c r="AZ353" s="39">
        <v>1.2392217523121999E-3</v>
      </c>
      <c r="BA353" s="39">
        <v>1.2392217523121999E-3</v>
      </c>
      <c r="BB353" s="39">
        <v>1.2392217523121999E-3</v>
      </c>
      <c r="BC353" s="39">
        <v>1.2392217523121999E-3</v>
      </c>
      <c r="BD353" s="39">
        <v>1.2392217523121999E-3</v>
      </c>
      <c r="BE353" s="39">
        <v>1.2392217523121999E-3</v>
      </c>
      <c r="BF353" s="39">
        <v>1.2392217523121999E-3</v>
      </c>
      <c r="BG353" s="1"/>
      <c r="BH353" s="12">
        <f t="shared" si="207"/>
        <v>0</v>
      </c>
      <c r="BI353" s="12">
        <f t="shared" si="208"/>
        <v>0</v>
      </c>
      <c r="BJ353" s="12">
        <f t="shared" si="209"/>
        <v>0</v>
      </c>
      <c r="BK353" s="12">
        <f t="shared" si="210"/>
        <v>0</v>
      </c>
      <c r="BL353" s="12">
        <f t="shared" si="211"/>
        <v>0</v>
      </c>
      <c r="BM353" s="12">
        <f t="shared" si="212"/>
        <v>0</v>
      </c>
      <c r="BN353" s="12">
        <f t="shared" si="213"/>
        <v>0</v>
      </c>
      <c r="BO353" s="12">
        <f t="shared" si="214"/>
        <v>0</v>
      </c>
      <c r="BP353" s="12">
        <f t="shared" si="215"/>
        <v>0</v>
      </c>
      <c r="BQ353" s="12">
        <f t="shared" si="216"/>
        <v>0</v>
      </c>
      <c r="BR353" s="12">
        <f t="shared" si="217"/>
        <v>0</v>
      </c>
      <c r="BS353" s="12">
        <f t="shared" si="218"/>
        <v>0</v>
      </c>
      <c r="BT353" s="1"/>
      <c r="BU353" s="11">
        <f t="shared" si="219"/>
        <v>0</v>
      </c>
      <c r="BV353" s="11">
        <f t="shared" si="220"/>
        <v>0</v>
      </c>
      <c r="BW353" s="11">
        <f t="shared" si="221"/>
        <v>0</v>
      </c>
      <c r="BX353" s="11">
        <f t="shared" si="222"/>
        <v>0</v>
      </c>
      <c r="BY353" s="11">
        <f t="shared" si="223"/>
        <v>0</v>
      </c>
      <c r="BZ353" s="11">
        <f t="shared" si="224"/>
        <v>0</v>
      </c>
      <c r="CA353" s="11">
        <f t="shared" si="225"/>
        <v>0</v>
      </c>
      <c r="CB353" s="11">
        <f t="shared" si="226"/>
        <v>0</v>
      </c>
      <c r="CC353" s="11">
        <f t="shared" si="227"/>
        <v>0</v>
      </c>
      <c r="CD353" s="11">
        <f t="shared" si="228"/>
        <v>0</v>
      </c>
      <c r="CE353" s="11">
        <f t="shared" si="229"/>
        <v>0</v>
      </c>
      <c r="CF353" s="11">
        <f t="shared" si="230"/>
        <v>0</v>
      </c>
      <c r="CG353" s="11"/>
      <c r="CH353" s="41">
        <v>3.23</v>
      </c>
      <c r="CI353" s="1"/>
      <c r="CJ353" s="53">
        <f t="shared" si="231"/>
        <v>0</v>
      </c>
      <c r="CK353" s="53">
        <f t="shared" si="232"/>
        <v>0</v>
      </c>
      <c r="CL353" s="53">
        <f t="shared" si="233"/>
        <v>0</v>
      </c>
      <c r="CM353" s="53">
        <f t="shared" si="234"/>
        <v>0</v>
      </c>
      <c r="CN353" s="53">
        <f t="shared" si="235"/>
        <v>0</v>
      </c>
      <c r="CO353" s="53">
        <f t="shared" si="236"/>
        <v>0</v>
      </c>
      <c r="CP353" s="53">
        <f t="shared" si="237"/>
        <v>0</v>
      </c>
      <c r="CQ353" s="53">
        <f t="shared" si="238"/>
        <v>0</v>
      </c>
      <c r="CR353" s="53">
        <f t="shared" si="239"/>
        <v>0</v>
      </c>
      <c r="CS353" s="53">
        <f t="shared" si="240"/>
        <v>0</v>
      </c>
      <c r="CT353" s="53">
        <f t="shared" si="241"/>
        <v>0</v>
      </c>
      <c r="CU353" s="53">
        <f t="shared" si="242"/>
        <v>0</v>
      </c>
      <c r="CV353" s="53">
        <f t="shared" si="205"/>
        <v>0</v>
      </c>
      <c r="CW353" s="1"/>
      <c r="CX353" s="1"/>
      <c r="CY353" s="1"/>
      <c r="CZ353" s="1"/>
      <c r="DA353" s="1"/>
      <c r="DB353" s="1"/>
      <c r="DC353" s="1"/>
      <c r="DD353" s="1"/>
      <c r="DE353" s="1"/>
      <c r="DF353" s="1"/>
      <c r="DG353" s="1"/>
      <c r="DH353" s="1"/>
      <c r="DI353" s="1"/>
      <c r="DJ353" s="1"/>
      <c r="DK353" s="1"/>
      <c r="DL353" s="1"/>
    </row>
    <row r="354" spans="1:116" ht="15.75" hidden="1" x14ac:dyDescent="0.25">
      <c r="A354" s="17"/>
      <c r="B354" s="17"/>
      <c r="C354" s="17"/>
      <c r="D354" s="17"/>
      <c r="E354" s="17"/>
      <c r="F354" s="18" t="s">
        <v>3604</v>
      </c>
      <c r="G354" s="57">
        <v>0</v>
      </c>
      <c r="H354" s="57">
        <v>0</v>
      </c>
      <c r="I354" s="57">
        <v>0</v>
      </c>
      <c r="J354" s="57">
        <v>0</v>
      </c>
      <c r="K354" s="57">
        <v>0</v>
      </c>
      <c r="L354" s="57">
        <v>0</v>
      </c>
      <c r="M354" s="57">
        <v>0</v>
      </c>
      <c r="N354" s="57">
        <v>0</v>
      </c>
      <c r="O354" s="57">
        <v>0</v>
      </c>
      <c r="P354" s="57">
        <v>0</v>
      </c>
      <c r="Q354" s="57">
        <v>0</v>
      </c>
      <c r="R354" s="57">
        <v>0</v>
      </c>
      <c r="S354" s="12">
        <f t="shared" si="206"/>
        <v>0</v>
      </c>
      <c r="T354" s="1"/>
      <c r="U354" s="1"/>
      <c r="V354" s="50">
        <f t="shared" si="204"/>
        <v>0</v>
      </c>
      <c r="W354" s="36">
        <v>2.367</v>
      </c>
      <c r="X354" s="36">
        <v>2.367</v>
      </c>
      <c r="Y354" s="36">
        <v>2.367</v>
      </c>
      <c r="Z354" s="36">
        <v>2.367</v>
      </c>
      <c r="AA354" s="36">
        <v>2.367</v>
      </c>
      <c r="AB354" s="36">
        <v>2.367</v>
      </c>
      <c r="AC354" s="36">
        <v>2.367</v>
      </c>
      <c r="AD354" s="36">
        <v>2.367</v>
      </c>
      <c r="AE354" s="36">
        <v>2.367</v>
      </c>
      <c r="AF354" s="36">
        <v>2.367</v>
      </c>
      <c r="AG354" s="36">
        <v>2.367</v>
      </c>
      <c r="AH354" s="36">
        <v>2.367</v>
      </c>
      <c r="AI354" s="39">
        <v>1.33634708931066E-2</v>
      </c>
      <c r="AJ354" s="39">
        <v>1.33634708931066E-2</v>
      </c>
      <c r="AK354" s="39">
        <v>1.33634708931066E-2</v>
      </c>
      <c r="AL354" s="39">
        <v>1.33634708931066E-2</v>
      </c>
      <c r="AM354" s="39">
        <v>1.33634708931066E-2</v>
      </c>
      <c r="AN354" s="39">
        <v>1.33634708931066E-2</v>
      </c>
      <c r="AO354" s="39">
        <v>1.33634708931066E-2</v>
      </c>
      <c r="AP354" s="39">
        <v>1.33634708931066E-2</v>
      </c>
      <c r="AQ354" s="39">
        <v>1.33634708931066E-2</v>
      </c>
      <c r="AR354" s="39">
        <v>1.33634708931066E-2</v>
      </c>
      <c r="AS354" s="39">
        <v>1.33634708931066E-2</v>
      </c>
      <c r="AT354" s="39">
        <v>1.33634708931066E-2</v>
      </c>
      <c r="AU354" s="39">
        <v>1.2392217523121999E-3</v>
      </c>
      <c r="AV354" s="39">
        <v>1.2392217523121999E-3</v>
      </c>
      <c r="AW354" s="39">
        <v>1.2392217523121999E-3</v>
      </c>
      <c r="AX354" s="39">
        <v>1.2392217523121999E-3</v>
      </c>
      <c r="AY354" s="39">
        <v>1.2392217523121999E-3</v>
      </c>
      <c r="AZ354" s="39">
        <v>1.2392217523121999E-3</v>
      </c>
      <c r="BA354" s="39">
        <v>1.2392217523121999E-3</v>
      </c>
      <c r="BB354" s="39">
        <v>1.2392217523121999E-3</v>
      </c>
      <c r="BC354" s="39">
        <v>1.2392217523121999E-3</v>
      </c>
      <c r="BD354" s="39">
        <v>1.2392217523121999E-3</v>
      </c>
      <c r="BE354" s="39">
        <v>1.2392217523121999E-3</v>
      </c>
      <c r="BF354" s="39">
        <v>1.2392217523121999E-3</v>
      </c>
      <c r="BG354" s="1"/>
      <c r="BH354" s="12">
        <f t="shared" si="207"/>
        <v>0</v>
      </c>
      <c r="BI354" s="12">
        <f t="shared" si="208"/>
        <v>0</v>
      </c>
      <c r="BJ354" s="12">
        <f t="shared" si="209"/>
        <v>0</v>
      </c>
      <c r="BK354" s="12">
        <f t="shared" si="210"/>
        <v>0</v>
      </c>
      <c r="BL354" s="12">
        <f t="shared" si="211"/>
        <v>0</v>
      </c>
      <c r="BM354" s="12">
        <f t="shared" si="212"/>
        <v>0</v>
      </c>
      <c r="BN354" s="12">
        <f t="shared" si="213"/>
        <v>0</v>
      </c>
      <c r="BO354" s="12">
        <f t="shared" si="214"/>
        <v>0</v>
      </c>
      <c r="BP354" s="12">
        <f t="shared" si="215"/>
        <v>0</v>
      </c>
      <c r="BQ354" s="12">
        <f t="shared" si="216"/>
        <v>0</v>
      </c>
      <c r="BR354" s="12">
        <f t="shared" si="217"/>
        <v>0</v>
      </c>
      <c r="BS354" s="12">
        <f t="shared" si="218"/>
        <v>0</v>
      </c>
      <c r="BT354" s="1"/>
      <c r="BU354" s="11">
        <f t="shared" si="219"/>
        <v>0</v>
      </c>
      <c r="BV354" s="11">
        <f t="shared" si="220"/>
        <v>0</v>
      </c>
      <c r="BW354" s="11">
        <f t="shared" si="221"/>
        <v>0</v>
      </c>
      <c r="BX354" s="11">
        <f t="shared" si="222"/>
        <v>0</v>
      </c>
      <c r="BY354" s="11">
        <f t="shared" si="223"/>
        <v>0</v>
      </c>
      <c r="BZ354" s="11">
        <f t="shared" si="224"/>
        <v>0</v>
      </c>
      <c r="CA354" s="11">
        <f t="shared" si="225"/>
        <v>0</v>
      </c>
      <c r="CB354" s="11">
        <f t="shared" si="226"/>
        <v>0</v>
      </c>
      <c r="CC354" s="11">
        <f t="shared" si="227"/>
        <v>0</v>
      </c>
      <c r="CD354" s="11">
        <f t="shared" si="228"/>
        <v>0</v>
      </c>
      <c r="CE354" s="11">
        <f t="shared" si="229"/>
        <v>0</v>
      </c>
      <c r="CF354" s="11">
        <f t="shared" si="230"/>
        <v>0</v>
      </c>
      <c r="CG354" s="11"/>
      <c r="CH354" s="41">
        <v>3.23</v>
      </c>
      <c r="CI354" s="1"/>
      <c r="CJ354" s="53">
        <f t="shared" si="231"/>
        <v>0</v>
      </c>
      <c r="CK354" s="53">
        <f t="shared" si="232"/>
        <v>0</v>
      </c>
      <c r="CL354" s="53">
        <f t="shared" si="233"/>
        <v>0</v>
      </c>
      <c r="CM354" s="53">
        <f t="shared" si="234"/>
        <v>0</v>
      </c>
      <c r="CN354" s="53">
        <f t="shared" si="235"/>
        <v>0</v>
      </c>
      <c r="CO354" s="53">
        <f t="shared" si="236"/>
        <v>0</v>
      </c>
      <c r="CP354" s="53">
        <f t="shared" si="237"/>
        <v>0</v>
      </c>
      <c r="CQ354" s="53">
        <f t="shared" si="238"/>
        <v>0</v>
      </c>
      <c r="CR354" s="53">
        <f t="shared" si="239"/>
        <v>0</v>
      </c>
      <c r="CS354" s="53">
        <f t="shared" si="240"/>
        <v>0</v>
      </c>
      <c r="CT354" s="53">
        <f t="shared" si="241"/>
        <v>0</v>
      </c>
      <c r="CU354" s="53">
        <f t="shared" si="242"/>
        <v>0</v>
      </c>
      <c r="CV354" s="53">
        <f t="shared" si="205"/>
        <v>0</v>
      </c>
      <c r="CW354" s="1"/>
      <c r="CX354" s="1"/>
      <c r="CY354" s="1"/>
      <c r="CZ354" s="1"/>
      <c r="DA354" s="1"/>
      <c r="DB354" s="1"/>
      <c r="DC354" s="1"/>
      <c r="DD354" s="1"/>
      <c r="DE354" s="1"/>
      <c r="DF354" s="1"/>
      <c r="DG354" s="1"/>
      <c r="DH354" s="1"/>
      <c r="DI354" s="1"/>
      <c r="DJ354" s="1"/>
      <c r="DK354" s="1"/>
      <c r="DL354" s="1"/>
    </row>
    <row r="355" spans="1:116" ht="15.75" hidden="1" x14ac:dyDescent="0.25">
      <c r="A355" s="17"/>
      <c r="B355" s="17"/>
      <c r="C355" s="17"/>
      <c r="D355" s="17"/>
      <c r="E355" s="17"/>
      <c r="F355" s="18" t="s">
        <v>3604</v>
      </c>
      <c r="G355" s="57">
        <v>0</v>
      </c>
      <c r="H355" s="57">
        <v>0</v>
      </c>
      <c r="I355" s="57">
        <v>0</v>
      </c>
      <c r="J355" s="57">
        <v>0</v>
      </c>
      <c r="K355" s="57">
        <v>0</v>
      </c>
      <c r="L355" s="57">
        <v>0</v>
      </c>
      <c r="M355" s="57">
        <v>0</v>
      </c>
      <c r="N355" s="57">
        <v>0</v>
      </c>
      <c r="O355" s="57">
        <v>0</v>
      </c>
      <c r="P355" s="57">
        <v>0</v>
      </c>
      <c r="Q355" s="57">
        <v>0</v>
      </c>
      <c r="R355" s="57">
        <v>0</v>
      </c>
      <c r="S355" s="12">
        <f t="shared" si="206"/>
        <v>0</v>
      </c>
      <c r="T355" s="1"/>
      <c r="U355" s="1"/>
      <c r="V355" s="50">
        <f t="shared" si="204"/>
        <v>0</v>
      </c>
      <c r="W355" s="36">
        <v>3.0640000000000001</v>
      </c>
      <c r="X355" s="36">
        <v>3.0640000000000001</v>
      </c>
      <c r="Y355" s="36">
        <v>3.0640000000000001</v>
      </c>
      <c r="Z355" s="36">
        <v>3.0640000000000001</v>
      </c>
      <c r="AA355" s="36">
        <v>3.0640000000000001</v>
      </c>
      <c r="AB355" s="36">
        <v>3.0640000000000001</v>
      </c>
      <c r="AC355" s="36">
        <v>3.0640000000000001</v>
      </c>
      <c r="AD355" s="36">
        <v>3.0640000000000001</v>
      </c>
      <c r="AE355" s="36">
        <v>3.0640000000000001</v>
      </c>
      <c r="AF355" s="36">
        <v>3.0640000000000001</v>
      </c>
      <c r="AG355" s="36">
        <v>3.0640000000000001</v>
      </c>
      <c r="AH355" s="36">
        <v>3.0640000000000001</v>
      </c>
      <c r="AI355" s="39">
        <v>1.33634708931066E-2</v>
      </c>
      <c r="AJ355" s="39">
        <v>1.33634708931066E-2</v>
      </c>
      <c r="AK355" s="39">
        <v>1.33634708931066E-2</v>
      </c>
      <c r="AL355" s="39">
        <v>1.33634708931066E-2</v>
      </c>
      <c r="AM355" s="39">
        <v>1.33634708931066E-2</v>
      </c>
      <c r="AN355" s="39">
        <v>1.33634708931066E-2</v>
      </c>
      <c r="AO355" s="39">
        <v>1.33634708931066E-2</v>
      </c>
      <c r="AP355" s="39">
        <v>1.33634708931066E-2</v>
      </c>
      <c r="AQ355" s="39">
        <v>1.33634708931066E-2</v>
      </c>
      <c r="AR355" s="39">
        <v>1.33634708931066E-2</v>
      </c>
      <c r="AS355" s="39">
        <v>1.33634708931066E-2</v>
      </c>
      <c r="AT355" s="39">
        <v>1.33634708931066E-2</v>
      </c>
      <c r="AU355" s="39">
        <v>1.2392217523121999E-3</v>
      </c>
      <c r="AV355" s="39">
        <v>1.2392217523121999E-3</v>
      </c>
      <c r="AW355" s="39">
        <v>1.2392217523121999E-3</v>
      </c>
      <c r="AX355" s="39">
        <v>1.2392217523121999E-3</v>
      </c>
      <c r="AY355" s="39">
        <v>1.2392217523121999E-3</v>
      </c>
      <c r="AZ355" s="39">
        <v>1.2392217523121999E-3</v>
      </c>
      <c r="BA355" s="39">
        <v>1.2392217523121999E-3</v>
      </c>
      <c r="BB355" s="39">
        <v>1.2392217523121999E-3</v>
      </c>
      <c r="BC355" s="39">
        <v>1.2392217523121999E-3</v>
      </c>
      <c r="BD355" s="39">
        <v>1.2392217523121999E-3</v>
      </c>
      <c r="BE355" s="39">
        <v>1.2392217523121999E-3</v>
      </c>
      <c r="BF355" s="39">
        <v>1.2392217523121999E-3</v>
      </c>
      <c r="BG355" s="1"/>
      <c r="BH355" s="12">
        <f t="shared" si="207"/>
        <v>0</v>
      </c>
      <c r="BI355" s="12">
        <f t="shared" si="208"/>
        <v>0</v>
      </c>
      <c r="BJ355" s="12">
        <f t="shared" si="209"/>
        <v>0</v>
      </c>
      <c r="BK355" s="12">
        <f t="shared" si="210"/>
        <v>0</v>
      </c>
      <c r="BL355" s="12">
        <f t="shared" si="211"/>
        <v>0</v>
      </c>
      <c r="BM355" s="12">
        <f t="shared" si="212"/>
        <v>0</v>
      </c>
      <c r="BN355" s="12">
        <f t="shared" si="213"/>
        <v>0</v>
      </c>
      <c r="BO355" s="12">
        <f t="shared" si="214"/>
        <v>0</v>
      </c>
      <c r="BP355" s="12">
        <f t="shared" si="215"/>
        <v>0</v>
      </c>
      <c r="BQ355" s="12">
        <f t="shared" si="216"/>
        <v>0</v>
      </c>
      <c r="BR355" s="12">
        <f t="shared" si="217"/>
        <v>0</v>
      </c>
      <c r="BS355" s="12">
        <f t="shared" si="218"/>
        <v>0</v>
      </c>
      <c r="BT355" s="1"/>
      <c r="BU355" s="11">
        <f t="shared" si="219"/>
        <v>0</v>
      </c>
      <c r="BV355" s="11">
        <f t="shared" si="220"/>
        <v>0</v>
      </c>
      <c r="BW355" s="11">
        <f t="shared" si="221"/>
        <v>0</v>
      </c>
      <c r="BX355" s="11">
        <f t="shared" si="222"/>
        <v>0</v>
      </c>
      <c r="BY355" s="11">
        <f t="shared" si="223"/>
        <v>0</v>
      </c>
      <c r="BZ355" s="11">
        <f t="shared" si="224"/>
        <v>0</v>
      </c>
      <c r="CA355" s="11">
        <f t="shared" si="225"/>
        <v>0</v>
      </c>
      <c r="CB355" s="11">
        <f t="shared" si="226"/>
        <v>0</v>
      </c>
      <c r="CC355" s="11">
        <f t="shared" si="227"/>
        <v>0</v>
      </c>
      <c r="CD355" s="11">
        <f t="shared" si="228"/>
        <v>0</v>
      </c>
      <c r="CE355" s="11">
        <f t="shared" si="229"/>
        <v>0</v>
      </c>
      <c r="CF355" s="11">
        <f t="shared" si="230"/>
        <v>0</v>
      </c>
      <c r="CG355" s="11"/>
      <c r="CH355" s="41">
        <v>3.23</v>
      </c>
      <c r="CI355" s="1"/>
      <c r="CJ355" s="53">
        <f t="shared" si="231"/>
        <v>0</v>
      </c>
      <c r="CK355" s="53">
        <f t="shared" si="232"/>
        <v>0</v>
      </c>
      <c r="CL355" s="53">
        <f t="shared" si="233"/>
        <v>0</v>
      </c>
      <c r="CM355" s="53">
        <f t="shared" si="234"/>
        <v>0</v>
      </c>
      <c r="CN355" s="53">
        <f t="shared" si="235"/>
        <v>0</v>
      </c>
      <c r="CO355" s="53">
        <f t="shared" si="236"/>
        <v>0</v>
      </c>
      <c r="CP355" s="53">
        <f t="shared" si="237"/>
        <v>0</v>
      </c>
      <c r="CQ355" s="53">
        <f t="shared" si="238"/>
        <v>0</v>
      </c>
      <c r="CR355" s="53">
        <f t="shared" si="239"/>
        <v>0</v>
      </c>
      <c r="CS355" s="53">
        <f t="shared" si="240"/>
        <v>0</v>
      </c>
      <c r="CT355" s="53">
        <f t="shared" si="241"/>
        <v>0</v>
      </c>
      <c r="CU355" s="53">
        <f t="shared" si="242"/>
        <v>0</v>
      </c>
      <c r="CV355" s="53">
        <f t="shared" si="205"/>
        <v>0</v>
      </c>
      <c r="CW355" s="1"/>
      <c r="CX355" s="1"/>
      <c r="CY355" s="1"/>
      <c r="CZ355" s="1"/>
      <c r="DA355" s="1"/>
      <c r="DB355" s="1"/>
      <c r="DC355" s="1"/>
      <c r="DD355" s="1"/>
      <c r="DE355" s="1"/>
      <c r="DF355" s="1"/>
      <c r="DG355" s="1"/>
      <c r="DH355" s="1"/>
      <c r="DI355" s="1"/>
      <c r="DJ355" s="1"/>
      <c r="DK355" s="1"/>
      <c r="DL355" s="1"/>
    </row>
    <row r="356" spans="1:116" ht="15.75" hidden="1" x14ac:dyDescent="0.25">
      <c r="A356" s="17"/>
      <c r="B356" s="17"/>
      <c r="C356" s="17"/>
      <c r="D356" s="17"/>
      <c r="E356" s="17"/>
      <c r="F356" s="18" t="s">
        <v>3604</v>
      </c>
      <c r="G356" s="57">
        <v>0</v>
      </c>
      <c r="H356" s="57">
        <v>0</v>
      </c>
      <c r="I356" s="57">
        <v>0</v>
      </c>
      <c r="J356" s="57">
        <v>0</v>
      </c>
      <c r="K356" s="57">
        <v>0</v>
      </c>
      <c r="L356" s="57">
        <v>0</v>
      </c>
      <c r="M356" s="57">
        <v>0</v>
      </c>
      <c r="N356" s="57">
        <v>0</v>
      </c>
      <c r="O356" s="57">
        <v>0</v>
      </c>
      <c r="P356" s="57">
        <v>0</v>
      </c>
      <c r="Q356" s="57">
        <v>0</v>
      </c>
      <c r="R356" s="57">
        <v>0</v>
      </c>
      <c r="S356" s="12">
        <f t="shared" si="206"/>
        <v>0</v>
      </c>
      <c r="T356" s="1"/>
      <c r="U356" s="1"/>
      <c r="V356" s="50">
        <f t="shared" si="204"/>
        <v>0</v>
      </c>
      <c r="W356" s="36">
        <v>2.6280000000000001</v>
      </c>
      <c r="X356" s="36">
        <v>2.6280000000000001</v>
      </c>
      <c r="Y356" s="36">
        <v>2.6280000000000001</v>
      </c>
      <c r="Z356" s="36">
        <v>2.6280000000000001</v>
      </c>
      <c r="AA356" s="36">
        <v>2.6280000000000001</v>
      </c>
      <c r="AB356" s="36">
        <v>2.6280000000000001</v>
      </c>
      <c r="AC356" s="36">
        <v>2.6280000000000001</v>
      </c>
      <c r="AD356" s="36">
        <v>2.6280000000000001</v>
      </c>
      <c r="AE356" s="36">
        <v>2.6280000000000001</v>
      </c>
      <c r="AF356" s="36">
        <v>2.6280000000000001</v>
      </c>
      <c r="AG356" s="36">
        <v>2.6280000000000001</v>
      </c>
      <c r="AH356" s="36">
        <v>2.6280000000000001</v>
      </c>
      <c r="AI356" s="39">
        <v>1.33634708931066E-2</v>
      </c>
      <c r="AJ356" s="39">
        <v>1.33634708931066E-2</v>
      </c>
      <c r="AK356" s="39">
        <v>1.33634708931066E-2</v>
      </c>
      <c r="AL356" s="39">
        <v>1.33634708931066E-2</v>
      </c>
      <c r="AM356" s="39">
        <v>1.33634708931066E-2</v>
      </c>
      <c r="AN356" s="39">
        <v>1.33634708931066E-2</v>
      </c>
      <c r="AO356" s="39">
        <v>1.33634708931066E-2</v>
      </c>
      <c r="AP356" s="39">
        <v>1.33634708931066E-2</v>
      </c>
      <c r="AQ356" s="39">
        <v>1.33634708931066E-2</v>
      </c>
      <c r="AR356" s="39">
        <v>1.33634708931066E-2</v>
      </c>
      <c r="AS356" s="39">
        <v>1.33634708931066E-2</v>
      </c>
      <c r="AT356" s="39">
        <v>1.33634708931066E-2</v>
      </c>
      <c r="AU356" s="39">
        <v>1.2392217523121999E-3</v>
      </c>
      <c r="AV356" s="39">
        <v>1.2392217523121999E-3</v>
      </c>
      <c r="AW356" s="39">
        <v>1.2392217523121999E-3</v>
      </c>
      <c r="AX356" s="39">
        <v>1.2392217523121999E-3</v>
      </c>
      <c r="AY356" s="39">
        <v>1.2392217523121999E-3</v>
      </c>
      <c r="AZ356" s="39">
        <v>1.2392217523121999E-3</v>
      </c>
      <c r="BA356" s="39">
        <v>1.2392217523121999E-3</v>
      </c>
      <c r="BB356" s="39">
        <v>1.2392217523121999E-3</v>
      </c>
      <c r="BC356" s="39">
        <v>1.2392217523121999E-3</v>
      </c>
      <c r="BD356" s="39">
        <v>1.2392217523121999E-3</v>
      </c>
      <c r="BE356" s="39">
        <v>1.2392217523121999E-3</v>
      </c>
      <c r="BF356" s="39">
        <v>1.2392217523121999E-3</v>
      </c>
      <c r="BG356" s="1"/>
      <c r="BH356" s="12">
        <f t="shared" si="207"/>
        <v>0</v>
      </c>
      <c r="BI356" s="12">
        <f t="shared" si="208"/>
        <v>0</v>
      </c>
      <c r="BJ356" s="12">
        <f t="shared" si="209"/>
        <v>0</v>
      </c>
      <c r="BK356" s="12">
        <f t="shared" si="210"/>
        <v>0</v>
      </c>
      <c r="BL356" s="12">
        <f t="shared" si="211"/>
        <v>0</v>
      </c>
      <c r="BM356" s="12">
        <f t="shared" si="212"/>
        <v>0</v>
      </c>
      <c r="BN356" s="12">
        <f t="shared" si="213"/>
        <v>0</v>
      </c>
      <c r="BO356" s="12">
        <f t="shared" si="214"/>
        <v>0</v>
      </c>
      <c r="BP356" s="12">
        <f t="shared" si="215"/>
        <v>0</v>
      </c>
      <c r="BQ356" s="12">
        <f t="shared" si="216"/>
        <v>0</v>
      </c>
      <c r="BR356" s="12">
        <f t="shared" si="217"/>
        <v>0</v>
      </c>
      <c r="BS356" s="12">
        <f t="shared" si="218"/>
        <v>0</v>
      </c>
      <c r="BT356" s="1"/>
      <c r="BU356" s="11">
        <f t="shared" si="219"/>
        <v>0</v>
      </c>
      <c r="BV356" s="11">
        <f t="shared" si="220"/>
        <v>0</v>
      </c>
      <c r="BW356" s="11">
        <f t="shared" si="221"/>
        <v>0</v>
      </c>
      <c r="BX356" s="11">
        <f t="shared" si="222"/>
        <v>0</v>
      </c>
      <c r="BY356" s="11">
        <f t="shared" si="223"/>
        <v>0</v>
      </c>
      <c r="BZ356" s="11">
        <f t="shared" si="224"/>
        <v>0</v>
      </c>
      <c r="CA356" s="11">
        <f t="shared" si="225"/>
        <v>0</v>
      </c>
      <c r="CB356" s="11">
        <f t="shared" si="226"/>
        <v>0</v>
      </c>
      <c r="CC356" s="11">
        <f t="shared" si="227"/>
        <v>0</v>
      </c>
      <c r="CD356" s="11">
        <f t="shared" si="228"/>
        <v>0</v>
      </c>
      <c r="CE356" s="11">
        <f t="shared" si="229"/>
        <v>0</v>
      </c>
      <c r="CF356" s="11">
        <f t="shared" si="230"/>
        <v>0</v>
      </c>
      <c r="CG356" s="11"/>
      <c r="CH356" s="41">
        <v>3.23</v>
      </c>
      <c r="CI356" s="1"/>
      <c r="CJ356" s="53">
        <f t="shared" si="231"/>
        <v>0</v>
      </c>
      <c r="CK356" s="53">
        <f t="shared" si="232"/>
        <v>0</v>
      </c>
      <c r="CL356" s="53">
        <f t="shared" si="233"/>
        <v>0</v>
      </c>
      <c r="CM356" s="53">
        <f t="shared" si="234"/>
        <v>0</v>
      </c>
      <c r="CN356" s="53">
        <f t="shared" si="235"/>
        <v>0</v>
      </c>
      <c r="CO356" s="53">
        <f t="shared" si="236"/>
        <v>0</v>
      </c>
      <c r="CP356" s="53">
        <f t="shared" si="237"/>
        <v>0</v>
      </c>
      <c r="CQ356" s="53">
        <f t="shared" si="238"/>
        <v>0</v>
      </c>
      <c r="CR356" s="53">
        <f t="shared" si="239"/>
        <v>0</v>
      </c>
      <c r="CS356" s="53">
        <f t="shared" si="240"/>
        <v>0</v>
      </c>
      <c r="CT356" s="53">
        <f t="shared" si="241"/>
        <v>0</v>
      </c>
      <c r="CU356" s="53">
        <f t="shared" si="242"/>
        <v>0</v>
      </c>
      <c r="CV356" s="53">
        <f t="shared" si="205"/>
        <v>0</v>
      </c>
      <c r="CW356" s="1"/>
      <c r="CX356" s="1"/>
      <c r="CY356" s="1"/>
      <c r="CZ356" s="1"/>
      <c r="DA356" s="1"/>
      <c r="DB356" s="1"/>
      <c r="DC356" s="1"/>
      <c r="DD356" s="1"/>
      <c r="DE356" s="1"/>
      <c r="DF356" s="1"/>
      <c r="DG356" s="1"/>
      <c r="DH356" s="1"/>
      <c r="DI356" s="1"/>
      <c r="DJ356" s="1"/>
      <c r="DK356" s="1"/>
      <c r="DL356" s="1"/>
    </row>
    <row r="357" spans="1:116" ht="15.75" hidden="1" x14ac:dyDescent="0.25">
      <c r="A357" s="17"/>
      <c r="B357" s="17"/>
      <c r="C357" s="17"/>
      <c r="D357" s="17"/>
      <c r="E357" s="17"/>
      <c r="F357" s="18" t="s">
        <v>3604</v>
      </c>
      <c r="G357" s="57">
        <v>0</v>
      </c>
      <c r="H357" s="57">
        <v>0</v>
      </c>
      <c r="I357" s="57">
        <v>0</v>
      </c>
      <c r="J357" s="57">
        <v>0</v>
      </c>
      <c r="K357" s="57">
        <v>0</v>
      </c>
      <c r="L357" s="57">
        <v>0</v>
      </c>
      <c r="M357" s="57">
        <v>0</v>
      </c>
      <c r="N357" s="57">
        <v>0</v>
      </c>
      <c r="O357" s="57">
        <v>0</v>
      </c>
      <c r="P357" s="57">
        <v>0</v>
      </c>
      <c r="Q357" s="57">
        <v>0</v>
      </c>
      <c r="R357" s="57">
        <v>0</v>
      </c>
      <c r="S357" s="12">
        <f t="shared" si="206"/>
        <v>0</v>
      </c>
      <c r="T357" s="1"/>
      <c r="U357" s="1"/>
      <c r="V357" s="50">
        <f t="shared" si="204"/>
        <v>0</v>
      </c>
      <c r="W357" s="36">
        <v>5.1070000000000002</v>
      </c>
      <c r="X357" s="36">
        <v>5.1070000000000002</v>
      </c>
      <c r="Y357" s="36">
        <v>5.1070000000000002</v>
      </c>
      <c r="Z357" s="36">
        <v>5.1070000000000002</v>
      </c>
      <c r="AA357" s="36">
        <v>5.1070000000000002</v>
      </c>
      <c r="AB357" s="36">
        <v>5.1070000000000002</v>
      </c>
      <c r="AC357" s="36">
        <v>5.1070000000000002</v>
      </c>
      <c r="AD357" s="36">
        <v>5.1070000000000002</v>
      </c>
      <c r="AE357" s="36">
        <v>5.1070000000000002</v>
      </c>
      <c r="AF357" s="36">
        <v>5.1070000000000002</v>
      </c>
      <c r="AG357" s="36">
        <v>5.1070000000000002</v>
      </c>
      <c r="AH357" s="36">
        <v>5.1070000000000002</v>
      </c>
      <c r="AI357" s="39">
        <v>1.33634708931066E-2</v>
      </c>
      <c r="AJ357" s="39">
        <v>1.33634708931066E-2</v>
      </c>
      <c r="AK357" s="39">
        <v>1.33634708931066E-2</v>
      </c>
      <c r="AL357" s="39">
        <v>1.33634708931066E-2</v>
      </c>
      <c r="AM357" s="39">
        <v>1.33634708931066E-2</v>
      </c>
      <c r="AN357" s="39">
        <v>1.33634708931066E-2</v>
      </c>
      <c r="AO357" s="39">
        <v>1.33634708931066E-2</v>
      </c>
      <c r="AP357" s="39">
        <v>1.33634708931066E-2</v>
      </c>
      <c r="AQ357" s="39">
        <v>1.33634708931066E-2</v>
      </c>
      <c r="AR357" s="39">
        <v>1.33634708931066E-2</v>
      </c>
      <c r="AS357" s="39">
        <v>1.33634708931066E-2</v>
      </c>
      <c r="AT357" s="39">
        <v>1.33634708931066E-2</v>
      </c>
      <c r="AU357" s="39">
        <v>1.2392217523121999E-3</v>
      </c>
      <c r="AV357" s="39">
        <v>1.2392217523121999E-3</v>
      </c>
      <c r="AW357" s="39">
        <v>1.2392217523121999E-3</v>
      </c>
      <c r="AX357" s="39">
        <v>1.2392217523121999E-3</v>
      </c>
      <c r="AY357" s="39">
        <v>1.2392217523121999E-3</v>
      </c>
      <c r="AZ357" s="39">
        <v>1.2392217523121999E-3</v>
      </c>
      <c r="BA357" s="39">
        <v>1.2392217523121999E-3</v>
      </c>
      <c r="BB357" s="39">
        <v>1.2392217523121999E-3</v>
      </c>
      <c r="BC357" s="39">
        <v>1.2392217523121999E-3</v>
      </c>
      <c r="BD357" s="39">
        <v>1.2392217523121999E-3</v>
      </c>
      <c r="BE357" s="39">
        <v>1.2392217523121999E-3</v>
      </c>
      <c r="BF357" s="39">
        <v>1.2392217523121999E-3</v>
      </c>
      <c r="BG357" s="1"/>
      <c r="BH357" s="12">
        <f t="shared" si="207"/>
        <v>0</v>
      </c>
      <c r="BI357" s="12">
        <f t="shared" si="208"/>
        <v>0</v>
      </c>
      <c r="BJ357" s="12">
        <f t="shared" si="209"/>
        <v>0</v>
      </c>
      <c r="BK357" s="12">
        <f t="shared" si="210"/>
        <v>0</v>
      </c>
      <c r="BL357" s="12">
        <f t="shared" si="211"/>
        <v>0</v>
      </c>
      <c r="BM357" s="12">
        <f t="shared" si="212"/>
        <v>0</v>
      </c>
      <c r="BN357" s="12">
        <f t="shared" si="213"/>
        <v>0</v>
      </c>
      <c r="BO357" s="12">
        <f t="shared" si="214"/>
        <v>0</v>
      </c>
      <c r="BP357" s="12">
        <f t="shared" si="215"/>
        <v>0</v>
      </c>
      <c r="BQ357" s="12">
        <f t="shared" si="216"/>
        <v>0</v>
      </c>
      <c r="BR357" s="12">
        <f t="shared" si="217"/>
        <v>0</v>
      </c>
      <c r="BS357" s="12">
        <f t="shared" si="218"/>
        <v>0</v>
      </c>
      <c r="BT357" s="1"/>
      <c r="BU357" s="11">
        <f t="shared" si="219"/>
        <v>0</v>
      </c>
      <c r="BV357" s="11">
        <f t="shared" si="220"/>
        <v>0</v>
      </c>
      <c r="BW357" s="11">
        <f t="shared" si="221"/>
        <v>0</v>
      </c>
      <c r="BX357" s="11">
        <f t="shared" si="222"/>
        <v>0</v>
      </c>
      <c r="BY357" s="11">
        <f t="shared" si="223"/>
        <v>0</v>
      </c>
      <c r="BZ357" s="11">
        <f t="shared" si="224"/>
        <v>0</v>
      </c>
      <c r="CA357" s="11">
        <f t="shared" si="225"/>
        <v>0</v>
      </c>
      <c r="CB357" s="11">
        <f t="shared" si="226"/>
        <v>0</v>
      </c>
      <c r="CC357" s="11">
        <f t="shared" si="227"/>
        <v>0</v>
      </c>
      <c r="CD357" s="11">
        <f t="shared" si="228"/>
        <v>0</v>
      </c>
      <c r="CE357" s="11">
        <f t="shared" si="229"/>
        <v>0</v>
      </c>
      <c r="CF357" s="11">
        <f t="shared" si="230"/>
        <v>0</v>
      </c>
      <c r="CG357" s="11"/>
      <c r="CH357" s="41">
        <v>3.23</v>
      </c>
      <c r="CI357" s="1"/>
      <c r="CJ357" s="53">
        <f t="shared" si="231"/>
        <v>0</v>
      </c>
      <c r="CK357" s="53">
        <f t="shared" si="232"/>
        <v>0</v>
      </c>
      <c r="CL357" s="53">
        <f t="shared" si="233"/>
        <v>0</v>
      </c>
      <c r="CM357" s="53">
        <f t="shared" si="234"/>
        <v>0</v>
      </c>
      <c r="CN357" s="53">
        <f t="shared" si="235"/>
        <v>0</v>
      </c>
      <c r="CO357" s="53">
        <f t="shared" si="236"/>
        <v>0</v>
      </c>
      <c r="CP357" s="53">
        <f t="shared" si="237"/>
        <v>0</v>
      </c>
      <c r="CQ357" s="53">
        <f t="shared" si="238"/>
        <v>0</v>
      </c>
      <c r="CR357" s="53">
        <f t="shared" si="239"/>
        <v>0</v>
      </c>
      <c r="CS357" s="53">
        <f t="shared" si="240"/>
        <v>0</v>
      </c>
      <c r="CT357" s="53">
        <f t="shared" si="241"/>
        <v>0</v>
      </c>
      <c r="CU357" s="53">
        <f t="shared" si="242"/>
        <v>0</v>
      </c>
      <c r="CV357" s="53">
        <f t="shared" si="205"/>
        <v>0</v>
      </c>
      <c r="CW357" s="1"/>
      <c r="CX357" s="1"/>
      <c r="CY357" s="1"/>
      <c r="CZ357" s="1"/>
      <c r="DA357" s="1"/>
      <c r="DB357" s="1"/>
      <c r="DC357" s="1"/>
      <c r="DD357" s="1"/>
      <c r="DE357" s="1"/>
      <c r="DF357" s="1"/>
      <c r="DG357" s="1"/>
      <c r="DH357" s="1"/>
      <c r="DI357" s="1"/>
      <c r="DJ357" s="1"/>
      <c r="DK357" s="1"/>
      <c r="DL357" s="1"/>
    </row>
    <row r="358" spans="1:116" ht="15.75" hidden="1" x14ac:dyDescent="0.25">
      <c r="A358" s="17"/>
      <c r="B358" s="17"/>
      <c r="C358" s="17"/>
      <c r="D358" s="17"/>
      <c r="E358" s="17"/>
      <c r="F358" s="18" t="s">
        <v>3604</v>
      </c>
      <c r="G358" s="57">
        <v>0</v>
      </c>
      <c r="H358" s="57">
        <v>0</v>
      </c>
      <c r="I358" s="57">
        <v>0</v>
      </c>
      <c r="J358" s="57">
        <v>0</v>
      </c>
      <c r="K358" s="57">
        <v>0</v>
      </c>
      <c r="L358" s="57">
        <v>0</v>
      </c>
      <c r="M358" s="57">
        <v>0</v>
      </c>
      <c r="N358" s="57">
        <v>0</v>
      </c>
      <c r="O358" s="57">
        <v>0</v>
      </c>
      <c r="P358" s="57">
        <v>0</v>
      </c>
      <c r="Q358" s="57">
        <v>0</v>
      </c>
      <c r="R358" s="57">
        <v>0</v>
      </c>
      <c r="S358" s="12">
        <f t="shared" si="206"/>
        <v>0</v>
      </c>
      <c r="T358" s="1"/>
      <c r="U358" s="1"/>
      <c r="V358" s="50">
        <f t="shared" si="204"/>
        <v>0</v>
      </c>
      <c r="W358" s="36">
        <v>3.2559999999999998</v>
      </c>
      <c r="X358" s="36">
        <v>3.2559999999999998</v>
      </c>
      <c r="Y358" s="36">
        <v>3.2559999999999998</v>
      </c>
      <c r="Z358" s="36">
        <v>3.2559999999999998</v>
      </c>
      <c r="AA358" s="36">
        <v>3.2559999999999998</v>
      </c>
      <c r="AB358" s="36">
        <v>3.2559999999999998</v>
      </c>
      <c r="AC358" s="36">
        <v>3.2559999999999998</v>
      </c>
      <c r="AD358" s="36">
        <v>3.2559999999999998</v>
      </c>
      <c r="AE358" s="36">
        <v>3.2559999999999998</v>
      </c>
      <c r="AF358" s="36">
        <v>3.2559999999999998</v>
      </c>
      <c r="AG358" s="36">
        <v>3.2559999999999998</v>
      </c>
      <c r="AH358" s="36">
        <v>3.2559999999999998</v>
      </c>
      <c r="AI358" s="39">
        <v>1.33634708931066E-2</v>
      </c>
      <c r="AJ358" s="39">
        <v>1.33634708931066E-2</v>
      </c>
      <c r="AK358" s="39">
        <v>1.33634708931066E-2</v>
      </c>
      <c r="AL358" s="39">
        <v>1.33634708931066E-2</v>
      </c>
      <c r="AM358" s="39">
        <v>1.33634708931066E-2</v>
      </c>
      <c r="AN358" s="39">
        <v>1.33634708931066E-2</v>
      </c>
      <c r="AO358" s="39">
        <v>1.33634708931066E-2</v>
      </c>
      <c r="AP358" s="39">
        <v>1.33634708931066E-2</v>
      </c>
      <c r="AQ358" s="39">
        <v>1.33634708931066E-2</v>
      </c>
      <c r="AR358" s="39">
        <v>1.33634708931066E-2</v>
      </c>
      <c r="AS358" s="39">
        <v>1.33634708931066E-2</v>
      </c>
      <c r="AT358" s="39">
        <v>1.33634708931066E-2</v>
      </c>
      <c r="AU358" s="39">
        <v>1.2392217523121999E-3</v>
      </c>
      <c r="AV358" s="39">
        <v>1.2392217523121999E-3</v>
      </c>
      <c r="AW358" s="39">
        <v>1.2392217523121999E-3</v>
      </c>
      <c r="AX358" s="39">
        <v>1.2392217523121999E-3</v>
      </c>
      <c r="AY358" s="39">
        <v>1.2392217523121999E-3</v>
      </c>
      <c r="AZ358" s="39">
        <v>1.2392217523121999E-3</v>
      </c>
      <c r="BA358" s="39">
        <v>1.2392217523121999E-3</v>
      </c>
      <c r="BB358" s="39">
        <v>1.2392217523121999E-3</v>
      </c>
      <c r="BC358" s="39">
        <v>1.2392217523121999E-3</v>
      </c>
      <c r="BD358" s="39">
        <v>1.2392217523121999E-3</v>
      </c>
      <c r="BE358" s="39">
        <v>1.2392217523121999E-3</v>
      </c>
      <c r="BF358" s="39">
        <v>1.2392217523121999E-3</v>
      </c>
      <c r="BG358" s="1"/>
      <c r="BH358" s="12">
        <f t="shared" si="207"/>
        <v>0</v>
      </c>
      <c r="BI358" s="12">
        <f t="shared" si="208"/>
        <v>0</v>
      </c>
      <c r="BJ358" s="12">
        <f t="shared" si="209"/>
        <v>0</v>
      </c>
      <c r="BK358" s="12">
        <f t="shared" si="210"/>
        <v>0</v>
      </c>
      <c r="BL358" s="12">
        <f t="shared" si="211"/>
        <v>0</v>
      </c>
      <c r="BM358" s="12">
        <f t="shared" si="212"/>
        <v>0</v>
      </c>
      <c r="BN358" s="12">
        <f t="shared" si="213"/>
        <v>0</v>
      </c>
      <c r="BO358" s="12">
        <f t="shared" si="214"/>
        <v>0</v>
      </c>
      <c r="BP358" s="12">
        <f t="shared" si="215"/>
        <v>0</v>
      </c>
      <c r="BQ358" s="12">
        <f t="shared" si="216"/>
        <v>0</v>
      </c>
      <c r="BR358" s="12">
        <f t="shared" si="217"/>
        <v>0</v>
      </c>
      <c r="BS358" s="12">
        <f t="shared" si="218"/>
        <v>0</v>
      </c>
      <c r="BT358" s="1"/>
      <c r="BU358" s="11">
        <f t="shared" si="219"/>
        <v>0</v>
      </c>
      <c r="BV358" s="11">
        <f t="shared" si="220"/>
        <v>0</v>
      </c>
      <c r="BW358" s="11">
        <f t="shared" si="221"/>
        <v>0</v>
      </c>
      <c r="BX358" s="11">
        <f t="shared" si="222"/>
        <v>0</v>
      </c>
      <c r="BY358" s="11">
        <f t="shared" si="223"/>
        <v>0</v>
      </c>
      <c r="BZ358" s="11">
        <f t="shared" si="224"/>
        <v>0</v>
      </c>
      <c r="CA358" s="11">
        <f t="shared" si="225"/>
        <v>0</v>
      </c>
      <c r="CB358" s="11">
        <f t="shared" si="226"/>
        <v>0</v>
      </c>
      <c r="CC358" s="11">
        <f t="shared" si="227"/>
        <v>0</v>
      </c>
      <c r="CD358" s="11">
        <f t="shared" si="228"/>
        <v>0</v>
      </c>
      <c r="CE358" s="11">
        <f t="shared" si="229"/>
        <v>0</v>
      </c>
      <c r="CF358" s="11">
        <f t="shared" si="230"/>
        <v>0</v>
      </c>
      <c r="CG358" s="11"/>
      <c r="CH358" s="41">
        <v>3.23</v>
      </c>
      <c r="CI358" s="1"/>
      <c r="CJ358" s="53">
        <f t="shared" si="231"/>
        <v>0</v>
      </c>
      <c r="CK358" s="53">
        <f t="shared" si="232"/>
        <v>0</v>
      </c>
      <c r="CL358" s="53">
        <f t="shared" si="233"/>
        <v>0</v>
      </c>
      <c r="CM358" s="53">
        <f t="shared" si="234"/>
        <v>0</v>
      </c>
      <c r="CN358" s="53">
        <f t="shared" si="235"/>
        <v>0</v>
      </c>
      <c r="CO358" s="53">
        <f t="shared" si="236"/>
        <v>0</v>
      </c>
      <c r="CP358" s="53">
        <f t="shared" si="237"/>
        <v>0</v>
      </c>
      <c r="CQ358" s="53">
        <f t="shared" si="238"/>
        <v>0</v>
      </c>
      <c r="CR358" s="53">
        <f t="shared" si="239"/>
        <v>0</v>
      </c>
      <c r="CS358" s="53">
        <f t="shared" si="240"/>
        <v>0</v>
      </c>
      <c r="CT358" s="53">
        <f t="shared" si="241"/>
        <v>0</v>
      </c>
      <c r="CU358" s="53">
        <f t="shared" si="242"/>
        <v>0</v>
      </c>
      <c r="CV358" s="53">
        <f t="shared" si="205"/>
        <v>0</v>
      </c>
      <c r="CW358" s="1"/>
      <c r="CX358" s="1"/>
      <c r="CY358" s="1"/>
      <c r="CZ358" s="1"/>
      <c r="DA358" s="1"/>
      <c r="DB358" s="1"/>
      <c r="DC358" s="1"/>
      <c r="DD358" s="1"/>
      <c r="DE358" s="1"/>
      <c r="DF358" s="1"/>
      <c r="DG358" s="1"/>
      <c r="DH358" s="1"/>
      <c r="DI358" s="1"/>
      <c r="DJ358" s="1"/>
      <c r="DK358" s="1"/>
      <c r="DL358" s="1"/>
    </row>
    <row r="359" spans="1:116" ht="15.75" hidden="1" x14ac:dyDescent="0.25">
      <c r="A359" s="17"/>
      <c r="B359" s="17"/>
      <c r="C359" s="17"/>
      <c r="D359" s="17"/>
      <c r="E359" s="17"/>
      <c r="F359" s="18" t="s">
        <v>3604</v>
      </c>
      <c r="G359" s="57">
        <v>0</v>
      </c>
      <c r="H359" s="57">
        <v>0</v>
      </c>
      <c r="I359" s="57">
        <v>0</v>
      </c>
      <c r="J359" s="57">
        <v>0</v>
      </c>
      <c r="K359" s="57">
        <v>0</v>
      </c>
      <c r="L359" s="57">
        <v>0</v>
      </c>
      <c r="M359" s="57">
        <v>0</v>
      </c>
      <c r="N359" s="57">
        <v>0</v>
      </c>
      <c r="O359" s="57">
        <v>0</v>
      </c>
      <c r="P359" s="57">
        <v>0</v>
      </c>
      <c r="Q359" s="57">
        <v>0</v>
      </c>
      <c r="R359" s="57">
        <v>0</v>
      </c>
      <c r="S359" s="12">
        <f t="shared" si="206"/>
        <v>0</v>
      </c>
      <c r="T359" s="1"/>
      <c r="U359" s="1"/>
      <c r="V359" s="50">
        <f t="shared" si="204"/>
        <v>0</v>
      </c>
      <c r="W359" s="36">
        <v>1.4350000000000001</v>
      </c>
      <c r="X359" s="36">
        <v>1.4350000000000001</v>
      </c>
      <c r="Y359" s="36">
        <v>1.4350000000000001</v>
      </c>
      <c r="Z359" s="36">
        <v>1.4350000000000001</v>
      </c>
      <c r="AA359" s="36">
        <v>1.4350000000000001</v>
      </c>
      <c r="AB359" s="36">
        <v>1.4350000000000001</v>
      </c>
      <c r="AC359" s="36">
        <v>1.4350000000000001</v>
      </c>
      <c r="AD359" s="36">
        <v>1.4350000000000001</v>
      </c>
      <c r="AE359" s="36">
        <v>1.4350000000000001</v>
      </c>
      <c r="AF359" s="36">
        <v>1.4350000000000001</v>
      </c>
      <c r="AG359" s="36">
        <v>1.4350000000000001</v>
      </c>
      <c r="AH359" s="36">
        <v>1.4350000000000001</v>
      </c>
      <c r="AI359" s="39">
        <v>1.33634708931066E-2</v>
      </c>
      <c r="AJ359" s="39">
        <v>1.33634708931066E-2</v>
      </c>
      <c r="AK359" s="39">
        <v>1.33634708931066E-2</v>
      </c>
      <c r="AL359" s="39">
        <v>1.33634708931066E-2</v>
      </c>
      <c r="AM359" s="39">
        <v>1.33634708931066E-2</v>
      </c>
      <c r="AN359" s="39">
        <v>1.33634708931066E-2</v>
      </c>
      <c r="AO359" s="39">
        <v>1.33634708931066E-2</v>
      </c>
      <c r="AP359" s="39">
        <v>1.33634708931066E-2</v>
      </c>
      <c r="AQ359" s="39">
        <v>1.33634708931066E-2</v>
      </c>
      <c r="AR359" s="39">
        <v>1.33634708931066E-2</v>
      </c>
      <c r="AS359" s="39">
        <v>1.33634708931066E-2</v>
      </c>
      <c r="AT359" s="39">
        <v>1.33634708931066E-2</v>
      </c>
      <c r="AU359" s="39">
        <v>1.2392217523121999E-3</v>
      </c>
      <c r="AV359" s="39">
        <v>1.2392217523121999E-3</v>
      </c>
      <c r="AW359" s="39">
        <v>1.2392217523121999E-3</v>
      </c>
      <c r="AX359" s="39">
        <v>1.2392217523121999E-3</v>
      </c>
      <c r="AY359" s="39">
        <v>1.2392217523121999E-3</v>
      </c>
      <c r="AZ359" s="39">
        <v>1.2392217523121999E-3</v>
      </c>
      <c r="BA359" s="39">
        <v>1.2392217523121999E-3</v>
      </c>
      <c r="BB359" s="39">
        <v>1.2392217523121999E-3</v>
      </c>
      <c r="BC359" s="39">
        <v>1.2392217523121999E-3</v>
      </c>
      <c r="BD359" s="39">
        <v>1.2392217523121999E-3</v>
      </c>
      <c r="BE359" s="39">
        <v>1.2392217523121999E-3</v>
      </c>
      <c r="BF359" s="39">
        <v>1.2392217523121999E-3</v>
      </c>
      <c r="BG359" s="1"/>
      <c r="BH359" s="12">
        <f t="shared" si="207"/>
        <v>0</v>
      </c>
      <c r="BI359" s="12">
        <f t="shared" si="208"/>
        <v>0</v>
      </c>
      <c r="BJ359" s="12">
        <f t="shared" si="209"/>
        <v>0</v>
      </c>
      <c r="BK359" s="12">
        <f t="shared" si="210"/>
        <v>0</v>
      </c>
      <c r="BL359" s="12">
        <f t="shared" si="211"/>
        <v>0</v>
      </c>
      <c r="BM359" s="12">
        <f t="shared" si="212"/>
        <v>0</v>
      </c>
      <c r="BN359" s="12">
        <f t="shared" si="213"/>
        <v>0</v>
      </c>
      <c r="BO359" s="12">
        <f t="shared" si="214"/>
        <v>0</v>
      </c>
      <c r="BP359" s="12">
        <f t="shared" si="215"/>
        <v>0</v>
      </c>
      <c r="BQ359" s="12">
        <f t="shared" si="216"/>
        <v>0</v>
      </c>
      <c r="BR359" s="12">
        <f t="shared" si="217"/>
        <v>0</v>
      </c>
      <c r="BS359" s="12">
        <f t="shared" si="218"/>
        <v>0</v>
      </c>
      <c r="BT359" s="1"/>
      <c r="BU359" s="11">
        <f t="shared" si="219"/>
        <v>0</v>
      </c>
      <c r="BV359" s="11">
        <f t="shared" si="220"/>
        <v>0</v>
      </c>
      <c r="BW359" s="11">
        <f t="shared" si="221"/>
        <v>0</v>
      </c>
      <c r="BX359" s="11">
        <f t="shared" si="222"/>
        <v>0</v>
      </c>
      <c r="BY359" s="11">
        <f t="shared" si="223"/>
        <v>0</v>
      </c>
      <c r="BZ359" s="11">
        <f t="shared" si="224"/>
        <v>0</v>
      </c>
      <c r="CA359" s="11">
        <f t="shared" si="225"/>
        <v>0</v>
      </c>
      <c r="CB359" s="11">
        <f t="shared" si="226"/>
        <v>0</v>
      </c>
      <c r="CC359" s="11">
        <f t="shared" si="227"/>
        <v>0</v>
      </c>
      <c r="CD359" s="11">
        <f t="shared" si="228"/>
        <v>0</v>
      </c>
      <c r="CE359" s="11">
        <f t="shared" si="229"/>
        <v>0</v>
      </c>
      <c r="CF359" s="11">
        <f t="shared" si="230"/>
        <v>0</v>
      </c>
      <c r="CG359" s="11"/>
      <c r="CH359" s="41">
        <v>3.23</v>
      </c>
      <c r="CI359" s="1"/>
      <c r="CJ359" s="53">
        <f t="shared" si="231"/>
        <v>0</v>
      </c>
      <c r="CK359" s="53">
        <f t="shared" si="232"/>
        <v>0</v>
      </c>
      <c r="CL359" s="53">
        <f t="shared" si="233"/>
        <v>0</v>
      </c>
      <c r="CM359" s="53">
        <f t="shared" si="234"/>
        <v>0</v>
      </c>
      <c r="CN359" s="53">
        <f t="shared" si="235"/>
        <v>0</v>
      </c>
      <c r="CO359" s="53">
        <f t="shared" si="236"/>
        <v>0</v>
      </c>
      <c r="CP359" s="53">
        <f t="shared" si="237"/>
        <v>0</v>
      </c>
      <c r="CQ359" s="53">
        <f t="shared" si="238"/>
        <v>0</v>
      </c>
      <c r="CR359" s="53">
        <f t="shared" si="239"/>
        <v>0</v>
      </c>
      <c r="CS359" s="53">
        <f t="shared" si="240"/>
        <v>0</v>
      </c>
      <c r="CT359" s="53">
        <f t="shared" si="241"/>
        <v>0</v>
      </c>
      <c r="CU359" s="53">
        <f t="shared" si="242"/>
        <v>0</v>
      </c>
      <c r="CV359" s="53">
        <f t="shared" si="205"/>
        <v>0</v>
      </c>
      <c r="CW359" s="1"/>
      <c r="CX359" s="1"/>
      <c r="CY359" s="1"/>
      <c r="CZ359" s="1"/>
      <c r="DA359" s="1"/>
      <c r="DB359" s="1"/>
      <c r="DC359" s="1"/>
      <c r="DD359" s="1"/>
      <c r="DE359" s="1"/>
      <c r="DF359" s="1"/>
      <c r="DG359" s="1"/>
      <c r="DH359" s="1"/>
      <c r="DI359" s="1"/>
      <c r="DJ359" s="1"/>
      <c r="DK359" s="1"/>
      <c r="DL359" s="1"/>
    </row>
    <row r="360" spans="1:116" ht="15.75" hidden="1" x14ac:dyDescent="0.25">
      <c r="A360" s="17"/>
      <c r="B360" s="17"/>
      <c r="C360" s="17"/>
      <c r="D360" s="17"/>
      <c r="E360" s="17"/>
      <c r="F360" s="18" t="s">
        <v>3604</v>
      </c>
      <c r="G360" s="57">
        <v>0</v>
      </c>
      <c r="H360" s="57">
        <v>0</v>
      </c>
      <c r="I360" s="57">
        <v>0</v>
      </c>
      <c r="J360" s="57">
        <v>0</v>
      </c>
      <c r="K360" s="57">
        <v>0</v>
      </c>
      <c r="L360" s="57">
        <v>0</v>
      </c>
      <c r="M360" s="57">
        <v>0</v>
      </c>
      <c r="N360" s="57">
        <v>0</v>
      </c>
      <c r="O360" s="57">
        <v>0</v>
      </c>
      <c r="P360" s="57">
        <v>0</v>
      </c>
      <c r="Q360" s="57">
        <v>0</v>
      </c>
      <c r="R360" s="57">
        <v>0</v>
      </c>
      <c r="S360" s="12">
        <f t="shared" si="206"/>
        <v>0</v>
      </c>
      <c r="T360" s="1"/>
      <c r="U360" s="1"/>
      <c r="V360" s="50">
        <f t="shared" si="204"/>
        <v>0</v>
      </c>
      <c r="W360" s="36">
        <v>2.956</v>
      </c>
      <c r="X360" s="36">
        <v>2.956</v>
      </c>
      <c r="Y360" s="36">
        <v>2.956</v>
      </c>
      <c r="Z360" s="36">
        <v>2.956</v>
      </c>
      <c r="AA360" s="36">
        <v>2.956</v>
      </c>
      <c r="AB360" s="36">
        <v>2.956</v>
      </c>
      <c r="AC360" s="36">
        <v>2.956</v>
      </c>
      <c r="AD360" s="36">
        <v>2.956</v>
      </c>
      <c r="AE360" s="36">
        <v>2.956</v>
      </c>
      <c r="AF360" s="36">
        <v>2.956</v>
      </c>
      <c r="AG360" s="36">
        <v>2.956</v>
      </c>
      <c r="AH360" s="36">
        <v>2.956</v>
      </c>
      <c r="AI360" s="39">
        <v>1.33634708931066E-2</v>
      </c>
      <c r="AJ360" s="39">
        <v>1.33634708931066E-2</v>
      </c>
      <c r="AK360" s="39">
        <v>1.33634708931066E-2</v>
      </c>
      <c r="AL360" s="39">
        <v>1.33634708931066E-2</v>
      </c>
      <c r="AM360" s="39">
        <v>1.33634708931066E-2</v>
      </c>
      <c r="AN360" s="39">
        <v>1.33634708931066E-2</v>
      </c>
      <c r="AO360" s="39">
        <v>1.33634708931066E-2</v>
      </c>
      <c r="AP360" s="39">
        <v>1.33634708931066E-2</v>
      </c>
      <c r="AQ360" s="39">
        <v>1.33634708931066E-2</v>
      </c>
      <c r="AR360" s="39">
        <v>1.33634708931066E-2</v>
      </c>
      <c r="AS360" s="39">
        <v>1.33634708931066E-2</v>
      </c>
      <c r="AT360" s="39">
        <v>1.33634708931066E-2</v>
      </c>
      <c r="AU360" s="39">
        <v>1.2392217523121999E-3</v>
      </c>
      <c r="AV360" s="39">
        <v>1.2392217523121999E-3</v>
      </c>
      <c r="AW360" s="39">
        <v>1.2392217523121999E-3</v>
      </c>
      <c r="AX360" s="39">
        <v>1.2392217523121999E-3</v>
      </c>
      <c r="AY360" s="39">
        <v>1.2392217523121999E-3</v>
      </c>
      <c r="AZ360" s="39">
        <v>1.2392217523121999E-3</v>
      </c>
      <c r="BA360" s="39">
        <v>1.2392217523121999E-3</v>
      </c>
      <c r="BB360" s="39">
        <v>1.2392217523121999E-3</v>
      </c>
      <c r="BC360" s="39">
        <v>1.2392217523121999E-3</v>
      </c>
      <c r="BD360" s="39">
        <v>1.2392217523121999E-3</v>
      </c>
      <c r="BE360" s="39">
        <v>1.2392217523121999E-3</v>
      </c>
      <c r="BF360" s="39">
        <v>1.2392217523121999E-3</v>
      </c>
      <c r="BG360" s="1"/>
      <c r="BH360" s="12">
        <f t="shared" si="207"/>
        <v>0</v>
      </c>
      <c r="BI360" s="12">
        <f t="shared" si="208"/>
        <v>0</v>
      </c>
      <c r="BJ360" s="12">
        <f t="shared" si="209"/>
        <v>0</v>
      </c>
      <c r="BK360" s="12">
        <f t="shared" si="210"/>
        <v>0</v>
      </c>
      <c r="BL360" s="12">
        <f t="shared" si="211"/>
        <v>0</v>
      </c>
      <c r="BM360" s="12">
        <f t="shared" si="212"/>
        <v>0</v>
      </c>
      <c r="BN360" s="12">
        <f t="shared" si="213"/>
        <v>0</v>
      </c>
      <c r="BO360" s="12">
        <f t="shared" si="214"/>
        <v>0</v>
      </c>
      <c r="BP360" s="12">
        <f t="shared" si="215"/>
        <v>0</v>
      </c>
      <c r="BQ360" s="12">
        <f t="shared" si="216"/>
        <v>0</v>
      </c>
      <c r="BR360" s="12">
        <f t="shared" si="217"/>
        <v>0</v>
      </c>
      <c r="BS360" s="12">
        <f t="shared" si="218"/>
        <v>0</v>
      </c>
      <c r="BT360" s="1"/>
      <c r="BU360" s="11">
        <f t="shared" si="219"/>
        <v>0</v>
      </c>
      <c r="BV360" s="11">
        <f t="shared" si="220"/>
        <v>0</v>
      </c>
      <c r="BW360" s="11">
        <f t="shared" si="221"/>
        <v>0</v>
      </c>
      <c r="BX360" s="11">
        <f t="shared" si="222"/>
        <v>0</v>
      </c>
      <c r="BY360" s="11">
        <f t="shared" si="223"/>
        <v>0</v>
      </c>
      <c r="BZ360" s="11">
        <f t="shared" si="224"/>
        <v>0</v>
      </c>
      <c r="CA360" s="11">
        <f t="shared" si="225"/>
        <v>0</v>
      </c>
      <c r="CB360" s="11">
        <f t="shared" si="226"/>
        <v>0</v>
      </c>
      <c r="CC360" s="11">
        <f t="shared" si="227"/>
        <v>0</v>
      </c>
      <c r="CD360" s="11">
        <f t="shared" si="228"/>
        <v>0</v>
      </c>
      <c r="CE360" s="11">
        <f t="shared" si="229"/>
        <v>0</v>
      </c>
      <c r="CF360" s="11">
        <f t="shared" si="230"/>
        <v>0</v>
      </c>
      <c r="CG360" s="11"/>
      <c r="CH360" s="41">
        <v>3.23</v>
      </c>
      <c r="CI360" s="1"/>
      <c r="CJ360" s="53">
        <f t="shared" si="231"/>
        <v>0</v>
      </c>
      <c r="CK360" s="53">
        <f t="shared" si="232"/>
        <v>0</v>
      </c>
      <c r="CL360" s="53">
        <f t="shared" si="233"/>
        <v>0</v>
      </c>
      <c r="CM360" s="53">
        <f t="shared" si="234"/>
        <v>0</v>
      </c>
      <c r="CN360" s="53">
        <f t="shared" si="235"/>
        <v>0</v>
      </c>
      <c r="CO360" s="53">
        <f t="shared" si="236"/>
        <v>0</v>
      </c>
      <c r="CP360" s="53">
        <f t="shared" si="237"/>
        <v>0</v>
      </c>
      <c r="CQ360" s="53">
        <f t="shared" si="238"/>
        <v>0</v>
      </c>
      <c r="CR360" s="53">
        <f t="shared" si="239"/>
        <v>0</v>
      </c>
      <c r="CS360" s="53">
        <f t="shared" si="240"/>
        <v>0</v>
      </c>
      <c r="CT360" s="53">
        <f t="shared" si="241"/>
        <v>0</v>
      </c>
      <c r="CU360" s="53">
        <f t="shared" si="242"/>
        <v>0</v>
      </c>
      <c r="CV360" s="53">
        <f t="shared" si="205"/>
        <v>0</v>
      </c>
      <c r="CW360" s="1"/>
      <c r="CX360" s="1"/>
      <c r="CY360" s="1"/>
      <c r="CZ360" s="1"/>
      <c r="DA360" s="1"/>
      <c r="DB360" s="1"/>
      <c r="DC360" s="1"/>
      <c r="DD360" s="1"/>
      <c r="DE360" s="1"/>
      <c r="DF360" s="1"/>
      <c r="DG360" s="1"/>
      <c r="DH360" s="1"/>
      <c r="DI360" s="1"/>
      <c r="DJ360" s="1"/>
      <c r="DK360" s="1"/>
      <c r="DL360" s="1"/>
    </row>
    <row r="361" spans="1:116" ht="15.75" hidden="1" x14ac:dyDescent="0.25">
      <c r="A361" s="17"/>
      <c r="B361" s="17"/>
      <c r="C361" s="17"/>
      <c r="D361" s="17"/>
      <c r="E361" s="17"/>
      <c r="F361" s="18" t="s">
        <v>3604</v>
      </c>
      <c r="G361" s="57">
        <v>0</v>
      </c>
      <c r="H361" s="57">
        <v>0</v>
      </c>
      <c r="I361" s="57">
        <v>0</v>
      </c>
      <c r="J361" s="57">
        <v>0</v>
      </c>
      <c r="K361" s="57">
        <v>0</v>
      </c>
      <c r="L361" s="57">
        <v>0</v>
      </c>
      <c r="M361" s="57">
        <v>0</v>
      </c>
      <c r="N361" s="57">
        <v>0</v>
      </c>
      <c r="O361" s="57">
        <v>0</v>
      </c>
      <c r="P361" s="57">
        <v>0</v>
      </c>
      <c r="Q361" s="57">
        <v>0</v>
      </c>
      <c r="R361" s="57">
        <v>0</v>
      </c>
      <c r="S361" s="12">
        <f t="shared" si="206"/>
        <v>0</v>
      </c>
      <c r="T361" s="1"/>
      <c r="U361" s="1"/>
      <c r="V361" s="50">
        <f t="shared" si="204"/>
        <v>0</v>
      </c>
      <c r="W361" s="36">
        <v>3.476</v>
      </c>
      <c r="X361" s="36">
        <v>3.476</v>
      </c>
      <c r="Y361" s="36">
        <v>3.476</v>
      </c>
      <c r="Z361" s="36">
        <v>3.476</v>
      </c>
      <c r="AA361" s="36">
        <v>3.476</v>
      </c>
      <c r="AB361" s="36">
        <v>3.476</v>
      </c>
      <c r="AC361" s="36">
        <v>3.476</v>
      </c>
      <c r="AD361" s="36">
        <v>3.476</v>
      </c>
      <c r="AE361" s="36">
        <v>3.476</v>
      </c>
      <c r="AF361" s="36">
        <v>3.476</v>
      </c>
      <c r="AG361" s="36">
        <v>3.476</v>
      </c>
      <c r="AH361" s="36">
        <v>3.476</v>
      </c>
      <c r="AI361" s="39">
        <v>1.33634708931066E-2</v>
      </c>
      <c r="AJ361" s="39">
        <v>1.33634708931066E-2</v>
      </c>
      <c r="AK361" s="39">
        <v>1.33634708931066E-2</v>
      </c>
      <c r="AL361" s="39">
        <v>1.33634708931066E-2</v>
      </c>
      <c r="AM361" s="39">
        <v>1.33634708931066E-2</v>
      </c>
      <c r="AN361" s="39">
        <v>1.33634708931066E-2</v>
      </c>
      <c r="AO361" s="39">
        <v>1.33634708931066E-2</v>
      </c>
      <c r="AP361" s="39">
        <v>1.33634708931066E-2</v>
      </c>
      <c r="AQ361" s="39">
        <v>1.33634708931066E-2</v>
      </c>
      <c r="AR361" s="39">
        <v>1.33634708931066E-2</v>
      </c>
      <c r="AS361" s="39">
        <v>1.33634708931066E-2</v>
      </c>
      <c r="AT361" s="39">
        <v>1.33634708931066E-2</v>
      </c>
      <c r="AU361" s="39">
        <v>1.2392217523121999E-3</v>
      </c>
      <c r="AV361" s="39">
        <v>1.2392217523121999E-3</v>
      </c>
      <c r="AW361" s="39">
        <v>1.2392217523121999E-3</v>
      </c>
      <c r="AX361" s="39">
        <v>1.2392217523121999E-3</v>
      </c>
      <c r="AY361" s="39">
        <v>1.2392217523121999E-3</v>
      </c>
      <c r="AZ361" s="39">
        <v>1.2392217523121999E-3</v>
      </c>
      <c r="BA361" s="39">
        <v>1.2392217523121999E-3</v>
      </c>
      <c r="BB361" s="39">
        <v>1.2392217523121999E-3</v>
      </c>
      <c r="BC361" s="39">
        <v>1.2392217523121999E-3</v>
      </c>
      <c r="BD361" s="39">
        <v>1.2392217523121999E-3</v>
      </c>
      <c r="BE361" s="39">
        <v>1.2392217523121999E-3</v>
      </c>
      <c r="BF361" s="39">
        <v>1.2392217523121999E-3</v>
      </c>
      <c r="BG361" s="1"/>
      <c r="BH361" s="12">
        <f t="shared" si="207"/>
        <v>0</v>
      </c>
      <c r="BI361" s="12">
        <f t="shared" si="208"/>
        <v>0</v>
      </c>
      <c r="BJ361" s="12">
        <f t="shared" si="209"/>
        <v>0</v>
      </c>
      <c r="BK361" s="12">
        <f t="shared" si="210"/>
        <v>0</v>
      </c>
      <c r="BL361" s="12">
        <f t="shared" si="211"/>
        <v>0</v>
      </c>
      <c r="BM361" s="12">
        <f t="shared" si="212"/>
        <v>0</v>
      </c>
      <c r="BN361" s="12">
        <f t="shared" si="213"/>
        <v>0</v>
      </c>
      <c r="BO361" s="12">
        <f t="shared" si="214"/>
        <v>0</v>
      </c>
      <c r="BP361" s="12">
        <f t="shared" si="215"/>
        <v>0</v>
      </c>
      <c r="BQ361" s="12">
        <f t="shared" si="216"/>
        <v>0</v>
      </c>
      <c r="BR361" s="12">
        <f t="shared" si="217"/>
        <v>0</v>
      </c>
      <c r="BS361" s="12">
        <f t="shared" si="218"/>
        <v>0</v>
      </c>
      <c r="BT361" s="1"/>
      <c r="BU361" s="11">
        <f t="shared" si="219"/>
        <v>0</v>
      </c>
      <c r="BV361" s="11">
        <f t="shared" si="220"/>
        <v>0</v>
      </c>
      <c r="BW361" s="11">
        <f t="shared" si="221"/>
        <v>0</v>
      </c>
      <c r="BX361" s="11">
        <f t="shared" si="222"/>
        <v>0</v>
      </c>
      <c r="BY361" s="11">
        <f t="shared" si="223"/>
        <v>0</v>
      </c>
      <c r="BZ361" s="11">
        <f t="shared" si="224"/>
        <v>0</v>
      </c>
      <c r="CA361" s="11">
        <f t="shared" si="225"/>
        <v>0</v>
      </c>
      <c r="CB361" s="11">
        <f t="shared" si="226"/>
        <v>0</v>
      </c>
      <c r="CC361" s="11">
        <f t="shared" si="227"/>
        <v>0</v>
      </c>
      <c r="CD361" s="11">
        <f t="shared" si="228"/>
        <v>0</v>
      </c>
      <c r="CE361" s="11">
        <f t="shared" si="229"/>
        <v>0</v>
      </c>
      <c r="CF361" s="11">
        <f t="shared" si="230"/>
        <v>0</v>
      </c>
      <c r="CG361" s="11"/>
      <c r="CH361" s="41">
        <v>3.23</v>
      </c>
      <c r="CI361" s="1"/>
      <c r="CJ361" s="53">
        <f t="shared" si="231"/>
        <v>0</v>
      </c>
      <c r="CK361" s="53">
        <f t="shared" si="232"/>
        <v>0</v>
      </c>
      <c r="CL361" s="53">
        <f t="shared" si="233"/>
        <v>0</v>
      </c>
      <c r="CM361" s="53">
        <f t="shared" si="234"/>
        <v>0</v>
      </c>
      <c r="CN361" s="53">
        <f t="shared" si="235"/>
        <v>0</v>
      </c>
      <c r="CO361" s="53">
        <f t="shared" si="236"/>
        <v>0</v>
      </c>
      <c r="CP361" s="53">
        <f t="shared" si="237"/>
        <v>0</v>
      </c>
      <c r="CQ361" s="53">
        <f t="shared" si="238"/>
        <v>0</v>
      </c>
      <c r="CR361" s="53">
        <f t="shared" si="239"/>
        <v>0</v>
      </c>
      <c r="CS361" s="53">
        <f t="shared" si="240"/>
        <v>0</v>
      </c>
      <c r="CT361" s="53">
        <f t="shared" si="241"/>
        <v>0</v>
      </c>
      <c r="CU361" s="53">
        <f t="shared" si="242"/>
        <v>0</v>
      </c>
      <c r="CV361" s="53">
        <f t="shared" si="205"/>
        <v>0</v>
      </c>
      <c r="CW361" s="1"/>
      <c r="CX361" s="1"/>
      <c r="CY361" s="1"/>
      <c r="CZ361" s="1"/>
      <c r="DA361" s="1"/>
      <c r="DB361" s="1"/>
      <c r="DC361" s="1"/>
      <c r="DD361" s="1"/>
      <c r="DE361" s="1"/>
      <c r="DF361" s="1"/>
      <c r="DG361" s="1"/>
      <c r="DH361" s="1"/>
      <c r="DI361" s="1"/>
      <c r="DJ361" s="1"/>
      <c r="DK361" s="1"/>
      <c r="DL361" s="1"/>
    </row>
    <row r="362" spans="1:116" ht="15.75" hidden="1" x14ac:dyDescent="0.25">
      <c r="A362" s="17"/>
      <c r="B362" s="17"/>
      <c r="C362" s="17"/>
      <c r="D362" s="17"/>
      <c r="E362" s="17"/>
      <c r="F362" s="18" t="s">
        <v>3604</v>
      </c>
      <c r="G362" s="57">
        <v>0</v>
      </c>
      <c r="H362" s="67">
        <v>0</v>
      </c>
      <c r="I362" s="67">
        <v>0</v>
      </c>
      <c r="J362" s="67">
        <v>0</v>
      </c>
      <c r="K362" s="67">
        <v>0</v>
      </c>
      <c r="L362" s="67">
        <v>0</v>
      </c>
      <c r="M362" s="67">
        <v>0</v>
      </c>
      <c r="N362" s="67">
        <v>0</v>
      </c>
      <c r="O362" s="67">
        <v>0</v>
      </c>
      <c r="P362" s="67">
        <v>0</v>
      </c>
      <c r="Q362" s="67">
        <v>0</v>
      </c>
      <c r="R362" s="67">
        <v>0</v>
      </c>
      <c r="S362" s="12">
        <f t="shared" si="206"/>
        <v>0</v>
      </c>
      <c r="T362" s="1"/>
      <c r="U362" s="1"/>
      <c r="V362" s="50">
        <f t="shared" si="204"/>
        <v>0</v>
      </c>
      <c r="W362" s="36">
        <v>3.915</v>
      </c>
      <c r="X362" s="36">
        <v>3.915</v>
      </c>
      <c r="Y362" s="36">
        <v>3.915</v>
      </c>
      <c r="Z362" s="36">
        <v>3.915</v>
      </c>
      <c r="AA362" s="36">
        <v>3.915</v>
      </c>
      <c r="AB362" s="36">
        <v>3.915</v>
      </c>
      <c r="AC362" s="36">
        <v>3.915</v>
      </c>
      <c r="AD362" s="36">
        <v>3.915</v>
      </c>
      <c r="AE362" s="36">
        <v>3.915</v>
      </c>
      <c r="AF362" s="36">
        <v>3.915</v>
      </c>
      <c r="AG362" s="36">
        <v>3.915</v>
      </c>
      <c r="AH362" s="36">
        <v>3.915</v>
      </c>
      <c r="AI362" s="39">
        <v>1.33634708931066E-2</v>
      </c>
      <c r="AJ362" s="39">
        <v>1.33634708931066E-2</v>
      </c>
      <c r="AK362" s="39">
        <v>1.33634708931066E-2</v>
      </c>
      <c r="AL362" s="39">
        <v>1.33634708931066E-2</v>
      </c>
      <c r="AM362" s="39">
        <v>1.33634708931066E-2</v>
      </c>
      <c r="AN362" s="39">
        <v>1.33634708931066E-2</v>
      </c>
      <c r="AO362" s="39">
        <v>1.33634708931066E-2</v>
      </c>
      <c r="AP362" s="39">
        <v>1.33634708931066E-2</v>
      </c>
      <c r="AQ362" s="39">
        <v>1.33634708931066E-2</v>
      </c>
      <c r="AR362" s="39">
        <v>1.33634708931066E-2</v>
      </c>
      <c r="AS362" s="39">
        <v>1.33634708931066E-2</v>
      </c>
      <c r="AT362" s="39">
        <v>1.33634708931066E-2</v>
      </c>
      <c r="AU362" s="39">
        <v>1.2392217523121999E-3</v>
      </c>
      <c r="AV362" s="39">
        <v>1.2392217523121999E-3</v>
      </c>
      <c r="AW362" s="39">
        <v>1.2392217523121999E-3</v>
      </c>
      <c r="AX362" s="39">
        <v>1.2392217523121999E-3</v>
      </c>
      <c r="AY362" s="39">
        <v>1.2392217523121999E-3</v>
      </c>
      <c r="AZ362" s="39">
        <v>1.2392217523121999E-3</v>
      </c>
      <c r="BA362" s="39">
        <v>1.2392217523121999E-3</v>
      </c>
      <c r="BB362" s="39">
        <v>1.2392217523121999E-3</v>
      </c>
      <c r="BC362" s="39">
        <v>1.2392217523121999E-3</v>
      </c>
      <c r="BD362" s="39">
        <v>1.2392217523121999E-3</v>
      </c>
      <c r="BE362" s="39">
        <v>1.2392217523121999E-3</v>
      </c>
      <c r="BF362" s="39">
        <v>1.2392217523121999E-3</v>
      </c>
      <c r="BG362" s="1"/>
      <c r="BH362" s="12">
        <f t="shared" si="207"/>
        <v>0</v>
      </c>
      <c r="BI362" s="12">
        <f t="shared" si="208"/>
        <v>0</v>
      </c>
      <c r="BJ362" s="12">
        <f t="shared" si="209"/>
        <v>0</v>
      </c>
      <c r="BK362" s="12">
        <f t="shared" si="210"/>
        <v>0</v>
      </c>
      <c r="BL362" s="12">
        <f t="shared" si="211"/>
        <v>0</v>
      </c>
      <c r="BM362" s="12">
        <f t="shared" si="212"/>
        <v>0</v>
      </c>
      <c r="BN362" s="12">
        <f t="shared" si="213"/>
        <v>0</v>
      </c>
      <c r="BO362" s="12">
        <f t="shared" si="214"/>
        <v>0</v>
      </c>
      <c r="BP362" s="12">
        <f t="shared" si="215"/>
        <v>0</v>
      </c>
      <c r="BQ362" s="12">
        <f t="shared" si="216"/>
        <v>0</v>
      </c>
      <c r="BR362" s="12">
        <f t="shared" si="217"/>
        <v>0</v>
      </c>
      <c r="BS362" s="12">
        <f t="shared" si="218"/>
        <v>0</v>
      </c>
      <c r="BT362" s="1"/>
      <c r="BU362" s="11">
        <f t="shared" si="219"/>
        <v>0</v>
      </c>
      <c r="BV362" s="11">
        <f t="shared" si="220"/>
        <v>0</v>
      </c>
      <c r="BW362" s="11">
        <f t="shared" si="221"/>
        <v>0</v>
      </c>
      <c r="BX362" s="11">
        <f t="shared" si="222"/>
        <v>0</v>
      </c>
      <c r="BY362" s="11">
        <f t="shared" si="223"/>
        <v>0</v>
      </c>
      <c r="BZ362" s="11">
        <f t="shared" si="224"/>
        <v>0</v>
      </c>
      <c r="CA362" s="11">
        <f t="shared" si="225"/>
        <v>0</v>
      </c>
      <c r="CB362" s="11">
        <f t="shared" si="226"/>
        <v>0</v>
      </c>
      <c r="CC362" s="11">
        <f t="shared" si="227"/>
        <v>0</v>
      </c>
      <c r="CD362" s="11">
        <f t="shared" si="228"/>
        <v>0</v>
      </c>
      <c r="CE362" s="11">
        <f t="shared" si="229"/>
        <v>0</v>
      </c>
      <c r="CF362" s="11">
        <f t="shared" si="230"/>
        <v>0</v>
      </c>
      <c r="CG362" s="11"/>
      <c r="CH362" s="41">
        <v>3.23</v>
      </c>
      <c r="CI362" s="1"/>
      <c r="CJ362" s="53">
        <f t="shared" si="231"/>
        <v>0</v>
      </c>
      <c r="CK362" s="53">
        <f t="shared" si="232"/>
        <v>0</v>
      </c>
      <c r="CL362" s="53">
        <f t="shared" si="233"/>
        <v>0</v>
      </c>
      <c r="CM362" s="53">
        <f t="shared" si="234"/>
        <v>0</v>
      </c>
      <c r="CN362" s="53">
        <f t="shared" si="235"/>
        <v>0</v>
      </c>
      <c r="CO362" s="53">
        <f t="shared" si="236"/>
        <v>0</v>
      </c>
      <c r="CP362" s="53">
        <f t="shared" si="237"/>
        <v>0</v>
      </c>
      <c r="CQ362" s="53">
        <f t="shared" si="238"/>
        <v>0</v>
      </c>
      <c r="CR362" s="53">
        <f t="shared" si="239"/>
        <v>0</v>
      </c>
      <c r="CS362" s="53">
        <f t="shared" si="240"/>
        <v>0</v>
      </c>
      <c r="CT362" s="53">
        <f t="shared" si="241"/>
        <v>0</v>
      </c>
      <c r="CU362" s="53">
        <f t="shared" si="242"/>
        <v>0</v>
      </c>
      <c r="CV362" s="53">
        <f t="shared" si="205"/>
        <v>0</v>
      </c>
      <c r="CW362" s="1"/>
      <c r="CX362" s="1"/>
      <c r="CY362" s="1"/>
      <c r="CZ362" s="1"/>
      <c r="DA362" s="1"/>
      <c r="DB362" s="1"/>
      <c r="DC362" s="1"/>
      <c r="DD362" s="1"/>
      <c r="DE362" s="1"/>
      <c r="DF362" s="1"/>
      <c r="DG362" s="1"/>
      <c r="DH362" s="1"/>
      <c r="DI362" s="1"/>
      <c r="DJ362" s="1"/>
      <c r="DK362" s="1"/>
      <c r="DL362" s="1"/>
    </row>
    <row r="363" spans="1:116" ht="15.75" hidden="1" x14ac:dyDescent="0.25">
      <c r="A363" s="17"/>
      <c r="B363" s="17"/>
      <c r="C363" s="17"/>
      <c r="D363" s="17"/>
      <c r="E363" s="17"/>
      <c r="F363" s="18" t="s">
        <v>3604</v>
      </c>
      <c r="G363" s="57">
        <v>0</v>
      </c>
      <c r="H363" s="68">
        <v>0</v>
      </c>
      <c r="I363" s="68">
        <v>0</v>
      </c>
      <c r="J363" s="68">
        <v>0</v>
      </c>
      <c r="K363" s="68">
        <v>0</v>
      </c>
      <c r="L363" s="68">
        <v>0</v>
      </c>
      <c r="M363" s="68">
        <v>0</v>
      </c>
      <c r="N363" s="68">
        <v>0</v>
      </c>
      <c r="O363" s="68">
        <v>0</v>
      </c>
      <c r="P363" s="68">
        <v>0</v>
      </c>
      <c r="Q363" s="68">
        <v>0</v>
      </c>
      <c r="R363" s="68">
        <v>0</v>
      </c>
      <c r="S363" s="12">
        <f t="shared" si="206"/>
        <v>0</v>
      </c>
      <c r="T363" s="1"/>
      <c r="U363" s="1"/>
      <c r="V363" s="50">
        <f t="shared" ref="V363:V366" si="243">CV363</f>
        <v>0</v>
      </c>
      <c r="W363" s="36">
        <v>9.06</v>
      </c>
      <c r="X363" s="36">
        <v>9.06</v>
      </c>
      <c r="Y363" s="36">
        <v>9.06</v>
      </c>
      <c r="Z363" s="36">
        <v>9.06</v>
      </c>
      <c r="AA363" s="36">
        <v>9.06</v>
      </c>
      <c r="AB363" s="36">
        <v>9.06</v>
      </c>
      <c r="AC363" s="36">
        <v>9.06</v>
      </c>
      <c r="AD363" s="36">
        <v>9.06</v>
      </c>
      <c r="AE363" s="36">
        <v>9.06</v>
      </c>
      <c r="AF363" s="36">
        <v>9.06</v>
      </c>
      <c r="AG363" s="36">
        <v>9.06</v>
      </c>
      <c r="AH363" s="36">
        <v>9.06</v>
      </c>
      <c r="AI363" s="39">
        <v>0</v>
      </c>
      <c r="AJ363" s="39">
        <v>0</v>
      </c>
      <c r="AK363" s="39">
        <v>0</v>
      </c>
      <c r="AL363" s="39">
        <v>0</v>
      </c>
      <c r="AM363" s="39">
        <v>0</v>
      </c>
      <c r="AN363" s="39">
        <v>0</v>
      </c>
      <c r="AO363" s="39">
        <v>0</v>
      </c>
      <c r="AP363" s="39">
        <v>0</v>
      </c>
      <c r="AQ363" s="39">
        <v>0</v>
      </c>
      <c r="AR363" s="39">
        <v>0</v>
      </c>
      <c r="AS363" s="39">
        <v>0</v>
      </c>
      <c r="AT363" s="39">
        <v>0</v>
      </c>
      <c r="AU363" s="39">
        <v>0</v>
      </c>
      <c r="AV363" s="39">
        <v>0</v>
      </c>
      <c r="AW363" s="39">
        <v>0</v>
      </c>
      <c r="AX363" s="39">
        <v>0</v>
      </c>
      <c r="AY363" s="39">
        <v>0</v>
      </c>
      <c r="AZ363" s="39">
        <v>0</v>
      </c>
      <c r="BA363" s="39">
        <v>0</v>
      </c>
      <c r="BB363" s="39">
        <v>0</v>
      </c>
      <c r="BC363" s="39">
        <v>0</v>
      </c>
      <c r="BD363" s="39">
        <v>0</v>
      </c>
      <c r="BE363" s="39">
        <v>0</v>
      </c>
      <c r="BF363" s="39">
        <v>0</v>
      </c>
      <c r="BG363" s="1"/>
      <c r="BH363" s="12">
        <f t="shared" si="207"/>
        <v>0</v>
      </c>
      <c r="BI363" s="12">
        <f t="shared" si="208"/>
        <v>0</v>
      </c>
      <c r="BJ363" s="12">
        <f t="shared" si="209"/>
        <v>0</v>
      </c>
      <c r="BK363" s="12">
        <f t="shared" si="210"/>
        <v>0</v>
      </c>
      <c r="BL363" s="12">
        <f t="shared" si="211"/>
        <v>0</v>
      </c>
      <c r="BM363" s="12">
        <f t="shared" si="212"/>
        <v>0</v>
      </c>
      <c r="BN363" s="12">
        <f t="shared" si="213"/>
        <v>0</v>
      </c>
      <c r="BO363" s="12">
        <f t="shared" si="214"/>
        <v>0</v>
      </c>
      <c r="BP363" s="12">
        <f t="shared" si="215"/>
        <v>0</v>
      </c>
      <c r="BQ363" s="12">
        <f t="shared" si="216"/>
        <v>0</v>
      </c>
      <c r="BR363" s="12">
        <f t="shared" si="217"/>
        <v>0</v>
      </c>
      <c r="BS363" s="12">
        <f t="shared" si="218"/>
        <v>0</v>
      </c>
      <c r="BT363" s="1"/>
      <c r="BU363" s="11">
        <f t="shared" si="219"/>
        <v>0</v>
      </c>
      <c r="BV363" s="11">
        <f t="shared" si="220"/>
        <v>0</v>
      </c>
      <c r="BW363" s="11">
        <f t="shared" si="221"/>
        <v>0</v>
      </c>
      <c r="BX363" s="11">
        <f t="shared" si="222"/>
        <v>0</v>
      </c>
      <c r="BY363" s="11">
        <f t="shared" si="223"/>
        <v>0</v>
      </c>
      <c r="BZ363" s="11">
        <f t="shared" si="224"/>
        <v>0</v>
      </c>
      <c r="CA363" s="11">
        <f t="shared" si="225"/>
        <v>0</v>
      </c>
      <c r="CB363" s="11">
        <f t="shared" si="226"/>
        <v>0</v>
      </c>
      <c r="CC363" s="11">
        <f t="shared" si="227"/>
        <v>0</v>
      </c>
      <c r="CD363" s="11">
        <f t="shared" si="228"/>
        <v>0</v>
      </c>
      <c r="CE363" s="11">
        <f t="shared" si="229"/>
        <v>0</v>
      </c>
      <c r="CF363" s="11">
        <f t="shared" si="230"/>
        <v>0</v>
      </c>
      <c r="CG363" s="11"/>
      <c r="CH363" s="41">
        <v>1</v>
      </c>
      <c r="CI363" s="1"/>
      <c r="CJ363" s="53">
        <f t="shared" si="231"/>
        <v>0</v>
      </c>
      <c r="CK363" s="53">
        <f t="shared" si="232"/>
        <v>0</v>
      </c>
      <c r="CL363" s="53">
        <f t="shared" si="233"/>
        <v>0</v>
      </c>
      <c r="CM363" s="53">
        <f t="shared" si="234"/>
        <v>0</v>
      </c>
      <c r="CN363" s="53">
        <f t="shared" si="235"/>
        <v>0</v>
      </c>
      <c r="CO363" s="53">
        <f t="shared" si="236"/>
        <v>0</v>
      </c>
      <c r="CP363" s="53">
        <f t="shared" si="237"/>
        <v>0</v>
      </c>
      <c r="CQ363" s="53">
        <f t="shared" si="238"/>
        <v>0</v>
      </c>
      <c r="CR363" s="53">
        <f t="shared" si="239"/>
        <v>0</v>
      </c>
      <c r="CS363" s="53">
        <f t="shared" si="240"/>
        <v>0</v>
      </c>
      <c r="CT363" s="53">
        <f t="shared" si="241"/>
        <v>0</v>
      </c>
      <c r="CU363" s="53">
        <f t="shared" si="242"/>
        <v>0</v>
      </c>
      <c r="CV363" s="53">
        <f t="shared" ref="CV363:CV366" si="244">ROUNDUP(SUM(CJ363:CU363),0)</f>
        <v>0</v>
      </c>
      <c r="CW363" s="1"/>
      <c r="CX363" s="1"/>
      <c r="CY363" s="1"/>
      <c r="CZ363" s="1"/>
      <c r="DA363" s="1"/>
      <c r="DB363" s="1"/>
      <c r="DC363" s="1"/>
      <c r="DD363" s="1"/>
      <c r="DE363" s="1"/>
      <c r="DF363" s="1"/>
      <c r="DG363" s="1"/>
      <c r="DH363" s="1"/>
      <c r="DI363" s="1"/>
      <c r="DJ363" s="1"/>
      <c r="DK363" s="1"/>
      <c r="DL363" s="1"/>
    </row>
    <row r="364" spans="1:116" ht="15.75" hidden="1" x14ac:dyDescent="0.25">
      <c r="A364" s="17"/>
      <c r="B364" s="17"/>
      <c r="C364" s="17"/>
      <c r="D364" s="17"/>
      <c r="E364" s="17"/>
      <c r="F364" s="18" t="s">
        <v>3604</v>
      </c>
      <c r="G364" s="57">
        <v>0</v>
      </c>
      <c r="H364" s="59">
        <v>0</v>
      </c>
      <c r="I364" s="59">
        <v>0</v>
      </c>
      <c r="J364" s="59">
        <v>0</v>
      </c>
      <c r="K364" s="59">
        <v>0</v>
      </c>
      <c r="L364" s="59">
        <v>0</v>
      </c>
      <c r="M364" s="59">
        <v>0</v>
      </c>
      <c r="N364" s="59">
        <v>0</v>
      </c>
      <c r="O364" s="59">
        <v>0</v>
      </c>
      <c r="P364" s="59">
        <v>0</v>
      </c>
      <c r="Q364" s="59">
        <v>0</v>
      </c>
      <c r="R364" s="59">
        <v>0</v>
      </c>
      <c r="S364" s="12">
        <f t="shared" si="206"/>
        <v>0</v>
      </c>
      <c r="T364" s="1"/>
      <c r="U364" s="1"/>
      <c r="V364" s="50">
        <f t="shared" si="243"/>
        <v>0</v>
      </c>
      <c r="W364" s="36">
        <v>1.69</v>
      </c>
      <c r="X364" s="36">
        <v>1.69</v>
      </c>
      <c r="Y364" s="36">
        <v>1.69</v>
      </c>
      <c r="Z364" s="36">
        <v>1.69</v>
      </c>
      <c r="AA364" s="36">
        <v>1.69</v>
      </c>
      <c r="AB364" s="36">
        <v>1.69</v>
      </c>
      <c r="AC364" s="36">
        <v>1.69</v>
      </c>
      <c r="AD364" s="36">
        <v>1.69</v>
      </c>
      <c r="AE364" s="36">
        <v>1.69</v>
      </c>
      <c r="AF364" s="36">
        <v>1.69</v>
      </c>
      <c r="AG364" s="36">
        <v>1.69</v>
      </c>
      <c r="AH364" s="36">
        <v>1.69</v>
      </c>
      <c r="AI364" s="39">
        <v>0</v>
      </c>
      <c r="AJ364" s="39">
        <v>0</v>
      </c>
      <c r="AK364" s="39">
        <v>0</v>
      </c>
      <c r="AL364" s="39">
        <v>0</v>
      </c>
      <c r="AM364" s="39">
        <v>0</v>
      </c>
      <c r="AN364" s="39">
        <v>0</v>
      </c>
      <c r="AO364" s="39">
        <v>0</v>
      </c>
      <c r="AP364" s="39">
        <v>0</v>
      </c>
      <c r="AQ364" s="39">
        <v>0</v>
      </c>
      <c r="AR364" s="39">
        <v>0</v>
      </c>
      <c r="AS364" s="39">
        <v>0</v>
      </c>
      <c r="AT364" s="39">
        <v>0</v>
      </c>
      <c r="AU364" s="39">
        <v>0</v>
      </c>
      <c r="AV364" s="39">
        <v>0</v>
      </c>
      <c r="AW364" s="39">
        <v>0</v>
      </c>
      <c r="AX364" s="39">
        <v>0</v>
      </c>
      <c r="AY364" s="39">
        <v>0</v>
      </c>
      <c r="AZ364" s="39">
        <v>0</v>
      </c>
      <c r="BA364" s="39">
        <v>0</v>
      </c>
      <c r="BB364" s="39">
        <v>0</v>
      </c>
      <c r="BC364" s="39">
        <v>0</v>
      </c>
      <c r="BD364" s="39">
        <v>0</v>
      </c>
      <c r="BE364" s="39">
        <v>0</v>
      </c>
      <c r="BF364" s="39">
        <v>0</v>
      </c>
      <c r="BG364" s="1"/>
      <c r="BH364" s="12">
        <f t="shared" si="207"/>
        <v>0</v>
      </c>
      <c r="BI364" s="12">
        <f t="shared" si="208"/>
        <v>0</v>
      </c>
      <c r="BJ364" s="12">
        <f t="shared" si="209"/>
        <v>0</v>
      </c>
      <c r="BK364" s="12">
        <f t="shared" si="210"/>
        <v>0</v>
      </c>
      <c r="BL364" s="12">
        <f t="shared" si="211"/>
        <v>0</v>
      </c>
      <c r="BM364" s="12">
        <f t="shared" si="212"/>
        <v>0</v>
      </c>
      <c r="BN364" s="12">
        <f t="shared" si="213"/>
        <v>0</v>
      </c>
      <c r="BO364" s="12">
        <f t="shared" si="214"/>
        <v>0</v>
      </c>
      <c r="BP364" s="12">
        <f t="shared" si="215"/>
        <v>0</v>
      </c>
      <c r="BQ364" s="12">
        <f t="shared" si="216"/>
        <v>0</v>
      </c>
      <c r="BR364" s="12">
        <f t="shared" si="217"/>
        <v>0</v>
      </c>
      <c r="BS364" s="12">
        <f t="shared" si="218"/>
        <v>0</v>
      </c>
      <c r="BT364" s="1"/>
      <c r="BU364" s="11">
        <f t="shared" si="219"/>
        <v>0</v>
      </c>
      <c r="BV364" s="11">
        <f t="shared" si="220"/>
        <v>0</v>
      </c>
      <c r="BW364" s="11">
        <f t="shared" si="221"/>
        <v>0</v>
      </c>
      <c r="BX364" s="11">
        <f t="shared" si="222"/>
        <v>0</v>
      </c>
      <c r="BY364" s="11">
        <f t="shared" si="223"/>
        <v>0</v>
      </c>
      <c r="BZ364" s="11">
        <f t="shared" si="224"/>
        <v>0</v>
      </c>
      <c r="CA364" s="11">
        <f t="shared" si="225"/>
        <v>0</v>
      </c>
      <c r="CB364" s="11">
        <f t="shared" si="226"/>
        <v>0</v>
      </c>
      <c r="CC364" s="11">
        <f t="shared" si="227"/>
        <v>0</v>
      </c>
      <c r="CD364" s="11">
        <f t="shared" si="228"/>
        <v>0</v>
      </c>
      <c r="CE364" s="11">
        <f t="shared" si="229"/>
        <v>0</v>
      </c>
      <c r="CF364" s="11">
        <f t="shared" si="230"/>
        <v>0</v>
      </c>
      <c r="CG364" s="11"/>
      <c r="CH364" s="41">
        <v>1</v>
      </c>
      <c r="CI364" s="1"/>
      <c r="CJ364" s="53">
        <f t="shared" si="231"/>
        <v>0</v>
      </c>
      <c r="CK364" s="53">
        <f t="shared" si="232"/>
        <v>0</v>
      </c>
      <c r="CL364" s="53">
        <f t="shared" si="233"/>
        <v>0</v>
      </c>
      <c r="CM364" s="53">
        <f t="shared" si="234"/>
        <v>0</v>
      </c>
      <c r="CN364" s="53">
        <f t="shared" si="235"/>
        <v>0</v>
      </c>
      <c r="CO364" s="53">
        <f t="shared" si="236"/>
        <v>0</v>
      </c>
      <c r="CP364" s="53">
        <f t="shared" si="237"/>
        <v>0</v>
      </c>
      <c r="CQ364" s="53">
        <f t="shared" si="238"/>
        <v>0</v>
      </c>
      <c r="CR364" s="53">
        <f t="shared" si="239"/>
        <v>0</v>
      </c>
      <c r="CS364" s="53">
        <f t="shared" si="240"/>
        <v>0</v>
      </c>
      <c r="CT364" s="53">
        <f t="shared" si="241"/>
        <v>0</v>
      </c>
      <c r="CU364" s="53">
        <f t="shared" si="242"/>
        <v>0</v>
      </c>
      <c r="CV364" s="53">
        <f t="shared" si="244"/>
        <v>0</v>
      </c>
      <c r="CW364" s="1"/>
      <c r="CX364" s="1"/>
      <c r="CY364" s="1"/>
      <c r="CZ364" s="1"/>
      <c r="DA364" s="1"/>
      <c r="DB364" s="1"/>
      <c r="DC364" s="1"/>
      <c r="DD364" s="1"/>
      <c r="DE364" s="1"/>
      <c r="DF364" s="1"/>
      <c r="DG364" s="1"/>
      <c r="DH364" s="1"/>
      <c r="DI364" s="1"/>
      <c r="DJ364" s="1"/>
      <c r="DK364" s="1"/>
      <c r="DL364" s="1"/>
    </row>
    <row r="365" spans="1:116" ht="15.75" hidden="1" x14ac:dyDescent="0.25">
      <c r="A365" s="17"/>
      <c r="B365" s="17"/>
      <c r="C365" s="17"/>
      <c r="D365" s="17"/>
      <c r="E365" s="17"/>
      <c r="F365" s="18" t="s">
        <v>3604</v>
      </c>
      <c r="G365" s="57">
        <v>0</v>
      </c>
      <c r="H365" s="59">
        <v>0</v>
      </c>
      <c r="I365" s="59">
        <v>0</v>
      </c>
      <c r="J365" s="59">
        <v>0</v>
      </c>
      <c r="K365" s="59">
        <v>0</v>
      </c>
      <c r="L365" s="59">
        <v>0</v>
      </c>
      <c r="M365" s="59">
        <v>0</v>
      </c>
      <c r="N365" s="59">
        <v>0</v>
      </c>
      <c r="O365" s="59">
        <v>0</v>
      </c>
      <c r="P365" s="59">
        <v>0</v>
      </c>
      <c r="Q365" s="59">
        <v>0</v>
      </c>
      <c r="R365" s="59">
        <v>0</v>
      </c>
      <c r="S365" s="12">
        <f t="shared" si="206"/>
        <v>0</v>
      </c>
      <c r="T365" s="1"/>
      <c r="U365" s="1"/>
      <c r="V365" s="50">
        <f t="shared" si="243"/>
        <v>0</v>
      </c>
      <c r="W365" s="36">
        <v>1.8400042087542088</v>
      </c>
      <c r="X365" s="36">
        <v>1.8400042087542088</v>
      </c>
      <c r="Y365" s="36">
        <v>1.8400042087542088</v>
      </c>
      <c r="Z365" s="36">
        <v>1.8400042087542088</v>
      </c>
      <c r="AA365" s="36">
        <v>1.8400042087542088</v>
      </c>
      <c r="AB365" s="36">
        <v>1.8400042087542088</v>
      </c>
      <c r="AC365" s="36">
        <v>1.8400042087542088</v>
      </c>
      <c r="AD365" s="36">
        <v>1.8400042087542088</v>
      </c>
      <c r="AE365" s="36">
        <v>1.8400042087542088</v>
      </c>
      <c r="AF365" s="36">
        <v>1.8400042087542088</v>
      </c>
      <c r="AG365" s="36">
        <v>1.8400042087542088</v>
      </c>
      <c r="AH365" s="36">
        <v>1.8400042087542088</v>
      </c>
      <c r="AI365" s="39">
        <v>0</v>
      </c>
      <c r="AJ365" s="39">
        <v>0</v>
      </c>
      <c r="AK365" s="39">
        <v>0</v>
      </c>
      <c r="AL365" s="39">
        <v>0</v>
      </c>
      <c r="AM365" s="39">
        <v>0</v>
      </c>
      <c r="AN365" s="39">
        <v>0</v>
      </c>
      <c r="AO365" s="39">
        <v>0</v>
      </c>
      <c r="AP365" s="39">
        <v>0</v>
      </c>
      <c r="AQ365" s="39">
        <v>0</v>
      </c>
      <c r="AR365" s="39">
        <v>0</v>
      </c>
      <c r="AS365" s="39">
        <v>0</v>
      </c>
      <c r="AT365" s="39">
        <v>0</v>
      </c>
      <c r="AU365" s="39">
        <v>0</v>
      </c>
      <c r="AV365" s="39">
        <v>0</v>
      </c>
      <c r="AW365" s="39">
        <v>0</v>
      </c>
      <c r="AX365" s="39">
        <v>0</v>
      </c>
      <c r="AY365" s="39">
        <v>0</v>
      </c>
      <c r="AZ365" s="39">
        <v>0</v>
      </c>
      <c r="BA365" s="39">
        <v>0</v>
      </c>
      <c r="BB365" s="39">
        <v>0</v>
      </c>
      <c r="BC365" s="39">
        <v>0</v>
      </c>
      <c r="BD365" s="39">
        <v>0</v>
      </c>
      <c r="BE365" s="39">
        <v>0</v>
      </c>
      <c r="BF365" s="39">
        <v>0</v>
      </c>
      <c r="BG365" s="1"/>
      <c r="BH365" s="12">
        <f t="shared" si="207"/>
        <v>0</v>
      </c>
      <c r="BI365" s="12">
        <f t="shared" si="208"/>
        <v>0</v>
      </c>
      <c r="BJ365" s="12">
        <f t="shared" si="209"/>
        <v>0</v>
      </c>
      <c r="BK365" s="12">
        <f t="shared" si="210"/>
        <v>0</v>
      </c>
      <c r="BL365" s="12">
        <f t="shared" si="211"/>
        <v>0</v>
      </c>
      <c r="BM365" s="12">
        <f t="shared" si="212"/>
        <v>0</v>
      </c>
      <c r="BN365" s="12">
        <f t="shared" si="213"/>
        <v>0</v>
      </c>
      <c r="BO365" s="12">
        <f t="shared" si="214"/>
        <v>0</v>
      </c>
      <c r="BP365" s="12">
        <f t="shared" si="215"/>
        <v>0</v>
      </c>
      <c r="BQ365" s="12">
        <f t="shared" si="216"/>
        <v>0</v>
      </c>
      <c r="BR365" s="12">
        <f t="shared" si="217"/>
        <v>0</v>
      </c>
      <c r="BS365" s="12">
        <f t="shared" si="218"/>
        <v>0</v>
      </c>
      <c r="BT365" s="1"/>
      <c r="BU365" s="11">
        <f t="shared" si="219"/>
        <v>0</v>
      </c>
      <c r="BV365" s="11">
        <f t="shared" si="220"/>
        <v>0</v>
      </c>
      <c r="BW365" s="11">
        <f t="shared" si="221"/>
        <v>0</v>
      </c>
      <c r="BX365" s="11">
        <f t="shared" si="222"/>
        <v>0</v>
      </c>
      <c r="BY365" s="11">
        <f t="shared" si="223"/>
        <v>0</v>
      </c>
      <c r="BZ365" s="11">
        <f t="shared" si="224"/>
        <v>0</v>
      </c>
      <c r="CA365" s="11">
        <f t="shared" si="225"/>
        <v>0</v>
      </c>
      <c r="CB365" s="11">
        <f t="shared" si="226"/>
        <v>0</v>
      </c>
      <c r="CC365" s="11">
        <f t="shared" si="227"/>
        <v>0</v>
      </c>
      <c r="CD365" s="11">
        <f t="shared" si="228"/>
        <v>0</v>
      </c>
      <c r="CE365" s="11">
        <f t="shared" si="229"/>
        <v>0</v>
      </c>
      <c r="CF365" s="11">
        <f t="shared" si="230"/>
        <v>0</v>
      </c>
      <c r="CG365" s="11"/>
      <c r="CH365" s="41">
        <v>1</v>
      </c>
      <c r="CI365" s="1"/>
      <c r="CJ365" s="53">
        <f t="shared" si="231"/>
        <v>0</v>
      </c>
      <c r="CK365" s="53">
        <f t="shared" si="232"/>
        <v>0</v>
      </c>
      <c r="CL365" s="53">
        <f t="shared" si="233"/>
        <v>0</v>
      </c>
      <c r="CM365" s="53">
        <f t="shared" si="234"/>
        <v>0</v>
      </c>
      <c r="CN365" s="53">
        <f t="shared" si="235"/>
        <v>0</v>
      </c>
      <c r="CO365" s="53">
        <f t="shared" si="236"/>
        <v>0</v>
      </c>
      <c r="CP365" s="53">
        <f t="shared" si="237"/>
        <v>0</v>
      </c>
      <c r="CQ365" s="53">
        <f t="shared" si="238"/>
        <v>0</v>
      </c>
      <c r="CR365" s="53">
        <f t="shared" si="239"/>
        <v>0</v>
      </c>
      <c r="CS365" s="53">
        <f t="shared" si="240"/>
        <v>0</v>
      </c>
      <c r="CT365" s="53">
        <f t="shared" si="241"/>
        <v>0</v>
      </c>
      <c r="CU365" s="53">
        <f t="shared" si="242"/>
        <v>0</v>
      </c>
      <c r="CV365" s="53">
        <f t="shared" si="244"/>
        <v>0</v>
      </c>
      <c r="CW365" s="1"/>
      <c r="CX365" s="1"/>
      <c r="CY365" s="1"/>
      <c r="CZ365" s="1"/>
      <c r="DA365" s="1"/>
      <c r="DB365" s="1"/>
      <c r="DC365" s="1"/>
      <c r="DD365" s="1"/>
      <c r="DE365" s="1"/>
      <c r="DF365" s="1"/>
      <c r="DG365" s="1"/>
      <c r="DH365" s="1"/>
      <c r="DI365" s="1"/>
      <c r="DJ365" s="1"/>
      <c r="DK365" s="1"/>
      <c r="DL365" s="1"/>
    </row>
    <row r="366" spans="1:116" ht="15.75" hidden="1" x14ac:dyDescent="0.25">
      <c r="A366" s="17"/>
      <c r="B366" s="17"/>
      <c r="C366" s="17"/>
      <c r="D366" s="17"/>
      <c r="E366" s="17"/>
      <c r="F366" s="18" t="s">
        <v>3604</v>
      </c>
      <c r="G366" s="57">
        <v>0</v>
      </c>
      <c r="H366" s="59">
        <v>0</v>
      </c>
      <c r="I366" s="59">
        <v>0</v>
      </c>
      <c r="J366" s="59">
        <v>0</v>
      </c>
      <c r="K366" s="59">
        <v>0</v>
      </c>
      <c r="L366" s="59">
        <v>0</v>
      </c>
      <c r="M366" s="59">
        <v>0</v>
      </c>
      <c r="N366" s="59">
        <v>0</v>
      </c>
      <c r="O366" s="59">
        <v>0</v>
      </c>
      <c r="P366" s="59">
        <v>0</v>
      </c>
      <c r="Q366" s="59">
        <v>0</v>
      </c>
      <c r="R366" s="59">
        <v>0</v>
      </c>
      <c r="S366" s="12">
        <f>SUM(G366:R366)</f>
        <v>0</v>
      </c>
      <c r="T366" s="1"/>
      <c r="U366" s="1"/>
      <c r="V366" s="50">
        <f t="shared" si="243"/>
        <v>0</v>
      </c>
      <c r="W366" s="36">
        <v>11.423999999999999</v>
      </c>
      <c r="X366" s="36">
        <v>11.423999999999999</v>
      </c>
      <c r="Y366" s="36">
        <v>11.423999999999999</v>
      </c>
      <c r="Z366" s="36">
        <v>11.423999999999999</v>
      </c>
      <c r="AA366" s="36">
        <v>11.423999999999999</v>
      </c>
      <c r="AB366" s="36">
        <v>11.423999999999999</v>
      </c>
      <c r="AC366" s="36">
        <v>11.423999999999999</v>
      </c>
      <c r="AD366" s="36">
        <v>11.423999999999999</v>
      </c>
      <c r="AE366" s="36">
        <v>11.423999999999999</v>
      </c>
      <c r="AF366" s="36">
        <v>11.423999999999999</v>
      </c>
      <c r="AG366" s="36">
        <v>11.423999999999999</v>
      </c>
      <c r="AH366" s="36">
        <v>11.423999999999999</v>
      </c>
      <c r="AI366" s="39">
        <v>0.22999999999999998</v>
      </c>
      <c r="AJ366" s="39">
        <v>0.22999999999999998</v>
      </c>
      <c r="AK366" s="39">
        <v>0.22999999999999998</v>
      </c>
      <c r="AL366" s="39">
        <v>0.22999999999999998</v>
      </c>
      <c r="AM366" s="39">
        <v>0.22999999999999998</v>
      </c>
      <c r="AN366" s="39">
        <v>0.22999999999999998</v>
      </c>
      <c r="AO366" s="39">
        <v>0.22999999999999998</v>
      </c>
      <c r="AP366" s="39">
        <v>0.22999999999999998</v>
      </c>
      <c r="AQ366" s="39">
        <v>0.22999999999999998</v>
      </c>
      <c r="AR366" s="39">
        <v>0.22999999999999998</v>
      </c>
      <c r="AS366" s="39">
        <v>0.22999999999999998</v>
      </c>
      <c r="AT366" s="39">
        <v>0.22999999999999998</v>
      </c>
      <c r="AU366" s="39">
        <v>0</v>
      </c>
      <c r="AV366" s="39">
        <v>0</v>
      </c>
      <c r="AW366" s="39">
        <v>0</v>
      </c>
      <c r="AX366" s="39">
        <v>0</v>
      </c>
      <c r="AY366" s="39">
        <v>0</v>
      </c>
      <c r="AZ366" s="39">
        <v>0</v>
      </c>
      <c r="BA366" s="39">
        <v>0</v>
      </c>
      <c r="BB366" s="39">
        <v>0</v>
      </c>
      <c r="BC366" s="39">
        <v>0</v>
      </c>
      <c r="BD366" s="39">
        <v>0</v>
      </c>
      <c r="BE366" s="39">
        <v>0</v>
      </c>
      <c r="BF366" s="39">
        <v>0</v>
      </c>
      <c r="BG366" s="1"/>
      <c r="BH366" s="12">
        <f t="shared" si="207"/>
        <v>0</v>
      </c>
      <c r="BI366" s="12">
        <f t="shared" si="208"/>
        <v>0</v>
      </c>
      <c r="BJ366" s="12">
        <f t="shared" si="209"/>
        <v>0</v>
      </c>
      <c r="BK366" s="12">
        <f t="shared" si="210"/>
        <v>0</v>
      </c>
      <c r="BL366" s="12">
        <f t="shared" si="211"/>
        <v>0</v>
      </c>
      <c r="BM366" s="12">
        <f t="shared" si="212"/>
        <v>0</v>
      </c>
      <c r="BN366" s="12">
        <f t="shared" si="213"/>
        <v>0</v>
      </c>
      <c r="BO366" s="12">
        <f t="shared" si="214"/>
        <v>0</v>
      </c>
      <c r="BP366" s="12">
        <f t="shared" si="215"/>
        <v>0</v>
      </c>
      <c r="BQ366" s="12">
        <f t="shared" si="216"/>
        <v>0</v>
      </c>
      <c r="BR366" s="12">
        <f t="shared" si="217"/>
        <v>0</v>
      </c>
      <c r="BS366" s="12">
        <f t="shared" si="218"/>
        <v>0</v>
      </c>
      <c r="BT366" s="1"/>
      <c r="BU366" s="11">
        <f t="shared" si="219"/>
        <v>0</v>
      </c>
      <c r="BV366" s="11">
        <f t="shared" si="220"/>
        <v>0</v>
      </c>
      <c r="BW366" s="11">
        <f t="shared" si="221"/>
        <v>0</v>
      </c>
      <c r="BX366" s="11">
        <f t="shared" si="222"/>
        <v>0</v>
      </c>
      <c r="BY366" s="11">
        <f t="shared" si="223"/>
        <v>0</v>
      </c>
      <c r="BZ366" s="11">
        <f t="shared" si="224"/>
        <v>0</v>
      </c>
      <c r="CA366" s="11">
        <f t="shared" si="225"/>
        <v>0</v>
      </c>
      <c r="CB366" s="11">
        <f t="shared" si="226"/>
        <v>0</v>
      </c>
      <c r="CC366" s="11">
        <f t="shared" si="227"/>
        <v>0</v>
      </c>
      <c r="CD366" s="11">
        <f t="shared" si="228"/>
        <v>0</v>
      </c>
      <c r="CE366" s="11">
        <f t="shared" si="229"/>
        <v>0</v>
      </c>
      <c r="CF366" s="11">
        <f t="shared" si="230"/>
        <v>0</v>
      </c>
      <c r="CG366" s="11"/>
      <c r="CH366" s="41">
        <v>1</v>
      </c>
      <c r="CI366" s="1"/>
      <c r="CJ366" s="53">
        <f t="shared" si="231"/>
        <v>0</v>
      </c>
      <c r="CK366" s="53">
        <f t="shared" si="232"/>
        <v>0</v>
      </c>
      <c r="CL366" s="53">
        <f t="shared" si="233"/>
        <v>0</v>
      </c>
      <c r="CM366" s="53">
        <f t="shared" si="234"/>
        <v>0</v>
      </c>
      <c r="CN366" s="53">
        <f t="shared" si="235"/>
        <v>0</v>
      </c>
      <c r="CO366" s="53">
        <f t="shared" si="236"/>
        <v>0</v>
      </c>
      <c r="CP366" s="53">
        <f t="shared" si="237"/>
        <v>0</v>
      </c>
      <c r="CQ366" s="53">
        <f t="shared" si="238"/>
        <v>0</v>
      </c>
      <c r="CR366" s="53">
        <f t="shared" si="239"/>
        <v>0</v>
      </c>
      <c r="CS366" s="53">
        <f t="shared" si="240"/>
        <v>0</v>
      </c>
      <c r="CT366" s="53">
        <f t="shared" si="241"/>
        <v>0</v>
      </c>
      <c r="CU366" s="53">
        <f t="shared" si="242"/>
        <v>0</v>
      </c>
      <c r="CV366" s="53">
        <f t="shared" si="244"/>
        <v>0</v>
      </c>
      <c r="CW366" s="1"/>
      <c r="CX366" s="1"/>
      <c r="CY366" s="1"/>
      <c r="CZ366" s="1"/>
      <c r="DA366" s="1"/>
      <c r="DB366" s="1"/>
      <c r="DC366" s="1"/>
      <c r="DD366" s="1"/>
      <c r="DE366" s="1"/>
      <c r="DF366" s="1"/>
      <c r="DG366" s="1"/>
      <c r="DH366" s="1"/>
      <c r="DI366" s="1"/>
      <c r="DJ366" s="1"/>
      <c r="DK366" s="1"/>
      <c r="DL366" s="1"/>
    </row>
    <row r="367" spans="1:116" x14ac:dyDescent="0.25">
      <c r="A367" s="7"/>
      <c r="B367" s="7"/>
      <c r="C367" s="7"/>
      <c r="D367" s="7"/>
      <c r="E367" s="7"/>
      <c r="F367" s="7"/>
      <c r="G367" s="7"/>
      <c r="H367" s="7"/>
      <c r="I367" s="7"/>
      <c r="J367" s="7"/>
      <c r="K367" s="7"/>
      <c r="L367" s="7"/>
      <c r="M367" s="7"/>
      <c r="N367" s="7"/>
      <c r="O367" s="7"/>
      <c r="P367" s="7"/>
      <c r="Q367" s="7"/>
      <c r="R367" s="7"/>
      <c r="S367" s="15"/>
      <c r="T367" s="1"/>
      <c r="U367" s="1"/>
      <c r="V367" s="51"/>
      <c r="W367" s="1"/>
      <c r="X367" s="1"/>
      <c r="Y367" s="1"/>
      <c r="Z367" s="1"/>
      <c r="AA367" s="1"/>
      <c r="AB367" s="1"/>
      <c r="AC367" s="1"/>
      <c r="AD367" s="1"/>
      <c r="AE367" s="1"/>
      <c r="AF367" s="1"/>
      <c r="AG367" s="1"/>
      <c r="AH367" s="1"/>
      <c r="AI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c r="CJ367" s="1"/>
      <c r="CK367" s="1"/>
      <c r="CL367" s="1"/>
      <c r="CM367" s="1"/>
      <c r="CN367" s="1"/>
      <c r="CO367" s="1"/>
      <c r="CP367" s="1"/>
      <c r="CQ367" s="1"/>
      <c r="CR367" s="1"/>
      <c r="CS367" s="1"/>
      <c r="CT367" s="1"/>
      <c r="CU367" s="1"/>
      <c r="CV367" s="51"/>
      <c r="CW367" s="1"/>
      <c r="CX367" s="1"/>
      <c r="CY367" s="1"/>
      <c r="CZ367" s="1"/>
      <c r="DA367" s="1"/>
      <c r="DB367" s="1"/>
      <c r="DC367" s="1"/>
      <c r="DD367" s="1"/>
      <c r="DE367" s="1"/>
      <c r="DF367" s="1"/>
      <c r="DG367" s="1"/>
      <c r="DH367" s="1"/>
      <c r="DI367" s="1"/>
      <c r="DJ367" s="1"/>
      <c r="DK367" s="1"/>
      <c r="DL367" s="1"/>
    </row>
  </sheetData>
  <mergeCells count="14">
    <mergeCell ref="O13:P13"/>
    <mergeCell ref="Q13:R13"/>
    <mergeCell ref="E13:F13"/>
    <mergeCell ref="G13:H13"/>
    <mergeCell ref="I13:J13"/>
    <mergeCell ref="K13:L13"/>
    <mergeCell ref="M13:N13"/>
    <mergeCell ref="BU15:CF15"/>
    <mergeCell ref="CH15:CH16"/>
    <mergeCell ref="CJ15:CU15"/>
    <mergeCell ref="W15:AH15"/>
    <mergeCell ref="AI15:AT15"/>
    <mergeCell ref="AU15:BF15"/>
    <mergeCell ref="BH15:BS15"/>
  </mergeCells>
  <conditionalFormatting sqref="F142:F166 F242:F266">
    <cfRule type="expression" dxfId="108" priority="13">
      <formula>S142=0</formula>
    </cfRule>
  </conditionalFormatting>
  <conditionalFormatting sqref="E142:E166 E242:E266">
    <cfRule type="expression" dxfId="107" priority="12">
      <formula>S142=0</formula>
    </cfRule>
  </conditionalFormatting>
  <conditionalFormatting sqref="D142:D166 D242:D266">
    <cfRule type="expression" dxfId="106" priority="11">
      <formula>S142=0</formula>
    </cfRule>
  </conditionalFormatting>
  <conditionalFormatting sqref="C142:C166 C242:C266">
    <cfRule type="expression" dxfId="105" priority="10">
      <formula>S142=0</formula>
    </cfRule>
  </conditionalFormatting>
  <conditionalFormatting sqref="B142:B166 B242:B266">
    <cfRule type="expression" dxfId="104" priority="9">
      <formula>S142=0</formula>
    </cfRule>
  </conditionalFormatting>
  <conditionalFormatting sqref="E342:E366">
    <cfRule type="expression" dxfId="103" priority="8">
      <formula>S342=0</formula>
    </cfRule>
  </conditionalFormatting>
  <conditionalFormatting sqref="D342:D366">
    <cfRule type="expression" dxfId="102" priority="7">
      <formula>S342=0</formula>
    </cfRule>
  </conditionalFormatting>
  <conditionalFormatting sqref="C342:C366">
    <cfRule type="expression" dxfId="101" priority="6">
      <formula>S342=0</formula>
    </cfRule>
  </conditionalFormatting>
  <conditionalFormatting sqref="B342:B366">
    <cfRule type="expression" dxfId="100" priority="5">
      <formula>S342=0</formula>
    </cfRule>
  </conditionalFormatting>
  <conditionalFormatting sqref="S142:S166">
    <cfRule type="expression" dxfId="99" priority="4">
      <formula>S142=0</formula>
    </cfRule>
  </conditionalFormatting>
  <conditionalFormatting sqref="S242:S266">
    <cfRule type="expression" dxfId="98" priority="3">
      <formula>S242=0</formula>
    </cfRule>
  </conditionalFormatting>
  <conditionalFormatting sqref="S342:S366">
    <cfRule type="expression" dxfId="97" priority="2">
      <formula>S342=0</formula>
    </cfRule>
  </conditionalFormatting>
  <conditionalFormatting sqref="F342:F366">
    <cfRule type="expression" dxfId="96" priority="1">
      <formula>S342=0</formula>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478" r:id="rId5" name="Button 406">
              <controlPr defaultSize="0" print="0" autoFill="0" autoPict="0" macro="[0]!showalldata">
                <anchor moveWithCells="1" sizeWithCells="1">
                  <from>
                    <xdr:col>0</xdr:col>
                    <xdr:colOff>0</xdr:colOff>
                    <xdr:row>11</xdr:row>
                    <xdr:rowOff>0</xdr:rowOff>
                  </from>
                  <to>
                    <xdr:col>0</xdr:col>
                    <xdr:colOff>0</xdr:colOff>
                    <xdr:row>12</xdr:row>
                    <xdr:rowOff>57150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3E16-2172-48B1-99F4-E0CEA12567EE}">
  <sheetPr codeName="Sheet1" filterMode="1"/>
  <dimension ref="A1:R351"/>
  <sheetViews>
    <sheetView topLeftCell="D1" workbookViewId="0">
      <selection activeCell="E2" sqref="E2"/>
    </sheetView>
  </sheetViews>
  <sheetFormatPr baseColWidth="10" defaultColWidth="9.140625" defaultRowHeight="15" x14ac:dyDescent="0.25"/>
  <cols>
    <col min="1" max="1" width="9.28515625" hidden="1" customWidth="1"/>
    <col min="2" max="2" width="8.7109375" hidden="1" customWidth="1"/>
    <col min="3" max="3" width="9.140625" hidden="1" customWidth="1"/>
    <col min="4" max="4" width="8.140625" bestFit="1" customWidth="1"/>
    <col min="5" max="5" width="10.5703125" bestFit="1" customWidth="1"/>
    <col min="6" max="6" width="9.5703125" bestFit="1" customWidth="1"/>
    <col min="7" max="18" width="20.5703125" style="20" bestFit="1" customWidth="1"/>
    <col min="19" max="19" width="9" bestFit="1" customWidth="1"/>
    <col min="20" max="20" width="6.5703125" bestFit="1" customWidth="1"/>
    <col min="21" max="21" width="12.7109375" bestFit="1" customWidth="1"/>
    <col min="22" max="22" width="7.5703125" bestFit="1" customWidth="1"/>
    <col min="23" max="23" width="7.140625" bestFit="1" customWidth="1"/>
    <col min="24" max="24" width="7" bestFit="1" customWidth="1"/>
    <col min="25" max="26" width="5.5703125" bestFit="1" customWidth="1"/>
  </cols>
  <sheetData>
    <row r="1" spans="1:18" ht="15.75" x14ac:dyDescent="0.25">
      <c r="A1" s="1" t="s">
        <v>26</v>
      </c>
      <c r="B1" s="1" t="s">
        <v>27</v>
      </c>
      <c r="C1" s="1" t="s">
        <v>16</v>
      </c>
      <c r="D1" s="1"/>
      <c r="E1" s="19"/>
      <c r="F1" s="1"/>
      <c r="G1" s="2"/>
      <c r="H1" s="2"/>
      <c r="I1" s="2"/>
      <c r="J1" s="2"/>
      <c r="K1" s="2"/>
      <c r="L1" s="2"/>
      <c r="M1" s="2"/>
      <c r="N1" s="2"/>
      <c r="O1" s="2"/>
      <c r="P1" s="2"/>
      <c r="Q1" s="2"/>
      <c r="R1" s="2"/>
    </row>
    <row r="2" spans="1:18" ht="15.75" x14ac:dyDescent="0.25">
      <c r="A2" s="16"/>
      <c r="B2" s="44"/>
      <c r="C2" s="44"/>
      <c r="D2" s="44"/>
      <c r="E2" s="44"/>
      <c r="F2" s="45"/>
      <c r="G2" s="72"/>
      <c r="H2" s="72"/>
      <c r="I2" s="73"/>
      <c r="J2" s="73"/>
      <c r="K2" s="73"/>
      <c r="L2" s="73"/>
      <c r="M2" s="73"/>
      <c r="N2" s="73"/>
      <c r="O2" s="73"/>
      <c r="P2" s="74"/>
      <c r="Q2" s="74"/>
      <c r="R2" s="74"/>
    </row>
    <row r="3" spans="1:18" ht="15.75" x14ac:dyDescent="0.25">
      <c r="A3" s="16"/>
      <c r="B3" s="44"/>
      <c r="C3" s="44"/>
      <c r="D3" s="44"/>
      <c r="E3" s="44"/>
      <c r="F3" s="45"/>
      <c r="G3" s="72"/>
      <c r="H3" s="72"/>
      <c r="I3" s="74"/>
      <c r="J3" s="74"/>
      <c r="K3" s="74"/>
      <c r="L3" s="74"/>
      <c r="M3" s="74"/>
      <c r="N3" s="74"/>
      <c r="O3" s="74"/>
      <c r="P3" s="74"/>
      <c r="Q3" s="74"/>
      <c r="R3" s="74"/>
    </row>
    <row r="4" spans="1:18" ht="15.75" x14ac:dyDescent="0.25">
      <c r="A4" s="16"/>
      <c r="B4" s="44"/>
      <c r="C4" s="44"/>
      <c r="D4" s="44"/>
      <c r="E4" s="44"/>
      <c r="F4" s="45"/>
      <c r="G4" s="72"/>
      <c r="H4" s="72"/>
      <c r="I4" s="74"/>
      <c r="J4" s="74"/>
      <c r="K4" s="74"/>
      <c r="L4" s="74"/>
      <c r="M4" s="74"/>
      <c r="N4" s="74"/>
      <c r="O4" s="74"/>
      <c r="P4" s="74"/>
      <c r="Q4" s="74"/>
      <c r="R4" s="74"/>
    </row>
    <row r="5" spans="1:18" ht="15.75" x14ac:dyDescent="0.25">
      <c r="A5" s="16"/>
      <c r="B5" s="44"/>
      <c r="C5" s="44"/>
      <c r="D5" s="44"/>
      <c r="E5" s="44"/>
      <c r="F5" s="45"/>
      <c r="G5" s="72"/>
      <c r="H5" s="72"/>
      <c r="I5" s="74"/>
      <c r="J5" s="74"/>
      <c r="K5" s="74"/>
      <c r="L5" s="74"/>
      <c r="M5" s="74"/>
      <c r="N5" s="74"/>
      <c r="O5" s="74"/>
      <c r="P5" s="74"/>
      <c r="Q5" s="74"/>
      <c r="R5" s="74"/>
    </row>
    <row r="6" spans="1:18" ht="15.75" x14ac:dyDescent="0.25">
      <c r="A6" s="16"/>
      <c r="B6" s="44"/>
      <c r="C6" s="44"/>
      <c r="D6" s="44"/>
      <c r="E6" s="44"/>
      <c r="F6" s="45"/>
      <c r="G6" s="72"/>
      <c r="H6" s="72"/>
      <c r="I6" s="74"/>
      <c r="J6" s="74"/>
      <c r="K6" s="74"/>
      <c r="L6" s="74"/>
      <c r="M6" s="74"/>
      <c r="N6" s="74"/>
      <c r="O6" s="74"/>
      <c r="P6" s="74"/>
      <c r="Q6" s="74"/>
      <c r="R6" s="74"/>
    </row>
    <row r="7" spans="1:18" ht="15.75" x14ac:dyDescent="0.25">
      <c r="A7" s="16"/>
      <c r="B7" s="44"/>
      <c r="C7" s="44"/>
      <c r="D7" s="44"/>
      <c r="E7" s="44"/>
      <c r="F7" s="45"/>
      <c r="G7" s="72"/>
      <c r="H7" s="72"/>
      <c r="I7" s="73"/>
      <c r="J7" s="73"/>
      <c r="K7" s="74"/>
      <c r="L7" s="74"/>
      <c r="M7" s="73"/>
      <c r="N7" s="74"/>
      <c r="O7" s="74"/>
      <c r="P7" s="74"/>
      <c r="Q7" s="74"/>
      <c r="R7" s="74"/>
    </row>
    <row r="8" spans="1:18" ht="15.75" x14ac:dyDescent="0.25">
      <c r="A8" s="16"/>
      <c r="B8" s="44"/>
      <c r="C8" s="44"/>
      <c r="D8" s="44"/>
      <c r="E8" s="44"/>
      <c r="F8" s="45"/>
      <c r="G8" s="72"/>
      <c r="H8" s="72"/>
      <c r="I8" s="74"/>
      <c r="J8" s="74"/>
      <c r="K8" s="74"/>
      <c r="L8" s="74"/>
      <c r="M8" s="74"/>
      <c r="N8" s="74"/>
      <c r="O8" s="74"/>
      <c r="P8" s="74"/>
      <c r="Q8" s="74"/>
      <c r="R8" s="74"/>
    </row>
    <row r="9" spans="1:18" ht="15.75" x14ac:dyDescent="0.25">
      <c r="A9" s="16"/>
      <c r="B9" s="44"/>
      <c r="C9" s="44"/>
      <c r="D9" s="44"/>
      <c r="E9" s="44"/>
      <c r="F9" s="45"/>
      <c r="G9" s="72"/>
      <c r="H9" s="72"/>
      <c r="I9" s="74"/>
      <c r="J9" s="74"/>
      <c r="K9" s="74"/>
      <c r="L9" s="74"/>
      <c r="M9" s="74"/>
      <c r="N9" s="74"/>
      <c r="O9" s="74"/>
      <c r="P9" s="74"/>
      <c r="Q9" s="74"/>
      <c r="R9" s="74"/>
    </row>
    <row r="10" spans="1:18" ht="15.75" x14ac:dyDescent="0.25">
      <c r="A10" s="16"/>
      <c r="B10" s="44"/>
      <c r="C10" s="44"/>
      <c r="D10" s="44"/>
      <c r="E10" s="44"/>
      <c r="F10" s="45"/>
      <c r="G10" s="72"/>
      <c r="H10" s="72"/>
      <c r="I10" s="74"/>
      <c r="J10" s="74"/>
      <c r="K10" s="74"/>
      <c r="L10" s="74"/>
      <c r="M10" s="74"/>
      <c r="N10" s="74"/>
      <c r="O10" s="74"/>
      <c r="P10" s="74"/>
      <c r="Q10" s="74"/>
      <c r="R10" s="74"/>
    </row>
    <row r="11" spans="1:18" ht="15.75" x14ac:dyDescent="0.25">
      <c r="A11" s="16"/>
      <c r="B11" s="44"/>
      <c r="C11" s="44"/>
      <c r="D11" s="44"/>
      <c r="E11" s="44"/>
      <c r="F11" s="45"/>
      <c r="G11" s="72"/>
      <c r="H11" s="72"/>
      <c r="I11" s="74"/>
      <c r="J11" s="74"/>
      <c r="K11" s="74"/>
      <c r="L11" s="74"/>
      <c r="M11" s="74"/>
      <c r="N11" s="74"/>
      <c r="O11" s="74"/>
      <c r="P11" s="74"/>
      <c r="Q11" s="74"/>
      <c r="R11" s="74"/>
    </row>
    <row r="12" spans="1:18" ht="15.75" x14ac:dyDescent="0.25">
      <c r="A12" s="16"/>
      <c r="B12" s="44"/>
      <c r="C12" s="44"/>
      <c r="D12" s="44"/>
      <c r="E12" s="44"/>
      <c r="F12" s="45"/>
      <c r="G12" s="72"/>
      <c r="H12" s="72"/>
      <c r="I12" s="74"/>
      <c r="J12" s="74"/>
      <c r="K12" s="74"/>
      <c r="L12" s="74"/>
      <c r="M12" s="74"/>
      <c r="N12" s="74"/>
      <c r="O12" s="74"/>
      <c r="P12" s="74"/>
      <c r="Q12" s="74"/>
      <c r="R12" s="74"/>
    </row>
    <row r="13" spans="1:18" ht="15.75" x14ac:dyDescent="0.25">
      <c r="A13" s="16"/>
      <c r="B13" s="44"/>
      <c r="C13" s="44"/>
      <c r="D13" s="44"/>
      <c r="E13" s="44"/>
      <c r="F13" s="45"/>
      <c r="G13" s="72"/>
      <c r="H13" s="72"/>
      <c r="I13" s="74"/>
      <c r="J13" s="74"/>
      <c r="K13" s="74"/>
      <c r="L13" s="74"/>
      <c r="M13" s="74"/>
      <c r="N13" s="74"/>
      <c r="O13" s="74"/>
      <c r="P13" s="74"/>
      <c r="Q13" s="74"/>
      <c r="R13" s="74"/>
    </row>
    <row r="14" spans="1:18" ht="15.75" x14ac:dyDescent="0.25">
      <c r="A14" s="16"/>
      <c r="B14" s="44"/>
      <c r="C14" s="44"/>
      <c r="D14" s="44"/>
      <c r="E14" s="44"/>
      <c r="F14" s="45"/>
      <c r="G14" s="72"/>
      <c r="H14" s="72"/>
      <c r="I14" s="74"/>
      <c r="J14" s="74"/>
      <c r="K14" s="74"/>
      <c r="L14" s="74"/>
      <c r="M14" s="74"/>
      <c r="N14" s="74"/>
      <c r="O14" s="74"/>
      <c r="P14" s="74"/>
      <c r="Q14" s="74"/>
      <c r="R14" s="74"/>
    </row>
    <row r="15" spans="1:18" ht="15.75" x14ac:dyDescent="0.25">
      <c r="A15" s="16"/>
      <c r="B15" s="44"/>
      <c r="C15" s="44"/>
      <c r="D15" s="44"/>
      <c r="E15" s="44"/>
      <c r="F15" s="45"/>
      <c r="G15" s="72"/>
      <c r="H15" s="72"/>
      <c r="I15" s="74"/>
      <c r="J15" s="74"/>
      <c r="K15" s="74"/>
      <c r="L15" s="74"/>
      <c r="M15" s="74"/>
      <c r="N15" s="74"/>
      <c r="O15" s="74"/>
      <c r="P15" s="74"/>
      <c r="Q15" s="74"/>
      <c r="R15" s="74"/>
    </row>
    <row r="16" spans="1:18" ht="15.75" x14ac:dyDescent="0.25">
      <c r="A16" s="16"/>
      <c r="B16" s="44"/>
      <c r="C16" s="44"/>
      <c r="D16" s="44"/>
      <c r="E16" s="44"/>
      <c r="F16" s="45"/>
      <c r="G16" s="72"/>
      <c r="H16" s="72"/>
      <c r="I16" s="74"/>
      <c r="J16" s="74"/>
      <c r="K16" s="74"/>
      <c r="L16" s="74"/>
      <c r="M16" s="74"/>
      <c r="N16" s="74"/>
      <c r="O16" s="74"/>
      <c r="P16" s="74"/>
      <c r="Q16" s="74"/>
      <c r="R16" s="74"/>
    </row>
    <row r="17" spans="1:18" ht="15.75" x14ac:dyDescent="0.25">
      <c r="A17" s="16"/>
      <c r="B17" s="44"/>
      <c r="C17" s="44"/>
      <c r="D17" s="44"/>
      <c r="E17" s="44"/>
      <c r="F17" s="45"/>
      <c r="G17" s="72"/>
      <c r="H17" s="72"/>
      <c r="I17" s="74"/>
      <c r="J17" s="74"/>
      <c r="K17" s="74"/>
      <c r="L17" s="74"/>
      <c r="M17" s="74"/>
      <c r="N17" s="74"/>
      <c r="O17" s="74"/>
      <c r="P17" s="74"/>
      <c r="Q17" s="74"/>
      <c r="R17" s="74"/>
    </row>
    <row r="18" spans="1:18" ht="15.75" x14ac:dyDescent="0.25">
      <c r="A18" s="16"/>
      <c r="B18" s="44"/>
      <c r="C18" s="44"/>
      <c r="D18" s="44"/>
      <c r="E18" s="44"/>
      <c r="F18" s="45"/>
      <c r="G18" s="72"/>
      <c r="H18" s="72"/>
      <c r="I18" s="74"/>
      <c r="J18" s="74"/>
      <c r="K18" s="74"/>
      <c r="L18" s="74"/>
      <c r="M18" s="74"/>
      <c r="N18" s="74"/>
      <c r="O18" s="74"/>
      <c r="P18" s="74"/>
      <c r="Q18" s="74"/>
      <c r="R18" s="74"/>
    </row>
    <row r="19" spans="1:18" ht="15.75" x14ac:dyDescent="0.25">
      <c r="A19" s="16"/>
      <c r="B19" s="44"/>
      <c r="C19" s="44"/>
      <c r="D19" s="44"/>
      <c r="E19" s="44"/>
      <c r="F19" s="45"/>
      <c r="G19" s="72"/>
      <c r="H19" s="72"/>
      <c r="I19" s="74"/>
      <c r="J19" s="74"/>
      <c r="K19" s="74"/>
      <c r="L19" s="74"/>
      <c r="M19" s="74"/>
      <c r="N19" s="74"/>
      <c r="O19" s="74"/>
      <c r="P19" s="74"/>
      <c r="Q19" s="74"/>
      <c r="R19" s="74"/>
    </row>
    <row r="20" spans="1:18" ht="15.75" x14ac:dyDescent="0.25">
      <c r="A20" s="16"/>
      <c r="B20" s="44"/>
      <c r="C20" s="44"/>
      <c r="D20" s="44"/>
      <c r="E20" s="44"/>
      <c r="F20" s="45"/>
      <c r="G20" s="72"/>
      <c r="H20" s="72"/>
      <c r="I20" s="74"/>
      <c r="J20" s="74"/>
      <c r="K20" s="74"/>
      <c r="L20" s="74"/>
      <c r="M20" s="74"/>
      <c r="N20" s="74"/>
      <c r="O20" s="74"/>
      <c r="P20" s="74"/>
      <c r="Q20" s="74"/>
      <c r="R20" s="74"/>
    </row>
    <row r="21" spans="1:18" ht="15.75" x14ac:dyDescent="0.25">
      <c r="A21" s="16"/>
      <c r="B21" s="44"/>
      <c r="C21" s="44"/>
      <c r="D21" s="44"/>
      <c r="E21" s="44"/>
      <c r="F21" s="45"/>
      <c r="G21" s="72"/>
      <c r="H21" s="72"/>
      <c r="I21" s="74"/>
      <c r="J21" s="74"/>
      <c r="K21" s="74"/>
      <c r="L21" s="74"/>
      <c r="M21" s="74"/>
      <c r="N21" s="74"/>
      <c r="O21" s="74"/>
      <c r="P21" s="74"/>
      <c r="Q21" s="74"/>
      <c r="R21" s="74"/>
    </row>
    <row r="22" spans="1:18" ht="15.75" x14ac:dyDescent="0.25">
      <c r="A22" s="16"/>
      <c r="B22" s="44"/>
      <c r="C22" s="44"/>
      <c r="D22" s="44"/>
      <c r="E22" s="44"/>
      <c r="F22" s="45"/>
      <c r="G22" s="72"/>
      <c r="H22" s="72"/>
      <c r="I22" s="74"/>
      <c r="J22" s="74"/>
      <c r="K22" s="74"/>
      <c r="L22" s="74"/>
      <c r="M22" s="74"/>
      <c r="N22" s="74"/>
      <c r="O22" s="74"/>
      <c r="P22" s="74"/>
      <c r="Q22" s="74"/>
      <c r="R22" s="74"/>
    </row>
    <row r="23" spans="1:18" ht="15.75" x14ac:dyDescent="0.25">
      <c r="A23" s="16"/>
      <c r="B23" s="44"/>
      <c r="C23" s="44"/>
      <c r="D23" s="44"/>
      <c r="E23" s="44"/>
      <c r="F23" s="45"/>
      <c r="G23" s="72"/>
      <c r="H23" s="72"/>
      <c r="I23" s="74"/>
      <c r="J23" s="74"/>
      <c r="K23" s="74"/>
      <c r="L23" s="74"/>
      <c r="M23" s="74"/>
      <c r="N23" s="74"/>
      <c r="O23" s="74"/>
      <c r="P23" s="74"/>
      <c r="Q23" s="74"/>
      <c r="R23" s="74"/>
    </row>
    <row r="24" spans="1:18" ht="15.75" x14ac:dyDescent="0.25">
      <c r="A24" s="16"/>
      <c r="B24" s="44"/>
      <c r="C24" s="44"/>
      <c r="D24" s="44"/>
      <c r="E24" s="44"/>
      <c r="F24" s="45"/>
      <c r="G24" s="72"/>
      <c r="H24" s="72"/>
      <c r="I24" s="74"/>
      <c r="J24" s="74"/>
      <c r="K24" s="74"/>
      <c r="L24" s="74"/>
      <c r="M24" s="74"/>
      <c r="N24" s="74"/>
      <c r="O24" s="74"/>
      <c r="P24" s="74"/>
      <c r="Q24" s="74"/>
      <c r="R24" s="74"/>
    </row>
    <row r="25" spans="1:18" ht="15.75" x14ac:dyDescent="0.25">
      <c r="A25" s="16"/>
      <c r="B25" s="44"/>
      <c r="C25" s="44"/>
      <c r="D25" s="44"/>
      <c r="E25" s="44"/>
      <c r="F25" s="45"/>
      <c r="G25" s="72"/>
      <c r="H25" s="72"/>
      <c r="I25" s="74"/>
      <c r="J25" s="74"/>
      <c r="K25" s="74"/>
      <c r="L25" s="74"/>
      <c r="M25" s="74"/>
      <c r="N25" s="74"/>
      <c r="O25" s="74"/>
      <c r="P25" s="74"/>
      <c r="Q25" s="74"/>
      <c r="R25" s="74"/>
    </row>
    <row r="26" spans="1:18" ht="15.75" x14ac:dyDescent="0.25">
      <c r="A26" s="16"/>
      <c r="B26" s="44"/>
      <c r="C26" s="44"/>
      <c r="D26" s="44"/>
      <c r="E26" s="44"/>
      <c r="F26" s="45"/>
      <c r="G26" s="72"/>
      <c r="H26" s="72"/>
      <c r="I26" s="74"/>
      <c r="J26" s="74"/>
      <c r="K26" s="74"/>
      <c r="L26" s="74"/>
      <c r="M26" s="74"/>
      <c r="N26" s="74"/>
      <c r="O26" s="74"/>
      <c r="P26" s="74"/>
      <c r="Q26" s="74"/>
      <c r="R26" s="74"/>
    </row>
    <row r="27" spans="1:18" ht="15.75" hidden="1" x14ac:dyDescent="0.25">
      <c r="A27" s="86"/>
      <c r="B27" s="17"/>
      <c r="C27" s="17"/>
      <c r="D27" s="17"/>
      <c r="E27" s="17"/>
      <c r="F27" s="31" t="s">
        <v>3645</v>
      </c>
      <c r="G27" s="76">
        <v>64920</v>
      </c>
      <c r="H27" s="76">
        <v>32160</v>
      </c>
      <c r="I27" s="76">
        <v>11280</v>
      </c>
      <c r="J27" s="76">
        <v>6720</v>
      </c>
      <c r="K27" s="76">
        <v>12840</v>
      </c>
      <c r="L27" s="76">
        <v>14760</v>
      </c>
      <c r="M27" s="76">
        <v>24600</v>
      </c>
      <c r="N27" s="76">
        <v>41880</v>
      </c>
      <c r="O27" s="76">
        <v>22511</v>
      </c>
      <c r="P27" s="76">
        <v>13360</v>
      </c>
      <c r="Q27" s="76">
        <v>42766</v>
      </c>
      <c r="R27" s="76">
        <v>29831</v>
      </c>
    </row>
    <row r="28" spans="1:18" ht="15.75" hidden="1" x14ac:dyDescent="0.25">
      <c r="A28" s="86"/>
      <c r="B28" s="17"/>
      <c r="C28" s="17"/>
      <c r="D28" s="17"/>
      <c r="E28" s="17"/>
      <c r="F28" s="31" t="s">
        <v>3645</v>
      </c>
      <c r="G28" s="76">
        <v>0</v>
      </c>
      <c r="H28" s="76">
        <v>0</v>
      </c>
      <c r="I28" s="76">
        <v>0</v>
      </c>
      <c r="J28" s="76">
        <v>0</v>
      </c>
      <c r="K28" s="76">
        <v>257882</v>
      </c>
      <c r="L28" s="76">
        <v>0</v>
      </c>
      <c r="M28" s="76">
        <v>665501</v>
      </c>
      <c r="N28" s="76">
        <v>363723</v>
      </c>
      <c r="O28" s="76">
        <v>439052</v>
      </c>
      <c r="P28" s="76">
        <v>72374</v>
      </c>
      <c r="Q28" s="76">
        <v>332016</v>
      </c>
      <c r="R28" s="76">
        <v>0</v>
      </c>
    </row>
    <row r="29" spans="1:18" ht="15.75" hidden="1" x14ac:dyDescent="0.25">
      <c r="A29" s="86"/>
      <c r="B29" s="17"/>
      <c r="C29" s="17"/>
      <c r="D29" s="17"/>
      <c r="E29" s="17"/>
      <c r="F29" s="31" t="s">
        <v>3645</v>
      </c>
      <c r="G29" s="76">
        <v>0</v>
      </c>
      <c r="H29" s="76"/>
      <c r="I29" s="76"/>
      <c r="J29" s="76"/>
      <c r="K29" s="76"/>
      <c r="L29" s="76"/>
      <c r="M29" s="76"/>
      <c r="N29" s="76"/>
      <c r="O29" s="76"/>
      <c r="P29" s="76"/>
      <c r="Q29" s="76"/>
      <c r="R29" s="76"/>
    </row>
    <row r="30" spans="1:18" ht="15.75" hidden="1" x14ac:dyDescent="0.25">
      <c r="A30" s="86"/>
      <c r="B30" s="17"/>
      <c r="C30" s="17"/>
      <c r="D30" s="17"/>
      <c r="E30" s="17"/>
      <c r="F30" s="31" t="s">
        <v>3645</v>
      </c>
      <c r="G30" s="76">
        <v>27120</v>
      </c>
      <c r="H30" s="76">
        <v>10560</v>
      </c>
      <c r="I30" s="76">
        <v>4320</v>
      </c>
      <c r="J30" s="76">
        <v>2640</v>
      </c>
      <c r="K30" s="76">
        <v>5760</v>
      </c>
      <c r="L30" s="76">
        <v>4800</v>
      </c>
      <c r="M30" s="76">
        <v>6480</v>
      </c>
      <c r="N30" s="76">
        <v>11760</v>
      </c>
      <c r="O30" s="76">
        <v>11520</v>
      </c>
      <c r="P30" s="76">
        <v>8400</v>
      </c>
      <c r="Q30" s="76">
        <v>15600</v>
      </c>
      <c r="R30" s="76">
        <v>5040</v>
      </c>
    </row>
    <row r="31" spans="1:18" ht="15.75" hidden="1" x14ac:dyDescent="0.25">
      <c r="A31" s="86"/>
      <c r="B31" s="17"/>
      <c r="C31" s="17"/>
      <c r="D31" s="17"/>
      <c r="E31" s="17"/>
      <c r="F31" s="31" t="s">
        <v>3645</v>
      </c>
      <c r="G31" s="76">
        <v>13200</v>
      </c>
      <c r="H31" s="76">
        <v>6000</v>
      </c>
      <c r="I31" s="76">
        <v>206</v>
      </c>
      <c r="J31" s="76">
        <v>0</v>
      </c>
      <c r="K31" s="76">
        <v>11760</v>
      </c>
      <c r="L31" s="76">
        <v>10560</v>
      </c>
      <c r="M31" s="76">
        <v>4800</v>
      </c>
      <c r="N31" s="76">
        <v>6480</v>
      </c>
      <c r="O31" s="76">
        <v>7680</v>
      </c>
      <c r="P31" s="76">
        <v>12960</v>
      </c>
      <c r="Q31" s="76">
        <v>10530</v>
      </c>
      <c r="R31" s="76">
        <v>6960</v>
      </c>
    </row>
    <row r="32" spans="1:18" ht="15.75" hidden="1" x14ac:dyDescent="0.25">
      <c r="A32" s="86"/>
      <c r="B32" s="17"/>
      <c r="C32" s="17"/>
      <c r="D32" s="17"/>
      <c r="E32" s="17"/>
      <c r="F32" s="31" t="s">
        <v>3645</v>
      </c>
      <c r="G32" s="76">
        <v>203280</v>
      </c>
      <c r="H32" s="76">
        <v>69840</v>
      </c>
      <c r="I32" s="76">
        <v>61200</v>
      </c>
      <c r="J32" s="76">
        <v>64800</v>
      </c>
      <c r="K32" s="76">
        <v>82560</v>
      </c>
      <c r="L32" s="76">
        <v>115680</v>
      </c>
      <c r="M32" s="76">
        <v>109680</v>
      </c>
      <c r="N32" s="76">
        <v>133482</v>
      </c>
      <c r="O32" s="76">
        <v>179040</v>
      </c>
      <c r="P32" s="76">
        <v>158558</v>
      </c>
      <c r="Q32" s="76">
        <v>128400</v>
      </c>
      <c r="R32" s="76">
        <v>100080</v>
      </c>
    </row>
    <row r="33" spans="1:18" ht="15.75" hidden="1" x14ac:dyDescent="0.25">
      <c r="A33" s="86"/>
      <c r="B33" s="17"/>
      <c r="C33" s="17"/>
      <c r="D33" s="17"/>
      <c r="E33" s="17"/>
      <c r="F33" s="31" t="s">
        <v>3645</v>
      </c>
      <c r="G33" s="76">
        <v>70240</v>
      </c>
      <c r="H33" s="76">
        <v>30462</v>
      </c>
      <c r="I33" s="76">
        <v>45383</v>
      </c>
      <c r="J33" s="76">
        <v>98304</v>
      </c>
      <c r="K33" s="76">
        <v>16728</v>
      </c>
      <c r="L33" s="76">
        <v>30719</v>
      </c>
      <c r="M33" s="76">
        <v>106368</v>
      </c>
      <c r="N33" s="76">
        <v>39936</v>
      </c>
      <c r="O33" s="76">
        <v>0</v>
      </c>
      <c r="P33" s="76">
        <v>51102</v>
      </c>
      <c r="Q33" s="76">
        <v>302672</v>
      </c>
      <c r="R33" s="76">
        <v>0</v>
      </c>
    </row>
    <row r="34" spans="1:18" ht="15.75" hidden="1" x14ac:dyDescent="0.25">
      <c r="A34" s="86"/>
      <c r="B34" s="17"/>
      <c r="C34" s="17"/>
      <c r="D34" s="17"/>
      <c r="E34" s="17"/>
      <c r="F34" s="31" t="s">
        <v>3645</v>
      </c>
      <c r="G34" s="76">
        <v>0</v>
      </c>
      <c r="H34" s="76"/>
      <c r="I34" s="76"/>
      <c r="J34" s="76"/>
      <c r="K34" s="76"/>
      <c r="L34" s="76"/>
      <c r="M34" s="76"/>
      <c r="N34" s="76"/>
      <c r="O34" s="76"/>
      <c r="P34" s="76"/>
      <c r="Q34" s="76"/>
      <c r="R34" s="76"/>
    </row>
    <row r="35" spans="1:18" ht="15.75" hidden="1" x14ac:dyDescent="0.25">
      <c r="A35" s="86"/>
      <c r="B35" s="17"/>
      <c r="C35" s="17"/>
      <c r="D35" s="17"/>
      <c r="E35" s="17"/>
      <c r="F35" s="31" t="s">
        <v>3645</v>
      </c>
      <c r="G35" s="76">
        <v>0</v>
      </c>
      <c r="H35" s="76"/>
      <c r="I35" s="76"/>
      <c r="J35" s="76"/>
      <c r="K35" s="76"/>
      <c r="L35" s="76"/>
      <c r="M35" s="76"/>
      <c r="N35" s="76"/>
      <c r="O35" s="76"/>
      <c r="P35" s="76"/>
      <c r="Q35" s="76"/>
      <c r="R35" s="76"/>
    </row>
    <row r="36" spans="1:18" ht="15.75" hidden="1" x14ac:dyDescent="0.25">
      <c r="A36" s="86"/>
      <c r="B36" s="17"/>
      <c r="C36" s="17"/>
      <c r="D36" s="17"/>
      <c r="E36" s="17"/>
      <c r="F36" s="31" t="s">
        <v>3645</v>
      </c>
      <c r="G36" s="76">
        <v>31080</v>
      </c>
      <c r="H36" s="76">
        <v>19320</v>
      </c>
      <c r="I36" s="76">
        <v>9000</v>
      </c>
      <c r="J36" s="76">
        <v>5400</v>
      </c>
      <c r="K36" s="76">
        <v>7920</v>
      </c>
      <c r="L36" s="76">
        <v>15600</v>
      </c>
      <c r="M36" s="76">
        <v>16080</v>
      </c>
      <c r="N36" s="76">
        <v>4492</v>
      </c>
      <c r="O36" s="76">
        <v>0</v>
      </c>
      <c r="P36" s="76">
        <v>0</v>
      </c>
      <c r="Q36" s="76">
        <v>0</v>
      </c>
      <c r="R36" s="76">
        <v>0</v>
      </c>
    </row>
    <row r="37" spans="1:18" ht="15.75" hidden="1" x14ac:dyDescent="0.25">
      <c r="A37" s="86"/>
      <c r="B37" s="17"/>
      <c r="C37" s="17"/>
      <c r="D37" s="17"/>
      <c r="E37" s="17"/>
      <c r="F37" s="31" t="s">
        <v>3645</v>
      </c>
      <c r="G37" s="76">
        <v>314763</v>
      </c>
      <c r="H37" s="76">
        <v>179882</v>
      </c>
      <c r="I37" s="76">
        <v>122976</v>
      </c>
      <c r="J37" s="76">
        <v>42912</v>
      </c>
      <c r="K37" s="76">
        <v>89475</v>
      </c>
      <c r="L37" s="76">
        <v>8352</v>
      </c>
      <c r="M37" s="76">
        <v>0</v>
      </c>
      <c r="N37" s="76">
        <v>0</v>
      </c>
      <c r="O37" s="76">
        <v>0</v>
      </c>
      <c r="P37" s="76">
        <v>732760</v>
      </c>
      <c r="Q37" s="76">
        <v>105840</v>
      </c>
      <c r="R37" s="76">
        <v>296538</v>
      </c>
    </row>
    <row r="38" spans="1:18" ht="15.75" hidden="1" x14ac:dyDescent="0.25">
      <c r="A38" s="86"/>
      <c r="B38" s="17"/>
      <c r="C38" s="17"/>
      <c r="D38" s="17"/>
      <c r="E38" s="17"/>
      <c r="F38" s="31" t="s">
        <v>3645</v>
      </c>
      <c r="G38" s="76">
        <v>211107</v>
      </c>
      <c r="H38" s="76">
        <v>92997</v>
      </c>
      <c r="I38" s="76">
        <v>34684</v>
      </c>
      <c r="J38" s="76">
        <v>25200</v>
      </c>
      <c r="K38" s="76">
        <v>23940</v>
      </c>
      <c r="L38" s="76">
        <v>23040</v>
      </c>
      <c r="M38" s="76">
        <v>32760</v>
      </c>
      <c r="N38" s="76">
        <v>57780</v>
      </c>
      <c r="O38" s="76">
        <v>118800</v>
      </c>
      <c r="P38" s="76">
        <v>40967</v>
      </c>
      <c r="Q38" s="76">
        <v>57070</v>
      </c>
      <c r="R38" s="76">
        <v>32552</v>
      </c>
    </row>
    <row r="39" spans="1:18" ht="15.75" hidden="1" x14ac:dyDescent="0.25">
      <c r="A39" s="86"/>
      <c r="B39" s="17"/>
      <c r="C39" s="17"/>
      <c r="D39" s="17"/>
      <c r="E39" s="17"/>
      <c r="F39" s="31" t="s">
        <v>3645</v>
      </c>
      <c r="G39" s="76">
        <v>55189</v>
      </c>
      <c r="H39" s="76">
        <v>54054</v>
      </c>
      <c r="I39" s="76">
        <v>0</v>
      </c>
      <c r="J39" s="76">
        <v>0</v>
      </c>
      <c r="K39" s="76">
        <v>0</v>
      </c>
      <c r="L39" s="76">
        <v>101245</v>
      </c>
      <c r="M39" s="76">
        <v>54376</v>
      </c>
      <c r="N39" s="76">
        <v>103740</v>
      </c>
      <c r="O39" s="76">
        <v>4322</v>
      </c>
      <c r="P39" s="76">
        <v>37590</v>
      </c>
      <c r="Q39" s="76">
        <v>63840</v>
      </c>
      <c r="R39" s="76">
        <v>32566</v>
      </c>
    </row>
    <row r="40" spans="1:18" ht="15.75" hidden="1" x14ac:dyDescent="0.25">
      <c r="A40" s="86"/>
      <c r="B40" s="17"/>
      <c r="C40" s="17"/>
      <c r="D40" s="17"/>
      <c r="E40" s="17"/>
      <c r="F40" s="31" t="s">
        <v>3645</v>
      </c>
      <c r="G40" s="76">
        <v>63353</v>
      </c>
      <c r="H40" s="76">
        <v>150646</v>
      </c>
      <c r="I40" s="76">
        <v>360251</v>
      </c>
      <c r="J40" s="76">
        <v>31570</v>
      </c>
      <c r="K40" s="76">
        <v>120</v>
      </c>
      <c r="L40" s="76">
        <v>28405</v>
      </c>
      <c r="M40" s="76">
        <v>53201</v>
      </c>
      <c r="N40" s="76">
        <v>2400</v>
      </c>
      <c r="O40" s="76">
        <v>204427</v>
      </c>
      <c r="P40" s="76">
        <v>207338</v>
      </c>
      <c r="Q40" s="76">
        <v>90768</v>
      </c>
      <c r="R40" s="76">
        <v>193325</v>
      </c>
    </row>
    <row r="41" spans="1:18" ht="15.75" hidden="1" x14ac:dyDescent="0.25">
      <c r="A41" s="86"/>
      <c r="B41" s="17"/>
      <c r="C41" s="17"/>
      <c r="D41" s="17"/>
      <c r="E41" s="17"/>
      <c r="F41" s="31" t="s">
        <v>3645</v>
      </c>
      <c r="G41" s="76">
        <v>1498789</v>
      </c>
      <c r="H41" s="76">
        <v>1337040</v>
      </c>
      <c r="I41" s="76">
        <v>783864</v>
      </c>
      <c r="J41" s="76">
        <v>377136</v>
      </c>
      <c r="K41" s="76">
        <v>497692</v>
      </c>
      <c r="L41" s="76">
        <v>506304</v>
      </c>
      <c r="M41" s="76">
        <v>636841</v>
      </c>
      <c r="N41" s="76">
        <v>960223</v>
      </c>
      <c r="O41" s="76">
        <v>1176626</v>
      </c>
      <c r="P41" s="76">
        <v>646296</v>
      </c>
      <c r="Q41" s="76">
        <v>930423</v>
      </c>
      <c r="R41" s="76">
        <v>350784</v>
      </c>
    </row>
    <row r="42" spans="1:18" ht="15.75" hidden="1" x14ac:dyDescent="0.25">
      <c r="A42" s="86"/>
      <c r="B42" s="17"/>
      <c r="C42" s="17"/>
      <c r="D42" s="17"/>
      <c r="E42" s="17"/>
      <c r="F42" s="31" t="s">
        <v>3645</v>
      </c>
      <c r="G42" s="76">
        <v>0</v>
      </c>
      <c r="H42" s="76"/>
      <c r="I42" s="76"/>
      <c r="J42" s="76"/>
      <c r="K42" s="76"/>
      <c r="L42" s="76"/>
      <c r="M42" s="76"/>
      <c r="N42" s="76"/>
      <c r="O42" s="76"/>
      <c r="P42" s="76"/>
      <c r="Q42" s="76"/>
      <c r="R42" s="76"/>
    </row>
    <row r="43" spans="1:18" ht="15.75" hidden="1" x14ac:dyDescent="0.25">
      <c r="A43" s="86"/>
      <c r="B43" s="17"/>
      <c r="C43" s="17"/>
      <c r="D43" s="17"/>
      <c r="E43" s="17"/>
      <c r="F43" s="31" t="s">
        <v>3645</v>
      </c>
      <c r="G43" s="76">
        <v>11942</v>
      </c>
      <c r="H43" s="76">
        <v>120</v>
      </c>
      <c r="I43" s="76">
        <v>0</v>
      </c>
      <c r="J43" s="76">
        <v>0</v>
      </c>
      <c r="K43" s="76">
        <v>33480</v>
      </c>
      <c r="L43" s="76">
        <v>8040</v>
      </c>
      <c r="M43" s="76">
        <v>4560</v>
      </c>
      <c r="N43" s="76">
        <v>120</v>
      </c>
      <c r="O43" s="76">
        <v>21463</v>
      </c>
      <c r="P43" s="76">
        <v>7763</v>
      </c>
      <c r="Q43" s="76">
        <v>120</v>
      </c>
      <c r="R43" s="76">
        <v>0</v>
      </c>
    </row>
    <row r="44" spans="1:18" ht="15.75" hidden="1" x14ac:dyDescent="0.25">
      <c r="A44" s="86"/>
      <c r="B44" s="17"/>
      <c r="C44" s="17"/>
      <c r="D44" s="17"/>
      <c r="E44" s="17"/>
      <c r="F44" s="31" t="s">
        <v>3645</v>
      </c>
      <c r="G44" s="76">
        <v>0</v>
      </c>
      <c r="H44" s="76">
        <v>68520</v>
      </c>
      <c r="I44" s="76">
        <v>4716</v>
      </c>
      <c r="J44" s="76">
        <v>0</v>
      </c>
      <c r="K44" s="76">
        <v>10920</v>
      </c>
      <c r="L44" s="76">
        <v>9240</v>
      </c>
      <c r="M44" s="76">
        <v>5160</v>
      </c>
      <c r="N44" s="76">
        <v>19680</v>
      </c>
      <c r="O44" s="76">
        <v>24840</v>
      </c>
      <c r="P44" s="76">
        <v>32105</v>
      </c>
      <c r="Q44" s="76">
        <v>22673</v>
      </c>
      <c r="R44" s="76">
        <v>12840</v>
      </c>
    </row>
    <row r="45" spans="1:18" ht="15.75" hidden="1" x14ac:dyDescent="0.25">
      <c r="A45" s="86"/>
      <c r="B45" s="17"/>
      <c r="C45" s="17"/>
      <c r="D45" s="17"/>
      <c r="E45" s="17"/>
      <c r="F45" s="31" t="s">
        <v>3645</v>
      </c>
      <c r="G45" s="76">
        <v>0</v>
      </c>
      <c r="H45" s="76">
        <v>0</v>
      </c>
      <c r="I45" s="76">
        <v>0</v>
      </c>
      <c r="J45" s="76">
        <v>0</v>
      </c>
      <c r="K45" s="76">
        <v>27120</v>
      </c>
      <c r="L45" s="76">
        <v>2160</v>
      </c>
      <c r="M45" s="76">
        <v>1320</v>
      </c>
      <c r="N45" s="76">
        <v>2520</v>
      </c>
      <c r="O45" s="76">
        <v>3960</v>
      </c>
      <c r="P45" s="76">
        <v>3700</v>
      </c>
      <c r="Q45" s="76">
        <v>4680</v>
      </c>
      <c r="R45" s="76">
        <v>4560</v>
      </c>
    </row>
    <row r="46" spans="1:18" ht="15.75" hidden="1" x14ac:dyDescent="0.25">
      <c r="A46" s="86"/>
      <c r="B46" s="17"/>
      <c r="C46" s="17"/>
      <c r="D46" s="17"/>
      <c r="E46" s="17"/>
      <c r="F46" s="31" t="s">
        <v>3645</v>
      </c>
      <c r="G46" s="76">
        <v>239135</v>
      </c>
      <c r="H46" s="76">
        <v>177484</v>
      </c>
      <c r="I46" s="76">
        <v>181420</v>
      </c>
      <c r="J46" s="76">
        <v>182277</v>
      </c>
      <c r="K46" s="76">
        <v>76400</v>
      </c>
      <c r="L46" s="76">
        <v>18640</v>
      </c>
      <c r="M46" s="76">
        <v>9400</v>
      </c>
      <c r="N46" s="76">
        <v>42480</v>
      </c>
      <c r="O46" s="76">
        <v>55880</v>
      </c>
      <c r="P46" s="76">
        <v>79423</v>
      </c>
      <c r="Q46" s="76">
        <v>61744</v>
      </c>
      <c r="R46" s="76">
        <v>71784</v>
      </c>
    </row>
    <row r="47" spans="1:18" ht="15.75" hidden="1" x14ac:dyDescent="0.25">
      <c r="A47" s="86"/>
      <c r="B47" s="17"/>
      <c r="C47" s="17"/>
      <c r="D47" s="17"/>
      <c r="E47" s="17"/>
      <c r="F47" s="31" t="s">
        <v>3645</v>
      </c>
      <c r="G47" s="76">
        <v>0</v>
      </c>
      <c r="H47" s="76">
        <v>0</v>
      </c>
      <c r="I47" s="76">
        <v>305856</v>
      </c>
      <c r="J47" s="76">
        <v>316796</v>
      </c>
      <c r="K47" s="76">
        <v>82944</v>
      </c>
      <c r="L47" s="76">
        <v>26064</v>
      </c>
      <c r="M47" s="76">
        <v>20880</v>
      </c>
      <c r="N47" s="76">
        <v>69696</v>
      </c>
      <c r="O47" s="76">
        <v>136368</v>
      </c>
      <c r="P47" s="76">
        <v>87037</v>
      </c>
      <c r="Q47" s="76">
        <v>109847</v>
      </c>
      <c r="R47" s="76">
        <v>81504</v>
      </c>
    </row>
    <row r="48" spans="1:18" ht="15.75" hidden="1" x14ac:dyDescent="0.25">
      <c r="A48" s="86"/>
      <c r="B48" s="17"/>
      <c r="C48" s="17"/>
      <c r="D48" s="17"/>
      <c r="E48" s="17"/>
      <c r="F48" s="31" t="s">
        <v>3645</v>
      </c>
      <c r="G48" s="76">
        <v>0</v>
      </c>
      <c r="H48" s="76">
        <v>1290</v>
      </c>
      <c r="I48" s="76">
        <v>0</v>
      </c>
      <c r="J48" s="76">
        <v>400</v>
      </c>
      <c r="K48" s="76">
        <v>10224</v>
      </c>
      <c r="L48" s="76">
        <v>0</v>
      </c>
      <c r="M48" s="76">
        <v>0</v>
      </c>
      <c r="N48" s="76">
        <v>0</v>
      </c>
      <c r="O48" s="76">
        <v>0</v>
      </c>
      <c r="P48" s="76">
        <v>0</v>
      </c>
      <c r="Q48" s="76">
        <v>5373</v>
      </c>
      <c r="R48" s="76">
        <v>0</v>
      </c>
    </row>
    <row r="49" spans="1:18" ht="15.75" hidden="1" x14ac:dyDescent="0.25">
      <c r="A49" s="86"/>
      <c r="B49" s="17"/>
      <c r="C49" s="17"/>
      <c r="D49" s="17"/>
      <c r="E49" s="17"/>
      <c r="F49" s="31" t="s">
        <v>3645</v>
      </c>
      <c r="G49" s="76">
        <v>0</v>
      </c>
      <c r="H49" s="76">
        <v>5200</v>
      </c>
      <c r="I49" s="76">
        <v>0</v>
      </c>
      <c r="J49" s="76">
        <v>5200</v>
      </c>
      <c r="K49" s="76">
        <v>25523</v>
      </c>
      <c r="L49" s="76">
        <v>0</v>
      </c>
      <c r="M49" s="76">
        <v>0</v>
      </c>
      <c r="N49" s="76">
        <v>0</v>
      </c>
      <c r="O49" s="76">
        <v>0</v>
      </c>
      <c r="P49" s="76">
        <v>0</v>
      </c>
      <c r="Q49" s="76">
        <v>0</v>
      </c>
      <c r="R49" s="76">
        <v>0</v>
      </c>
    </row>
    <row r="50" spans="1:18" ht="15.75" hidden="1" x14ac:dyDescent="0.25">
      <c r="A50" s="86"/>
      <c r="B50" s="17"/>
      <c r="C50" s="17"/>
      <c r="D50" s="17"/>
      <c r="E50" s="17"/>
      <c r="F50" s="31" t="s">
        <v>3645</v>
      </c>
      <c r="G50" s="76">
        <v>5200</v>
      </c>
      <c r="H50" s="76">
        <v>0</v>
      </c>
      <c r="I50" s="76">
        <v>0</v>
      </c>
      <c r="J50" s="76">
        <v>5200</v>
      </c>
      <c r="K50" s="76">
        <v>16518</v>
      </c>
      <c r="L50" s="76">
        <v>0</v>
      </c>
      <c r="M50" s="76">
        <v>0</v>
      </c>
      <c r="N50" s="76">
        <v>0</v>
      </c>
      <c r="O50" s="76">
        <v>0</v>
      </c>
      <c r="P50" s="76">
        <v>0</v>
      </c>
      <c r="Q50" s="76">
        <v>0</v>
      </c>
      <c r="R50" s="76">
        <v>0</v>
      </c>
    </row>
    <row r="51" spans="1:18" ht="15.75" hidden="1" x14ac:dyDescent="0.25">
      <c r="A51" s="86"/>
      <c r="B51" s="17"/>
      <c r="C51" s="17"/>
      <c r="D51" s="17"/>
      <c r="E51" s="17"/>
      <c r="F51" s="31" t="s">
        <v>3645</v>
      </c>
      <c r="G51" s="76">
        <v>0</v>
      </c>
      <c r="H51" s="76"/>
      <c r="I51" s="76"/>
      <c r="J51" s="76"/>
      <c r="K51" s="76"/>
      <c r="L51" s="76"/>
      <c r="M51" s="76"/>
      <c r="N51" s="76"/>
      <c r="O51" s="76"/>
      <c r="P51" s="76"/>
      <c r="Q51" s="76"/>
      <c r="R51" s="76"/>
    </row>
    <row r="52" spans="1:18" ht="15.75" hidden="1" x14ac:dyDescent="0.25">
      <c r="A52" s="17"/>
      <c r="B52" s="17"/>
      <c r="C52" s="17"/>
      <c r="D52" s="17"/>
      <c r="E52" s="17"/>
      <c r="F52" s="31" t="s">
        <v>19</v>
      </c>
      <c r="G52" s="75">
        <v>17389</v>
      </c>
      <c r="H52" s="76">
        <v>36000</v>
      </c>
      <c r="I52" s="76">
        <v>25000</v>
      </c>
      <c r="J52" s="76">
        <v>13111</v>
      </c>
      <c r="K52" s="76">
        <v>14750</v>
      </c>
      <c r="L52" s="76">
        <v>22391</v>
      </c>
      <c r="M52" s="76">
        <v>21463</v>
      </c>
      <c r="N52" s="76">
        <v>33341</v>
      </c>
      <c r="O52" s="76">
        <v>34421</v>
      </c>
      <c r="P52" s="76">
        <v>35000</v>
      </c>
      <c r="Q52" s="76">
        <v>35000</v>
      </c>
      <c r="R52" s="76">
        <v>20000</v>
      </c>
    </row>
    <row r="53" spans="1:18" ht="15.75" hidden="1" x14ac:dyDescent="0.25">
      <c r="A53" s="17"/>
      <c r="B53" s="17"/>
      <c r="C53" s="17"/>
      <c r="D53" s="17"/>
      <c r="E53" s="17"/>
      <c r="F53" s="31" t="s">
        <v>19</v>
      </c>
      <c r="G53" s="75">
        <v>92277</v>
      </c>
      <c r="H53" s="76">
        <v>0</v>
      </c>
      <c r="I53" s="76">
        <v>0</v>
      </c>
      <c r="J53" s="76">
        <v>0</v>
      </c>
      <c r="K53" s="76">
        <v>0</v>
      </c>
      <c r="L53" s="76">
        <v>0</v>
      </c>
      <c r="M53" s="76">
        <v>0</v>
      </c>
      <c r="N53" s="76">
        <v>0</v>
      </c>
      <c r="O53" s="76">
        <v>0</v>
      </c>
      <c r="P53" s="76">
        <v>0</v>
      </c>
      <c r="Q53" s="76">
        <v>0</v>
      </c>
      <c r="R53" s="76">
        <v>0</v>
      </c>
    </row>
    <row r="54" spans="1:18" ht="15.75" hidden="1" x14ac:dyDescent="0.25">
      <c r="A54" s="17"/>
      <c r="B54" s="17"/>
      <c r="C54" s="17"/>
      <c r="D54" s="17"/>
      <c r="E54" s="17"/>
      <c r="F54" s="31" t="s">
        <v>19</v>
      </c>
      <c r="G54" s="75">
        <v>0</v>
      </c>
      <c r="H54" s="76">
        <v>0</v>
      </c>
      <c r="I54" s="76">
        <v>0</v>
      </c>
      <c r="J54" s="76">
        <v>0</v>
      </c>
      <c r="K54" s="76">
        <v>0</v>
      </c>
      <c r="L54" s="76">
        <v>0</v>
      </c>
      <c r="M54" s="76">
        <v>0</v>
      </c>
      <c r="N54" s="76">
        <v>0</v>
      </c>
      <c r="O54" s="76">
        <v>0</v>
      </c>
      <c r="P54" s="76">
        <v>0</v>
      </c>
      <c r="Q54" s="76">
        <v>0</v>
      </c>
      <c r="R54" s="76">
        <v>0</v>
      </c>
    </row>
    <row r="55" spans="1:18" ht="15.75" hidden="1" x14ac:dyDescent="0.25">
      <c r="A55" s="17"/>
      <c r="B55" s="17"/>
      <c r="C55" s="17"/>
      <c r="D55" s="17"/>
      <c r="E55" s="17"/>
      <c r="F55" s="31" t="s">
        <v>19</v>
      </c>
      <c r="G55" s="75">
        <v>10560</v>
      </c>
      <c r="H55" s="76">
        <v>10000</v>
      </c>
      <c r="I55" s="76">
        <v>15000</v>
      </c>
      <c r="J55" s="76">
        <v>10000</v>
      </c>
      <c r="K55" s="76">
        <v>7000</v>
      </c>
      <c r="L55" s="76">
        <v>7369</v>
      </c>
      <c r="M55" s="76">
        <v>7368</v>
      </c>
      <c r="N55" s="76">
        <v>11868</v>
      </c>
      <c r="O55" s="76">
        <v>15869</v>
      </c>
      <c r="P55" s="76">
        <v>17000</v>
      </c>
      <c r="Q55" s="76">
        <v>20000</v>
      </c>
      <c r="R55" s="76">
        <v>15000</v>
      </c>
    </row>
    <row r="56" spans="1:18" ht="15.75" hidden="1" x14ac:dyDescent="0.25">
      <c r="A56" s="17"/>
      <c r="B56" s="17"/>
      <c r="C56" s="17"/>
      <c r="D56" s="17"/>
      <c r="E56" s="17"/>
      <c r="F56" s="31" t="s">
        <v>19</v>
      </c>
      <c r="G56" s="75">
        <v>7540</v>
      </c>
      <c r="H56" s="76">
        <v>0</v>
      </c>
      <c r="I56" s="76">
        <v>0</v>
      </c>
      <c r="J56" s="76">
        <v>0</v>
      </c>
      <c r="K56" s="76">
        <v>0</v>
      </c>
      <c r="L56" s="76">
        <v>0</v>
      </c>
      <c r="M56" s="76">
        <v>0</v>
      </c>
      <c r="N56" s="76">
        <v>0</v>
      </c>
      <c r="O56" s="76">
        <v>0</v>
      </c>
      <c r="P56" s="76">
        <v>0</v>
      </c>
      <c r="Q56" s="76">
        <v>0</v>
      </c>
      <c r="R56" s="76">
        <v>0</v>
      </c>
    </row>
    <row r="57" spans="1:18" ht="15.75" hidden="1" x14ac:dyDescent="0.25">
      <c r="A57" s="17"/>
      <c r="B57" s="17"/>
      <c r="C57" s="17"/>
      <c r="D57" s="17"/>
      <c r="E57" s="17"/>
      <c r="F57" s="31" t="s">
        <v>19</v>
      </c>
      <c r="G57" s="75">
        <v>157149</v>
      </c>
      <c r="H57" s="76">
        <v>160000</v>
      </c>
      <c r="I57" s="76">
        <v>60000</v>
      </c>
      <c r="J57" s="76">
        <v>90000</v>
      </c>
      <c r="K57" s="76">
        <v>90000</v>
      </c>
      <c r="L57" s="76">
        <v>90000</v>
      </c>
      <c r="M57" s="76">
        <v>90000</v>
      </c>
      <c r="N57" s="76">
        <v>120000</v>
      </c>
      <c r="O57" s="76">
        <v>120000</v>
      </c>
      <c r="P57" s="76">
        <v>120000</v>
      </c>
      <c r="Q57" s="76">
        <v>120000</v>
      </c>
      <c r="R57" s="76">
        <v>100000</v>
      </c>
    </row>
    <row r="58" spans="1:18" ht="15.75" hidden="1" x14ac:dyDescent="0.25">
      <c r="A58" s="17"/>
      <c r="B58" s="17"/>
      <c r="C58" s="17"/>
      <c r="D58" s="17"/>
      <c r="E58" s="17"/>
      <c r="F58" s="31" t="s">
        <v>19</v>
      </c>
      <c r="G58" s="75">
        <v>79872</v>
      </c>
      <c r="H58" s="76">
        <v>65490</v>
      </c>
      <c r="I58" s="76">
        <v>36780</v>
      </c>
      <c r="J58" s="76">
        <v>40211</v>
      </c>
      <c r="K58" s="76">
        <v>89029</v>
      </c>
      <c r="L58" s="76">
        <v>96620</v>
      </c>
      <c r="M58" s="76">
        <v>30719</v>
      </c>
      <c r="N58" s="76">
        <v>85307</v>
      </c>
      <c r="O58" s="76">
        <v>39917</v>
      </c>
      <c r="P58" s="76">
        <v>100000</v>
      </c>
      <c r="Q58" s="76">
        <v>219102</v>
      </c>
      <c r="R58" s="76">
        <v>51421</v>
      </c>
    </row>
    <row r="59" spans="1:18" ht="15.75" hidden="1" x14ac:dyDescent="0.25">
      <c r="A59" s="17"/>
      <c r="B59" s="17"/>
      <c r="C59" s="17"/>
      <c r="D59" s="17"/>
      <c r="E59" s="17"/>
      <c r="F59" s="31" t="s">
        <v>19</v>
      </c>
      <c r="G59" s="75">
        <v>0</v>
      </c>
      <c r="H59" s="76">
        <v>0</v>
      </c>
      <c r="I59" s="76">
        <v>0</v>
      </c>
      <c r="J59" s="76">
        <v>0</v>
      </c>
      <c r="K59" s="76">
        <v>0</v>
      </c>
      <c r="L59" s="76">
        <v>0</v>
      </c>
      <c r="M59" s="76">
        <v>0</v>
      </c>
      <c r="N59" s="76">
        <v>0</v>
      </c>
      <c r="O59" s="76">
        <v>0</v>
      </c>
      <c r="P59" s="76">
        <v>0</v>
      </c>
      <c r="Q59" s="76">
        <v>0</v>
      </c>
      <c r="R59" s="76">
        <v>10000</v>
      </c>
    </row>
    <row r="60" spans="1:18" ht="15.75" hidden="1" x14ac:dyDescent="0.25">
      <c r="A60" s="17"/>
      <c r="B60" s="17"/>
      <c r="C60" s="17"/>
      <c r="D60" s="17"/>
      <c r="E60" s="17"/>
      <c r="F60" s="31" t="s">
        <v>19</v>
      </c>
      <c r="G60" s="75">
        <v>0</v>
      </c>
      <c r="H60" s="76">
        <v>0</v>
      </c>
      <c r="I60" s="76">
        <v>0</v>
      </c>
      <c r="J60" s="76">
        <v>0</v>
      </c>
      <c r="K60" s="76">
        <v>0</v>
      </c>
      <c r="L60" s="76">
        <v>0</v>
      </c>
      <c r="M60" s="76">
        <v>0</v>
      </c>
      <c r="N60" s="76">
        <v>0</v>
      </c>
      <c r="O60" s="76">
        <v>0</v>
      </c>
      <c r="P60" s="76">
        <v>0</v>
      </c>
      <c r="Q60" s="76">
        <v>0</v>
      </c>
      <c r="R60" s="76">
        <v>0</v>
      </c>
    </row>
    <row r="61" spans="1:18" ht="15.75" hidden="1" x14ac:dyDescent="0.25">
      <c r="A61" s="17"/>
      <c r="B61" s="17"/>
      <c r="C61" s="17"/>
      <c r="D61" s="17"/>
      <c r="E61" s="17"/>
      <c r="F61" s="31" t="s">
        <v>19</v>
      </c>
      <c r="G61" s="75">
        <v>0</v>
      </c>
      <c r="H61" s="76">
        <v>0</v>
      </c>
      <c r="I61" s="76">
        <v>0</v>
      </c>
      <c r="J61" s="76">
        <v>0</v>
      </c>
      <c r="K61" s="76">
        <v>0</v>
      </c>
      <c r="L61" s="76">
        <v>0</v>
      </c>
      <c r="M61" s="76">
        <v>0</v>
      </c>
      <c r="N61" s="76">
        <v>0</v>
      </c>
      <c r="O61" s="76">
        <v>0</v>
      </c>
      <c r="P61" s="76">
        <v>0</v>
      </c>
      <c r="Q61" s="76">
        <v>0</v>
      </c>
      <c r="R61" s="76">
        <v>0</v>
      </c>
    </row>
    <row r="62" spans="1:18" ht="15.75" hidden="1" x14ac:dyDescent="0.25">
      <c r="A62" s="17"/>
      <c r="B62" s="17"/>
      <c r="C62" s="17"/>
      <c r="D62" s="17"/>
      <c r="E62" s="17"/>
      <c r="F62" s="31" t="s">
        <v>19</v>
      </c>
      <c r="G62" s="75">
        <v>85968</v>
      </c>
      <c r="H62" s="76">
        <v>350000</v>
      </c>
      <c r="I62" s="76">
        <v>50000</v>
      </c>
      <c r="J62" s="76">
        <v>100000</v>
      </c>
      <c r="K62" s="76">
        <v>129600</v>
      </c>
      <c r="L62" s="76">
        <v>129600</v>
      </c>
      <c r="M62" s="76">
        <v>100000</v>
      </c>
      <c r="N62" s="76">
        <v>100000</v>
      </c>
      <c r="O62" s="76">
        <v>150000</v>
      </c>
      <c r="P62" s="76">
        <v>150000</v>
      </c>
      <c r="Q62" s="76">
        <v>150000</v>
      </c>
      <c r="R62" s="76">
        <v>80000</v>
      </c>
    </row>
    <row r="63" spans="1:18" ht="15.75" hidden="1" x14ac:dyDescent="0.25">
      <c r="A63" s="17"/>
      <c r="B63" s="17"/>
      <c r="C63" s="17"/>
      <c r="D63" s="17"/>
      <c r="E63" s="17"/>
      <c r="F63" s="31" t="s">
        <v>19</v>
      </c>
      <c r="G63" s="75">
        <v>59483</v>
      </c>
      <c r="H63" s="76">
        <v>130000</v>
      </c>
      <c r="I63" s="76">
        <v>30000</v>
      </c>
      <c r="J63" s="76">
        <v>50000</v>
      </c>
      <c r="K63" s="76">
        <v>50000</v>
      </c>
      <c r="L63" s="76">
        <v>55000</v>
      </c>
      <c r="M63" s="76">
        <v>55000</v>
      </c>
      <c r="N63" s="76">
        <v>60000</v>
      </c>
      <c r="O63" s="76">
        <v>60000</v>
      </c>
      <c r="P63" s="76">
        <v>60000</v>
      </c>
      <c r="Q63" s="76">
        <v>60000</v>
      </c>
      <c r="R63" s="76">
        <v>30000</v>
      </c>
    </row>
    <row r="64" spans="1:18" ht="15.75" hidden="1" x14ac:dyDescent="0.25">
      <c r="A64" s="17"/>
      <c r="B64" s="17"/>
      <c r="C64" s="17"/>
      <c r="D64" s="17"/>
      <c r="E64" s="17"/>
      <c r="F64" s="31" t="s">
        <v>19</v>
      </c>
      <c r="G64" s="75">
        <v>30570</v>
      </c>
      <c r="H64" s="76">
        <v>40000</v>
      </c>
      <c r="I64" s="76">
        <v>52500</v>
      </c>
      <c r="J64" s="76">
        <v>30000</v>
      </c>
      <c r="K64" s="76">
        <v>30000</v>
      </c>
      <c r="L64" s="76">
        <v>40000</v>
      </c>
      <c r="M64" s="76">
        <v>40000</v>
      </c>
      <c r="N64" s="76">
        <v>40000</v>
      </c>
      <c r="O64" s="76">
        <v>40000</v>
      </c>
      <c r="P64" s="76">
        <v>40000</v>
      </c>
      <c r="Q64" s="76">
        <v>40000</v>
      </c>
      <c r="R64" s="76">
        <v>40000</v>
      </c>
    </row>
    <row r="65" spans="1:18" ht="15.75" hidden="1" x14ac:dyDescent="0.25">
      <c r="A65" s="17"/>
      <c r="B65" s="17"/>
      <c r="C65" s="17"/>
      <c r="D65" s="17"/>
      <c r="E65" s="17"/>
      <c r="F65" s="31" t="s">
        <v>19</v>
      </c>
      <c r="G65" s="75">
        <v>237085</v>
      </c>
      <c r="H65" s="76">
        <v>98000</v>
      </c>
      <c r="I65" s="76">
        <v>200000</v>
      </c>
      <c r="J65" s="76">
        <v>80000</v>
      </c>
      <c r="K65" s="76">
        <v>80000</v>
      </c>
      <c r="L65" s="76">
        <v>80000</v>
      </c>
      <c r="M65" s="76">
        <v>93000</v>
      </c>
      <c r="N65" s="76">
        <v>97500</v>
      </c>
      <c r="O65" s="76">
        <v>200000</v>
      </c>
      <c r="P65" s="76">
        <v>200000</v>
      </c>
      <c r="Q65" s="76">
        <v>170000</v>
      </c>
      <c r="R65" s="76">
        <v>130000</v>
      </c>
    </row>
    <row r="66" spans="1:18" ht="15.75" hidden="1" x14ac:dyDescent="0.25">
      <c r="A66" s="17"/>
      <c r="B66" s="17"/>
      <c r="C66" s="17"/>
      <c r="D66" s="17"/>
      <c r="E66" s="17"/>
      <c r="F66" s="31" t="s">
        <v>19</v>
      </c>
      <c r="G66" s="75">
        <v>853230</v>
      </c>
      <c r="H66" s="76">
        <v>1800000</v>
      </c>
      <c r="I66" s="76">
        <v>200000</v>
      </c>
      <c r="J66" s="76">
        <v>400000</v>
      </c>
      <c r="K66" s="76">
        <v>600000</v>
      </c>
      <c r="L66" s="76">
        <v>550000</v>
      </c>
      <c r="M66" s="76">
        <v>550000</v>
      </c>
      <c r="N66" s="76">
        <v>850000</v>
      </c>
      <c r="O66" s="76">
        <v>800000</v>
      </c>
      <c r="P66" s="76">
        <v>800000</v>
      </c>
      <c r="Q66" s="76">
        <v>800000</v>
      </c>
      <c r="R66" s="76">
        <v>400000</v>
      </c>
    </row>
    <row r="67" spans="1:18" ht="15.75" hidden="1" x14ac:dyDescent="0.25">
      <c r="A67" s="17"/>
      <c r="B67" s="17"/>
      <c r="C67" s="17"/>
      <c r="D67" s="17"/>
      <c r="E67" s="17"/>
      <c r="F67" s="31" t="s">
        <v>19</v>
      </c>
      <c r="G67" s="75">
        <v>0</v>
      </c>
      <c r="H67" s="76">
        <v>0</v>
      </c>
      <c r="I67" s="76">
        <v>13000</v>
      </c>
      <c r="J67" s="76">
        <v>13000</v>
      </c>
      <c r="K67" s="76">
        <v>13000</v>
      </c>
      <c r="L67" s="76">
        <v>13000</v>
      </c>
      <c r="M67" s="76">
        <v>13000</v>
      </c>
      <c r="N67" s="76">
        <v>13000</v>
      </c>
      <c r="O67" s="76">
        <v>13000</v>
      </c>
      <c r="P67" s="76">
        <v>13000</v>
      </c>
      <c r="Q67" s="76">
        <v>13000</v>
      </c>
      <c r="R67" s="76">
        <v>13000</v>
      </c>
    </row>
    <row r="68" spans="1:18" ht="15.75" hidden="1" x14ac:dyDescent="0.25">
      <c r="A68" s="17"/>
      <c r="B68" s="17"/>
      <c r="C68" s="17"/>
      <c r="D68" s="17"/>
      <c r="E68" s="17"/>
      <c r="F68" s="31" t="s">
        <v>19</v>
      </c>
      <c r="G68" s="75">
        <v>0</v>
      </c>
      <c r="H68" s="76">
        <v>55000</v>
      </c>
      <c r="I68" s="76">
        <v>25000</v>
      </c>
      <c r="J68" s="76">
        <v>22000</v>
      </c>
      <c r="K68" s="76">
        <v>17000</v>
      </c>
      <c r="L68" s="76">
        <v>4000</v>
      </c>
      <c r="M68" s="76">
        <v>4000</v>
      </c>
      <c r="N68" s="76">
        <v>3000</v>
      </c>
      <c r="O68" s="76">
        <v>12000</v>
      </c>
      <c r="P68" s="76">
        <v>20000</v>
      </c>
      <c r="Q68" s="76">
        <v>25000</v>
      </c>
      <c r="R68" s="76">
        <v>25000</v>
      </c>
    </row>
    <row r="69" spans="1:18" ht="15.75" hidden="1" x14ac:dyDescent="0.25">
      <c r="A69" s="17"/>
      <c r="B69" s="17"/>
      <c r="C69" s="17"/>
      <c r="D69" s="17"/>
      <c r="E69" s="17"/>
      <c r="F69" s="31" t="s">
        <v>19</v>
      </c>
      <c r="G69" s="75">
        <v>21168</v>
      </c>
      <c r="H69" s="76">
        <v>20000</v>
      </c>
      <c r="I69" s="76">
        <v>23000</v>
      </c>
      <c r="J69" s="76">
        <v>18000</v>
      </c>
      <c r="K69" s="76">
        <v>21000</v>
      </c>
      <c r="L69" s="76">
        <v>11000</v>
      </c>
      <c r="M69" s="76">
        <v>11000</v>
      </c>
      <c r="N69" s="76">
        <v>11000</v>
      </c>
      <c r="O69" s="76">
        <v>18000</v>
      </c>
      <c r="P69" s="76">
        <v>33000</v>
      </c>
      <c r="Q69" s="76">
        <v>33000</v>
      </c>
      <c r="R69" s="76">
        <v>23000</v>
      </c>
    </row>
    <row r="70" spans="1:18" ht="15.75" hidden="1" x14ac:dyDescent="0.25">
      <c r="A70" s="17"/>
      <c r="B70" s="17"/>
      <c r="C70" s="17"/>
      <c r="D70" s="17"/>
      <c r="E70" s="17"/>
      <c r="F70" s="31" t="s">
        <v>19</v>
      </c>
      <c r="G70" s="75">
        <v>7985</v>
      </c>
      <c r="H70" s="76">
        <v>8000</v>
      </c>
      <c r="I70" s="76">
        <v>7000</v>
      </c>
      <c r="J70" s="76">
        <v>7000</v>
      </c>
      <c r="K70" s="76">
        <v>7000</v>
      </c>
      <c r="L70" s="76">
        <v>4000</v>
      </c>
      <c r="M70" s="76">
        <v>4000</v>
      </c>
      <c r="N70" s="76">
        <v>12000</v>
      </c>
      <c r="O70" s="76">
        <v>15000</v>
      </c>
      <c r="P70" s="76">
        <v>15000</v>
      </c>
      <c r="Q70" s="76">
        <v>15000</v>
      </c>
      <c r="R70" s="76">
        <v>15000</v>
      </c>
    </row>
    <row r="71" spans="1:18" ht="15.75" hidden="1" x14ac:dyDescent="0.25">
      <c r="A71" s="17"/>
      <c r="B71" s="17"/>
      <c r="C71" s="17"/>
      <c r="D71" s="17"/>
      <c r="E71" s="17"/>
      <c r="F71" s="31" t="s">
        <v>19</v>
      </c>
      <c r="G71" s="75">
        <v>95705</v>
      </c>
      <c r="H71" s="76">
        <v>180000</v>
      </c>
      <c r="I71" s="76">
        <v>150000</v>
      </c>
      <c r="J71" s="76">
        <v>80000</v>
      </c>
      <c r="K71" s="76">
        <v>60000</v>
      </c>
      <c r="L71" s="76">
        <v>60000</v>
      </c>
      <c r="M71" s="76">
        <v>60000</v>
      </c>
      <c r="N71" s="76">
        <v>80000</v>
      </c>
      <c r="O71" s="76">
        <v>130000</v>
      </c>
      <c r="P71" s="76">
        <v>140000</v>
      </c>
      <c r="Q71" s="76">
        <v>140000</v>
      </c>
      <c r="R71" s="76">
        <v>125000</v>
      </c>
    </row>
    <row r="72" spans="1:18" ht="15.75" hidden="1" x14ac:dyDescent="0.25">
      <c r="A72" s="17"/>
      <c r="B72" s="17"/>
      <c r="C72" s="17"/>
      <c r="D72" s="17"/>
      <c r="E72" s="17"/>
      <c r="F72" s="31" t="s">
        <v>19</v>
      </c>
      <c r="G72" s="75">
        <v>180246</v>
      </c>
      <c r="H72" s="76">
        <v>200000</v>
      </c>
      <c r="I72" s="76">
        <v>130000</v>
      </c>
      <c r="J72" s="76">
        <v>80000</v>
      </c>
      <c r="K72" s="76">
        <v>70000</v>
      </c>
      <c r="L72" s="76">
        <v>55000</v>
      </c>
      <c r="M72" s="76">
        <v>55000</v>
      </c>
      <c r="N72" s="76">
        <v>55000</v>
      </c>
      <c r="O72" s="76">
        <v>115000</v>
      </c>
      <c r="P72" s="76">
        <v>150000</v>
      </c>
      <c r="Q72" s="76">
        <v>150000</v>
      </c>
      <c r="R72" s="76">
        <v>120000</v>
      </c>
    </row>
    <row r="73" spans="1:18" ht="15.75" hidden="1" x14ac:dyDescent="0.25">
      <c r="A73" s="17"/>
      <c r="B73" s="17"/>
      <c r="C73" s="17"/>
      <c r="D73" s="17"/>
      <c r="E73" s="17"/>
      <c r="F73" s="31" t="s">
        <v>19</v>
      </c>
      <c r="G73" s="75">
        <v>0</v>
      </c>
      <c r="H73" s="76">
        <v>0</v>
      </c>
      <c r="I73" s="76">
        <v>4320</v>
      </c>
      <c r="J73" s="76">
        <v>4320</v>
      </c>
      <c r="K73" s="76">
        <v>4320</v>
      </c>
      <c r="L73" s="76">
        <v>0</v>
      </c>
      <c r="M73" s="76">
        <v>0</v>
      </c>
      <c r="N73" s="76">
        <v>4320</v>
      </c>
      <c r="O73" s="76">
        <v>0</v>
      </c>
      <c r="P73" s="76">
        <v>0</v>
      </c>
      <c r="Q73" s="76">
        <v>0</v>
      </c>
      <c r="R73" s="76">
        <v>4320</v>
      </c>
    </row>
    <row r="74" spans="1:18" ht="15.75" hidden="1" x14ac:dyDescent="0.25">
      <c r="A74" s="17"/>
      <c r="B74" s="17"/>
      <c r="C74" s="17"/>
      <c r="D74" s="17"/>
      <c r="E74" s="17"/>
      <c r="F74" s="31" t="s">
        <v>19</v>
      </c>
      <c r="G74" s="75">
        <v>0</v>
      </c>
      <c r="H74" s="76">
        <v>10400</v>
      </c>
      <c r="I74" s="76">
        <v>0</v>
      </c>
      <c r="J74" s="76">
        <v>0</v>
      </c>
      <c r="K74" s="76">
        <v>0</v>
      </c>
      <c r="L74" s="76">
        <v>5200</v>
      </c>
      <c r="M74" s="76">
        <v>0</v>
      </c>
      <c r="N74" s="76">
        <v>0</v>
      </c>
      <c r="O74" s="76">
        <v>10400</v>
      </c>
      <c r="P74" s="76">
        <v>0</v>
      </c>
      <c r="Q74" s="76">
        <v>10400</v>
      </c>
      <c r="R74" s="76">
        <v>0</v>
      </c>
    </row>
    <row r="75" spans="1:18" ht="15.75" hidden="1" x14ac:dyDescent="0.25">
      <c r="A75" s="17"/>
      <c r="B75" s="17"/>
      <c r="C75" s="17"/>
      <c r="D75" s="17"/>
      <c r="E75" s="17"/>
      <c r="F75" s="31" t="s">
        <v>19</v>
      </c>
      <c r="G75" s="75">
        <v>0</v>
      </c>
      <c r="H75" s="76">
        <v>10400</v>
      </c>
      <c r="I75" s="76">
        <v>5200</v>
      </c>
      <c r="J75" s="76">
        <v>5200</v>
      </c>
      <c r="K75" s="76">
        <v>0</v>
      </c>
      <c r="L75" s="76">
        <v>10400</v>
      </c>
      <c r="M75" s="76">
        <v>0</v>
      </c>
      <c r="N75" s="76">
        <v>0</v>
      </c>
      <c r="O75" s="76">
        <v>0</v>
      </c>
      <c r="P75" s="76">
        <v>10400</v>
      </c>
      <c r="Q75" s="76">
        <v>10400</v>
      </c>
      <c r="R75" s="76">
        <v>5200</v>
      </c>
    </row>
    <row r="76" spans="1:18" ht="15.75" hidden="1" x14ac:dyDescent="0.25">
      <c r="A76" s="17"/>
      <c r="B76" s="17"/>
      <c r="C76" s="17"/>
      <c r="D76" s="17"/>
      <c r="E76" s="17"/>
      <c r="F76" s="31" t="s">
        <v>19</v>
      </c>
      <c r="G76" s="75">
        <v>0</v>
      </c>
      <c r="H76" s="76">
        <v>0</v>
      </c>
      <c r="I76" s="76">
        <v>0</v>
      </c>
      <c r="J76" s="76">
        <v>0</v>
      </c>
      <c r="K76" s="76">
        <v>0</v>
      </c>
      <c r="L76" s="76">
        <v>0</v>
      </c>
      <c r="M76" s="76">
        <v>0</v>
      </c>
      <c r="N76" s="76">
        <v>0</v>
      </c>
      <c r="O76" s="76">
        <v>0</v>
      </c>
      <c r="P76" s="76">
        <v>0</v>
      </c>
      <c r="Q76" s="76">
        <v>0</v>
      </c>
      <c r="R76" s="76">
        <v>0</v>
      </c>
    </row>
    <row r="77" spans="1:18" ht="15.75" hidden="1" x14ac:dyDescent="0.25">
      <c r="A77" s="17"/>
      <c r="B77" s="17"/>
      <c r="C77" s="17"/>
      <c r="D77" s="17"/>
      <c r="E77" s="17"/>
      <c r="F77" s="33" t="s">
        <v>18</v>
      </c>
      <c r="G77" s="77">
        <v>41505566</v>
      </c>
      <c r="H77" s="77">
        <v>59999186</v>
      </c>
      <c r="I77" s="77">
        <v>44999946</v>
      </c>
      <c r="J77" s="77">
        <v>14999886</v>
      </c>
      <c r="K77" s="77">
        <v>14999276</v>
      </c>
      <c r="L77" s="77">
        <v>15000576</v>
      </c>
      <c r="M77" s="77">
        <v>20000826</v>
      </c>
      <c r="N77" s="77">
        <v>21000116</v>
      </c>
      <c r="O77" s="77">
        <v>30000307</v>
      </c>
      <c r="P77" s="77">
        <v>44999232</v>
      </c>
      <c r="Q77" s="77">
        <v>52499057</v>
      </c>
      <c r="R77" s="77">
        <v>45000882</v>
      </c>
    </row>
    <row r="78" spans="1:18" ht="15.75" hidden="1" x14ac:dyDescent="0.25">
      <c r="A78" s="17"/>
      <c r="B78" s="17"/>
      <c r="C78" s="17"/>
      <c r="D78" s="17"/>
      <c r="E78" s="17"/>
      <c r="F78" s="33" t="s">
        <v>18</v>
      </c>
      <c r="G78" s="77">
        <v>0</v>
      </c>
      <c r="H78" s="77"/>
      <c r="I78" s="77"/>
      <c r="J78" s="77"/>
      <c r="K78" s="77"/>
      <c r="L78" s="77"/>
      <c r="M78" s="77"/>
      <c r="N78" s="77"/>
      <c r="O78" s="77"/>
      <c r="P78" s="77"/>
      <c r="Q78" s="77"/>
      <c r="R78" s="77"/>
    </row>
    <row r="79" spans="1:18" ht="15.75" hidden="1" x14ac:dyDescent="0.25">
      <c r="A79" s="17"/>
      <c r="B79" s="17"/>
      <c r="C79" s="17"/>
      <c r="D79" s="17"/>
      <c r="E79" s="17"/>
      <c r="F79" s="33" t="s">
        <v>18</v>
      </c>
      <c r="G79" s="77">
        <v>0</v>
      </c>
      <c r="H79" s="77"/>
      <c r="I79" s="77"/>
      <c r="J79" s="77"/>
      <c r="K79" s="77"/>
      <c r="L79" s="77"/>
      <c r="M79" s="77"/>
      <c r="N79" s="77"/>
      <c r="O79" s="77"/>
      <c r="P79" s="77"/>
      <c r="Q79" s="77"/>
      <c r="R79" s="77"/>
    </row>
    <row r="80" spans="1:18" ht="15.75" hidden="1" x14ac:dyDescent="0.25">
      <c r="A80" s="17"/>
      <c r="B80" s="17"/>
      <c r="C80" s="17"/>
      <c r="D80" s="17"/>
      <c r="E80" s="17"/>
      <c r="F80" s="33" t="s">
        <v>18</v>
      </c>
      <c r="G80" s="77">
        <v>25000</v>
      </c>
      <c r="H80" s="77">
        <v>20000</v>
      </c>
      <c r="I80" s="77">
        <v>15000</v>
      </c>
      <c r="J80" s="77">
        <v>10000</v>
      </c>
      <c r="K80" s="77">
        <v>7000</v>
      </c>
      <c r="L80" s="77">
        <v>7369</v>
      </c>
      <c r="M80" s="77">
        <v>7368</v>
      </c>
      <c r="N80" s="77">
        <v>11868</v>
      </c>
      <c r="O80" s="77">
        <v>15869</v>
      </c>
      <c r="P80" s="77">
        <v>17000</v>
      </c>
      <c r="Q80" s="77">
        <v>20000</v>
      </c>
      <c r="R80" s="77">
        <v>15000</v>
      </c>
    </row>
    <row r="81" spans="1:18" ht="15.75" hidden="1" x14ac:dyDescent="0.25">
      <c r="A81" s="17"/>
      <c r="B81" s="17"/>
      <c r="C81" s="17"/>
      <c r="D81" s="17"/>
      <c r="E81" s="17"/>
      <c r="F81" s="33" t="s">
        <v>18</v>
      </c>
      <c r="G81" s="77">
        <v>7000</v>
      </c>
      <c r="H81" s="77">
        <v>7000</v>
      </c>
      <c r="I81" s="77">
        <v>7000</v>
      </c>
      <c r="J81" s="77">
        <v>7000</v>
      </c>
      <c r="K81" s="77">
        <v>0</v>
      </c>
      <c r="L81" s="77">
        <v>0</v>
      </c>
      <c r="M81" s="77">
        <v>0</v>
      </c>
      <c r="N81" s="77">
        <v>0</v>
      </c>
      <c r="O81" s="77">
        <v>0</v>
      </c>
      <c r="P81" s="77">
        <v>0</v>
      </c>
      <c r="Q81" s="77">
        <v>0</v>
      </c>
      <c r="R81" s="77">
        <v>0</v>
      </c>
    </row>
    <row r="82" spans="1:18" ht="15.75" hidden="1" x14ac:dyDescent="0.25">
      <c r="A82" s="17"/>
      <c r="B82" s="17"/>
      <c r="C82" s="17"/>
      <c r="D82" s="17"/>
      <c r="E82" s="17"/>
      <c r="F82" s="33" t="s">
        <v>18</v>
      </c>
      <c r="G82" s="77">
        <v>100000</v>
      </c>
      <c r="H82" s="77">
        <v>100000</v>
      </c>
      <c r="I82" s="77">
        <v>100000</v>
      </c>
      <c r="J82" s="77">
        <v>100000</v>
      </c>
      <c r="K82" s="77">
        <v>100000</v>
      </c>
      <c r="L82" s="77">
        <v>100000</v>
      </c>
      <c r="M82" s="77">
        <v>100000</v>
      </c>
      <c r="N82" s="77">
        <v>100000</v>
      </c>
      <c r="O82" s="77">
        <v>100000</v>
      </c>
      <c r="P82" s="77">
        <v>100000</v>
      </c>
      <c r="Q82" s="77">
        <v>100000</v>
      </c>
      <c r="R82" s="77">
        <v>100000</v>
      </c>
    </row>
    <row r="83" spans="1:18" ht="15.75" hidden="1" x14ac:dyDescent="0.25">
      <c r="A83" s="17"/>
      <c r="B83" s="17"/>
      <c r="C83" s="17"/>
      <c r="D83" s="17"/>
      <c r="E83" s="17"/>
      <c r="F83" s="33" t="s">
        <v>18</v>
      </c>
      <c r="G83" s="77">
        <v>87502</v>
      </c>
      <c r="H83" s="77">
        <v>112708</v>
      </c>
      <c r="I83" s="77">
        <v>83998</v>
      </c>
      <c r="J83" s="77">
        <v>87430</v>
      </c>
      <c r="K83" s="77">
        <v>136247</v>
      </c>
      <c r="L83" s="77">
        <v>143839</v>
      </c>
      <c r="M83" s="77">
        <v>77937</v>
      </c>
      <c r="N83" s="77">
        <v>132525</v>
      </c>
      <c r="O83" s="77">
        <v>87135</v>
      </c>
      <c r="P83" s="77">
        <v>47218</v>
      </c>
      <c r="Q83" s="77">
        <v>98321</v>
      </c>
      <c r="R83" s="77">
        <v>98640</v>
      </c>
    </row>
    <row r="84" spans="1:18" ht="15.75" hidden="1" x14ac:dyDescent="0.25">
      <c r="A84" s="17"/>
      <c r="B84" s="17"/>
      <c r="C84" s="17"/>
      <c r="D84" s="17"/>
      <c r="E84" s="17"/>
      <c r="F84" s="33" t="s">
        <v>18</v>
      </c>
      <c r="G84" s="77">
        <v>0</v>
      </c>
      <c r="H84" s="77"/>
      <c r="I84" s="77"/>
      <c r="J84" s="77"/>
      <c r="K84" s="77"/>
      <c r="L84" s="77"/>
      <c r="M84" s="77"/>
      <c r="N84" s="77"/>
      <c r="O84" s="77"/>
      <c r="P84" s="77"/>
      <c r="Q84" s="77"/>
      <c r="R84" s="77"/>
    </row>
    <row r="85" spans="1:18" ht="15.75" hidden="1" x14ac:dyDescent="0.25">
      <c r="A85" s="17"/>
      <c r="B85" s="17"/>
      <c r="C85" s="17"/>
      <c r="D85" s="17"/>
      <c r="E85" s="17"/>
      <c r="F85" s="33" t="s">
        <v>18</v>
      </c>
      <c r="G85" s="77" t="s">
        <v>3641</v>
      </c>
      <c r="H85" s="77" t="s">
        <v>3641</v>
      </c>
      <c r="I85" s="77" t="s">
        <v>3641</v>
      </c>
      <c r="J85" s="77" t="s">
        <v>3641</v>
      </c>
      <c r="K85" s="77" t="s">
        <v>3641</v>
      </c>
      <c r="L85" s="77" t="s">
        <v>3641</v>
      </c>
      <c r="M85" s="77" t="s">
        <v>3641</v>
      </c>
      <c r="N85" s="77" t="s">
        <v>3641</v>
      </c>
      <c r="O85" s="77" t="s">
        <v>3641</v>
      </c>
      <c r="P85" s="77" t="s">
        <v>3641</v>
      </c>
      <c r="Q85" s="77" t="s">
        <v>3641</v>
      </c>
      <c r="R85" s="77" t="s">
        <v>3641</v>
      </c>
    </row>
    <row r="86" spans="1:18" ht="15.75" hidden="1" x14ac:dyDescent="0.25">
      <c r="A86" s="17"/>
      <c r="B86" s="17"/>
      <c r="C86" s="17"/>
      <c r="D86" s="17"/>
      <c r="E86" s="17"/>
      <c r="F86" s="33" t="s">
        <v>18</v>
      </c>
      <c r="G86" s="77">
        <v>0</v>
      </c>
      <c r="H86" s="77"/>
      <c r="I86" s="77"/>
      <c r="J86" s="77"/>
      <c r="K86" s="77"/>
      <c r="L86" s="77"/>
      <c r="M86" s="77"/>
      <c r="N86" s="77"/>
      <c r="O86" s="77"/>
      <c r="P86" s="77"/>
      <c r="Q86" s="77"/>
      <c r="R86" s="77"/>
    </row>
    <row r="87" spans="1:18" ht="15.75" hidden="1" x14ac:dyDescent="0.25">
      <c r="A87" s="17"/>
      <c r="B87" s="17"/>
      <c r="C87" s="17"/>
      <c r="D87" s="17"/>
      <c r="E87" s="17"/>
      <c r="F87" s="33" t="s">
        <v>18</v>
      </c>
      <c r="G87" s="77">
        <v>180000</v>
      </c>
      <c r="H87" s="77">
        <v>180000</v>
      </c>
      <c r="I87" s="77">
        <v>180000</v>
      </c>
      <c r="J87" s="77">
        <v>150000</v>
      </c>
      <c r="K87" s="77">
        <v>120000</v>
      </c>
      <c r="L87" s="77">
        <v>120000</v>
      </c>
      <c r="M87" s="77">
        <v>120000</v>
      </c>
      <c r="N87" s="77">
        <v>120000</v>
      </c>
      <c r="O87" s="77">
        <v>180000</v>
      </c>
      <c r="P87" s="77">
        <v>180000</v>
      </c>
      <c r="Q87" s="77">
        <v>180000</v>
      </c>
      <c r="R87" s="77">
        <v>150000</v>
      </c>
    </row>
    <row r="88" spans="1:18" ht="15.75" hidden="1" x14ac:dyDescent="0.25">
      <c r="A88" s="17"/>
      <c r="B88" s="17"/>
      <c r="C88" s="17"/>
      <c r="D88" s="17"/>
      <c r="E88" s="17"/>
      <c r="F88" s="33" t="s">
        <v>18</v>
      </c>
      <c r="G88" s="77">
        <v>80000</v>
      </c>
      <c r="H88" s="77">
        <v>80000</v>
      </c>
      <c r="I88" s="77">
        <v>80000</v>
      </c>
      <c r="J88" s="77">
        <v>70000</v>
      </c>
      <c r="K88" s="77">
        <v>50000</v>
      </c>
      <c r="L88" s="77">
        <v>50000</v>
      </c>
      <c r="M88" s="77">
        <v>50000</v>
      </c>
      <c r="N88" s="77">
        <v>60000</v>
      </c>
      <c r="O88" s="77">
        <v>70000</v>
      </c>
      <c r="P88" s="77">
        <v>80000</v>
      </c>
      <c r="Q88" s="77">
        <v>80000</v>
      </c>
      <c r="R88" s="77">
        <v>70000</v>
      </c>
    </row>
    <row r="89" spans="1:18" ht="15.75" hidden="1" x14ac:dyDescent="0.25">
      <c r="A89" s="17"/>
      <c r="B89" s="17"/>
      <c r="C89" s="17"/>
      <c r="D89" s="17"/>
      <c r="E89" s="17"/>
      <c r="F89" s="33" t="s">
        <v>18</v>
      </c>
      <c r="G89" s="77">
        <v>65000297</v>
      </c>
      <c r="H89" s="77">
        <v>65000488</v>
      </c>
      <c r="I89" s="77">
        <v>40000045</v>
      </c>
      <c r="J89" s="77">
        <v>29999561</v>
      </c>
      <c r="K89" s="77">
        <v>30000141</v>
      </c>
      <c r="L89" s="77">
        <v>29999995</v>
      </c>
      <c r="M89" s="77">
        <v>30000891</v>
      </c>
      <c r="N89" s="77">
        <v>30000856</v>
      </c>
      <c r="O89" s="77">
        <v>50000034</v>
      </c>
      <c r="P89" s="77">
        <v>50000784</v>
      </c>
      <c r="Q89" s="77">
        <v>50000441</v>
      </c>
      <c r="R89" s="77" t="s">
        <v>3642</v>
      </c>
    </row>
    <row r="90" spans="1:18" ht="15.75" hidden="1" x14ac:dyDescent="0.25">
      <c r="A90" s="17"/>
      <c r="B90" s="17"/>
      <c r="C90" s="17"/>
      <c r="D90" s="17"/>
      <c r="E90" s="17"/>
      <c r="F90" s="33" t="s">
        <v>18</v>
      </c>
      <c r="G90" s="77">
        <v>150000</v>
      </c>
      <c r="H90" s="77">
        <v>150000</v>
      </c>
      <c r="I90" s="77">
        <v>112500</v>
      </c>
      <c r="J90" s="77">
        <v>97500</v>
      </c>
      <c r="K90" s="77">
        <v>97500</v>
      </c>
      <c r="L90" s="77">
        <v>97500</v>
      </c>
      <c r="M90" s="77">
        <v>93000</v>
      </c>
      <c r="N90" s="77">
        <v>97500</v>
      </c>
      <c r="O90" s="77">
        <v>127500</v>
      </c>
      <c r="P90" s="77">
        <v>127500</v>
      </c>
      <c r="Q90" s="77">
        <v>127500</v>
      </c>
      <c r="R90" s="77">
        <v>112500</v>
      </c>
    </row>
    <row r="91" spans="1:18" ht="15.75" hidden="1" x14ac:dyDescent="0.25">
      <c r="A91" s="17"/>
      <c r="B91" s="17"/>
      <c r="C91" s="17"/>
      <c r="D91" s="17"/>
      <c r="E91" s="17"/>
      <c r="F91" s="33" t="s">
        <v>18</v>
      </c>
      <c r="G91" s="77">
        <v>1000000</v>
      </c>
      <c r="H91" s="77">
        <v>1000000</v>
      </c>
      <c r="I91" s="77">
        <v>950000</v>
      </c>
      <c r="J91" s="77">
        <v>800000</v>
      </c>
      <c r="K91" s="77">
        <v>700000</v>
      </c>
      <c r="L91" s="77">
        <v>600000</v>
      </c>
      <c r="M91" s="77">
        <v>600000</v>
      </c>
      <c r="N91" s="77">
        <v>700000</v>
      </c>
      <c r="O91" s="77">
        <v>900000</v>
      </c>
      <c r="P91" s="77">
        <v>1100000</v>
      </c>
      <c r="Q91" s="77">
        <v>1100000</v>
      </c>
      <c r="R91" s="77">
        <v>800000</v>
      </c>
    </row>
    <row r="92" spans="1:18" ht="15.75" hidden="1" x14ac:dyDescent="0.25">
      <c r="A92" s="17"/>
      <c r="B92" s="17"/>
      <c r="C92" s="17"/>
      <c r="D92" s="17"/>
      <c r="E92" s="17"/>
      <c r="F92" s="33" t="s">
        <v>18</v>
      </c>
      <c r="G92" s="77">
        <v>13000192</v>
      </c>
      <c r="H92" s="77">
        <v>13000152</v>
      </c>
      <c r="I92" s="77">
        <v>12999596</v>
      </c>
      <c r="J92" s="77">
        <v>12999857</v>
      </c>
      <c r="K92" s="77">
        <v>12999753</v>
      </c>
      <c r="L92" s="77">
        <v>13000168</v>
      </c>
      <c r="M92" s="77">
        <v>12999563</v>
      </c>
      <c r="N92" s="77">
        <v>13000316</v>
      </c>
      <c r="O92" s="77" t="s">
        <v>3643</v>
      </c>
      <c r="P92" s="77">
        <v>13000442</v>
      </c>
      <c r="Q92" s="77">
        <v>13000137</v>
      </c>
      <c r="R92" s="77">
        <v>13000438</v>
      </c>
    </row>
    <row r="93" spans="1:18" ht="15.75" hidden="1" x14ac:dyDescent="0.25">
      <c r="A93" s="17"/>
      <c r="B93" s="17"/>
      <c r="C93" s="17"/>
      <c r="D93" s="17"/>
      <c r="E93" s="17"/>
      <c r="F93" s="33" t="s">
        <v>18</v>
      </c>
      <c r="G93" s="77">
        <v>30000</v>
      </c>
      <c r="H93" s="77">
        <v>25000</v>
      </c>
      <c r="I93" s="77">
        <v>25000</v>
      </c>
      <c r="J93" s="77">
        <v>22000</v>
      </c>
      <c r="K93" s="77">
        <v>17000</v>
      </c>
      <c r="L93" s="77">
        <v>4000</v>
      </c>
      <c r="M93" s="77">
        <v>4000</v>
      </c>
      <c r="N93" s="77">
        <v>3000</v>
      </c>
      <c r="O93" s="77">
        <v>12000</v>
      </c>
      <c r="P93" s="77">
        <v>20000</v>
      </c>
      <c r="Q93" s="77">
        <v>25000</v>
      </c>
      <c r="R93" s="77">
        <v>25000</v>
      </c>
    </row>
    <row r="94" spans="1:18" ht="15.75" hidden="1" x14ac:dyDescent="0.25">
      <c r="A94" s="17"/>
      <c r="B94" s="17"/>
      <c r="C94" s="17"/>
      <c r="D94" s="17"/>
      <c r="E94" s="17"/>
      <c r="F94" s="33" t="s">
        <v>18</v>
      </c>
      <c r="G94" s="77">
        <v>30000</v>
      </c>
      <c r="H94" s="77">
        <v>30000</v>
      </c>
      <c r="I94" s="77">
        <v>30000</v>
      </c>
      <c r="J94" s="77">
        <v>25000</v>
      </c>
      <c r="K94" s="77">
        <v>18000</v>
      </c>
      <c r="L94" s="77">
        <v>8000</v>
      </c>
      <c r="M94" s="77">
        <v>8000</v>
      </c>
      <c r="N94" s="77">
        <v>8000</v>
      </c>
      <c r="O94" s="77">
        <v>15000</v>
      </c>
      <c r="P94" s="77">
        <v>25000</v>
      </c>
      <c r="Q94" s="77">
        <v>25000</v>
      </c>
      <c r="R94" s="77">
        <v>20000</v>
      </c>
    </row>
    <row r="95" spans="1:18" ht="15.75" hidden="1" x14ac:dyDescent="0.25">
      <c r="A95" s="17"/>
      <c r="B95" s="17"/>
      <c r="C95" s="17"/>
      <c r="D95" s="17"/>
      <c r="E95" s="17"/>
      <c r="F95" s="33" t="s">
        <v>18</v>
      </c>
      <c r="G95" s="77">
        <v>15000477</v>
      </c>
      <c r="H95" s="77">
        <v>10000477</v>
      </c>
      <c r="I95" s="77">
        <v>10000477</v>
      </c>
      <c r="J95" s="77">
        <v>7000477</v>
      </c>
      <c r="K95" s="77">
        <v>7000477</v>
      </c>
      <c r="L95" s="77">
        <v>7000477</v>
      </c>
      <c r="M95" s="77">
        <v>7000477</v>
      </c>
      <c r="N95" s="77">
        <v>7000477</v>
      </c>
      <c r="O95" s="77">
        <v>12000477</v>
      </c>
      <c r="P95" s="77">
        <v>12000477</v>
      </c>
      <c r="Q95" s="77">
        <v>12000477</v>
      </c>
      <c r="R95" s="77">
        <v>7000477</v>
      </c>
    </row>
    <row r="96" spans="1:18" ht="15.75" hidden="1" x14ac:dyDescent="0.25">
      <c r="A96" s="17"/>
      <c r="B96" s="17"/>
      <c r="C96" s="17"/>
      <c r="D96" s="17"/>
      <c r="E96" s="17"/>
      <c r="F96" s="33" t="s">
        <v>18</v>
      </c>
      <c r="G96" s="77">
        <v>150000</v>
      </c>
      <c r="H96" s="77">
        <v>150000</v>
      </c>
      <c r="I96" s="77">
        <v>150000</v>
      </c>
      <c r="J96" s="77">
        <v>80000</v>
      </c>
      <c r="K96" s="77">
        <v>60000</v>
      </c>
      <c r="L96" s="77">
        <v>60000</v>
      </c>
      <c r="M96" s="77">
        <v>60000</v>
      </c>
      <c r="N96" s="77">
        <v>80000</v>
      </c>
      <c r="O96" s="77">
        <v>130000</v>
      </c>
      <c r="P96" s="77">
        <v>140000</v>
      </c>
      <c r="Q96" s="77">
        <v>140000</v>
      </c>
      <c r="R96" s="77">
        <v>100000</v>
      </c>
    </row>
    <row r="97" spans="1:18" ht="15.75" hidden="1" x14ac:dyDescent="0.25">
      <c r="A97" s="17"/>
      <c r="B97" s="17"/>
      <c r="C97" s="17"/>
      <c r="D97" s="17"/>
      <c r="E97" s="17"/>
      <c r="F97" s="33" t="s">
        <v>18</v>
      </c>
      <c r="G97" s="77">
        <v>170000</v>
      </c>
      <c r="H97" s="77">
        <v>170000</v>
      </c>
      <c r="I97" s="77">
        <v>130000</v>
      </c>
      <c r="J97" s="77">
        <v>100000</v>
      </c>
      <c r="K97" s="77">
        <v>70000</v>
      </c>
      <c r="L97" s="77">
        <v>50000</v>
      </c>
      <c r="M97" s="77">
        <v>50000</v>
      </c>
      <c r="N97" s="77">
        <v>80000</v>
      </c>
      <c r="O97" s="77">
        <v>110000</v>
      </c>
      <c r="P97" s="77">
        <v>150000</v>
      </c>
      <c r="Q97" s="77">
        <v>150000</v>
      </c>
      <c r="R97" s="77">
        <v>130000</v>
      </c>
    </row>
    <row r="98" spans="1:18" ht="15.75" hidden="1" x14ac:dyDescent="0.25">
      <c r="A98" s="17"/>
      <c r="B98" s="17"/>
      <c r="C98" s="17"/>
      <c r="D98" s="17"/>
      <c r="E98" s="17"/>
      <c r="F98" s="33" t="s">
        <v>18</v>
      </c>
      <c r="G98" s="77">
        <v>4320</v>
      </c>
      <c r="H98" s="77">
        <v>0</v>
      </c>
      <c r="I98" s="77">
        <v>0</v>
      </c>
      <c r="J98" s="77">
        <v>0</v>
      </c>
      <c r="K98" s="77">
        <v>4320</v>
      </c>
      <c r="L98" s="77">
        <v>0</v>
      </c>
      <c r="M98" s="77">
        <v>0</v>
      </c>
      <c r="N98" s="77">
        <v>4320</v>
      </c>
      <c r="O98" s="77">
        <v>0</v>
      </c>
      <c r="P98" s="77">
        <v>0</v>
      </c>
      <c r="Q98" s="77">
        <v>0</v>
      </c>
      <c r="R98" s="77">
        <v>4320</v>
      </c>
    </row>
    <row r="99" spans="1:18" ht="15.75" hidden="1" x14ac:dyDescent="0.25">
      <c r="A99" s="17"/>
      <c r="B99" s="17"/>
      <c r="C99" s="17"/>
      <c r="D99" s="17"/>
      <c r="E99" s="17"/>
      <c r="F99" s="33" t="s">
        <v>18</v>
      </c>
      <c r="G99" s="77">
        <v>0</v>
      </c>
      <c r="H99" s="77">
        <v>5200</v>
      </c>
      <c r="I99" s="77">
        <v>0</v>
      </c>
      <c r="J99" s="77">
        <v>5200</v>
      </c>
      <c r="K99" s="77">
        <v>0</v>
      </c>
      <c r="L99" s="77">
        <v>5200</v>
      </c>
      <c r="M99" s="77">
        <v>0</v>
      </c>
      <c r="N99" s="77">
        <v>0</v>
      </c>
      <c r="O99" s="77">
        <v>0</v>
      </c>
      <c r="P99" s="77">
        <v>0</v>
      </c>
      <c r="Q99" s="77">
        <v>0</v>
      </c>
      <c r="R99" s="77">
        <v>5200</v>
      </c>
    </row>
    <row r="100" spans="1:18" ht="15.75" hidden="1" x14ac:dyDescent="0.25">
      <c r="A100" s="17"/>
      <c r="B100" s="17"/>
      <c r="C100" s="17"/>
      <c r="D100" s="17"/>
      <c r="E100" s="17"/>
      <c r="F100" s="33" t="s">
        <v>18</v>
      </c>
      <c r="G100" s="77">
        <v>0</v>
      </c>
      <c r="H100" s="77">
        <v>5200</v>
      </c>
      <c r="I100" s="77">
        <v>0</v>
      </c>
      <c r="J100" s="77">
        <v>5200</v>
      </c>
      <c r="K100" s="77">
        <v>0</v>
      </c>
      <c r="L100" s="77">
        <v>5200</v>
      </c>
      <c r="M100" s="77">
        <v>0</v>
      </c>
      <c r="N100" s="77">
        <v>0</v>
      </c>
      <c r="O100" s="77">
        <v>0</v>
      </c>
      <c r="P100" s="77">
        <v>0</v>
      </c>
      <c r="Q100" s="77">
        <v>0</v>
      </c>
      <c r="R100" s="77">
        <v>5200</v>
      </c>
    </row>
    <row r="101" spans="1:18" ht="15.75" hidden="1" x14ac:dyDescent="0.25">
      <c r="A101" s="17"/>
      <c r="B101" s="17"/>
      <c r="C101" s="17"/>
      <c r="D101" s="17"/>
      <c r="E101" s="17"/>
      <c r="F101" s="33" t="s">
        <v>18</v>
      </c>
      <c r="G101" s="77">
        <v>0</v>
      </c>
      <c r="H101" s="77"/>
      <c r="I101" s="77"/>
      <c r="J101" s="77"/>
      <c r="K101" s="77"/>
      <c r="L101" s="77"/>
      <c r="M101" s="77"/>
      <c r="N101" s="77"/>
      <c r="O101" s="77"/>
      <c r="P101" s="77"/>
      <c r="Q101" s="77"/>
      <c r="R101" s="77"/>
    </row>
    <row r="102" spans="1:18" ht="15.75" hidden="1" x14ac:dyDescent="0.25">
      <c r="A102" s="17"/>
      <c r="B102" s="17"/>
      <c r="C102" s="17"/>
      <c r="D102" s="17"/>
      <c r="E102" s="17"/>
      <c r="F102" s="32" t="s">
        <v>2954</v>
      </c>
      <c r="G102" s="78">
        <v>263235788732394</v>
      </c>
      <c r="H102" s="78">
        <v>282653708333334</v>
      </c>
      <c r="I102" s="78">
        <v>178814587734742</v>
      </c>
      <c r="J102" s="78">
        <v>162423947036385</v>
      </c>
      <c r="K102" s="78">
        <v>180377391358568</v>
      </c>
      <c r="L102" s="78">
        <v>285081110585387</v>
      </c>
      <c r="M102" s="78">
        <v>201061044729314</v>
      </c>
      <c r="N102" s="78">
        <v>293618699007849</v>
      </c>
      <c r="O102" s="78">
        <v>331018678142422</v>
      </c>
      <c r="P102" s="78">
        <v>386770509845859</v>
      </c>
      <c r="Q102" s="78">
        <v>279922345298516</v>
      </c>
      <c r="R102" s="78">
        <v>469923182625784</v>
      </c>
    </row>
    <row r="103" spans="1:18" ht="15.75" hidden="1" x14ac:dyDescent="0.25">
      <c r="A103" s="17"/>
      <c r="B103" s="17"/>
      <c r="C103" s="17"/>
      <c r="D103" s="17"/>
      <c r="E103" s="17"/>
      <c r="F103" s="32" t="s">
        <v>2954</v>
      </c>
      <c r="G103" s="78"/>
      <c r="H103" s="78"/>
      <c r="I103" s="78"/>
      <c r="J103" s="78"/>
      <c r="K103" s="78"/>
      <c r="L103" s="78"/>
      <c r="M103" s="78"/>
      <c r="N103" s="78"/>
      <c r="O103" s="78"/>
      <c r="P103" s="78"/>
      <c r="Q103" s="78"/>
      <c r="R103" s="78"/>
    </row>
    <row r="104" spans="1:18" ht="15.75" hidden="1" x14ac:dyDescent="0.25">
      <c r="A104" s="17"/>
      <c r="B104" s="17"/>
      <c r="C104" s="17"/>
      <c r="D104" s="17"/>
      <c r="E104" s="17"/>
      <c r="F104" s="32" t="s">
        <v>2954</v>
      </c>
      <c r="G104" s="78"/>
      <c r="H104" s="78"/>
      <c r="I104" s="78"/>
      <c r="J104" s="78"/>
      <c r="K104" s="78"/>
      <c r="L104" s="78"/>
      <c r="M104" s="78"/>
      <c r="N104" s="78"/>
      <c r="O104" s="78"/>
      <c r="P104" s="78"/>
      <c r="Q104" s="78"/>
      <c r="R104" s="78"/>
    </row>
    <row r="105" spans="1:18" ht="15.75" hidden="1" x14ac:dyDescent="0.25">
      <c r="A105" s="17"/>
      <c r="B105" s="17"/>
      <c r="C105" s="17"/>
      <c r="D105" s="17"/>
      <c r="E105" s="17"/>
      <c r="F105" s="32" t="s">
        <v>2954</v>
      </c>
      <c r="G105" s="78">
        <v>25000</v>
      </c>
      <c r="H105" s="78">
        <v>20000</v>
      </c>
      <c r="I105" s="78">
        <v>15000</v>
      </c>
      <c r="J105" s="78">
        <v>10000</v>
      </c>
      <c r="K105" s="78">
        <v>7000</v>
      </c>
      <c r="L105" s="78">
        <v>7369</v>
      </c>
      <c r="M105" s="78">
        <v>7368</v>
      </c>
      <c r="N105" s="78">
        <v>11868</v>
      </c>
      <c r="O105" s="78">
        <v>15869</v>
      </c>
      <c r="P105" s="78">
        <v>17000</v>
      </c>
      <c r="Q105" s="78">
        <v>20000</v>
      </c>
      <c r="R105" s="78">
        <v>15000</v>
      </c>
    </row>
    <row r="106" spans="1:18" ht="15.75" hidden="1" x14ac:dyDescent="0.25">
      <c r="A106" s="17"/>
      <c r="B106" s="17"/>
      <c r="C106" s="17"/>
      <c r="D106" s="17"/>
      <c r="E106" s="17"/>
      <c r="F106" s="32" t="s">
        <v>2954</v>
      </c>
      <c r="G106" s="78">
        <v>7000</v>
      </c>
      <c r="H106" s="78">
        <v>0</v>
      </c>
      <c r="I106" s="78">
        <v>0</v>
      </c>
      <c r="J106" s="78">
        <v>0</v>
      </c>
      <c r="K106" s="78">
        <v>0</v>
      </c>
      <c r="L106" s="78">
        <v>0</v>
      </c>
      <c r="M106" s="78">
        <v>0</v>
      </c>
      <c r="N106" s="78">
        <v>0</v>
      </c>
      <c r="O106" s="78">
        <v>0</v>
      </c>
      <c r="P106" s="78">
        <v>0</v>
      </c>
      <c r="Q106" s="78">
        <v>0</v>
      </c>
      <c r="R106" s="78">
        <v>0</v>
      </c>
    </row>
    <row r="107" spans="1:18" ht="15.75" hidden="1" x14ac:dyDescent="0.25">
      <c r="A107" s="17"/>
      <c r="B107" s="17"/>
      <c r="C107" s="17"/>
      <c r="D107" s="17"/>
      <c r="E107" s="17"/>
      <c r="F107" s="32" t="s">
        <v>2954</v>
      </c>
      <c r="G107" s="78">
        <v>1699583625</v>
      </c>
      <c r="H107" s="78">
        <v>1565172225</v>
      </c>
      <c r="I107" s="78">
        <v>1595621025</v>
      </c>
      <c r="J107" s="78">
        <v>1310650425</v>
      </c>
      <c r="K107" s="78">
        <v>1387902825</v>
      </c>
      <c r="L107" s="78">
        <v>1547908425</v>
      </c>
      <c r="M107" s="78">
        <v>1362139425</v>
      </c>
      <c r="N107" s="78">
        <v>1453338225</v>
      </c>
      <c r="O107" s="78">
        <v>2050810425</v>
      </c>
      <c r="P107" s="78">
        <v>1751436225</v>
      </c>
      <c r="Q107" s="78">
        <v>1521153225</v>
      </c>
      <c r="R107" s="78">
        <v>546374024999999</v>
      </c>
    </row>
    <row r="108" spans="1:18" ht="15.75" hidden="1" x14ac:dyDescent="0.25">
      <c r="A108" s="17"/>
      <c r="B108" s="17"/>
      <c r="C108" s="17"/>
      <c r="D108" s="17"/>
      <c r="E108" s="17"/>
      <c r="F108" s="32" t="s">
        <v>2954</v>
      </c>
      <c r="G108" s="78"/>
      <c r="H108" s="78"/>
      <c r="I108" s="78"/>
      <c r="J108" s="78"/>
      <c r="K108" s="78"/>
      <c r="L108" s="78"/>
      <c r="M108" s="78"/>
      <c r="N108" s="78"/>
      <c r="O108" s="78"/>
      <c r="P108" s="78"/>
      <c r="Q108" s="78"/>
      <c r="R108" s="78"/>
    </row>
    <row r="109" spans="1:18" ht="15.75" hidden="1" x14ac:dyDescent="0.25">
      <c r="A109" s="17"/>
      <c r="B109" s="17"/>
      <c r="C109" s="17"/>
      <c r="D109" s="17"/>
      <c r="E109" s="17"/>
      <c r="F109" s="32" t="s">
        <v>2954</v>
      </c>
      <c r="G109" s="78"/>
      <c r="H109" s="78"/>
      <c r="I109" s="78"/>
      <c r="J109" s="78"/>
      <c r="K109" s="78"/>
      <c r="L109" s="78"/>
      <c r="M109" s="78"/>
      <c r="N109" s="78"/>
      <c r="O109" s="78"/>
      <c r="P109" s="78"/>
      <c r="Q109" s="78"/>
      <c r="R109" s="78"/>
    </row>
    <row r="110" spans="1:18" ht="15.75" hidden="1" x14ac:dyDescent="0.25">
      <c r="A110" s="17"/>
      <c r="B110" s="17"/>
      <c r="C110" s="17"/>
      <c r="D110" s="17"/>
      <c r="E110" s="17"/>
      <c r="F110" s="32" t="s">
        <v>2954</v>
      </c>
      <c r="G110" s="78"/>
      <c r="H110" s="78"/>
      <c r="I110" s="78"/>
      <c r="J110" s="78"/>
      <c r="K110" s="78"/>
      <c r="L110" s="78"/>
      <c r="M110" s="78"/>
      <c r="N110" s="78"/>
      <c r="O110" s="78"/>
      <c r="P110" s="78"/>
      <c r="Q110" s="78"/>
      <c r="R110" s="78"/>
    </row>
    <row r="111" spans="1:18" ht="15.75" hidden="1" x14ac:dyDescent="0.25">
      <c r="A111" s="17"/>
      <c r="B111" s="17"/>
      <c r="C111" s="17"/>
      <c r="D111" s="17"/>
      <c r="E111" s="17"/>
      <c r="F111" s="32" t="s">
        <v>2954</v>
      </c>
      <c r="G111" s="78"/>
      <c r="H111" s="78"/>
      <c r="I111" s="78"/>
      <c r="J111" s="78"/>
      <c r="K111" s="78"/>
      <c r="L111" s="78"/>
      <c r="M111" s="78"/>
      <c r="N111" s="78"/>
      <c r="O111" s="78"/>
      <c r="P111" s="78"/>
      <c r="Q111" s="78"/>
      <c r="R111" s="78"/>
    </row>
    <row r="112" spans="1:18" ht="15.75" hidden="1" x14ac:dyDescent="0.25">
      <c r="A112" s="17"/>
      <c r="B112" s="17"/>
      <c r="C112" s="17"/>
      <c r="D112" s="17"/>
      <c r="E112" s="17"/>
      <c r="F112" s="32" t="s">
        <v>2954</v>
      </c>
      <c r="G112" s="78">
        <v>270000</v>
      </c>
      <c r="H112" s="78">
        <v>216000</v>
      </c>
      <c r="I112" s="78">
        <v>194400</v>
      </c>
      <c r="J112" s="78">
        <v>162000</v>
      </c>
      <c r="K112" s="78">
        <v>129600</v>
      </c>
      <c r="L112" s="78">
        <v>129600</v>
      </c>
      <c r="M112" s="78">
        <v>129600</v>
      </c>
      <c r="N112" s="78">
        <v>129600</v>
      </c>
      <c r="O112" s="78">
        <v>194400</v>
      </c>
      <c r="P112" s="78">
        <v>194400</v>
      </c>
      <c r="Q112" s="78">
        <v>194400</v>
      </c>
      <c r="R112" s="78">
        <v>162000</v>
      </c>
    </row>
    <row r="113" spans="1:18" ht="15.75" hidden="1" x14ac:dyDescent="0.25">
      <c r="A113" s="17"/>
      <c r="B113" s="17"/>
      <c r="C113" s="17"/>
      <c r="D113" s="17"/>
      <c r="E113" s="17"/>
      <c r="F113" s="32" t="s">
        <v>2954</v>
      </c>
      <c r="G113" s="78">
        <v>567888629814259</v>
      </c>
      <c r="H113" s="78">
        <v>567888629814259</v>
      </c>
      <c r="I113" s="78">
        <v>567888629814259</v>
      </c>
      <c r="J113" s="78">
        <v>567888629814259</v>
      </c>
      <c r="K113" s="78">
        <v>567888629814259</v>
      </c>
      <c r="L113" s="78">
        <v>567888629814259</v>
      </c>
      <c r="M113" s="78">
        <v>567888629814259</v>
      </c>
      <c r="N113" s="78">
        <v>567888629814259</v>
      </c>
      <c r="O113" s="78">
        <v>567888629814259</v>
      </c>
      <c r="P113" s="78">
        <v>567888629814259</v>
      </c>
      <c r="Q113" s="78">
        <v>567888629814259</v>
      </c>
      <c r="R113" s="78">
        <v>567888629814259</v>
      </c>
    </row>
    <row r="114" spans="1:18" ht="15.75" hidden="1" x14ac:dyDescent="0.25">
      <c r="A114" s="17"/>
      <c r="B114" s="17"/>
      <c r="C114" s="17"/>
      <c r="D114" s="17"/>
      <c r="E114" s="17"/>
      <c r="F114" s="32" t="s">
        <v>2954</v>
      </c>
      <c r="G114" s="78">
        <v>598182693643981</v>
      </c>
      <c r="H114" s="78">
        <v>490679532308059</v>
      </c>
      <c r="I114" s="78">
        <v>196183891361809</v>
      </c>
      <c r="J114" s="78">
        <v>485457377702159</v>
      </c>
      <c r="K114" s="78">
        <v>342908261723006</v>
      </c>
      <c r="L114" s="78">
        <v>399190773882117</v>
      </c>
      <c r="M114" s="78">
        <v>610601994846548</v>
      </c>
      <c r="N114" s="78">
        <v>46162000525458</v>
      </c>
      <c r="O114" s="78">
        <v>480665252245084</v>
      </c>
      <c r="P114" s="78">
        <v>423956904125926</v>
      </c>
      <c r="Q114" s="78">
        <v>443268396248489</v>
      </c>
      <c r="R114" s="78">
        <v>432609724594677</v>
      </c>
    </row>
    <row r="115" spans="1:18" ht="15.75" hidden="1" x14ac:dyDescent="0.25">
      <c r="A115" s="17"/>
      <c r="B115" s="17"/>
      <c r="C115" s="17"/>
      <c r="D115" s="17"/>
      <c r="E115" s="17"/>
      <c r="F115" s="32" t="s">
        <v>2954</v>
      </c>
      <c r="G115" s="78">
        <v>280000</v>
      </c>
      <c r="H115" s="78">
        <v>280000</v>
      </c>
      <c r="I115" s="78">
        <v>200000</v>
      </c>
      <c r="J115" s="78">
        <v>97500</v>
      </c>
      <c r="K115" s="78">
        <v>97500</v>
      </c>
      <c r="L115" s="78">
        <v>97500</v>
      </c>
      <c r="M115" s="78">
        <v>93000</v>
      </c>
      <c r="N115" s="78">
        <v>97500</v>
      </c>
      <c r="O115" s="78">
        <v>200000</v>
      </c>
      <c r="P115" s="78">
        <v>250000</v>
      </c>
      <c r="Q115" s="78">
        <v>200000</v>
      </c>
      <c r="R115" s="78">
        <v>180000</v>
      </c>
    </row>
    <row r="116" spans="1:18" ht="15.75" hidden="1" x14ac:dyDescent="0.25">
      <c r="A116" s="17"/>
      <c r="B116" s="17"/>
      <c r="C116" s="17"/>
      <c r="D116" s="17"/>
      <c r="E116" s="17"/>
      <c r="F116" s="32" t="s">
        <v>2954</v>
      </c>
      <c r="G116" s="78">
        <v>153933963333333</v>
      </c>
      <c r="H116" s="78">
        <v>131136844361111</v>
      </c>
      <c r="I116" s="78">
        <v>790433181083334</v>
      </c>
      <c r="J116" s="78">
        <v>227783022591668</v>
      </c>
      <c r="K116" s="78">
        <v>309129576925278</v>
      </c>
      <c r="L116" s="78">
        <v>660323720236584</v>
      </c>
      <c r="M116" s="78">
        <v>825862715832276</v>
      </c>
      <c r="N116" s="78">
        <v>812029830804815</v>
      </c>
      <c r="O116" s="78">
        <v>842247157118927</v>
      </c>
      <c r="P116" s="78">
        <v>871284449149915</v>
      </c>
      <c r="Q116" s="78">
        <v>905819507182719</v>
      </c>
      <c r="R116" s="78">
        <v>511363818083459</v>
      </c>
    </row>
    <row r="117" spans="1:18" ht="15.75" hidden="1" x14ac:dyDescent="0.25">
      <c r="A117" s="17"/>
      <c r="B117" s="17"/>
      <c r="C117" s="17"/>
      <c r="D117" s="17"/>
      <c r="E117" s="17"/>
      <c r="F117" s="32" t="s">
        <v>2954</v>
      </c>
      <c r="G117" s="78">
        <v>26000</v>
      </c>
      <c r="H117" s="78">
        <v>13000</v>
      </c>
      <c r="I117" s="78">
        <v>13000</v>
      </c>
      <c r="J117" s="78">
        <v>13000</v>
      </c>
      <c r="K117" s="78">
        <v>13000</v>
      </c>
      <c r="L117" s="78">
        <v>13000</v>
      </c>
      <c r="M117" s="78">
        <v>13000</v>
      </c>
      <c r="N117" s="78">
        <v>13000</v>
      </c>
      <c r="O117" s="78">
        <v>13000</v>
      </c>
      <c r="P117" s="78">
        <v>13000</v>
      </c>
      <c r="Q117" s="78">
        <v>13000</v>
      </c>
      <c r="R117" s="78">
        <v>13000</v>
      </c>
    </row>
    <row r="118" spans="1:18" ht="15.75" hidden="1" x14ac:dyDescent="0.25">
      <c r="A118" s="17"/>
      <c r="B118" s="17"/>
      <c r="C118" s="17"/>
      <c r="D118" s="17"/>
      <c r="E118" s="17"/>
      <c r="F118" s="32" t="s">
        <v>2954</v>
      </c>
      <c r="G118" s="78">
        <v>30000</v>
      </c>
      <c r="H118" s="78">
        <v>25000</v>
      </c>
      <c r="I118" s="78">
        <v>25000</v>
      </c>
      <c r="J118" s="78">
        <v>22000</v>
      </c>
      <c r="K118" s="78">
        <v>17000</v>
      </c>
      <c r="L118" s="78">
        <v>4000</v>
      </c>
      <c r="M118" s="78">
        <v>4000</v>
      </c>
      <c r="N118" s="78">
        <v>3000</v>
      </c>
      <c r="O118" s="78">
        <v>12000</v>
      </c>
      <c r="P118" s="78">
        <v>20000</v>
      </c>
      <c r="Q118" s="78">
        <v>25000</v>
      </c>
      <c r="R118" s="78">
        <v>25000</v>
      </c>
    </row>
    <row r="119" spans="1:18" ht="15.75" hidden="1" x14ac:dyDescent="0.25">
      <c r="A119" s="17"/>
      <c r="B119" s="17"/>
      <c r="C119" s="17"/>
      <c r="D119" s="17"/>
      <c r="E119" s="17"/>
      <c r="F119" s="32" t="s">
        <v>2954</v>
      </c>
      <c r="G119" s="78">
        <v>167747604395604</v>
      </c>
      <c r="H119" s="78">
        <v>297699032967033</v>
      </c>
      <c r="I119" s="78">
        <v>959550329670329</v>
      </c>
      <c r="J119" s="78">
        <v>735784615384616</v>
      </c>
      <c r="K119" s="78">
        <v>107264175824176</v>
      </c>
      <c r="L119" s="78">
        <v>718813186813187</v>
      </c>
      <c r="M119" s="78">
        <v>647893186813186</v>
      </c>
      <c r="N119" s="78">
        <v>14922989010989</v>
      </c>
      <c r="O119" s="78">
        <v>247561318681319</v>
      </c>
      <c r="P119" s="78">
        <v>282769318681319</v>
      </c>
      <c r="Q119" s="78">
        <v>289677626373626</v>
      </c>
      <c r="R119" s="78">
        <v>190518626373626</v>
      </c>
    </row>
    <row r="120" spans="1:18" ht="15.75" hidden="1" x14ac:dyDescent="0.25">
      <c r="A120" s="17"/>
      <c r="B120" s="17"/>
      <c r="C120" s="17"/>
      <c r="D120" s="17"/>
      <c r="E120" s="17"/>
      <c r="F120" s="32" t="s">
        <v>2954</v>
      </c>
      <c r="G120" s="78">
        <v>758839617391304</v>
      </c>
      <c r="H120" s="78">
        <v>428311788612836</v>
      </c>
      <c r="I120" s="78">
        <v>277483180538302</v>
      </c>
      <c r="J120" s="78">
        <v>279840050393374</v>
      </c>
      <c r="K120" s="78">
        <v>769309182840579</v>
      </c>
      <c r="L120" s="78">
        <v>430085904243478</v>
      </c>
      <c r="M120" s="78">
        <v>319724245133913</v>
      </c>
      <c r="N120" s="78">
        <v>186015595900091</v>
      </c>
      <c r="O120" s="78">
        <v>286720847734565</v>
      </c>
      <c r="P120" s="78">
        <v>262318989864671</v>
      </c>
      <c r="Q120" s="78">
        <v>698177153361716</v>
      </c>
      <c r="R120" s="78">
        <v>328986513393306</v>
      </c>
    </row>
    <row r="121" spans="1:18" ht="15.75" hidden="1" x14ac:dyDescent="0.25">
      <c r="A121" s="17"/>
      <c r="B121" s="17"/>
      <c r="C121" s="17"/>
      <c r="D121" s="17"/>
      <c r="E121" s="17"/>
      <c r="F121" s="32" t="s">
        <v>2954</v>
      </c>
      <c r="G121" s="78" t="s">
        <v>3605</v>
      </c>
      <c r="H121" s="78" t="s">
        <v>3606</v>
      </c>
      <c r="I121" s="78" t="s">
        <v>3607</v>
      </c>
      <c r="J121" s="78">
        <v>50666</v>
      </c>
      <c r="K121" s="78" t="s">
        <v>3608</v>
      </c>
      <c r="L121" s="78">
        <v>37873</v>
      </c>
      <c r="M121" s="78" t="s">
        <v>3609</v>
      </c>
      <c r="N121" s="78" t="s">
        <v>3610</v>
      </c>
      <c r="O121" s="78" t="s">
        <v>3611</v>
      </c>
      <c r="P121" s="78">
        <v>152053</v>
      </c>
      <c r="Q121" s="78" t="s">
        <v>3612</v>
      </c>
      <c r="R121" s="78" t="s">
        <v>3613</v>
      </c>
    </row>
    <row r="122" spans="1:18" ht="15.75" hidden="1" x14ac:dyDescent="0.25">
      <c r="A122" s="17"/>
      <c r="B122" s="17"/>
      <c r="C122" s="17"/>
      <c r="D122" s="17"/>
      <c r="E122" s="17"/>
      <c r="F122" s="32" t="s">
        <v>2954</v>
      </c>
      <c r="G122" s="78">
        <v>170000</v>
      </c>
      <c r="H122" s="78">
        <v>170000</v>
      </c>
      <c r="I122" s="78">
        <v>130000</v>
      </c>
      <c r="J122" s="78">
        <v>100000</v>
      </c>
      <c r="K122" s="78">
        <v>70000</v>
      </c>
      <c r="L122" s="78">
        <v>50000</v>
      </c>
      <c r="M122" s="78">
        <v>50000</v>
      </c>
      <c r="N122" s="78">
        <v>80000</v>
      </c>
      <c r="O122" s="78">
        <v>110000</v>
      </c>
      <c r="P122" s="78">
        <v>150000</v>
      </c>
      <c r="Q122" s="78">
        <v>150000</v>
      </c>
      <c r="R122" s="78">
        <v>130000</v>
      </c>
    </row>
    <row r="123" spans="1:18" ht="15.75" hidden="1" x14ac:dyDescent="0.25">
      <c r="A123" s="17"/>
      <c r="B123" s="17"/>
      <c r="C123" s="17"/>
      <c r="D123" s="17"/>
      <c r="E123" s="17"/>
      <c r="F123" s="32" t="s">
        <v>2954</v>
      </c>
      <c r="G123" s="78"/>
      <c r="H123" s="78"/>
      <c r="I123" s="78"/>
      <c r="J123" s="78"/>
      <c r="K123" s="78"/>
      <c r="L123" s="78"/>
      <c r="M123" s="78"/>
      <c r="N123" s="78"/>
      <c r="O123" s="78"/>
      <c r="P123" s="78"/>
      <c r="Q123" s="78"/>
      <c r="R123" s="78"/>
    </row>
    <row r="124" spans="1:18" ht="15.75" hidden="1" x14ac:dyDescent="0.25">
      <c r="A124" s="17"/>
      <c r="B124" s="17"/>
      <c r="C124" s="17"/>
      <c r="D124" s="17"/>
      <c r="E124" s="17"/>
      <c r="F124" s="32" t="s">
        <v>2954</v>
      </c>
      <c r="G124" s="78"/>
      <c r="H124" s="78"/>
      <c r="I124" s="78"/>
      <c r="J124" s="78"/>
      <c r="K124" s="78"/>
      <c r="L124" s="78"/>
      <c r="M124" s="78"/>
      <c r="N124" s="78"/>
      <c r="O124" s="78"/>
      <c r="P124" s="78"/>
      <c r="Q124" s="78"/>
      <c r="R124" s="78"/>
    </row>
    <row r="125" spans="1:18" ht="15.75" hidden="1" x14ac:dyDescent="0.25">
      <c r="A125" s="17"/>
      <c r="B125" s="17"/>
      <c r="C125" s="17"/>
      <c r="D125" s="17"/>
      <c r="E125" s="17"/>
      <c r="F125" s="32" t="s">
        <v>2954</v>
      </c>
      <c r="G125" s="78"/>
      <c r="H125" s="78"/>
      <c r="I125" s="78"/>
      <c r="J125" s="78"/>
      <c r="K125" s="78"/>
      <c r="L125" s="78"/>
      <c r="M125" s="78"/>
      <c r="N125" s="78"/>
      <c r="O125" s="78"/>
      <c r="P125" s="78"/>
      <c r="Q125" s="78"/>
      <c r="R125" s="78"/>
    </row>
    <row r="126" spans="1:18" ht="15.75" hidden="1" x14ac:dyDescent="0.25">
      <c r="A126" s="17"/>
      <c r="B126" s="17"/>
      <c r="C126" s="17"/>
      <c r="D126" s="17"/>
      <c r="E126" s="17"/>
      <c r="F126" s="32" t="s">
        <v>2954</v>
      </c>
      <c r="G126" s="78"/>
      <c r="H126" s="78"/>
      <c r="I126" s="78"/>
      <c r="J126" s="78"/>
      <c r="K126" s="78"/>
      <c r="L126" s="78"/>
      <c r="M126" s="78"/>
      <c r="N126" s="78"/>
      <c r="O126" s="78"/>
      <c r="P126" s="78"/>
      <c r="Q126" s="78"/>
      <c r="R126" s="78"/>
    </row>
    <row r="127" spans="1:18" ht="15.75" hidden="1" x14ac:dyDescent="0.25">
      <c r="A127" s="17"/>
      <c r="B127" s="17"/>
      <c r="C127" s="17"/>
      <c r="D127" s="17"/>
      <c r="E127" s="17"/>
      <c r="F127" s="18" t="s">
        <v>31</v>
      </c>
      <c r="G127" s="79">
        <v>28798</v>
      </c>
      <c r="H127" s="79">
        <v>28798</v>
      </c>
      <c r="I127" s="79">
        <v>23998</v>
      </c>
      <c r="J127" s="79">
        <v>14143</v>
      </c>
      <c r="K127" s="79">
        <v>15911</v>
      </c>
      <c r="L127" s="79">
        <v>24151</v>
      </c>
      <c r="M127" s="79">
        <v>23151</v>
      </c>
      <c r="N127" s="79">
        <v>35961</v>
      </c>
      <c r="O127" s="79">
        <v>35699</v>
      </c>
      <c r="P127" s="79">
        <v>38397</v>
      </c>
      <c r="Q127" s="79">
        <v>48536</v>
      </c>
      <c r="R127" s="79">
        <v>21572</v>
      </c>
    </row>
    <row r="128" spans="1:18" ht="15.75" hidden="1" x14ac:dyDescent="0.25">
      <c r="A128" s="17"/>
      <c r="B128" s="17"/>
      <c r="C128" s="17"/>
      <c r="D128" s="17"/>
      <c r="E128" s="17"/>
      <c r="F128" s="18" t="s">
        <v>31</v>
      </c>
      <c r="G128" s="79">
        <v>0</v>
      </c>
      <c r="H128" s="79">
        <v>0</v>
      </c>
      <c r="I128" s="79">
        <v>0</v>
      </c>
      <c r="J128" s="79">
        <v>0</v>
      </c>
      <c r="K128" s="79">
        <v>0</v>
      </c>
      <c r="L128" s="79">
        <v>0</v>
      </c>
      <c r="M128" s="79">
        <v>0</v>
      </c>
      <c r="N128" s="79">
        <v>0</v>
      </c>
      <c r="O128" s="79">
        <v>0</v>
      </c>
      <c r="P128" s="79">
        <v>0</v>
      </c>
      <c r="Q128" s="79">
        <v>0</v>
      </c>
      <c r="R128" s="79">
        <v>0</v>
      </c>
    </row>
    <row r="129" spans="1:18" ht="15.75" hidden="1" x14ac:dyDescent="0.25">
      <c r="A129" s="17"/>
      <c r="B129" s="17"/>
      <c r="C129" s="17"/>
      <c r="D129" s="17"/>
      <c r="E129" s="17"/>
      <c r="F129" s="18" t="s">
        <v>31</v>
      </c>
      <c r="G129" s="79">
        <v>0</v>
      </c>
      <c r="H129" s="79">
        <v>0</v>
      </c>
      <c r="I129" s="79">
        <v>0</v>
      </c>
      <c r="J129" s="79">
        <v>0</v>
      </c>
      <c r="K129" s="79">
        <v>0</v>
      </c>
      <c r="L129" s="79">
        <v>0</v>
      </c>
      <c r="M129" s="79">
        <v>0</v>
      </c>
      <c r="N129" s="79">
        <v>0</v>
      </c>
      <c r="O129" s="79">
        <v>0</v>
      </c>
      <c r="P129" s="79">
        <v>0</v>
      </c>
      <c r="Q129" s="79">
        <v>0</v>
      </c>
      <c r="R129" s="79">
        <v>0</v>
      </c>
    </row>
    <row r="130" spans="1:18" ht="15.75" hidden="1" x14ac:dyDescent="0.25">
      <c r="A130" s="17"/>
      <c r="B130" s="17"/>
      <c r="C130" s="17"/>
      <c r="D130" s="17"/>
      <c r="E130" s="17"/>
      <c r="F130" s="18" t="s">
        <v>31</v>
      </c>
      <c r="G130" s="79">
        <v>0</v>
      </c>
      <c r="H130" s="79">
        <v>0</v>
      </c>
      <c r="I130" s="79">
        <v>0</v>
      </c>
      <c r="J130" s="79">
        <v>0</v>
      </c>
      <c r="K130" s="79">
        <v>0</v>
      </c>
      <c r="L130" s="79">
        <v>0</v>
      </c>
      <c r="M130" s="79">
        <v>0</v>
      </c>
      <c r="N130" s="79">
        <v>0</v>
      </c>
      <c r="O130" s="79">
        <v>0</v>
      </c>
      <c r="P130" s="79">
        <v>0</v>
      </c>
      <c r="Q130" s="79">
        <v>0</v>
      </c>
      <c r="R130" s="79">
        <v>0</v>
      </c>
    </row>
    <row r="131" spans="1:18" ht="15.75" hidden="1" x14ac:dyDescent="0.25">
      <c r="A131" s="17"/>
      <c r="B131" s="17"/>
      <c r="C131" s="17"/>
      <c r="D131" s="17"/>
      <c r="E131" s="17"/>
      <c r="F131" s="18" t="s">
        <v>31</v>
      </c>
      <c r="G131" s="79">
        <v>0</v>
      </c>
      <c r="H131" s="79">
        <v>0</v>
      </c>
      <c r="I131" s="79">
        <v>0</v>
      </c>
      <c r="J131" s="79">
        <v>0</v>
      </c>
      <c r="K131" s="79">
        <v>0</v>
      </c>
      <c r="L131" s="79">
        <v>0</v>
      </c>
      <c r="M131" s="79">
        <v>0</v>
      </c>
      <c r="N131" s="79">
        <v>0</v>
      </c>
      <c r="O131" s="79">
        <v>0</v>
      </c>
      <c r="P131" s="79">
        <v>0</v>
      </c>
      <c r="Q131" s="79">
        <v>0</v>
      </c>
      <c r="R131" s="79">
        <v>0</v>
      </c>
    </row>
    <row r="132" spans="1:18" ht="15.75" hidden="1" x14ac:dyDescent="0.25">
      <c r="A132" s="17"/>
      <c r="B132" s="17"/>
      <c r="C132" s="17"/>
      <c r="D132" s="17"/>
      <c r="E132" s="17"/>
      <c r="F132" s="18" t="s">
        <v>31</v>
      </c>
      <c r="G132" s="79">
        <v>176256</v>
      </c>
      <c r="H132" s="79">
        <v>176256</v>
      </c>
      <c r="I132" s="79">
        <v>176256</v>
      </c>
      <c r="J132" s="79">
        <v>105093</v>
      </c>
      <c r="K132" s="79">
        <v>105093</v>
      </c>
      <c r="L132" s="79">
        <v>105093</v>
      </c>
      <c r="M132" s="79">
        <v>105093</v>
      </c>
      <c r="N132" s="79">
        <v>143208</v>
      </c>
      <c r="O132" s="79">
        <v>143208</v>
      </c>
      <c r="P132" s="79">
        <v>121176</v>
      </c>
      <c r="Q132" s="79">
        <v>121176</v>
      </c>
      <c r="R132" s="79">
        <v>110160</v>
      </c>
    </row>
    <row r="133" spans="1:18" ht="15.75" hidden="1" x14ac:dyDescent="0.25">
      <c r="A133" s="17"/>
      <c r="B133" s="17"/>
      <c r="C133" s="17"/>
      <c r="D133" s="17"/>
      <c r="E133" s="17"/>
      <c r="F133" s="18" t="s">
        <v>31</v>
      </c>
      <c r="G133" s="79">
        <v>79872</v>
      </c>
      <c r="H133" s="79">
        <v>65490</v>
      </c>
      <c r="I133" s="79">
        <v>65490</v>
      </c>
      <c r="J133" s="79">
        <v>40211</v>
      </c>
      <c r="K133" s="79">
        <v>89029</v>
      </c>
      <c r="L133" s="79">
        <v>96620</v>
      </c>
      <c r="M133" s="79">
        <v>30719</v>
      </c>
      <c r="N133" s="79">
        <v>85307</v>
      </c>
      <c r="O133" s="79">
        <v>39917</v>
      </c>
      <c r="P133" s="79">
        <v>100000</v>
      </c>
      <c r="Q133" s="79">
        <v>219102</v>
      </c>
      <c r="R133" s="79">
        <v>51421</v>
      </c>
    </row>
    <row r="134" spans="1:18" ht="15.75" hidden="1" x14ac:dyDescent="0.25">
      <c r="A134" s="17"/>
      <c r="B134" s="17"/>
      <c r="C134" s="17"/>
      <c r="D134" s="17"/>
      <c r="E134" s="17"/>
      <c r="F134" s="18" t="s">
        <v>31</v>
      </c>
      <c r="G134" s="79">
        <v>8000</v>
      </c>
      <c r="H134" s="79">
        <v>8000</v>
      </c>
      <c r="I134" s="79">
        <v>8000</v>
      </c>
      <c r="J134" s="79">
        <v>8000</v>
      </c>
      <c r="K134" s="79">
        <v>8000</v>
      </c>
      <c r="L134" s="79">
        <v>8000</v>
      </c>
      <c r="M134" s="79">
        <v>8000</v>
      </c>
      <c r="N134" s="79">
        <v>8000</v>
      </c>
      <c r="O134" s="79">
        <v>10000</v>
      </c>
      <c r="P134" s="79">
        <v>10000</v>
      </c>
      <c r="Q134" s="79">
        <v>10000</v>
      </c>
      <c r="R134" s="79">
        <v>10000</v>
      </c>
    </row>
    <row r="135" spans="1:18" ht="15.75" hidden="1" x14ac:dyDescent="0.25">
      <c r="A135" s="17"/>
      <c r="B135" s="17"/>
      <c r="C135" s="17"/>
      <c r="D135" s="17"/>
      <c r="E135" s="17"/>
      <c r="F135" s="18" t="s">
        <v>31</v>
      </c>
      <c r="G135" s="79">
        <v>0</v>
      </c>
      <c r="H135" s="79">
        <v>0</v>
      </c>
      <c r="I135" s="79">
        <v>0</v>
      </c>
      <c r="J135" s="79">
        <v>0</v>
      </c>
      <c r="K135" s="79">
        <v>0</v>
      </c>
      <c r="L135" s="79">
        <v>0</v>
      </c>
      <c r="M135" s="79">
        <v>0</v>
      </c>
      <c r="N135" s="79">
        <v>0</v>
      </c>
      <c r="O135" s="79">
        <v>0</v>
      </c>
      <c r="P135" s="79">
        <v>0</v>
      </c>
      <c r="Q135" s="79">
        <v>0</v>
      </c>
      <c r="R135" s="79">
        <v>0</v>
      </c>
    </row>
    <row r="136" spans="1:18" ht="15.75" hidden="1" x14ac:dyDescent="0.25">
      <c r="A136" s="17"/>
      <c r="B136" s="17"/>
      <c r="C136" s="17"/>
      <c r="D136" s="17"/>
      <c r="E136" s="17"/>
      <c r="F136" s="18" t="s">
        <v>31</v>
      </c>
      <c r="G136" s="79">
        <v>0</v>
      </c>
      <c r="H136" s="79">
        <v>0</v>
      </c>
      <c r="I136" s="79">
        <v>0</v>
      </c>
      <c r="J136" s="79">
        <v>0</v>
      </c>
      <c r="K136" s="79">
        <v>0</v>
      </c>
      <c r="L136" s="79">
        <v>0</v>
      </c>
      <c r="M136" s="79">
        <v>0</v>
      </c>
      <c r="N136" s="79">
        <v>0</v>
      </c>
      <c r="O136" s="79">
        <v>0</v>
      </c>
      <c r="P136" s="79">
        <v>0</v>
      </c>
      <c r="Q136" s="79">
        <v>0</v>
      </c>
      <c r="R136" s="79">
        <v>0</v>
      </c>
    </row>
    <row r="137" spans="1:18" ht="15.75" hidden="1" x14ac:dyDescent="0.25">
      <c r="A137" s="17"/>
      <c r="B137" s="17"/>
      <c r="C137" s="17"/>
      <c r="D137" s="17"/>
      <c r="E137" s="17"/>
      <c r="F137" s="18" t="s">
        <v>31</v>
      </c>
      <c r="G137" s="79">
        <v>253711</v>
      </c>
      <c r="H137" s="79">
        <v>226528</v>
      </c>
      <c r="I137" s="79">
        <v>181223</v>
      </c>
      <c r="J137" s="79">
        <v>144979</v>
      </c>
      <c r="K137" s="79">
        <v>117795</v>
      </c>
      <c r="L137" s="79">
        <v>90612</v>
      </c>
      <c r="M137" s="79">
        <v>90612</v>
      </c>
      <c r="N137" s="79">
        <v>90612</v>
      </c>
      <c r="O137" s="79">
        <v>163101</v>
      </c>
      <c r="P137" s="79">
        <v>163101</v>
      </c>
      <c r="Q137" s="79">
        <v>181223</v>
      </c>
      <c r="R137" s="79">
        <v>135918</v>
      </c>
    </row>
    <row r="138" spans="1:18" ht="15.75" hidden="1" x14ac:dyDescent="0.25">
      <c r="A138" s="17"/>
      <c r="B138" s="17"/>
      <c r="C138" s="17"/>
      <c r="D138" s="17"/>
      <c r="E138" s="17"/>
      <c r="F138" s="18" t="s">
        <v>31</v>
      </c>
      <c r="G138" s="79">
        <v>85409</v>
      </c>
      <c r="H138" s="79">
        <v>85409</v>
      </c>
      <c r="I138" s="79">
        <v>85409</v>
      </c>
      <c r="J138" s="79">
        <v>65365</v>
      </c>
      <c r="K138" s="79">
        <v>46690</v>
      </c>
      <c r="L138" s="79">
        <v>46690</v>
      </c>
      <c r="M138" s="79">
        <v>46690</v>
      </c>
      <c r="N138" s="79">
        <v>62191</v>
      </c>
      <c r="O138" s="79">
        <v>72555</v>
      </c>
      <c r="P138" s="79">
        <v>82921</v>
      </c>
      <c r="Q138" s="79">
        <v>82921</v>
      </c>
      <c r="R138" s="79">
        <v>72555</v>
      </c>
    </row>
    <row r="139" spans="1:18" ht="15.75" hidden="1" x14ac:dyDescent="0.25">
      <c r="A139" s="17"/>
      <c r="B139" s="17"/>
      <c r="C139" s="17"/>
      <c r="D139" s="17"/>
      <c r="E139" s="17"/>
      <c r="F139" s="18" t="s">
        <v>31</v>
      </c>
      <c r="G139" s="79">
        <v>66353</v>
      </c>
      <c r="H139" s="79">
        <v>66353</v>
      </c>
      <c r="I139" s="79">
        <v>56146</v>
      </c>
      <c r="J139" s="79">
        <v>35728</v>
      </c>
      <c r="K139" s="79">
        <v>35730</v>
      </c>
      <c r="L139" s="79">
        <v>30626</v>
      </c>
      <c r="M139" s="79">
        <v>30626</v>
      </c>
      <c r="N139" s="79">
        <v>30626</v>
      </c>
      <c r="O139" s="79">
        <v>66353</v>
      </c>
      <c r="P139" s="79">
        <v>66351</v>
      </c>
      <c r="Q139" s="79">
        <v>66351</v>
      </c>
      <c r="R139" s="79">
        <v>45938</v>
      </c>
    </row>
    <row r="140" spans="1:18" ht="15.75" hidden="1" x14ac:dyDescent="0.25">
      <c r="A140" s="17"/>
      <c r="B140" s="17"/>
      <c r="C140" s="17"/>
      <c r="D140" s="17"/>
      <c r="E140" s="17"/>
      <c r="F140" s="18" t="s">
        <v>31</v>
      </c>
      <c r="G140" s="79">
        <v>263304</v>
      </c>
      <c r="H140" s="79">
        <v>263304</v>
      </c>
      <c r="I140" s="79">
        <v>188075</v>
      </c>
      <c r="J140" s="79">
        <v>91687</v>
      </c>
      <c r="K140" s="79">
        <v>91687</v>
      </c>
      <c r="L140" s="79">
        <v>91687</v>
      </c>
      <c r="M140" s="79">
        <v>87456</v>
      </c>
      <c r="N140" s="79">
        <v>91687</v>
      </c>
      <c r="O140" s="79">
        <v>188075</v>
      </c>
      <c r="P140" s="79">
        <v>235093</v>
      </c>
      <c r="Q140" s="79">
        <v>188075</v>
      </c>
      <c r="R140" s="79">
        <v>169267</v>
      </c>
    </row>
    <row r="141" spans="1:18" ht="15.75" hidden="1" x14ac:dyDescent="0.25">
      <c r="A141" s="17"/>
      <c r="B141" s="17"/>
      <c r="C141" s="17"/>
      <c r="D141" s="17"/>
      <c r="E141" s="17"/>
      <c r="F141" s="18" t="s">
        <v>31</v>
      </c>
      <c r="G141" s="79">
        <v>1091018</v>
      </c>
      <c r="H141" s="79">
        <v>1000100</v>
      </c>
      <c r="I141" s="79">
        <v>863722</v>
      </c>
      <c r="J141" s="79">
        <v>578240</v>
      </c>
      <c r="K141" s="79">
        <v>578240</v>
      </c>
      <c r="L141" s="79">
        <v>530054</v>
      </c>
      <c r="M141" s="79">
        <v>530054</v>
      </c>
      <c r="N141" s="79">
        <v>818263</v>
      </c>
      <c r="O141" s="79">
        <v>863722</v>
      </c>
      <c r="P141" s="79">
        <v>1000100</v>
      </c>
      <c r="Q141" s="79">
        <v>1000100</v>
      </c>
      <c r="R141" s="79">
        <v>727345</v>
      </c>
    </row>
    <row r="142" spans="1:18" ht="15.75" hidden="1" x14ac:dyDescent="0.25">
      <c r="A142" s="17"/>
      <c r="B142" s="17"/>
      <c r="C142" s="17"/>
      <c r="D142" s="17"/>
      <c r="E142" s="17"/>
      <c r="F142" s="18" t="s">
        <v>31</v>
      </c>
      <c r="G142" s="79">
        <v>14883</v>
      </c>
      <c r="H142" s="79">
        <v>14883</v>
      </c>
      <c r="I142" s="79">
        <v>14883</v>
      </c>
      <c r="J142" s="79">
        <v>14883</v>
      </c>
      <c r="K142" s="79">
        <v>14883</v>
      </c>
      <c r="L142" s="79">
        <v>14883</v>
      </c>
      <c r="M142" s="79">
        <v>14883</v>
      </c>
      <c r="N142" s="79">
        <v>14883</v>
      </c>
      <c r="O142" s="79">
        <v>14883</v>
      </c>
      <c r="P142" s="79">
        <v>14883</v>
      </c>
      <c r="Q142" s="79">
        <v>14883</v>
      </c>
      <c r="R142" s="79">
        <v>14883</v>
      </c>
    </row>
    <row r="143" spans="1:18" ht="15.75" hidden="1" x14ac:dyDescent="0.25">
      <c r="A143" s="17"/>
      <c r="B143" s="17"/>
      <c r="C143" s="17"/>
      <c r="D143" s="17"/>
      <c r="E143" s="17"/>
      <c r="F143" s="18" t="s">
        <v>31</v>
      </c>
      <c r="G143" s="79">
        <v>28737</v>
      </c>
      <c r="H143" s="79">
        <v>23948</v>
      </c>
      <c r="I143" s="79">
        <v>23948</v>
      </c>
      <c r="J143" s="79">
        <v>25146</v>
      </c>
      <c r="K143" s="79">
        <v>20116</v>
      </c>
      <c r="L143" s="79">
        <v>4024</v>
      </c>
      <c r="M143" s="79">
        <v>4024</v>
      </c>
      <c r="N143" s="79">
        <v>3018</v>
      </c>
      <c r="O143" s="79">
        <v>11495</v>
      </c>
      <c r="P143" s="79">
        <v>19158</v>
      </c>
      <c r="Q143" s="79">
        <v>25146</v>
      </c>
      <c r="R143" s="79">
        <v>25146</v>
      </c>
    </row>
    <row r="144" spans="1:18" ht="15.75" hidden="1" x14ac:dyDescent="0.25">
      <c r="A144" s="17"/>
      <c r="B144" s="17"/>
      <c r="C144" s="17"/>
      <c r="D144" s="17"/>
      <c r="E144" s="17"/>
      <c r="F144" s="18" t="s">
        <v>31</v>
      </c>
      <c r="G144" s="79">
        <v>40000</v>
      </c>
      <c r="H144" s="79">
        <v>30000</v>
      </c>
      <c r="I144" s="79">
        <v>23000</v>
      </c>
      <c r="J144" s="79">
        <v>16250</v>
      </c>
      <c r="K144" s="79">
        <v>18000</v>
      </c>
      <c r="L144" s="79">
        <v>8400</v>
      </c>
      <c r="M144" s="79">
        <v>8400</v>
      </c>
      <c r="N144" s="79">
        <v>10000</v>
      </c>
      <c r="O144" s="79">
        <v>20000</v>
      </c>
      <c r="P144" s="79">
        <v>30000</v>
      </c>
      <c r="Q144" s="79">
        <v>30000</v>
      </c>
      <c r="R144" s="79">
        <v>22000</v>
      </c>
    </row>
    <row r="145" spans="1:18" ht="15.75" hidden="1" x14ac:dyDescent="0.25">
      <c r="A145" s="17"/>
      <c r="B145" s="17"/>
      <c r="C145" s="17"/>
      <c r="D145" s="17"/>
      <c r="E145" s="17"/>
      <c r="F145" s="18" t="s">
        <v>31</v>
      </c>
      <c r="G145" s="79">
        <v>12000</v>
      </c>
      <c r="H145" s="79">
        <v>8800</v>
      </c>
      <c r="I145" s="79">
        <v>7700</v>
      </c>
      <c r="J145" s="79">
        <v>7700</v>
      </c>
      <c r="K145" s="79">
        <v>7700</v>
      </c>
      <c r="L145" s="79">
        <v>4400</v>
      </c>
      <c r="M145" s="79">
        <v>4400</v>
      </c>
      <c r="N145" s="79">
        <v>13200</v>
      </c>
      <c r="O145" s="79">
        <v>16500</v>
      </c>
      <c r="P145" s="79">
        <v>16500</v>
      </c>
      <c r="Q145" s="79">
        <v>16500</v>
      </c>
      <c r="R145" s="79">
        <v>16500</v>
      </c>
    </row>
    <row r="146" spans="1:18" ht="15.75" hidden="1" x14ac:dyDescent="0.25">
      <c r="A146" s="17"/>
      <c r="B146" s="17"/>
      <c r="C146" s="17"/>
      <c r="D146" s="17"/>
      <c r="E146" s="17"/>
      <c r="F146" s="18" t="s">
        <v>31</v>
      </c>
      <c r="G146" s="79">
        <v>94462</v>
      </c>
      <c r="H146" s="79">
        <v>136562</v>
      </c>
      <c r="I146" s="79">
        <v>98700</v>
      </c>
      <c r="J146" s="79">
        <v>59220</v>
      </c>
      <c r="K146" s="79">
        <v>59220</v>
      </c>
      <c r="L146" s="79">
        <v>59220</v>
      </c>
      <c r="M146" s="79">
        <v>59220</v>
      </c>
      <c r="N146" s="79">
        <v>78960</v>
      </c>
      <c r="O146" s="79">
        <v>128310</v>
      </c>
      <c r="P146" s="79">
        <v>138180</v>
      </c>
      <c r="Q146" s="79">
        <v>138180</v>
      </c>
      <c r="R146" s="79">
        <v>78960</v>
      </c>
    </row>
    <row r="147" spans="1:18" ht="15.75" hidden="1" x14ac:dyDescent="0.25">
      <c r="A147" s="17"/>
      <c r="B147" s="17"/>
      <c r="C147" s="17"/>
      <c r="D147" s="17"/>
      <c r="E147" s="17"/>
      <c r="F147" s="18" t="s">
        <v>31</v>
      </c>
      <c r="G147" s="79">
        <v>200000</v>
      </c>
      <c r="H147" s="79">
        <v>180000</v>
      </c>
      <c r="I147" s="79">
        <v>150000</v>
      </c>
      <c r="J147" s="79">
        <v>70000</v>
      </c>
      <c r="K147" s="79">
        <v>72800</v>
      </c>
      <c r="L147" s="79">
        <v>62400</v>
      </c>
      <c r="M147" s="79">
        <v>62400</v>
      </c>
      <c r="N147" s="79">
        <v>62400</v>
      </c>
      <c r="O147" s="79">
        <v>124800</v>
      </c>
      <c r="P147" s="79">
        <v>145600</v>
      </c>
      <c r="Q147" s="79">
        <v>145600</v>
      </c>
      <c r="R147" s="79">
        <v>104000</v>
      </c>
    </row>
    <row r="148" spans="1:18" ht="15.75" hidden="1" x14ac:dyDescent="0.25">
      <c r="A148" s="17"/>
      <c r="B148" s="17"/>
      <c r="C148" s="17"/>
      <c r="D148" s="17"/>
      <c r="E148" s="17"/>
      <c r="F148" s="18" t="s">
        <v>31</v>
      </c>
      <c r="G148" s="79">
        <v>4320</v>
      </c>
      <c r="H148" s="79">
        <v>0</v>
      </c>
      <c r="I148" s="79">
        <v>8640</v>
      </c>
      <c r="J148" s="79">
        <v>0</v>
      </c>
      <c r="K148" s="79">
        <v>0</v>
      </c>
      <c r="L148" s="79">
        <v>0</v>
      </c>
      <c r="M148" s="79">
        <v>0</v>
      </c>
      <c r="N148" s="79">
        <v>4320</v>
      </c>
      <c r="O148" s="79">
        <v>0</v>
      </c>
      <c r="P148" s="79">
        <v>4320</v>
      </c>
      <c r="Q148" s="79">
        <v>4320</v>
      </c>
      <c r="R148" s="79">
        <v>4320</v>
      </c>
    </row>
    <row r="149" spans="1:18" ht="15.75" hidden="1" x14ac:dyDescent="0.25">
      <c r="A149" s="17"/>
      <c r="B149" s="17"/>
      <c r="C149" s="17"/>
      <c r="D149" s="17"/>
      <c r="E149" s="17"/>
      <c r="F149" s="18" t="s">
        <v>31</v>
      </c>
      <c r="G149" s="79">
        <v>0</v>
      </c>
      <c r="H149" s="79">
        <v>10400</v>
      </c>
      <c r="I149" s="79">
        <v>0</v>
      </c>
      <c r="J149" s="79">
        <v>0</v>
      </c>
      <c r="K149" s="79">
        <v>10400</v>
      </c>
      <c r="L149" s="79">
        <v>0</v>
      </c>
      <c r="M149" s="79">
        <v>5200</v>
      </c>
      <c r="N149" s="79">
        <v>0</v>
      </c>
      <c r="O149" s="79">
        <v>10400</v>
      </c>
      <c r="P149" s="79">
        <v>0</v>
      </c>
      <c r="Q149" s="79">
        <v>10400</v>
      </c>
      <c r="R149" s="79">
        <v>0</v>
      </c>
    </row>
    <row r="150" spans="1:18" ht="15.75" hidden="1" x14ac:dyDescent="0.25">
      <c r="A150" s="17"/>
      <c r="B150" s="17"/>
      <c r="C150" s="17"/>
      <c r="D150" s="17"/>
      <c r="E150" s="17"/>
      <c r="F150" s="18" t="s">
        <v>31</v>
      </c>
      <c r="G150" s="79">
        <v>10400</v>
      </c>
      <c r="H150" s="79">
        <v>10400</v>
      </c>
      <c r="I150" s="79">
        <v>0</v>
      </c>
      <c r="J150" s="79">
        <v>10400</v>
      </c>
      <c r="K150" s="79">
        <v>0</v>
      </c>
      <c r="L150" s="79">
        <v>10400</v>
      </c>
      <c r="M150" s="79">
        <v>0</v>
      </c>
      <c r="N150" s="79">
        <v>0</v>
      </c>
      <c r="O150" s="79">
        <v>10400</v>
      </c>
      <c r="P150" s="79">
        <v>0</v>
      </c>
      <c r="Q150" s="79">
        <v>10400</v>
      </c>
      <c r="R150" s="79">
        <v>0</v>
      </c>
    </row>
    <row r="151" spans="1:18" ht="15.75" hidden="1" x14ac:dyDescent="0.25">
      <c r="A151" s="17"/>
      <c r="B151" s="17"/>
      <c r="C151" s="17"/>
      <c r="D151" s="17"/>
      <c r="E151" s="17"/>
      <c r="F151" s="18" t="s">
        <v>31</v>
      </c>
      <c r="G151" s="79">
        <v>0</v>
      </c>
      <c r="H151" s="79">
        <v>0</v>
      </c>
      <c r="I151" s="79">
        <v>0</v>
      </c>
      <c r="J151" s="79">
        <v>0</v>
      </c>
      <c r="K151" s="79">
        <v>0</v>
      </c>
      <c r="L151" s="79">
        <v>0</v>
      </c>
      <c r="M151" s="79">
        <v>0</v>
      </c>
      <c r="N151" s="79">
        <v>0</v>
      </c>
      <c r="O151" s="79">
        <v>0</v>
      </c>
      <c r="P151" s="79">
        <v>0</v>
      </c>
      <c r="Q151" s="79">
        <v>0</v>
      </c>
      <c r="R151" s="79">
        <v>0</v>
      </c>
    </row>
    <row r="152" spans="1:18" ht="15.75" x14ac:dyDescent="0.25">
      <c r="A152" s="16"/>
      <c r="B152" s="44"/>
      <c r="C152" s="44"/>
      <c r="D152" s="44"/>
      <c r="E152" s="44"/>
      <c r="F152" s="45"/>
      <c r="G152" s="80"/>
      <c r="H152" s="80"/>
      <c r="I152" s="80"/>
      <c r="J152" s="80"/>
      <c r="K152" s="80"/>
      <c r="L152" s="80"/>
      <c r="M152" s="80"/>
      <c r="N152" s="80"/>
      <c r="O152" s="80"/>
      <c r="P152" s="80"/>
      <c r="Q152" s="80"/>
      <c r="R152" s="80"/>
    </row>
    <row r="153" spans="1:18" ht="15.75" x14ac:dyDescent="0.25">
      <c r="A153" s="16"/>
      <c r="B153" s="44"/>
      <c r="C153" s="44"/>
      <c r="D153" s="44"/>
      <c r="E153" s="44"/>
      <c r="F153" s="45"/>
      <c r="G153" s="80"/>
      <c r="H153" s="80"/>
      <c r="I153" s="80"/>
      <c r="J153" s="80"/>
      <c r="K153" s="80"/>
      <c r="L153" s="80"/>
      <c r="M153" s="80"/>
      <c r="N153" s="80"/>
      <c r="O153" s="80"/>
      <c r="P153" s="80"/>
      <c r="Q153" s="80"/>
      <c r="R153" s="80"/>
    </row>
    <row r="154" spans="1:18" ht="15.75" x14ac:dyDescent="0.25">
      <c r="A154" s="16"/>
      <c r="B154" s="44"/>
      <c r="C154" s="44"/>
      <c r="D154" s="44"/>
      <c r="E154" s="44"/>
      <c r="F154" s="45"/>
      <c r="G154" s="80"/>
      <c r="H154" s="80"/>
      <c r="I154" s="80"/>
      <c r="J154" s="80"/>
      <c r="K154" s="80"/>
      <c r="L154" s="80"/>
      <c r="M154" s="80"/>
      <c r="N154" s="80"/>
      <c r="O154" s="80"/>
      <c r="P154" s="80"/>
      <c r="Q154" s="80"/>
      <c r="R154" s="80"/>
    </row>
    <row r="155" spans="1:18" ht="15.75" x14ac:dyDescent="0.25">
      <c r="A155" s="16"/>
      <c r="B155" s="44"/>
      <c r="C155" s="44"/>
      <c r="D155" s="44"/>
      <c r="E155" s="44"/>
      <c r="F155" s="45"/>
      <c r="G155" s="80"/>
      <c r="H155" s="80"/>
      <c r="I155" s="80"/>
      <c r="J155" s="80"/>
      <c r="K155" s="80"/>
      <c r="L155" s="80"/>
      <c r="M155" s="80"/>
      <c r="N155" s="80"/>
      <c r="O155" s="80"/>
      <c r="P155" s="80"/>
      <c r="Q155" s="80"/>
      <c r="R155" s="80"/>
    </row>
    <row r="156" spans="1:18" ht="15.75" x14ac:dyDescent="0.25">
      <c r="A156" s="16"/>
      <c r="B156" s="44"/>
      <c r="C156" s="44"/>
      <c r="D156" s="44"/>
      <c r="E156" s="44"/>
      <c r="F156" s="45"/>
      <c r="G156" s="80"/>
      <c r="H156" s="80"/>
      <c r="I156" s="80"/>
      <c r="J156" s="80"/>
      <c r="K156" s="80"/>
      <c r="L156" s="80"/>
      <c r="M156" s="80"/>
      <c r="N156" s="80"/>
      <c r="O156" s="80"/>
      <c r="P156" s="80"/>
      <c r="Q156" s="80"/>
      <c r="R156" s="80"/>
    </row>
    <row r="157" spans="1:18" ht="15.75" x14ac:dyDescent="0.25">
      <c r="A157" s="16"/>
      <c r="B157" s="44"/>
      <c r="C157" s="44"/>
      <c r="D157" s="44"/>
      <c r="E157" s="44"/>
      <c r="F157" s="45"/>
      <c r="G157" s="80"/>
      <c r="H157" s="80"/>
      <c r="I157" s="80"/>
      <c r="J157" s="80"/>
      <c r="K157" s="80"/>
      <c r="L157" s="80"/>
      <c r="M157" s="80"/>
      <c r="N157" s="80"/>
      <c r="O157" s="80"/>
      <c r="P157" s="80"/>
      <c r="Q157" s="80"/>
      <c r="R157" s="80"/>
    </row>
    <row r="158" spans="1:18" ht="15.75" x14ac:dyDescent="0.25">
      <c r="A158" s="16"/>
      <c r="B158" s="44"/>
      <c r="C158" s="44"/>
      <c r="D158" s="44"/>
      <c r="E158" s="44"/>
      <c r="F158" s="45"/>
      <c r="G158" s="80"/>
      <c r="H158" s="80"/>
      <c r="I158" s="80"/>
      <c r="J158" s="80"/>
      <c r="K158" s="80"/>
      <c r="L158" s="80"/>
      <c r="M158" s="80"/>
      <c r="N158" s="80"/>
      <c r="O158" s="80"/>
      <c r="P158" s="80"/>
      <c r="Q158" s="80"/>
      <c r="R158" s="80"/>
    </row>
    <row r="159" spans="1:18" ht="15.75" x14ac:dyDescent="0.25">
      <c r="A159" s="16"/>
      <c r="B159" s="44"/>
      <c r="C159" s="44"/>
      <c r="D159" s="44"/>
      <c r="E159" s="44"/>
      <c r="F159" s="45"/>
      <c r="G159" s="80"/>
      <c r="H159" s="80"/>
      <c r="I159" s="80"/>
      <c r="J159" s="80"/>
      <c r="K159" s="80"/>
      <c r="L159" s="80"/>
      <c r="M159" s="80"/>
      <c r="N159" s="80"/>
      <c r="O159" s="80"/>
      <c r="P159" s="80"/>
      <c r="Q159" s="80"/>
      <c r="R159" s="80"/>
    </row>
    <row r="160" spans="1:18" ht="15.75" x14ac:dyDescent="0.25">
      <c r="A160" s="16"/>
      <c r="B160" s="44"/>
      <c r="C160" s="44"/>
      <c r="D160" s="44"/>
      <c r="E160" s="44"/>
      <c r="F160" s="45"/>
      <c r="G160" s="80"/>
      <c r="H160" s="80"/>
      <c r="I160" s="80"/>
      <c r="J160" s="80"/>
      <c r="K160" s="80"/>
      <c r="L160" s="80"/>
      <c r="M160" s="80"/>
      <c r="N160" s="80"/>
      <c r="O160" s="80"/>
      <c r="P160" s="80"/>
      <c r="Q160" s="80"/>
      <c r="R160" s="80"/>
    </row>
    <row r="161" spans="1:18" ht="15.75" x14ac:dyDescent="0.25">
      <c r="A161" s="16"/>
      <c r="B161" s="44"/>
      <c r="C161" s="44"/>
      <c r="D161" s="44"/>
      <c r="E161" s="44"/>
      <c r="F161" s="45"/>
      <c r="G161" s="80"/>
      <c r="H161" s="80"/>
      <c r="I161" s="80"/>
      <c r="J161" s="80"/>
      <c r="K161" s="80"/>
      <c r="L161" s="80"/>
      <c r="M161" s="80"/>
      <c r="N161" s="80"/>
      <c r="O161" s="80"/>
      <c r="P161" s="80"/>
      <c r="Q161" s="80"/>
      <c r="R161" s="80"/>
    </row>
    <row r="162" spans="1:18" ht="15.75" x14ac:dyDescent="0.25">
      <c r="A162" s="16"/>
      <c r="B162" s="44"/>
      <c r="C162" s="44"/>
      <c r="D162" s="44"/>
      <c r="E162" s="44"/>
      <c r="F162" s="45"/>
      <c r="G162" s="80"/>
      <c r="H162" s="80"/>
      <c r="I162" s="80"/>
      <c r="J162" s="80"/>
      <c r="K162" s="80"/>
      <c r="L162" s="80"/>
      <c r="M162" s="80"/>
      <c r="N162" s="80"/>
      <c r="O162" s="80"/>
      <c r="P162" s="80"/>
      <c r="Q162" s="80"/>
      <c r="R162" s="80"/>
    </row>
    <row r="163" spans="1:18" ht="15.75" x14ac:dyDescent="0.25">
      <c r="A163" s="16"/>
      <c r="B163" s="44"/>
      <c r="C163" s="44"/>
      <c r="D163" s="44"/>
      <c r="E163" s="44"/>
      <c r="F163" s="45"/>
      <c r="G163" s="80"/>
      <c r="H163" s="80"/>
      <c r="I163" s="80"/>
      <c r="J163" s="80"/>
      <c r="K163" s="80"/>
      <c r="L163" s="80"/>
      <c r="M163" s="80"/>
      <c r="N163" s="80"/>
      <c r="O163" s="80"/>
      <c r="P163" s="80"/>
      <c r="Q163" s="80"/>
      <c r="R163" s="80"/>
    </row>
    <row r="164" spans="1:18" ht="15.75" x14ac:dyDescent="0.25">
      <c r="A164" s="16"/>
      <c r="B164" s="44"/>
      <c r="C164" s="44"/>
      <c r="D164" s="44"/>
      <c r="E164" s="44"/>
      <c r="F164" s="45"/>
      <c r="G164" s="80"/>
      <c r="H164" s="80"/>
      <c r="I164" s="80"/>
      <c r="J164" s="80"/>
      <c r="K164" s="80"/>
      <c r="L164" s="80"/>
      <c r="M164" s="80"/>
      <c r="N164" s="80"/>
      <c r="O164" s="80"/>
      <c r="P164" s="80"/>
      <c r="Q164" s="80"/>
      <c r="R164" s="80"/>
    </row>
    <row r="165" spans="1:18" ht="15.75" x14ac:dyDescent="0.25">
      <c r="A165" s="16"/>
      <c r="B165" s="44"/>
      <c r="C165" s="44"/>
      <c r="D165" s="44"/>
      <c r="E165" s="44"/>
      <c r="F165" s="45"/>
      <c r="G165" s="80"/>
      <c r="H165" s="80"/>
      <c r="I165" s="80"/>
      <c r="J165" s="80"/>
      <c r="K165" s="80"/>
      <c r="L165" s="80"/>
      <c r="M165" s="80"/>
      <c r="N165" s="80"/>
      <c r="O165" s="80"/>
      <c r="P165" s="80"/>
      <c r="Q165" s="80"/>
      <c r="R165" s="80"/>
    </row>
    <row r="166" spans="1:18" ht="15.75" x14ac:dyDescent="0.25">
      <c r="A166" s="16"/>
      <c r="B166" s="44"/>
      <c r="C166" s="44"/>
      <c r="D166" s="44"/>
      <c r="E166" s="44"/>
      <c r="F166" s="45"/>
      <c r="G166" s="80"/>
      <c r="H166" s="80"/>
      <c r="I166" s="80"/>
      <c r="J166" s="80"/>
      <c r="K166" s="80"/>
      <c r="L166" s="80"/>
      <c r="M166" s="80"/>
      <c r="N166" s="80"/>
      <c r="O166" s="80"/>
      <c r="P166" s="80"/>
      <c r="Q166" s="80"/>
      <c r="R166" s="80"/>
    </row>
    <row r="167" spans="1:18" ht="15.75" x14ac:dyDescent="0.25">
      <c r="A167" s="16"/>
      <c r="B167" s="44"/>
      <c r="C167" s="44"/>
      <c r="D167" s="44"/>
      <c r="E167" s="44"/>
      <c r="F167" s="45"/>
      <c r="G167" s="80"/>
      <c r="H167" s="80"/>
      <c r="I167" s="80"/>
      <c r="J167" s="80"/>
      <c r="K167" s="80"/>
      <c r="L167" s="80"/>
      <c r="M167" s="80"/>
      <c r="N167" s="80"/>
      <c r="O167" s="80"/>
      <c r="P167" s="80"/>
      <c r="Q167" s="80"/>
      <c r="R167" s="80"/>
    </row>
    <row r="168" spans="1:18" ht="15.75" x14ac:dyDescent="0.25">
      <c r="A168" s="16"/>
      <c r="B168" s="44"/>
      <c r="C168" s="44"/>
      <c r="D168" s="44"/>
      <c r="E168" s="44"/>
      <c r="F168" s="45"/>
      <c r="G168" s="80"/>
      <c r="H168" s="80"/>
      <c r="I168" s="80"/>
      <c r="J168" s="80"/>
      <c r="K168" s="80"/>
      <c r="L168" s="80"/>
      <c r="M168" s="80"/>
      <c r="N168" s="80"/>
      <c r="O168" s="80"/>
      <c r="P168" s="80"/>
      <c r="Q168" s="80"/>
      <c r="R168" s="80"/>
    </row>
    <row r="169" spans="1:18" ht="15.75" x14ac:dyDescent="0.25">
      <c r="A169" s="16"/>
      <c r="B169" s="44"/>
      <c r="C169" s="44"/>
      <c r="D169" s="44"/>
      <c r="E169" s="44"/>
      <c r="F169" s="45"/>
      <c r="G169" s="80"/>
      <c r="H169" s="80"/>
      <c r="I169" s="80"/>
      <c r="J169" s="80"/>
      <c r="K169" s="80"/>
      <c r="L169" s="80"/>
      <c r="M169" s="80"/>
      <c r="N169" s="80"/>
      <c r="O169" s="80"/>
      <c r="P169" s="80"/>
      <c r="Q169" s="80"/>
      <c r="R169" s="80"/>
    </row>
    <row r="170" spans="1:18" ht="15.75" x14ac:dyDescent="0.25">
      <c r="A170" s="16"/>
      <c r="B170" s="44"/>
      <c r="C170" s="44"/>
      <c r="D170" s="44"/>
      <c r="E170" s="44"/>
      <c r="F170" s="45"/>
      <c r="G170" s="80"/>
      <c r="H170" s="80"/>
      <c r="I170" s="80"/>
      <c r="J170" s="80"/>
      <c r="K170" s="80"/>
      <c r="L170" s="80"/>
      <c r="M170" s="80"/>
      <c r="N170" s="80"/>
      <c r="O170" s="80"/>
      <c r="P170" s="80"/>
      <c r="Q170" s="80"/>
      <c r="R170" s="80"/>
    </row>
    <row r="171" spans="1:18" ht="15.75" x14ac:dyDescent="0.25">
      <c r="A171" s="16"/>
      <c r="B171" s="44"/>
      <c r="C171" s="44"/>
      <c r="D171" s="44"/>
      <c r="E171" s="44"/>
      <c r="F171" s="45"/>
      <c r="G171" s="80"/>
      <c r="H171" s="80"/>
      <c r="I171" s="80"/>
      <c r="J171" s="80"/>
      <c r="K171" s="80"/>
      <c r="L171" s="80"/>
      <c r="M171" s="80"/>
      <c r="N171" s="80"/>
      <c r="O171" s="80"/>
      <c r="P171" s="80"/>
      <c r="Q171" s="80"/>
      <c r="R171" s="80"/>
    </row>
    <row r="172" spans="1:18" ht="15.75" x14ac:dyDescent="0.25">
      <c r="A172" s="16"/>
      <c r="B172" s="44"/>
      <c r="C172" s="44"/>
      <c r="D172" s="44"/>
      <c r="E172" s="44"/>
      <c r="F172" s="45"/>
      <c r="G172" s="80"/>
      <c r="H172" s="80"/>
      <c r="I172" s="80"/>
      <c r="J172" s="80"/>
      <c r="K172" s="80"/>
      <c r="L172" s="80"/>
      <c r="M172" s="80"/>
      <c r="N172" s="80"/>
      <c r="O172" s="80"/>
      <c r="P172" s="80"/>
      <c r="Q172" s="80"/>
      <c r="R172" s="80"/>
    </row>
    <row r="173" spans="1:18" ht="15.75" x14ac:dyDescent="0.25">
      <c r="A173" s="16"/>
      <c r="B173" s="44"/>
      <c r="C173" s="44"/>
      <c r="D173" s="44"/>
      <c r="E173" s="44"/>
      <c r="F173" s="45"/>
      <c r="G173" s="80"/>
      <c r="H173" s="80"/>
      <c r="I173" s="80"/>
      <c r="J173" s="80"/>
      <c r="K173" s="80"/>
      <c r="L173" s="80"/>
      <c r="M173" s="80"/>
      <c r="N173" s="80"/>
      <c r="O173" s="80"/>
      <c r="P173" s="80"/>
      <c r="Q173" s="80"/>
      <c r="R173" s="80"/>
    </row>
    <row r="174" spans="1:18" ht="15.75" x14ac:dyDescent="0.25">
      <c r="A174" s="16"/>
      <c r="B174" s="44"/>
      <c r="C174" s="44"/>
      <c r="D174" s="44"/>
      <c r="E174" s="44"/>
      <c r="F174" s="45"/>
      <c r="G174" s="80"/>
      <c r="H174" s="80"/>
      <c r="I174" s="80"/>
      <c r="J174" s="80"/>
      <c r="K174" s="80"/>
      <c r="L174" s="80"/>
      <c r="M174" s="80"/>
      <c r="N174" s="80"/>
      <c r="O174" s="80"/>
      <c r="P174" s="80"/>
      <c r="Q174" s="80"/>
      <c r="R174" s="80"/>
    </row>
    <row r="175" spans="1:18" ht="15.75" x14ac:dyDescent="0.25">
      <c r="A175" s="16"/>
      <c r="B175" s="44"/>
      <c r="C175" s="44"/>
      <c r="D175" s="44"/>
      <c r="E175" s="44"/>
      <c r="F175" s="45"/>
      <c r="G175" s="80"/>
      <c r="H175" s="80"/>
      <c r="I175" s="80"/>
      <c r="J175" s="80"/>
      <c r="K175" s="80"/>
      <c r="L175" s="80"/>
      <c r="M175" s="80"/>
      <c r="N175" s="80"/>
      <c r="O175" s="80"/>
      <c r="P175" s="80"/>
      <c r="Q175" s="80"/>
      <c r="R175" s="80"/>
    </row>
    <row r="176" spans="1:18" ht="15.75" x14ac:dyDescent="0.25">
      <c r="A176" s="16"/>
      <c r="B176" s="44"/>
      <c r="C176" s="44"/>
      <c r="D176" s="44"/>
      <c r="E176" s="44"/>
      <c r="F176" s="45"/>
      <c r="G176" s="80"/>
      <c r="H176" s="74"/>
      <c r="I176" s="74"/>
      <c r="J176" s="74"/>
      <c r="K176" s="74"/>
      <c r="L176" s="74"/>
      <c r="M176" s="74"/>
      <c r="N176" s="74"/>
      <c r="O176" s="74"/>
      <c r="P176" s="74"/>
      <c r="Q176" s="74"/>
      <c r="R176" s="74"/>
    </row>
    <row r="177" spans="1:18" ht="15.75" hidden="1" x14ac:dyDescent="0.25">
      <c r="A177" s="17"/>
      <c r="B177" s="17"/>
      <c r="C177" s="17"/>
      <c r="D177" s="17"/>
      <c r="E177" s="17"/>
      <c r="F177" s="31" t="s">
        <v>21</v>
      </c>
      <c r="G177" s="76">
        <v>26664</v>
      </c>
      <c r="H177" s="76">
        <v>26664</v>
      </c>
      <c r="I177" s="76">
        <v>22220</v>
      </c>
      <c r="J177" s="76">
        <v>13095</v>
      </c>
      <c r="K177" s="76">
        <v>14732</v>
      </c>
      <c r="L177" s="76">
        <v>22362</v>
      </c>
      <c r="M177" s="76">
        <v>21436</v>
      </c>
      <c r="N177" s="76">
        <v>33297</v>
      </c>
      <c r="O177" s="76">
        <v>33054</v>
      </c>
      <c r="P177" s="76">
        <v>35552</v>
      </c>
      <c r="Q177" s="76">
        <v>44940</v>
      </c>
      <c r="R177" s="76">
        <v>19974</v>
      </c>
    </row>
    <row r="178" spans="1:18" ht="15.75" hidden="1" x14ac:dyDescent="0.25">
      <c r="A178" s="17"/>
      <c r="B178" s="17"/>
      <c r="C178" s="17"/>
      <c r="D178" s="17"/>
      <c r="E178" s="17"/>
      <c r="F178" s="31" t="s">
        <v>21</v>
      </c>
      <c r="G178" s="76">
        <v>0</v>
      </c>
      <c r="H178" s="76">
        <v>0</v>
      </c>
      <c r="I178" s="76">
        <v>0</v>
      </c>
      <c r="J178" s="76">
        <v>0</v>
      </c>
      <c r="K178" s="76">
        <v>0</v>
      </c>
      <c r="L178" s="76">
        <v>0</v>
      </c>
      <c r="M178" s="76">
        <v>0</v>
      </c>
      <c r="N178" s="76">
        <v>0</v>
      </c>
      <c r="O178" s="76">
        <v>0</v>
      </c>
      <c r="P178" s="76">
        <v>0</v>
      </c>
      <c r="Q178" s="76">
        <v>0</v>
      </c>
      <c r="R178" s="76">
        <v>0</v>
      </c>
    </row>
    <row r="179" spans="1:18" ht="15.75" hidden="1" x14ac:dyDescent="0.25">
      <c r="A179" s="17"/>
      <c r="B179" s="17"/>
      <c r="C179" s="17"/>
      <c r="D179" s="17"/>
      <c r="E179" s="17"/>
      <c r="F179" s="31" t="s">
        <v>21</v>
      </c>
      <c r="G179" s="76">
        <v>0</v>
      </c>
      <c r="H179" s="76">
        <v>0</v>
      </c>
      <c r="I179" s="76">
        <v>0</v>
      </c>
      <c r="J179" s="76">
        <v>0</v>
      </c>
      <c r="K179" s="76">
        <v>0</v>
      </c>
      <c r="L179" s="76">
        <v>0</v>
      </c>
      <c r="M179" s="76">
        <v>0</v>
      </c>
      <c r="N179" s="76">
        <v>0</v>
      </c>
      <c r="O179" s="76">
        <v>0</v>
      </c>
      <c r="P179" s="76">
        <v>0</v>
      </c>
      <c r="Q179" s="76">
        <v>0</v>
      </c>
      <c r="R179" s="76">
        <v>0</v>
      </c>
    </row>
    <row r="180" spans="1:18" ht="15.75" hidden="1" x14ac:dyDescent="0.25">
      <c r="A180" s="17"/>
      <c r="B180" s="17"/>
      <c r="C180" s="17"/>
      <c r="D180" s="17"/>
      <c r="E180" s="17"/>
      <c r="F180" s="31" t="s">
        <v>21</v>
      </c>
      <c r="G180" s="76">
        <v>0</v>
      </c>
      <c r="H180" s="76">
        <v>0</v>
      </c>
      <c r="I180" s="76">
        <v>0</v>
      </c>
      <c r="J180" s="76">
        <v>0</v>
      </c>
      <c r="K180" s="76">
        <v>0</v>
      </c>
      <c r="L180" s="76">
        <v>0</v>
      </c>
      <c r="M180" s="76">
        <v>0</v>
      </c>
      <c r="N180" s="76">
        <v>0</v>
      </c>
      <c r="O180" s="76">
        <v>0</v>
      </c>
      <c r="P180" s="76">
        <v>0</v>
      </c>
      <c r="Q180" s="76">
        <v>0</v>
      </c>
      <c r="R180" s="76">
        <v>0</v>
      </c>
    </row>
    <row r="181" spans="1:18" ht="15.75" hidden="1" x14ac:dyDescent="0.25">
      <c r="A181" s="17"/>
      <c r="B181" s="17"/>
      <c r="C181" s="17"/>
      <c r="D181" s="17"/>
      <c r="E181" s="17"/>
      <c r="F181" s="31" t="s">
        <v>21</v>
      </c>
      <c r="G181" s="76">
        <v>0</v>
      </c>
      <c r="H181" s="76">
        <v>0</v>
      </c>
      <c r="I181" s="76">
        <v>0</v>
      </c>
      <c r="J181" s="76">
        <v>0</v>
      </c>
      <c r="K181" s="76">
        <v>0</v>
      </c>
      <c r="L181" s="76">
        <v>0</v>
      </c>
      <c r="M181" s="76">
        <v>0</v>
      </c>
      <c r="N181" s="76">
        <v>0</v>
      </c>
      <c r="O181" s="76">
        <v>0</v>
      </c>
      <c r="P181" s="76">
        <v>0</v>
      </c>
      <c r="Q181" s="76">
        <v>0</v>
      </c>
      <c r="R181" s="76">
        <v>0</v>
      </c>
    </row>
    <row r="182" spans="1:18" ht="15.75" hidden="1" x14ac:dyDescent="0.25">
      <c r="A182" s="17"/>
      <c r="B182" s="17"/>
      <c r="C182" s="17"/>
      <c r="D182" s="17"/>
      <c r="E182" s="17"/>
      <c r="F182" s="31" t="s">
        <v>21</v>
      </c>
      <c r="G182" s="76">
        <v>160000</v>
      </c>
      <c r="H182" s="76">
        <v>160000</v>
      </c>
      <c r="I182" s="76">
        <v>160000</v>
      </c>
      <c r="J182" s="76">
        <v>95400</v>
      </c>
      <c r="K182" s="76">
        <v>95400</v>
      </c>
      <c r="L182" s="76">
        <v>95400</v>
      </c>
      <c r="M182" s="76">
        <v>95400</v>
      </c>
      <c r="N182" s="76">
        <v>130000</v>
      </c>
      <c r="O182" s="76">
        <v>130000</v>
      </c>
      <c r="P182" s="76">
        <v>110000</v>
      </c>
      <c r="Q182" s="76">
        <v>110000</v>
      </c>
      <c r="R182" s="76">
        <v>100000</v>
      </c>
    </row>
    <row r="183" spans="1:18" ht="15.75" hidden="1" x14ac:dyDescent="0.25">
      <c r="A183" s="17"/>
      <c r="B183" s="17"/>
      <c r="C183" s="17"/>
      <c r="D183" s="17"/>
      <c r="E183" s="17"/>
      <c r="F183" s="31" t="s">
        <v>21</v>
      </c>
      <c r="G183" s="76">
        <v>79872</v>
      </c>
      <c r="H183" s="76">
        <v>65490</v>
      </c>
      <c r="I183" s="76">
        <v>65490</v>
      </c>
      <c r="J183" s="76">
        <v>40211</v>
      </c>
      <c r="K183" s="76">
        <v>89029</v>
      </c>
      <c r="L183" s="76">
        <v>96620</v>
      </c>
      <c r="M183" s="76">
        <v>30719</v>
      </c>
      <c r="N183" s="76">
        <v>85307</v>
      </c>
      <c r="O183" s="76">
        <v>39917</v>
      </c>
      <c r="P183" s="76">
        <v>100000</v>
      </c>
      <c r="Q183" s="76">
        <v>219102</v>
      </c>
      <c r="R183" s="76">
        <v>51421</v>
      </c>
    </row>
    <row r="184" spans="1:18" ht="15.75" hidden="1" x14ac:dyDescent="0.25">
      <c r="A184" s="17"/>
      <c r="B184" s="17"/>
      <c r="C184" s="17"/>
      <c r="D184" s="17"/>
      <c r="E184" s="17"/>
      <c r="F184" s="31" t="s">
        <v>21</v>
      </c>
      <c r="G184" s="76">
        <v>8000</v>
      </c>
      <c r="H184" s="76">
        <v>8000</v>
      </c>
      <c r="I184" s="76">
        <v>8000</v>
      </c>
      <c r="J184" s="76">
        <v>8000</v>
      </c>
      <c r="K184" s="76">
        <v>8000</v>
      </c>
      <c r="L184" s="76">
        <v>8000</v>
      </c>
      <c r="M184" s="76">
        <v>8000</v>
      </c>
      <c r="N184" s="76">
        <v>8000</v>
      </c>
      <c r="O184" s="76">
        <v>10000</v>
      </c>
      <c r="P184" s="76">
        <v>10000</v>
      </c>
      <c r="Q184" s="76">
        <v>10000</v>
      </c>
      <c r="R184" s="76">
        <v>10000</v>
      </c>
    </row>
    <row r="185" spans="1:18" ht="15.75" hidden="1" x14ac:dyDescent="0.25">
      <c r="A185" s="17"/>
      <c r="B185" s="17"/>
      <c r="C185" s="17"/>
      <c r="D185" s="17"/>
      <c r="E185" s="17"/>
      <c r="F185" s="31" t="s">
        <v>21</v>
      </c>
      <c r="G185" s="76">
        <v>0</v>
      </c>
      <c r="H185" s="76">
        <v>0</v>
      </c>
      <c r="I185" s="76">
        <v>0</v>
      </c>
      <c r="J185" s="76">
        <v>0</v>
      </c>
      <c r="K185" s="76">
        <v>0</v>
      </c>
      <c r="L185" s="76">
        <v>0</v>
      </c>
      <c r="M185" s="76">
        <v>0</v>
      </c>
      <c r="N185" s="76">
        <v>0</v>
      </c>
      <c r="O185" s="76">
        <v>0</v>
      </c>
      <c r="P185" s="76">
        <v>0</v>
      </c>
      <c r="Q185" s="76">
        <v>0</v>
      </c>
      <c r="R185" s="76">
        <v>0</v>
      </c>
    </row>
    <row r="186" spans="1:18" ht="15.75" hidden="1" x14ac:dyDescent="0.25">
      <c r="A186" s="17"/>
      <c r="B186" s="17"/>
      <c r="C186" s="17"/>
      <c r="D186" s="17"/>
      <c r="E186" s="17"/>
      <c r="F186" s="31" t="s">
        <v>21</v>
      </c>
      <c r="G186" s="76">
        <v>0</v>
      </c>
      <c r="H186" s="76">
        <v>0</v>
      </c>
      <c r="I186" s="76">
        <v>0</v>
      </c>
      <c r="J186" s="76">
        <v>0</v>
      </c>
      <c r="K186" s="76">
        <v>0</v>
      </c>
      <c r="L186" s="76">
        <v>0</v>
      </c>
      <c r="M186" s="76">
        <v>0</v>
      </c>
      <c r="N186" s="76">
        <v>0</v>
      </c>
      <c r="O186" s="76">
        <v>0</v>
      </c>
      <c r="P186" s="76">
        <v>0</v>
      </c>
      <c r="Q186" s="76">
        <v>0</v>
      </c>
      <c r="R186" s="76">
        <v>0</v>
      </c>
    </row>
    <row r="187" spans="1:18" ht="15.75" hidden="1" x14ac:dyDescent="0.25">
      <c r="A187" s="17"/>
      <c r="B187" s="17"/>
      <c r="C187" s="17"/>
      <c r="D187" s="17"/>
      <c r="E187" s="17"/>
      <c r="F187" s="31" t="s">
        <v>21</v>
      </c>
      <c r="G187" s="76">
        <v>200000</v>
      </c>
      <c r="H187" s="76">
        <v>209748</v>
      </c>
      <c r="I187" s="76">
        <v>140000</v>
      </c>
      <c r="J187" s="76">
        <v>134239</v>
      </c>
      <c r="K187" s="76">
        <v>109069</v>
      </c>
      <c r="L187" s="76">
        <v>83900</v>
      </c>
      <c r="M187" s="76">
        <v>83900</v>
      </c>
      <c r="N187" s="76">
        <v>83900</v>
      </c>
      <c r="O187" s="76">
        <v>151019</v>
      </c>
      <c r="P187" s="76">
        <v>151019</v>
      </c>
      <c r="Q187" s="76">
        <v>150000</v>
      </c>
      <c r="R187" s="76">
        <v>100000</v>
      </c>
    </row>
    <row r="188" spans="1:18" ht="15.75" hidden="1" x14ac:dyDescent="0.25">
      <c r="A188" s="17"/>
      <c r="B188" s="17"/>
      <c r="C188" s="17"/>
      <c r="D188" s="17"/>
      <c r="E188" s="17"/>
      <c r="F188" s="31" t="s">
        <v>21</v>
      </c>
      <c r="G188" s="76">
        <v>80574</v>
      </c>
      <c r="H188" s="76">
        <v>80574</v>
      </c>
      <c r="I188" s="76">
        <v>80574</v>
      </c>
      <c r="J188" s="76">
        <v>61665</v>
      </c>
      <c r="K188" s="76">
        <v>44047</v>
      </c>
      <c r="L188" s="76">
        <v>44047</v>
      </c>
      <c r="M188" s="76">
        <v>44047</v>
      </c>
      <c r="N188" s="76">
        <v>58670</v>
      </c>
      <c r="O188" s="76">
        <v>68448</v>
      </c>
      <c r="P188" s="76">
        <v>78227</v>
      </c>
      <c r="Q188" s="76">
        <v>78227</v>
      </c>
      <c r="R188" s="76">
        <v>68448</v>
      </c>
    </row>
    <row r="189" spans="1:18" ht="15.75" hidden="1" x14ac:dyDescent="0.25">
      <c r="A189" s="17"/>
      <c r="B189" s="17"/>
      <c r="C189" s="17"/>
      <c r="D189" s="17"/>
      <c r="E189" s="17"/>
      <c r="F189" s="31" t="s">
        <v>21</v>
      </c>
      <c r="G189" s="76">
        <v>62012</v>
      </c>
      <c r="H189" s="76">
        <v>62012</v>
      </c>
      <c r="I189" s="76">
        <v>52472</v>
      </c>
      <c r="J189" s="76">
        <v>33390</v>
      </c>
      <c r="K189" s="76">
        <v>33392</v>
      </c>
      <c r="L189" s="76">
        <v>28622</v>
      </c>
      <c r="M189" s="76">
        <v>28622</v>
      </c>
      <c r="N189" s="76">
        <v>28622</v>
      </c>
      <c r="O189" s="76">
        <v>40000</v>
      </c>
      <c r="P189" s="76">
        <v>40000</v>
      </c>
      <c r="Q189" s="76">
        <v>40000</v>
      </c>
      <c r="R189" s="76">
        <v>40000</v>
      </c>
    </row>
    <row r="190" spans="1:18" ht="15.75" hidden="1" x14ac:dyDescent="0.25">
      <c r="A190" s="17"/>
      <c r="B190" s="17"/>
      <c r="C190" s="17"/>
      <c r="D190" s="17"/>
      <c r="E190" s="17"/>
      <c r="F190" s="31" t="s">
        <v>21</v>
      </c>
      <c r="G190" s="76">
        <v>263304</v>
      </c>
      <c r="H190" s="76">
        <v>263304</v>
      </c>
      <c r="I190" s="76">
        <v>188075</v>
      </c>
      <c r="J190" s="76">
        <v>91687</v>
      </c>
      <c r="K190" s="76">
        <v>91687</v>
      </c>
      <c r="L190" s="76">
        <v>91687</v>
      </c>
      <c r="M190" s="76">
        <v>87456</v>
      </c>
      <c r="N190" s="76">
        <v>91687</v>
      </c>
      <c r="O190" s="76">
        <v>188075</v>
      </c>
      <c r="P190" s="76">
        <v>235093</v>
      </c>
      <c r="Q190" s="76">
        <v>188075</v>
      </c>
      <c r="R190" s="76">
        <v>169267</v>
      </c>
    </row>
    <row r="191" spans="1:18" ht="15.75" hidden="1" x14ac:dyDescent="0.25">
      <c r="A191" s="17"/>
      <c r="B191" s="17"/>
      <c r="C191" s="17"/>
      <c r="D191" s="17"/>
      <c r="E191" s="17"/>
      <c r="F191" s="31" t="s">
        <v>21</v>
      </c>
      <c r="G191" s="76">
        <v>1059240</v>
      </c>
      <c r="H191" s="76">
        <v>970970</v>
      </c>
      <c r="I191" s="76">
        <v>838565</v>
      </c>
      <c r="J191" s="76">
        <v>561398</v>
      </c>
      <c r="K191" s="76">
        <v>561398</v>
      </c>
      <c r="L191" s="76">
        <v>514615</v>
      </c>
      <c r="M191" s="76">
        <v>514615</v>
      </c>
      <c r="N191" s="76">
        <v>794430</v>
      </c>
      <c r="O191" s="76">
        <v>850000</v>
      </c>
      <c r="P191" s="76">
        <v>850000</v>
      </c>
      <c r="Q191" s="76">
        <v>820000</v>
      </c>
      <c r="R191" s="76">
        <v>410000</v>
      </c>
    </row>
    <row r="192" spans="1:18" ht="15.75" hidden="1" x14ac:dyDescent="0.25">
      <c r="A192" s="17"/>
      <c r="B192" s="17"/>
      <c r="C192" s="17"/>
      <c r="D192" s="17"/>
      <c r="E192" s="17"/>
      <c r="F192" s="31" t="s">
        <v>21</v>
      </c>
      <c r="G192" s="76">
        <v>14883</v>
      </c>
      <c r="H192" s="76">
        <v>14883</v>
      </c>
      <c r="I192" s="76">
        <v>14883</v>
      </c>
      <c r="J192" s="76">
        <v>14883</v>
      </c>
      <c r="K192" s="76">
        <v>14883</v>
      </c>
      <c r="L192" s="76">
        <v>14883</v>
      </c>
      <c r="M192" s="76">
        <v>14883</v>
      </c>
      <c r="N192" s="76">
        <v>14883</v>
      </c>
      <c r="O192" s="76">
        <v>14883</v>
      </c>
      <c r="P192" s="76">
        <v>14883</v>
      </c>
      <c r="Q192" s="76">
        <v>14883</v>
      </c>
      <c r="R192" s="76">
        <v>14883</v>
      </c>
    </row>
    <row r="193" spans="1:18" ht="15.75" hidden="1" x14ac:dyDescent="0.25">
      <c r="A193" s="17"/>
      <c r="B193" s="17"/>
      <c r="C193" s="17"/>
      <c r="D193" s="17"/>
      <c r="E193" s="17"/>
      <c r="F193" s="31" t="s">
        <v>21</v>
      </c>
      <c r="G193" s="76">
        <v>30900</v>
      </c>
      <c r="H193" s="76">
        <v>25750</v>
      </c>
      <c r="I193" s="76">
        <v>25750</v>
      </c>
      <c r="J193" s="76">
        <v>27038</v>
      </c>
      <c r="K193" s="76">
        <v>21630</v>
      </c>
      <c r="L193" s="76">
        <v>4326</v>
      </c>
      <c r="M193" s="76">
        <v>4326</v>
      </c>
      <c r="N193" s="76">
        <v>3245</v>
      </c>
      <c r="O193" s="76">
        <v>12360</v>
      </c>
      <c r="P193" s="76">
        <v>20600</v>
      </c>
      <c r="Q193" s="76">
        <v>27038</v>
      </c>
      <c r="R193" s="76">
        <v>27038</v>
      </c>
    </row>
    <row r="194" spans="1:18" ht="15.75" hidden="1" x14ac:dyDescent="0.25">
      <c r="A194" s="17"/>
      <c r="B194" s="17"/>
      <c r="C194" s="17"/>
      <c r="D194" s="17"/>
      <c r="E194" s="17"/>
      <c r="F194" s="31" t="s">
        <v>21</v>
      </c>
      <c r="G194" s="76">
        <v>40000</v>
      </c>
      <c r="H194" s="76">
        <v>30000</v>
      </c>
      <c r="I194" s="76">
        <v>23000</v>
      </c>
      <c r="J194" s="76">
        <v>16250</v>
      </c>
      <c r="K194" s="76">
        <v>18000</v>
      </c>
      <c r="L194" s="76">
        <v>8400</v>
      </c>
      <c r="M194" s="76">
        <v>8400</v>
      </c>
      <c r="N194" s="76">
        <v>10000</v>
      </c>
      <c r="O194" s="76">
        <v>20000</v>
      </c>
      <c r="P194" s="76">
        <v>30000</v>
      </c>
      <c r="Q194" s="76">
        <v>30000</v>
      </c>
      <c r="R194" s="76">
        <v>22000</v>
      </c>
    </row>
    <row r="195" spans="1:18" ht="15.75" hidden="1" x14ac:dyDescent="0.25">
      <c r="A195" s="17"/>
      <c r="B195" s="17"/>
      <c r="C195" s="17"/>
      <c r="D195" s="17"/>
      <c r="E195" s="17"/>
      <c r="F195" s="31" t="s">
        <v>21</v>
      </c>
      <c r="G195" s="76">
        <v>12000</v>
      </c>
      <c r="H195" s="76">
        <v>8800</v>
      </c>
      <c r="I195" s="76">
        <v>7700</v>
      </c>
      <c r="J195" s="76">
        <v>7700</v>
      </c>
      <c r="K195" s="76">
        <v>7700</v>
      </c>
      <c r="L195" s="76">
        <v>4400</v>
      </c>
      <c r="M195" s="76">
        <v>4400</v>
      </c>
      <c r="N195" s="76">
        <v>13200</v>
      </c>
      <c r="O195" s="76">
        <v>16500</v>
      </c>
      <c r="P195" s="76">
        <v>16500</v>
      </c>
      <c r="Q195" s="76">
        <v>16500</v>
      </c>
      <c r="R195" s="76">
        <v>16500</v>
      </c>
    </row>
    <row r="196" spans="1:18" ht="15.75" hidden="1" x14ac:dyDescent="0.25">
      <c r="A196" s="17"/>
      <c r="B196" s="17"/>
      <c r="C196" s="17"/>
      <c r="D196" s="17"/>
      <c r="E196" s="17"/>
      <c r="F196" s="31" t="s">
        <v>21</v>
      </c>
      <c r="G196" s="76">
        <v>168000</v>
      </c>
      <c r="H196" s="76">
        <v>168000</v>
      </c>
      <c r="I196" s="76">
        <v>157500</v>
      </c>
      <c r="J196" s="76">
        <v>71820</v>
      </c>
      <c r="K196" s="76">
        <v>53865</v>
      </c>
      <c r="L196" s="76">
        <v>53865</v>
      </c>
      <c r="M196" s="76">
        <v>63000</v>
      </c>
      <c r="N196" s="76">
        <v>84000</v>
      </c>
      <c r="O196" s="76">
        <v>157500</v>
      </c>
      <c r="P196" s="76">
        <v>157500</v>
      </c>
      <c r="Q196" s="76">
        <v>141750</v>
      </c>
      <c r="R196" s="76">
        <v>113400</v>
      </c>
    </row>
    <row r="197" spans="1:18" ht="15.75" hidden="1" x14ac:dyDescent="0.25">
      <c r="A197" s="17"/>
      <c r="B197" s="17"/>
      <c r="C197" s="17"/>
      <c r="D197" s="17"/>
      <c r="E197" s="17"/>
      <c r="F197" s="31" t="s">
        <v>21</v>
      </c>
      <c r="G197" s="76">
        <v>220000</v>
      </c>
      <c r="H197" s="76">
        <v>194480</v>
      </c>
      <c r="I197" s="76">
        <v>156000</v>
      </c>
      <c r="J197" s="76">
        <v>72800</v>
      </c>
      <c r="K197" s="76">
        <v>72800</v>
      </c>
      <c r="L197" s="76">
        <v>62400</v>
      </c>
      <c r="M197" s="76">
        <v>62400</v>
      </c>
      <c r="N197" s="76">
        <v>62400</v>
      </c>
      <c r="O197" s="76">
        <v>124800</v>
      </c>
      <c r="P197" s="76">
        <v>145600</v>
      </c>
      <c r="Q197" s="76">
        <v>145600</v>
      </c>
      <c r="R197" s="76">
        <v>104000</v>
      </c>
    </row>
    <row r="198" spans="1:18" ht="15.75" hidden="1" x14ac:dyDescent="0.25">
      <c r="A198" s="17"/>
      <c r="B198" s="17"/>
      <c r="C198" s="17"/>
      <c r="D198" s="17"/>
      <c r="E198" s="17"/>
      <c r="F198" s="31" t="s">
        <v>21</v>
      </c>
      <c r="G198" s="76">
        <v>4320</v>
      </c>
      <c r="H198" s="76">
        <v>0</v>
      </c>
      <c r="I198" s="76">
        <v>8640</v>
      </c>
      <c r="J198" s="76">
        <v>0</v>
      </c>
      <c r="K198" s="76">
        <v>0</v>
      </c>
      <c r="L198" s="76">
        <v>0</v>
      </c>
      <c r="M198" s="76">
        <v>0</v>
      </c>
      <c r="N198" s="76">
        <v>4320</v>
      </c>
      <c r="O198" s="76">
        <v>0</v>
      </c>
      <c r="P198" s="76">
        <v>4320</v>
      </c>
      <c r="Q198" s="76">
        <v>4320</v>
      </c>
      <c r="R198" s="76">
        <v>4320</v>
      </c>
    </row>
    <row r="199" spans="1:18" ht="15.75" hidden="1" x14ac:dyDescent="0.25">
      <c r="A199" s="17"/>
      <c r="B199" s="17"/>
      <c r="C199" s="17"/>
      <c r="D199" s="17"/>
      <c r="E199" s="17"/>
      <c r="F199" s="31" t="s">
        <v>21</v>
      </c>
      <c r="G199" s="76">
        <v>0</v>
      </c>
      <c r="H199" s="76">
        <v>10400</v>
      </c>
      <c r="I199" s="76">
        <v>0</v>
      </c>
      <c r="J199" s="76">
        <v>0</v>
      </c>
      <c r="K199" s="76">
        <v>10400</v>
      </c>
      <c r="L199" s="76">
        <v>0</v>
      </c>
      <c r="M199" s="76">
        <v>5200</v>
      </c>
      <c r="N199" s="76">
        <v>0</v>
      </c>
      <c r="O199" s="76">
        <v>10400</v>
      </c>
      <c r="P199" s="76">
        <v>0</v>
      </c>
      <c r="Q199" s="76">
        <v>10400</v>
      </c>
      <c r="R199" s="76">
        <v>0</v>
      </c>
    </row>
    <row r="200" spans="1:18" ht="15.75" hidden="1" x14ac:dyDescent="0.25">
      <c r="A200" s="17"/>
      <c r="B200" s="17"/>
      <c r="C200" s="17"/>
      <c r="D200" s="17"/>
      <c r="E200" s="17"/>
      <c r="F200" s="31" t="s">
        <v>21</v>
      </c>
      <c r="G200" s="76">
        <v>10400</v>
      </c>
      <c r="H200" s="76">
        <v>10400</v>
      </c>
      <c r="I200" s="76">
        <v>0</v>
      </c>
      <c r="J200" s="76">
        <v>10400</v>
      </c>
      <c r="K200" s="76">
        <v>0</v>
      </c>
      <c r="L200" s="76">
        <v>10400</v>
      </c>
      <c r="M200" s="76">
        <v>0</v>
      </c>
      <c r="N200" s="76">
        <v>0</v>
      </c>
      <c r="O200" s="76">
        <v>10400</v>
      </c>
      <c r="P200" s="76">
        <v>0</v>
      </c>
      <c r="Q200" s="76">
        <v>10400</v>
      </c>
      <c r="R200" s="76">
        <v>0</v>
      </c>
    </row>
    <row r="201" spans="1:18" ht="15.75" hidden="1" x14ac:dyDescent="0.25">
      <c r="A201" s="17"/>
      <c r="B201" s="17"/>
      <c r="C201" s="17"/>
      <c r="D201" s="17"/>
      <c r="E201" s="17"/>
      <c r="F201" s="31" t="s">
        <v>21</v>
      </c>
      <c r="G201" s="76">
        <v>0</v>
      </c>
      <c r="H201" s="76">
        <v>0</v>
      </c>
      <c r="I201" s="76">
        <v>0</v>
      </c>
      <c r="J201" s="76">
        <v>0</v>
      </c>
      <c r="K201" s="76">
        <v>0</v>
      </c>
      <c r="L201" s="76">
        <v>0</v>
      </c>
      <c r="M201" s="76">
        <v>0</v>
      </c>
      <c r="N201" s="76">
        <v>0</v>
      </c>
      <c r="O201" s="76">
        <v>0</v>
      </c>
      <c r="P201" s="76">
        <v>0</v>
      </c>
      <c r="Q201" s="76">
        <v>0</v>
      </c>
      <c r="R201" s="76">
        <v>0</v>
      </c>
    </row>
    <row r="202" spans="1:18" ht="15.75" hidden="1" x14ac:dyDescent="0.25">
      <c r="A202" s="17"/>
      <c r="B202" s="17"/>
      <c r="C202" s="17"/>
      <c r="D202" s="17"/>
      <c r="E202" s="17"/>
      <c r="F202" s="32" t="s">
        <v>2947</v>
      </c>
      <c r="G202" s="77">
        <v>48037</v>
      </c>
      <c r="H202" s="77">
        <v>48035</v>
      </c>
      <c r="I202" s="77">
        <v>23035</v>
      </c>
      <c r="J202" s="77">
        <v>23035</v>
      </c>
      <c r="K202" s="77">
        <v>23035</v>
      </c>
      <c r="L202" s="77">
        <v>23035</v>
      </c>
      <c r="M202" s="77">
        <v>23035</v>
      </c>
      <c r="N202" s="77">
        <v>23035</v>
      </c>
      <c r="O202" s="77">
        <v>45053</v>
      </c>
      <c r="P202" s="77">
        <v>48873</v>
      </c>
      <c r="Q202" s="77">
        <v>40157</v>
      </c>
      <c r="R202" s="77">
        <v>33035</v>
      </c>
    </row>
    <row r="203" spans="1:18" ht="15.75" hidden="1" x14ac:dyDescent="0.25">
      <c r="A203" s="17"/>
      <c r="B203" s="17"/>
      <c r="C203" s="17"/>
      <c r="D203" s="17"/>
      <c r="E203" s="17"/>
      <c r="F203" s="32" t="s">
        <v>2947</v>
      </c>
      <c r="G203" s="77">
        <v>0</v>
      </c>
      <c r="H203" s="77">
        <v>0</v>
      </c>
      <c r="I203" s="77">
        <v>0</v>
      </c>
      <c r="J203" s="77">
        <v>0</v>
      </c>
      <c r="K203" s="77">
        <v>0</v>
      </c>
      <c r="L203" s="77">
        <v>0</v>
      </c>
      <c r="M203" s="77">
        <v>0</v>
      </c>
      <c r="N203" s="77">
        <v>0</v>
      </c>
      <c r="O203" s="77">
        <v>0</v>
      </c>
      <c r="P203" s="77">
        <v>0</v>
      </c>
      <c r="Q203" s="77">
        <v>0</v>
      </c>
      <c r="R203" s="77">
        <v>0</v>
      </c>
    </row>
    <row r="204" spans="1:18" ht="15.75" hidden="1" x14ac:dyDescent="0.25">
      <c r="A204" s="17"/>
      <c r="B204" s="17"/>
      <c r="C204" s="17"/>
      <c r="D204" s="17"/>
      <c r="E204" s="17"/>
      <c r="F204" s="32" t="s">
        <v>2947</v>
      </c>
      <c r="G204" s="77">
        <v>0</v>
      </c>
      <c r="H204" s="77"/>
      <c r="I204" s="77"/>
      <c r="J204" s="77"/>
      <c r="K204" s="77"/>
      <c r="L204" s="77"/>
      <c r="M204" s="77"/>
      <c r="N204" s="77"/>
      <c r="O204" s="77"/>
      <c r="P204" s="77"/>
      <c r="Q204" s="77"/>
      <c r="R204" s="77"/>
    </row>
    <row r="205" spans="1:18" ht="15.75" hidden="1" x14ac:dyDescent="0.25">
      <c r="A205" s="17"/>
      <c r="B205" s="17"/>
      <c r="C205" s="17"/>
      <c r="D205" s="17"/>
      <c r="E205" s="17"/>
      <c r="F205" s="32" t="s">
        <v>2947</v>
      </c>
      <c r="G205" s="77">
        <v>0</v>
      </c>
      <c r="H205" s="77">
        <v>0</v>
      </c>
      <c r="I205" s="77">
        <v>0</v>
      </c>
      <c r="J205" s="77">
        <v>0</v>
      </c>
      <c r="K205" s="77">
        <v>0</v>
      </c>
      <c r="L205" s="77">
        <v>0</v>
      </c>
      <c r="M205" s="77">
        <v>0</v>
      </c>
      <c r="N205" s="77">
        <v>0</v>
      </c>
      <c r="O205" s="77">
        <v>0</v>
      </c>
      <c r="P205" s="77">
        <v>0</v>
      </c>
      <c r="Q205" s="77">
        <v>0</v>
      </c>
      <c r="R205" s="77">
        <v>0</v>
      </c>
    </row>
    <row r="206" spans="1:18" ht="15.75" hidden="1" x14ac:dyDescent="0.25">
      <c r="A206" s="17"/>
      <c r="B206" s="17"/>
      <c r="C206" s="17"/>
      <c r="D206" s="17"/>
      <c r="E206" s="17"/>
      <c r="F206" s="32" t="s">
        <v>2947</v>
      </c>
      <c r="G206" s="77">
        <v>0</v>
      </c>
      <c r="H206" s="77">
        <v>0</v>
      </c>
      <c r="I206" s="77">
        <v>0</v>
      </c>
      <c r="J206" s="77">
        <v>0</v>
      </c>
      <c r="K206" s="77">
        <v>0</v>
      </c>
      <c r="L206" s="77">
        <v>0</v>
      </c>
      <c r="M206" s="77">
        <v>0</v>
      </c>
      <c r="N206" s="77">
        <v>0</v>
      </c>
      <c r="O206" s="77">
        <v>0</v>
      </c>
      <c r="P206" s="77">
        <v>0</v>
      </c>
      <c r="Q206" s="77">
        <v>0</v>
      </c>
      <c r="R206" s="77">
        <v>0</v>
      </c>
    </row>
    <row r="207" spans="1:18" ht="15.75" hidden="1" x14ac:dyDescent="0.25">
      <c r="A207" s="17"/>
      <c r="B207" s="17"/>
      <c r="C207" s="17"/>
      <c r="D207" s="17"/>
      <c r="E207" s="17"/>
      <c r="F207" s="32" t="s">
        <v>2947</v>
      </c>
      <c r="G207" s="77">
        <v>120000</v>
      </c>
      <c r="H207" s="77">
        <v>120000</v>
      </c>
      <c r="I207" s="77">
        <v>120000</v>
      </c>
      <c r="J207" s="77">
        <v>100000</v>
      </c>
      <c r="K207" s="77">
        <v>100000</v>
      </c>
      <c r="L207" s="77">
        <v>100000</v>
      </c>
      <c r="M207" s="77">
        <v>100000</v>
      </c>
      <c r="N207" s="77">
        <v>100000</v>
      </c>
      <c r="O207" s="77">
        <v>100000</v>
      </c>
      <c r="P207" s="77">
        <v>100000</v>
      </c>
      <c r="Q207" s="77">
        <v>100000</v>
      </c>
      <c r="R207" s="77">
        <v>100000</v>
      </c>
    </row>
    <row r="208" spans="1:18" ht="15.75" hidden="1" x14ac:dyDescent="0.25">
      <c r="A208" s="17"/>
      <c r="B208" s="17"/>
      <c r="C208" s="17"/>
      <c r="D208" s="17"/>
      <c r="E208" s="17"/>
      <c r="F208" s="32" t="s">
        <v>2947</v>
      </c>
      <c r="G208" s="77">
        <v>87502</v>
      </c>
      <c r="H208" s="77">
        <v>112708</v>
      </c>
      <c r="I208" s="77">
        <v>83998</v>
      </c>
      <c r="J208" s="77">
        <v>87430</v>
      </c>
      <c r="K208" s="77">
        <v>136247</v>
      </c>
      <c r="L208" s="77">
        <v>143839</v>
      </c>
      <c r="M208" s="77">
        <v>77937</v>
      </c>
      <c r="N208" s="77">
        <v>132525</v>
      </c>
      <c r="O208" s="77">
        <v>87135</v>
      </c>
      <c r="P208" s="77">
        <v>47218</v>
      </c>
      <c r="Q208" s="77">
        <v>98321</v>
      </c>
      <c r="R208" s="77">
        <v>98640</v>
      </c>
    </row>
    <row r="209" spans="1:18" ht="15.75" hidden="1" x14ac:dyDescent="0.25">
      <c r="A209" s="17"/>
      <c r="B209" s="17"/>
      <c r="C209" s="17"/>
      <c r="D209" s="17"/>
      <c r="E209" s="17"/>
      <c r="F209" s="32" t="s">
        <v>2947</v>
      </c>
      <c r="G209" s="77">
        <v>8000</v>
      </c>
      <c r="H209" s="77">
        <v>8000</v>
      </c>
      <c r="I209" s="77">
        <v>8000</v>
      </c>
      <c r="J209" s="77">
        <v>8000</v>
      </c>
      <c r="K209" s="77">
        <v>8000</v>
      </c>
      <c r="L209" s="77">
        <v>8000</v>
      </c>
      <c r="M209" s="77">
        <v>8000</v>
      </c>
      <c r="N209" s="77">
        <v>8000</v>
      </c>
      <c r="O209" s="77">
        <v>10000</v>
      </c>
      <c r="P209" s="77">
        <v>10000</v>
      </c>
      <c r="Q209" s="77">
        <v>10000</v>
      </c>
      <c r="R209" s="77">
        <v>10000</v>
      </c>
    </row>
    <row r="210" spans="1:18" ht="15.75" hidden="1" x14ac:dyDescent="0.25">
      <c r="A210" s="17"/>
      <c r="B210" s="17"/>
      <c r="C210" s="17"/>
      <c r="D210" s="17"/>
      <c r="E210" s="17"/>
      <c r="F210" s="32" t="s">
        <v>2947</v>
      </c>
      <c r="G210" s="77">
        <v>1</v>
      </c>
      <c r="H210" s="77">
        <v>1</v>
      </c>
      <c r="I210" s="77">
        <v>1</v>
      </c>
      <c r="J210" s="77">
        <v>1</v>
      </c>
      <c r="K210" s="77">
        <v>1</v>
      </c>
      <c r="L210" s="77">
        <v>1</v>
      </c>
      <c r="M210" s="77">
        <v>1</v>
      </c>
      <c r="N210" s="77">
        <v>1</v>
      </c>
      <c r="O210" s="77">
        <v>1</v>
      </c>
      <c r="P210" s="77">
        <v>1</v>
      </c>
      <c r="Q210" s="77">
        <v>1</v>
      </c>
      <c r="R210" s="77">
        <v>1</v>
      </c>
    </row>
    <row r="211" spans="1:18" ht="15.75" hidden="1" x14ac:dyDescent="0.25">
      <c r="A211" s="17"/>
      <c r="B211" s="17"/>
      <c r="C211" s="17"/>
      <c r="D211" s="17"/>
      <c r="E211" s="17"/>
      <c r="F211" s="32" t="s">
        <v>2947</v>
      </c>
      <c r="G211" s="77">
        <v>0</v>
      </c>
      <c r="H211" s="77">
        <v>0</v>
      </c>
      <c r="I211" s="77">
        <v>0</v>
      </c>
      <c r="J211" s="77">
        <v>0</v>
      </c>
      <c r="K211" s="77">
        <v>0</v>
      </c>
      <c r="L211" s="77">
        <v>0</v>
      </c>
      <c r="M211" s="77">
        <v>0</v>
      </c>
      <c r="N211" s="77">
        <v>0</v>
      </c>
      <c r="O211" s="77">
        <v>0</v>
      </c>
      <c r="P211" s="77">
        <v>0</v>
      </c>
      <c r="Q211" s="77">
        <v>0</v>
      </c>
      <c r="R211" s="77">
        <v>0</v>
      </c>
    </row>
    <row r="212" spans="1:18" ht="15.75" hidden="1" x14ac:dyDescent="0.25">
      <c r="A212" s="17"/>
      <c r="B212" s="17"/>
      <c r="C212" s="17"/>
      <c r="D212" s="17"/>
      <c r="E212" s="17"/>
      <c r="F212" s="32" t="s">
        <v>2947</v>
      </c>
      <c r="G212" s="77">
        <v>200000</v>
      </c>
      <c r="H212" s="77">
        <v>200000</v>
      </c>
      <c r="I212" s="77">
        <v>200000</v>
      </c>
      <c r="J212" s="77">
        <v>160000</v>
      </c>
      <c r="K212" s="77">
        <v>130000</v>
      </c>
      <c r="L212" s="77">
        <v>100000</v>
      </c>
      <c r="M212" s="77">
        <v>100000</v>
      </c>
      <c r="N212" s="77">
        <v>100000</v>
      </c>
      <c r="O212" s="77">
        <v>180000</v>
      </c>
      <c r="P212" s="77">
        <v>180000</v>
      </c>
      <c r="Q212" s="77">
        <v>180000</v>
      </c>
      <c r="R212" s="77">
        <v>150000</v>
      </c>
    </row>
    <row r="213" spans="1:18" ht="15.75" hidden="1" x14ac:dyDescent="0.25">
      <c r="A213" s="17"/>
      <c r="B213" s="17"/>
      <c r="C213" s="17"/>
      <c r="D213" s="17"/>
      <c r="E213" s="17"/>
      <c r="F213" s="32" t="s">
        <v>2947</v>
      </c>
      <c r="G213" s="77">
        <v>88800</v>
      </c>
      <c r="H213" s="77">
        <v>88800</v>
      </c>
      <c r="I213" s="77">
        <v>88800</v>
      </c>
      <c r="J213" s="77">
        <v>70000</v>
      </c>
      <c r="K213" s="77">
        <v>50000</v>
      </c>
      <c r="L213" s="77">
        <v>50000</v>
      </c>
      <c r="M213" s="77">
        <v>50000</v>
      </c>
      <c r="N213" s="77">
        <v>66600</v>
      </c>
      <c r="O213" s="77">
        <v>77700</v>
      </c>
      <c r="P213" s="77">
        <v>88800</v>
      </c>
      <c r="Q213" s="77">
        <v>88800</v>
      </c>
      <c r="R213" s="77">
        <v>77700</v>
      </c>
    </row>
    <row r="214" spans="1:18" ht="15.75" hidden="1" x14ac:dyDescent="0.25">
      <c r="A214" s="17"/>
      <c r="B214" s="17"/>
      <c r="C214" s="17"/>
      <c r="D214" s="17"/>
      <c r="E214" s="17"/>
      <c r="F214" s="32" t="s">
        <v>2947</v>
      </c>
      <c r="G214" s="77">
        <v>58751</v>
      </c>
      <c r="H214" s="77">
        <v>58751</v>
      </c>
      <c r="I214" s="77">
        <v>48751</v>
      </c>
      <c r="J214" s="77">
        <v>28751</v>
      </c>
      <c r="K214" s="77">
        <v>28751</v>
      </c>
      <c r="L214" s="77">
        <v>23751</v>
      </c>
      <c r="M214" s="77">
        <v>33751</v>
      </c>
      <c r="N214" s="77">
        <v>33751</v>
      </c>
      <c r="O214" s="77">
        <v>58751</v>
      </c>
      <c r="P214" s="77">
        <v>58751</v>
      </c>
      <c r="Q214" s="77">
        <v>58751</v>
      </c>
      <c r="R214" s="77">
        <v>38751</v>
      </c>
    </row>
    <row r="215" spans="1:18" ht="15.75" hidden="1" x14ac:dyDescent="0.25">
      <c r="A215" s="17"/>
      <c r="B215" s="17"/>
      <c r="C215" s="17"/>
      <c r="D215" s="17"/>
      <c r="E215" s="17"/>
      <c r="F215" s="32" t="s">
        <v>2947</v>
      </c>
      <c r="G215" s="77">
        <v>200000</v>
      </c>
      <c r="H215" s="77">
        <v>200000</v>
      </c>
      <c r="I215" s="77">
        <v>170000</v>
      </c>
      <c r="J215" s="77">
        <v>140000</v>
      </c>
      <c r="K215" s="77">
        <v>140000</v>
      </c>
      <c r="L215" s="77">
        <v>70000</v>
      </c>
      <c r="M215" s="77">
        <v>70000</v>
      </c>
      <c r="N215" s="77">
        <v>70000</v>
      </c>
      <c r="O215" s="77">
        <v>140000</v>
      </c>
      <c r="P215" s="77">
        <v>180000</v>
      </c>
      <c r="Q215" s="77">
        <v>174000</v>
      </c>
      <c r="R215" s="77">
        <v>120000</v>
      </c>
    </row>
    <row r="216" spans="1:18" ht="15.75" hidden="1" x14ac:dyDescent="0.25">
      <c r="A216" s="17"/>
      <c r="B216" s="17"/>
      <c r="C216" s="17"/>
      <c r="D216" s="17"/>
      <c r="E216" s="17"/>
      <c r="F216" s="32" t="s">
        <v>2947</v>
      </c>
      <c r="G216" s="77">
        <v>1126000</v>
      </c>
      <c r="H216" s="77">
        <v>1126000</v>
      </c>
      <c r="I216" s="77">
        <v>1026000</v>
      </c>
      <c r="J216" s="77">
        <v>926000</v>
      </c>
      <c r="K216" s="77">
        <v>776000</v>
      </c>
      <c r="L216" s="77">
        <v>600000</v>
      </c>
      <c r="M216" s="77">
        <v>600000</v>
      </c>
      <c r="N216" s="77">
        <v>776000</v>
      </c>
      <c r="O216" s="77">
        <v>876000</v>
      </c>
      <c r="P216" s="77">
        <v>1076000</v>
      </c>
      <c r="Q216" s="77">
        <v>1076000</v>
      </c>
      <c r="R216" s="77">
        <v>826000</v>
      </c>
    </row>
    <row r="217" spans="1:18" ht="15.75" hidden="1" x14ac:dyDescent="0.25">
      <c r="A217" s="17"/>
      <c r="B217" s="17"/>
      <c r="C217" s="17"/>
      <c r="D217" s="17"/>
      <c r="E217" s="17"/>
      <c r="F217" s="32" t="s">
        <v>2947</v>
      </c>
      <c r="G217" s="77">
        <v>13000</v>
      </c>
      <c r="H217" s="77">
        <v>13000</v>
      </c>
      <c r="I217" s="77">
        <v>13000</v>
      </c>
      <c r="J217" s="77">
        <v>13000</v>
      </c>
      <c r="K217" s="77">
        <v>13000</v>
      </c>
      <c r="L217" s="77">
        <v>13001</v>
      </c>
      <c r="M217" s="77">
        <v>13001</v>
      </c>
      <c r="N217" s="77">
        <v>13000</v>
      </c>
      <c r="O217" s="77">
        <v>13001</v>
      </c>
      <c r="P217" s="77">
        <v>13000</v>
      </c>
      <c r="Q217" s="77">
        <v>13001</v>
      </c>
      <c r="R217" s="77">
        <v>13000</v>
      </c>
    </row>
    <row r="218" spans="1:18" ht="15.75" hidden="1" x14ac:dyDescent="0.25">
      <c r="A218" s="17"/>
      <c r="B218" s="17"/>
      <c r="C218" s="17"/>
      <c r="D218" s="17"/>
      <c r="E218" s="17"/>
      <c r="F218" s="32" t="s">
        <v>2947</v>
      </c>
      <c r="G218" s="77">
        <v>30000</v>
      </c>
      <c r="H218" s="77">
        <v>25000</v>
      </c>
      <c r="I218" s="77">
        <v>25000</v>
      </c>
      <c r="J218" s="77">
        <v>26250</v>
      </c>
      <c r="K218" s="77">
        <v>21000</v>
      </c>
      <c r="L218" s="77">
        <v>4200</v>
      </c>
      <c r="M218" s="77">
        <v>4200</v>
      </c>
      <c r="N218" s="77">
        <v>3150</v>
      </c>
      <c r="O218" s="77">
        <v>12000</v>
      </c>
      <c r="P218" s="77">
        <v>20000</v>
      </c>
      <c r="Q218" s="77">
        <v>26250</v>
      </c>
      <c r="R218" s="77">
        <v>26250</v>
      </c>
    </row>
    <row r="219" spans="1:18" ht="15.75" hidden="1" x14ac:dyDescent="0.25">
      <c r="A219" s="17"/>
      <c r="B219" s="17"/>
      <c r="C219" s="17"/>
      <c r="D219" s="17"/>
      <c r="E219" s="17"/>
      <c r="F219" s="32" t="s">
        <v>2947</v>
      </c>
      <c r="G219" s="77">
        <v>29000</v>
      </c>
      <c r="H219" s="77">
        <v>29000</v>
      </c>
      <c r="I219" s="77">
        <v>28400</v>
      </c>
      <c r="J219" s="77">
        <v>25250</v>
      </c>
      <c r="K219" s="77">
        <v>17000</v>
      </c>
      <c r="L219" s="77">
        <v>7400</v>
      </c>
      <c r="M219" s="77">
        <v>7400</v>
      </c>
      <c r="N219" s="77">
        <v>9000</v>
      </c>
      <c r="O219" s="77">
        <v>19000</v>
      </c>
      <c r="P219" s="77">
        <v>29000</v>
      </c>
      <c r="Q219" s="77">
        <v>29000</v>
      </c>
      <c r="R219" s="77">
        <v>21000</v>
      </c>
    </row>
    <row r="220" spans="1:18" ht="15.75" hidden="1" x14ac:dyDescent="0.25">
      <c r="A220" s="17"/>
      <c r="B220" s="17"/>
      <c r="C220" s="17"/>
      <c r="D220" s="17"/>
      <c r="E220" s="17"/>
      <c r="F220" s="32" t="s">
        <v>2947</v>
      </c>
      <c r="G220" s="77">
        <v>15001</v>
      </c>
      <c r="H220" s="77">
        <v>15001</v>
      </c>
      <c r="I220" s="77">
        <v>12001</v>
      </c>
      <c r="J220" s="77">
        <v>7001</v>
      </c>
      <c r="K220" s="77">
        <v>7001</v>
      </c>
      <c r="L220" s="77">
        <v>7001</v>
      </c>
      <c r="M220" s="77">
        <v>7001</v>
      </c>
      <c r="N220" s="77">
        <v>7001</v>
      </c>
      <c r="O220" s="77">
        <v>12001</v>
      </c>
      <c r="P220" s="77">
        <v>12001</v>
      </c>
      <c r="Q220" s="77">
        <v>12001</v>
      </c>
      <c r="R220" s="77">
        <v>7001</v>
      </c>
    </row>
    <row r="221" spans="1:18" ht="15.75" hidden="1" x14ac:dyDescent="0.25">
      <c r="A221" s="17"/>
      <c r="B221" s="17"/>
      <c r="C221" s="17"/>
      <c r="D221" s="17"/>
      <c r="E221" s="17"/>
      <c r="F221" s="32" t="s">
        <v>2947</v>
      </c>
      <c r="G221" s="77">
        <v>160000</v>
      </c>
      <c r="H221" s="77">
        <v>160000</v>
      </c>
      <c r="I221" s="77">
        <v>150000</v>
      </c>
      <c r="J221" s="77">
        <v>80000</v>
      </c>
      <c r="K221" s="77">
        <v>60000</v>
      </c>
      <c r="L221" s="77">
        <v>60000</v>
      </c>
      <c r="M221" s="77">
        <v>60000</v>
      </c>
      <c r="N221" s="77">
        <v>80000</v>
      </c>
      <c r="O221" s="77">
        <v>150000</v>
      </c>
      <c r="P221" s="77">
        <v>150000</v>
      </c>
      <c r="Q221" s="77">
        <v>150000</v>
      </c>
      <c r="R221" s="77">
        <v>120000</v>
      </c>
    </row>
    <row r="222" spans="1:18" ht="15.75" hidden="1" x14ac:dyDescent="0.25">
      <c r="A222" s="17"/>
      <c r="B222" s="17"/>
      <c r="C222" s="17"/>
      <c r="D222" s="17"/>
      <c r="E222" s="17"/>
      <c r="F222" s="32" t="s">
        <v>2947</v>
      </c>
      <c r="G222" s="77">
        <v>170000</v>
      </c>
      <c r="H222" s="77">
        <v>170000</v>
      </c>
      <c r="I222" s="77">
        <v>150000</v>
      </c>
      <c r="J222" s="77">
        <v>100000</v>
      </c>
      <c r="K222" s="77">
        <v>70000</v>
      </c>
      <c r="L222" s="77">
        <v>60000</v>
      </c>
      <c r="M222" s="77">
        <v>60000</v>
      </c>
      <c r="N222" s="77">
        <v>80000</v>
      </c>
      <c r="O222" s="77">
        <v>110000</v>
      </c>
      <c r="P222" s="77">
        <v>170000</v>
      </c>
      <c r="Q222" s="77">
        <v>170000</v>
      </c>
      <c r="R222" s="77">
        <v>130000</v>
      </c>
    </row>
    <row r="223" spans="1:18" ht="15.75" hidden="1" x14ac:dyDescent="0.25">
      <c r="A223" s="17"/>
      <c r="B223" s="17"/>
      <c r="C223" s="17"/>
      <c r="D223" s="17"/>
      <c r="E223" s="17"/>
      <c r="F223" s="32" t="s">
        <v>2947</v>
      </c>
      <c r="G223" s="77">
        <v>4320</v>
      </c>
      <c r="H223" s="77">
        <v>0</v>
      </c>
      <c r="I223" s="77">
        <v>0</v>
      </c>
      <c r="J223" s="77">
        <v>0</v>
      </c>
      <c r="K223" s="77">
        <v>4320</v>
      </c>
      <c r="L223" s="77">
        <v>0</v>
      </c>
      <c r="M223" s="77">
        <v>0</v>
      </c>
      <c r="N223" s="77">
        <v>4320</v>
      </c>
      <c r="O223" s="77">
        <v>0</v>
      </c>
      <c r="P223" s="77">
        <v>0</v>
      </c>
      <c r="Q223" s="77">
        <v>0</v>
      </c>
      <c r="R223" s="77">
        <v>4320</v>
      </c>
    </row>
    <row r="224" spans="1:18" ht="15.75" hidden="1" x14ac:dyDescent="0.25">
      <c r="A224" s="17"/>
      <c r="B224" s="17"/>
      <c r="C224" s="17"/>
      <c r="D224" s="17"/>
      <c r="E224" s="17"/>
      <c r="F224" s="32" t="s">
        <v>2947</v>
      </c>
      <c r="G224" s="77">
        <v>0</v>
      </c>
      <c r="H224" s="77">
        <v>5200</v>
      </c>
      <c r="I224" s="77">
        <v>0</v>
      </c>
      <c r="J224" s="77">
        <v>5200</v>
      </c>
      <c r="K224" s="77">
        <v>0</v>
      </c>
      <c r="L224" s="77">
        <v>5200</v>
      </c>
      <c r="M224" s="77">
        <v>0</v>
      </c>
      <c r="N224" s="77">
        <v>0</v>
      </c>
      <c r="O224" s="77">
        <v>0</v>
      </c>
      <c r="P224" s="77">
        <v>0</v>
      </c>
      <c r="Q224" s="77">
        <v>0</v>
      </c>
      <c r="R224" s="77">
        <v>5200</v>
      </c>
    </row>
    <row r="225" spans="1:18" ht="15.75" hidden="1" x14ac:dyDescent="0.25">
      <c r="A225" s="17"/>
      <c r="B225" s="17"/>
      <c r="C225" s="17"/>
      <c r="D225" s="17"/>
      <c r="E225" s="17"/>
      <c r="F225" s="32" t="s">
        <v>2947</v>
      </c>
      <c r="G225" s="77">
        <v>0</v>
      </c>
      <c r="H225" s="77">
        <v>5200</v>
      </c>
      <c r="I225" s="77">
        <v>0</v>
      </c>
      <c r="J225" s="77">
        <v>5200</v>
      </c>
      <c r="K225" s="77">
        <v>0</v>
      </c>
      <c r="L225" s="77">
        <v>5200</v>
      </c>
      <c r="M225" s="77">
        <v>0</v>
      </c>
      <c r="N225" s="77">
        <v>0</v>
      </c>
      <c r="O225" s="77">
        <v>0</v>
      </c>
      <c r="P225" s="77">
        <v>0</v>
      </c>
      <c r="Q225" s="77">
        <v>0</v>
      </c>
      <c r="R225" s="77">
        <v>5200</v>
      </c>
    </row>
    <row r="226" spans="1:18" ht="15.75" hidden="1" x14ac:dyDescent="0.25">
      <c r="A226" s="17"/>
      <c r="B226" s="17"/>
      <c r="C226" s="17"/>
      <c r="D226" s="17"/>
      <c r="E226" s="17"/>
      <c r="F226" s="32" t="s">
        <v>2947</v>
      </c>
      <c r="G226" s="77"/>
      <c r="H226" s="77"/>
      <c r="I226" s="77"/>
      <c r="J226" s="77"/>
      <c r="K226" s="77"/>
      <c r="L226" s="77"/>
      <c r="M226" s="77"/>
      <c r="N226" s="77"/>
      <c r="O226" s="77"/>
      <c r="P226" s="77"/>
      <c r="Q226" s="77"/>
      <c r="R226" s="77"/>
    </row>
    <row r="227" spans="1:18" ht="15.75" hidden="1" x14ac:dyDescent="0.25">
      <c r="A227" s="17"/>
      <c r="B227" s="17"/>
      <c r="C227" s="17"/>
      <c r="D227" s="17"/>
      <c r="E227" s="17"/>
      <c r="F227" s="18" t="s">
        <v>32</v>
      </c>
      <c r="G227" s="78">
        <v>30462</v>
      </c>
      <c r="H227" s="78">
        <v>30462</v>
      </c>
      <c r="I227" s="78">
        <v>25385</v>
      </c>
      <c r="J227" s="78">
        <v>14960</v>
      </c>
      <c r="K227" s="78">
        <v>16831</v>
      </c>
      <c r="L227" s="78">
        <v>25548</v>
      </c>
      <c r="M227" s="78">
        <v>24489</v>
      </c>
      <c r="N227" s="78">
        <v>38040</v>
      </c>
      <c r="O227" s="78">
        <v>37761</v>
      </c>
      <c r="P227" s="78">
        <v>40616</v>
      </c>
      <c r="Q227" s="78">
        <v>51341</v>
      </c>
      <c r="R227" s="78">
        <v>22819</v>
      </c>
    </row>
    <row r="228" spans="1:18" ht="15.75" hidden="1" x14ac:dyDescent="0.25">
      <c r="A228" s="17"/>
      <c r="B228" s="17"/>
      <c r="C228" s="17"/>
      <c r="D228" s="17"/>
      <c r="E228" s="17"/>
      <c r="F228" s="18" t="s">
        <v>32</v>
      </c>
      <c r="G228" s="78">
        <v>0</v>
      </c>
      <c r="H228" s="78">
        <v>0</v>
      </c>
      <c r="I228" s="78">
        <v>0</v>
      </c>
      <c r="J228" s="78">
        <v>0</v>
      </c>
      <c r="K228" s="78">
        <v>0</v>
      </c>
      <c r="L228" s="78">
        <v>0</v>
      </c>
      <c r="M228" s="78">
        <v>0</v>
      </c>
      <c r="N228" s="78">
        <v>0</v>
      </c>
      <c r="O228" s="78">
        <v>0</v>
      </c>
      <c r="P228" s="78">
        <v>0</v>
      </c>
      <c r="Q228" s="78">
        <v>0</v>
      </c>
      <c r="R228" s="78">
        <v>0</v>
      </c>
    </row>
    <row r="229" spans="1:18" ht="15.75" hidden="1" x14ac:dyDescent="0.25">
      <c r="A229" s="17"/>
      <c r="B229" s="17"/>
      <c r="C229" s="17"/>
      <c r="D229" s="17"/>
      <c r="E229" s="17"/>
      <c r="F229" s="18" t="s">
        <v>32</v>
      </c>
      <c r="G229" s="78">
        <v>0</v>
      </c>
      <c r="H229" s="78">
        <v>0</v>
      </c>
      <c r="I229" s="78">
        <v>0</v>
      </c>
      <c r="J229" s="78">
        <v>0</v>
      </c>
      <c r="K229" s="78">
        <v>0</v>
      </c>
      <c r="L229" s="78">
        <v>0</v>
      </c>
      <c r="M229" s="78">
        <v>0</v>
      </c>
      <c r="N229" s="78">
        <v>0</v>
      </c>
      <c r="O229" s="78">
        <v>0</v>
      </c>
      <c r="P229" s="78">
        <v>0</v>
      </c>
      <c r="Q229" s="78">
        <v>0</v>
      </c>
      <c r="R229" s="78">
        <v>0</v>
      </c>
    </row>
    <row r="230" spans="1:18" ht="15.75" hidden="1" x14ac:dyDescent="0.25">
      <c r="A230" s="17"/>
      <c r="B230" s="17"/>
      <c r="C230" s="17"/>
      <c r="D230" s="17"/>
      <c r="E230" s="17"/>
      <c r="F230" s="18" t="s">
        <v>32</v>
      </c>
      <c r="G230" s="78">
        <v>0</v>
      </c>
      <c r="H230" s="78">
        <v>0</v>
      </c>
      <c r="I230" s="78">
        <v>0</v>
      </c>
      <c r="J230" s="78">
        <v>0</v>
      </c>
      <c r="K230" s="78">
        <v>0</v>
      </c>
      <c r="L230" s="78">
        <v>0</v>
      </c>
      <c r="M230" s="78">
        <v>0</v>
      </c>
      <c r="N230" s="78">
        <v>0</v>
      </c>
      <c r="O230" s="78">
        <v>0</v>
      </c>
      <c r="P230" s="78">
        <v>0</v>
      </c>
      <c r="Q230" s="78">
        <v>0</v>
      </c>
      <c r="R230" s="78">
        <v>0</v>
      </c>
    </row>
    <row r="231" spans="1:18" ht="15.75" hidden="1" x14ac:dyDescent="0.25">
      <c r="A231" s="17"/>
      <c r="B231" s="17"/>
      <c r="C231" s="17"/>
      <c r="D231" s="17"/>
      <c r="E231" s="17"/>
      <c r="F231" s="18" t="s">
        <v>32</v>
      </c>
      <c r="G231" s="78">
        <v>0</v>
      </c>
      <c r="H231" s="78">
        <v>0</v>
      </c>
      <c r="I231" s="78">
        <v>0</v>
      </c>
      <c r="J231" s="78">
        <v>0</v>
      </c>
      <c r="K231" s="78">
        <v>0</v>
      </c>
      <c r="L231" s="78">
        <v>0</v>
      </c>
      <c r="M231" s="78">
        <v>0</v>
      </c>
      <c r="N231" s="78">
        <v>0</v>
      </c>
      <c r="O231" s="78">
        <v>0</v>
      </c>
      <c r="P231" s="78">
        <v>0</v>
      </c>
      <c r="Q231" s="78">
        <v>0</v>
      </c>
      <c r="R231" s="78">
        <v>0</v>
      </c>
    </row>
    <row r="232" spans="1:18" ht="15.75" hidden="1" x14ac:dyDescent="0.25">
      <c r="A232" s="17"/>
      <c r="B232" s="17"/>
      <c r="C232" s="17"/>
      <c r="D232" s="17"/>
      <c r="E232" s="17"/>
      <c r="F232" s="18" t="s">
        <v>32</v>
      </c>
      <c r="G232" s="78">
        <v>186884</v>
      </c>
      <c r="H232" s="78">
        <v>186884</v>
      </c>
      <c r="I232" s="78">
        <v>186884</v>
      </c>
      <c r="J232" s="78">
        <v>111431</v>
      </c>
      <c r="K232" s="78">
        <v>111431</v>
      </c>
      <c r="L232" s="78">
        <v>111431</v>
      </c>
      <c r="M232" s="78">
        <v>111431</v>
      </c>
      <c r="N232" s="78">
        <v>151843</v>
      </c>
      <c r="O232" s="78">
        <v>151843</v>
      </c>
      <c r="P232" s="78">
        <v>128483</v>
      </c>
      <c r="Q232" s="78">
        <v>128483</v>
      </c>
      <c r="R232" s="78">
        <v>116802</v>
      </c>
    </row>
    <row r="233" spans="1:18" ht="15.75" hidden="1" x14ac:dyDescent="0.25">
      <c r="A233" s="17"/>
      <c r="B233" s="17"/>
      <c r="C233" s="17"/>
      <c r="D233" s="17"/>
      <c r="E233" s="17"/>
      <c r="F233" s="18" t="s">
        <v>32</v>
      </c>
      <c r="G233" s="78">
        <v>84665</v>
      </c>
      <c r="H233" s="78">
        <v>69420</v>
      </c>
      <c r="I233" s="78">
        <v>69420</v>
      </c>
      <c r="J233" s="78">
        <v>42624</v>
      </c>
      <c r="K233" s="78">
        <v>94371</v>
      </c>
      <c r="L233" s="78">
        <v>102418</v>
      </c>
      <c r="M233" s="78">
        <v>32563</v>
      </c>
      <c r="N233" s="78">
        <v>90426</v>
      </c>
      <c r="O233" s="78">
        <v>42313</v>
      </c>
      <c r="P233" s="78">
        <v>106000</v>
      </c>
      <c r="Q233" s="78">
        <v>232249</v>
      </c>
      <c r="R233" s="78">
        <v>54507</v>
      </c>
    </row>
    <row r="234" spans="1:18" ht="15.75" hidden="1" x14ac:dyDescent="0.25">
      <c r="A234" s="17"/>
      <c r="B234" s="17"/>
      <c r="C234" s="17"/>
      <c r="D234" s="17"/>
      <c r="E234" s="17"/>
      <c r="F234" s="18" t="s">
        <v>32</v>
      </c>
      <c r="G234" s="78">
        <v>8480</v>
      </c>
      <c r="H234" s="78">
        <v>8480</v>
      </c>
      <c r="I234" s="78">
        <v>8480</v>
      </c>
      <c r="J234" s="78">
        <v>8480</v>
      </c>
      <c r="K234" s="78">
        <v>8480</v>
      </c>
      <c r="L234" s="78">
        <v>8480</v>
      </c>
      <c r="M234" s="78">
        <v>8480</v>
      </c>
      <c r="N234" s="78">
        <v>8480</v>
      </c>
      <c r="O234" s="78">
        <v>10600</v>
      </c>
      <c r="P234" s="78">
        <v>10600</v>
      </c>
      <c r="Q234" s="78">
        <v>10600</v>
      </c>
      <c r="R234" s="78">
        <v>10600</v>
      </c>
    </row>
    <row r="235" spans="1:18" ht="15.75" hidden="1" x14ac:dyDescent="0.25">
      <c r="A235" s="17"/>
      <c r="B235" s="17"/>
      <c r="C235" s="17"/>
      <c r="D235" s="17"/>
      <c r="E235" s="17"/>
      <c r="F235" s="18" t="s">
        <v>32</v>
      </c>
      <c r="G235" s="78">
        <v>0</v>
      </c>
      <c r="H235" s="78">
        <v>0</v>
      </c>
      <c r="I235" s="78">
        <v>0</v>
      </c>
      <c r="J235" s="78">
        <v>0</v>
      </c>
      <c r="K235" s="78">
        <v>0</v>
      </c>
      <c r="L235" s="78">
        <v>0</v>
      </c>
      <c r="M235" s="78">
        <v>0</v>
      </c>
      <c r="N235" s="78">
        <v>0</v>
      </c>
      <c r="O235" s="78">
        <v>0</v>
      </c>
      <c r="P235" s="78">
        <v>0</v>
      </c>
      <c r="Q235" s="78">
        <v>0</v>
      </c>
      <c r="R235" s="78">
        <v>0</v>
      </c>
    </row>
    <row r="236" spans="1:18" ht="15.75" hidden="1" x14ac:dyDescent="0.25">
      <c r="A236" s="17"/>
      <c r="B236" s="17"/>
      <c r="C236" s="17"/>
      <c r="D236" s="17"/>
      <c r="E236" s="17"/>
      <c r="F236" s="18" t="s">
        <v>32</v>
      </c>
      <c r="G236" s="78">
        <v>0</v>
      </c>
      <c r="H236" s="78">
        <v>0</v>
      </c>
      <c r="I236" s="78">
        <v>0</v>
      </c>
      <c r="J236" s="78">
        <v>0</v>
      </c>
      <c r="K236" s="78">
        <v>0</v>
      </c>
      <c r="L236" s="78">
        <v>0</v>
      </c>
      <c r="M236" s="78">
        <v>0</v>
      </c>
      <c r="N236" s="78">
        <v>0</v>
      </c>
      <c r="O236" s="78">
        <v>0</v>
      </c>
      <c r="P236" s="78">
        <v>0</v>
      </c>
      <c r="Q236" s="78">
        <v>0</v>
      </c>
      <c r="R236" s="78">
        <v>0</v>
      </c>
    </row>
    <row r="237" spans="1:18" ht="15.75" hidden="1" x14ac:dyDescent="0.25">
      <c r="A237" s="17"/>
      <c r="B237" s="17"/>
      <c r="C237" s="17"/>
      <c r="D237" s="17"/>
      <c r="E237" s="17"/>
      <c r="F237" s="18" t="s">
        <v>32</v>
      </c>
      <c r="G237" s="78">
        <v>269759</v>
      </c>
      <c r="H237" s="78">
        <v>240856</v>
      </c>
      <c r="I237" s="78">
        <v>192685</v>
      </c>
      <c r="J237" s="78">
        <v>154149</v>
      </c>
      <c r="K237" s="78">
        <v>125247</v>
      </c>
      <c r="L237" s="78">
        <v>96343</v>
      </c>
      <c r="M237" s="78">
        <v>96343</v>
      </c>
      <c r="N237" s="78">
        <v>96343</v>
      </c>
      <c r="O237" s="78">
        <v>173417</v>
      </c>
      <c r="P237" s="78">
        <v>173417</v>
      </c>
      <c r="Q237" s="78">
        <v>192685</v>
      </c>
      <c r="R237" s="78">
        <v>144514</v>
      </c>
    </row>
    <row r="238" spans="1:18" ht="15.75" hidden="1" x14ac:dyDescent="0.25">
      <c r="A238" s="17"/>
      <c r="B238" s="17"/>
      <c r="C238" s="17"/>
      <c r="D238" s="17"/>
      <c r="E238" s="17"/>
      <c r="F238" s="18" t="s">
        <v>32</v>
      </c>
      <c r="G238" s="78">
        <v>89991</v>
      </c>
      <c r="H238" s="78">
        <v>89991</v>
      </c>
      <c r="I238" s="78">
        <v>89991</v>
      </c>
      <c r="J238" s="78">
        <v>68872</v>
      </c>
      <c r="K238" s="78">
        <v>49194</v>
      </c>
      <c r="L238" s="78">
        <v>49194</v>
      </c>
      <c r="M238" s="78">
        <v>49194</v>
      </c>
      <c r="N238" s="78">
        <v>65528</v>
      </c>
      <c r="O238" s="78">
        <v>76450</v>
      </c>
      <c r="P238" s="78">
        <v>87371</v>
      </c>
      <c r="Q238" s="78">
        <v>87371</v>
      </c>
      <c r="R238" s="78">
        <v>76450</v>
      </c>
    </row>
    <row r="239" spans="1:18" ht="15.75" hidden="1" x14ac:dyDescent="0.25">
      <c r="A239" s="17"/>
      <c r="B239" s="17"/>
      <c r="C239" s="17"/>
      <c r="D239" s="17"/>
      <c r="E239" s="17"/>
      <c r="F239" s="18" t="s">
        <v>32</v>
      </c>
      <c r="G239" s="78">
        <v>70323</v>
      </c>
      <c r="H239" s="78">
        <v>70323</v>
      </c>
      <c r="I239" s="78">
        <v>59504</v>
      </c>
      <c r="J239" s="78">
        <v>37865</v>
      </c>
      <c r="K239" s="78">
        <v>37867</v>
      </c>
      <c r="L239" s="78">
        <v>32459</v>
      </c>
      <c r="M239" s="78">
        <v>32459</v>
      </c>
      <c r="N239" s="78">
        <v>32459</v>
      </c>
      <c r="O239" s="78">
        <v>70323</v>
      </c>
      <c r="P239" s="78">
        <v>70320</v>
      </c>
      <c r="Q239" s="78">
        <v>70320</v>
      </c>
      <c r="R239" s="78">
        <v>48686</v>
      </c>
    </row>
    <row r="240" spans="1:18" ht="15.75" hidden="1" x14ac:dyDescent="0.25">
      <c r="A240" s="17"/>
      <c r="B240" s="17"/>
      <c r="C240" s="17"/>
      <c r="D240" s="17"/>
      <c r="E240" s="17"/>
      <c r="F240" s="18" t="s">
        <v>32</v>
      </c>
      <c r="G240" s="78">
        <v>279102</v>
      </c>
      <c r="H240" s="78">
        <v>279102</v>
      </c>
      <c r="I240" s="78">
        <v>199360</v>
      </c>
      <c r="J240" s="78">
        <v>97189</v>
      </c>
      <c r="K240" s="78">
        <v>97189</v>
      </c>
      <c r="L240" s="78">
        <v>97189</v>
      </c>
      <c r="M240" s="78">
        <v>92704</v>
      </c>
      <c r="N240" s="78">
        <v>97189</v>
      </c>
      <c r="O240" s="78">
        <v>199360</v>
      </c>
      <c r="P240" s="78">
        <v>249199</v>
      </c>
      <c r="Q240" s="78">
        <v>199360</v>
      </c>
      <c r="R240" s="78">
        <v>179423</v>
      </c>
    </row>
    <row r="241" spans="1:18" ht="15.75" hidden="1" x14ac:dyDescent="0.25">
      <c r="A241" s="17"/>
      <c r="B241" s="17"/>
      <c r="C241" s="17"/>
      <c r="D241" s="17"/>
      <c r="E241" s="17"/>
      <c r="F241" s="18" t="s">
        <v>32</v>
      </c>
      <c r="G241" s="78">
        <v>1153024</v>
      </c>
      <c r="H241" s="78">
        <v>1056939</v>
      </c>
      <c r="I241" s="78">
        <v>912811</v>
      </c>
      <c r="J241" s="78">
        <v>611103</v>
      </c>
      <c r="K241" s="78">
        <v>611103</v>
      </c>
      <c r="L241" s="78">
        <v>560179</v>
      </c>
      <c r="M241" s="78">
        <v>560179</v>
      </c>
      <c r="N241" s="78">
        <v>864769</v>
      </c>
      <c r="O241" s="78">
        <v>912811</v>
      </c>
      <c r="P241" s="78">
        <v>1056939</v>
      </c>
      <c r="Q241" s="78">
        <v>1056939</v>
      </c>
      <c r="R241" s="78">
        <v>768683</v>
      </c>
    </row>
    <row r="242" spans="1:18" ht="15.75" hidden="1" x14ac:dyDescent="0.25">
      <c r="A242" s="17"/>
      <c r="B242" s="17"/>
      <c r="C242" s="17"/>
      <c r="D242" s="17"/>
      <c r="E242" s="17"/>
      <c r="F242" s="18" t="s">
        <v>32</v>
      </c>
      <c r="G242" s="78">
        <v>15776</v>
      </c>
      <c r="H242" s="78">
        <v>15776</v>
      </c>
      <c r="I242" s="78">
        <v>15776</v>
      </c>
      <c r="J242" s="78">
        <v>15776</v>
      </c>
      <c r="K242" s="78">
        <v>15776</v>
      </c>
      <c r="L242" s="78">
        <v>15776</v>
      </c>
      <c r="M242" s="78">
        <v>15776</v>
      </c>
      <c r="N242" s="78">
        <v>15776</v>
      </c>
      <c r="O242" s="78">
        <v>15776</v>
      </c>
      <c r="P242" s="78">
        <v>15776</v>
      </c>
      <c r="Q242" s="78">
        <v>15776</v>
      </c>
      <c r="R242" s="78">
        <v>15776</v>
      </c>
    </row>
    <row r="243" spans="1:18" ht="15.75" hidden="1" x14ac:dyDescent="0.25">
      <c r="A243" s="17"/>
      <c r="B243" s="17"/>
      <c r="C243" s="17"/>
      <c r="D243" s="17"/>
      <c r="E243" s="17"/>
      <c r="F243" s="18" t="s">
        <v>32</v>
      </c>
      <c r="G243" s="78">
        <v>30462</v>
      </c>
      <c r="H243" s="78">
        <v>25385</v>
      </c>
      <c r="I243" s="78">
        <v>25385</v>
      </c>
      <c r="J243" s="78">
        <v>26655</v>
      </c>
      <c r="K243" s="78">
        <v>21324</v>
      </c>
      <c r="L243" s="78">
        <v>4265</v>
      </c>
      <c r="M243" s="78">
        <v>4265</v>
      </c>
      <c r="N243" s="78">
        <v>3200</v>
      </c>
      <c r="O243" s="78">
        <v>12185</v>
      </c>
      <c r="P243" s="78">
        <v>20308</v>
      </c>
      <c r="Q243" s="78">
        <v>26655</v>
      </c>
      <c r="R243" s="78">
        <v>26655</v>
      </c>
    </row>
    <row r="244" spans="1:18" ht="15.75" hidden="1" x14ac:dyDescent="0.25">
      <c r="A244" s="17"/>
      <c r="B244" s="17"/>
      <c r="C244" s="17"/>
      <c r="D244" s="17"/>
      <c r="E244" s="17"/>
      <c r="F244" s="18" t="s">
        <v>32</v>
      </c>
      <c r="G244" s="78">
        <v>42000</v>
      </c>
      <c r="H244" s="78">
        <v>31500</v>
      </c>
      <c r="I244" s="78">
        <v>24150</v>
      </c>
      <c r="J244" s="78">
        <v>17063</v>
      </c>
      <c r="K244" s="78">
        <v>18900</v>
      </c>
      <c r="L244" s="78">
        <v>8820</v>
      </c>
      <c r="M244" s="78">
        <v>8820</v>
      </c>
      <c r="N244" s="78">
        <v>10500</v>
      </c>
      <c r="O244" s="78">
        <v>21000</v>
      </c>
      <c r="P244" s="78">
        <v>31500</v>
      </c>
      <c r="Q244" s="78">
        <v>31500</v>
      </c>
      <c r="R244" s="78">
        <v>23100</v>
      </c>
    </row>
    <row r="245" spans="1:18" ht="15.75" hidden="1" x14ac:dyDescent="0.25">
      <c r="A245" s="17"/>
      <c r="B245" s="17"/>
      <c r="C245" s="17"/>
      <c r="D245" s="17"/>
      <c r="E245" s="17"/>
      <c r="F245" s="18" t="s">
        <v>32</v>
      </c>
      <c r="G245" s="78">
        <v>12720</v>
      </c>
      <c r="H245" s="78">
        <v>9328</v>
      </c>
      <c r="I245" s="78">
        <v>8162</v>
      </c>
      <c r="J245" s="78">
        <v>8162</v>
      </c>
      <c r="K245" s="78">
        <v>8162</v>
      </c>
      <c r="L245" s="78">
        <v>4664</v>
      </c>
      <c r="M245" s="78">
        <v>4664</v>
      </c>
      <c r="N245" s="78">
        <v>13992</v>
      </c>
      <c r="O245" s="78">
        <v>17490</v>
      </c>
      <c r="P245" s="78">
        <v>17490</v>
      </c>
      <c r="Q245" s="78">
        <v>17490</v>
      </c>
      <c r="R245" s="78">
        <v>17490</v>
      </c>
    </row>
    <row r="246" spans="1:18" ht="15.75" hidden="1" x14ac:dyDescent="0.25">
      <c r="A246" s="17"/>
      <c r="B246" s="17"/>
      <c r="C246" s="17"/>
      <c r="D246" s="17"/>
      <c r="E246" s="17"/>
      <c r="F246" s="18" t="s">
        <v>32</v>
      </c>
      <c r="G246" s="78">
        <v>100130</v>
      </c>
      <c r="H246" s="78">
        <v>144756</v>
      </c>
      <c r="I246" s="78">
        <v>104622</v>
      </c>
      <c r="J246" s="78">
        <v>62774</v>
      </c>
      <c r="K246" s="78">
        <v>62774</v>
      </c>
      <c r="L246" s="78">
        <v>62774</v>
      </c>
      <c r="M246" s="78">
        <v>62774</v>
      </c>
      <c r="N246" s="78">
        <v>83698</v>
      </c>
      <c r="O246" s="78">
        <v>136009</v>
      </c>
      <c r="P246" s="78">
        <v>146471</v>
      </c>
      <c r="Q246" s="78">
        <v>146471</v>
      </c>
      <c r="R246" s="78">
        <v>83698</v>
      </c>
    </row>
    <row r="247" spans="1:18" ht="15.75" hidden="1" x14ac:dyDescent="0.25">
      <c r="A247" s="17"/>
      <c r="B247" s="17"/>
      <c r="C247" s="17"/>
      <c r="D247" s="17"/>
      <c r="E247" s="17"/>
      <c r="F247" s="18" t="s">
        <v>32</v>
      </c>
      <c r="G247" s="78">
        <v>212000</v>
      </c>
      <c r="H247" s="81">
        <v>190800</v>
      </c>
      <c r="I247" s="81">
        <v>159000</v>
      </c>
      <c r="J247" s="81">
        <v>74200</v>
      </c>
      <c r="K247" s="81">
        <v>77168</v>
      </c>
      <c r="L247" s="81">
        <v>66144</v>
      </c>
      <c r="M247" s="81">
        <v>66144</v>
      </c>
      <c r="N247" s="81">
        <v>66144</v>
      </c>
      <c r="O247" s="81">
        <v>132288</v>
      </c>
      <c r="P247" s="81">
        <v>154336</v>
      </c>
      <c r="Q247" s="81">
        <v>154336</v>
      </c>
      <c r="R247" s="81">
        <v>110240</v>
      </c>
    </row>
    <row r="248" spans="1:18" ht="15.75" hidden="1" x14ac:dyDescent="0.25">
      <c r="A248" s="17"/>
      <c r="B248" s="17"/>
      <c r="C248" s="17"/>
      <c r="D248" s="17"/>
      <c r="E248" s="17"/>
      <c r="F248" s="18" t="s">
        <v>32</v>
      </c>
      <c r="G248" s="78">
        <v>4536</v>
      </c>
      <c r="H248" s="82">
        <v>0</v>
      </c>
      <c r="I248" s="82">
        <v>9072</v>
      </c>
      <c r="J248" s="82">
        <v>0</v>
      </c>
      <c r="K248" s="82">
        <v>0</v>
      </c>
      <c r="L248" s="82">
        <v>0</v>
      </c>
      <c r="M248" s="82">
        <v>0</v>
      </c>
      <c r="N248" s="82">
        <v>4536</v>
      </c>
      <c r="O248" s="82">
        <v>0</v>
      </c>
      <c r="P248" s="82">
        <v>4536</v>
      </c>
      <c r="Q248" s="82">
        <v>4536</v>
      </c>
      <c r="R248" s="82">
        <v>4536</v>
      </c>
    </row>
    <row r="249" spans="1:18" ht="15.75" hidden="1" x14ac:dyDescent="0.25">
      <c r="A249" s="17"/>
      <c r="B249" s="17"/>
      <c r="C249" s="17"/>
      <c r="D249" s="17"/>
      <c r="E249" s="17"/>
      <c r="F249" s="18" t="s">
        <v>32</v>
      </c>
      <c r="G249" s="78">
        <v>0</v>
      </c>
      <c r="H249" s="82">
        <v>10400</v>
      </c>
      <c r="I249" s="82">
        <v>0</v>
      </c>
      <c r="J249" s="82">
        <v>0</v>
      </c>
      <c r="K249" s="82">
        <v>10400</v>
      </c>
      <c r="L249" s="82">
        <v>0</v>
      </c>
      <c r="M249" s="82">
        <v>5200</v>
      </c>
      <c r="N249" s="82">
        <v>0</v>
      </c>
      <c r="O249" s="82">
        <v>10400</v>
      </c>
      <c r="P249" s="82">
        <v>0</v>
      </c>
      <c r="Q249" s="82">
        <v>10400</v>
      </c>
      <c r="R249" s="82">
        <v>5200</v>
      </c>
    </row>
    <row r="250" spans="1:18" ht="15.75" hidden="1" x14ac:dyDescent="0.25">
      <c r="A250" s="17"/>
      <c r="B250" s="17"/>
      <c r="C250" s="17"/>
      <c r="D250" s="17"/>
      <c r="E250" s="17"/>
      <c r="F250" s="18" t="s">
        <v>32</v>
      </c>
      <c r="G250" s="78">
        <v>10400</v>
      </c>
      <c r="H250" s="82">
        <v>10400</v>
      </c>
      <c r="I250" s="82">
        <v>0</v>
      </c>
      <c r="J250" s="82">
        <v>10400</v>
      </c>
      <c r="K250" s="82">
        <v>0</v>
      </c>
      <c r="L250" s="82">
        <v>10400</v>
      </c>
      <c r="M250" s="82">
        <v>0</v>
      </c>
      <c r="N250" s="82">
        <v>0</v>
      </c>
      <c r="O250" s="82">
        <v>10400</v>
      </c>
      <c r="P250" s="82">
        <v>0</v>
      </c>
      <c r="Q250" s="82">
        <v>10400</v>
      </c>
      <c r="R250" s="82">
        <v>5200</v>
      </c>
    </row>
    <row r="251" spans="1:18" ht="15.75" hidden="1" x14ac:dyDescent="0.25">
      <c r="A251" s="17"/>
      <c r="B251" s="17"/>
      <c r="C251" s="17"/>
      <c r="D251" s="17"/>
      <c r="E251" s="17"/>
      <c r="F251" s="18" t="s">
        <v>32</v>
      </c>
      <c r="G251" s="78">
        <v>0</v>
      </c>
      <c r="H251" s="82">
        <v>0</v>
      </c>
      <c r="I251" s="82">
        <v>0</v>
      </c>
      <c r="J251" s="82">
        <v>0</v>
      </c>
      <c r="K251" s="82">
        <v>0</v>
      </c>
      <c r="L251" s="82">
        <v>0</v>
      </c>
      <c r="M251" s="82">
        <v>0</v>
      </c>
      <c r="N251" s="82">
        <v>0</v>
      </c>
      <c r="O251" s="82">
        <v>0</v>
      </c>
      <c r="P251" s="82">
        <v>0</v>
      </c>
      <c r="Q251" s="82">
        <v>0</v>
      </c>
      <c r="R251" s="82">
        <v>0</v>
      </c>
    </row>
    <row r="252" spans="1:18" ht="15.75" x14ac:dyDescent="0.25">
      <c r="A252" s="16"/>
      <c r="B252" s="44"/>
      <c r="C252" s="44"/>
      <c r="D252" s="44"/>
      <c r="E252" s="44"/>
      <c r="F252" s="45"/>
      <c r="G252" s="83"/>
      <c r="H252" s="83"/>
      <c r="I252" s="83"/>
      <c r="J252" s="83"/>
      <c r="K252" s="83"/>
      <c r="L252" s="83"/>
      <c r="M252" s="83"/>
      <c r="N252" s="83"/>
      <c r="O252" s="83"/>
      <c r="P252" s="83"/>
      <c r="Q252" s="83"/>
      <c r="R252" s="83"/>
    </row>
    <row r="253" spans="1:18" ht="15.75" x14ac:dyDescent="0.25">
      <c r="A253" s="16"/>
      <c r="B253" s="44"/>
      <c r="C253" s="44"/>
      <c r="D253" s="44"/>
      <c r="E253" s="44"/>
      <c r="F253" s="45"/>
      <c r="G253" s="83"/>
      <c r="H253" s="83"/>
      <c r="I253" s="83"/>
      <c r="J253" s="83"/>
      <c r="K253" s="83"/>
      <c r="L253" s="83"/>
      <c r="M253" s="83"/>
      <c r="N253" s="83"/>
      <c r="O253" s="83"/>
      <c r="P253" s="83"/>
      <c r="Q253" s="83"/>
      <c r="R253" s="83"/>
    </row>
    <row r="254" spans="1:18" ht="15.75" x14ac:dyDescent="0.25">
      <c r="A254" s="16"/>
      <c r="B254" s="44"/>
      <c r="C254" s="44"/>
      <c r="D254" s="44"/>
      <c r="E254" s="44"/>
      <c r="F254" s="45"/>
      <c r="G254" s="83"/>
      <c r="H254" s="83"/>
      <c r="I254" s="83"/>
      <c r="J254" s="83"/>
      <c r="K254" s="83"/>
      <c r="L254" s="83"/>
      <c r="M254" s="83"/>
      <c r="N254" s="83"/>
      <c r="O254" s="83"/>
      <c r="P254" s="83"/>
      <c r="Q254" s="83"/>
      <c r="R254" s="83"/>
    </row>
    <row r="255" spans="1:18" ht="15.75" x14ac:dyDescent="0.25">
      <c r="A255" s="16"/>
      <c r="B255" s="44"/>
      <c r="C255" s="44"/>
      <c r="D255" s="44"/>
      <c r="E255" s="44"/>
      <c r="F255" s="45"/>
      <c r="G255" s="83"/>
      <c r="H255" s="83"/>
      <c r="I255" s="83"/>
      <c r="J255" s="83"/>
      <c r="K255" s="83"/>
      <c r="L255" s="83"/>
      <c r="M255" s="83"/>
      <c r="N255" s="83"/>
      <c r="O255" s="83"/>
      <c r="P255" s="83"/>
      <c r="Q255" s="83"/>
      <c r="R255" s="83"/>
    </row>
    <row r="256" spans="1:18" ht="15.75" x14ac:dyDescent="0.25">
      <c r="A256" s="16"/>
      <c r="B256" s="44"/>
      <c r="C256" s="44"/>
      <c r="D256" s="44"/>
      <c r="E256" s="44"/>
      <c r="F256" s="45"/>
      <c r="G256" s="83"/>
      <c r="H256" s="83"/>
      <c r="I256" s="83"/>
      <c r="J256" s="83"/>
      <c r="K256" s="83"/>
      <c r="L256" s="83"/>
      <c r="M256" s="83"/>
      <c r="N256" s="83"/>
      <c r="O256" s="83"/>
      <c r="P256" s="83"/>
      <c r="Q256" s="83"/>
      <c r="R256" s="83"/>
    </row>
    <row r="257" spans="1:18" ht="15.75" x14ac:dyDescent="0.25">
      <c r="A257" s="16"/>
      <c r="B257" s="44"/>
      <c r="C257" s="44"/>
      <c r="D257" s="44"/>
      <c r="E257" s="44"/>
      <c r="F257" s="45"/>
      <c r="G257" s="83"/>
      <c r="H257" s="83"/>
      <c r="I257" s="83"/>
      <c r="J257" s="83"/>
      <c r="K257" s="83"/>
      <c r="L257" s="83"/>
      <c r="M257" s="83"/>
      <c r="N257" s="83"/>
      <c r="O257" s="83"/>
      <c r="P257" s="83"/>
      <c r="Q257" s="83"/>
      <c r="R257" s="83"/>
    </row>
    <row r="258" spans="1:18" ht="15.75" x14ac:dyDescent="0.25">
      <c r="A258" s="16"/>
      <c r="B258" s="44"/>
      <c r="C258" s="44"/>
      <c r="D258" s="44"/>
      <c r="E258" s="44"/>
      <c r="F258" s="45"/>
      <c r="G258" s="83"/>
      <c r="H258" s="83"/>
      <c r="I258" s="83"/>
      <c r="J258" s="83"/>
      <c r="K258" s="83"/>
      <c r="L258" s="83"/>
      <c r="M258" s="83"/>
      <c r="N258" s="83"/>
      <c r="O258" s="83"/>
      <c r="P258" s="83"/>
      <c r="Q258" s="83"/>
      <c r="R258" s="83"/>
    </row>
    <row r="259" spans="1:18" ht="15.75" x14ac:dyDescent="0.25">
      <c r="A259" s="16"/>
      <c r="B259" s="44"/>
      <c r="C259" s="44"/>
      <c r="D259" s="44"/>
      <c r="E259" s="44"/>
      <c r="F259" s="45"/>
      <c r="G259" s="83"/>
      <c r="H259" s="83"/>
      <c r="I259" s="83"/>
      <c r="J259" s="83"/>
      <c r="K259" s="83"/>
      <c r="L259" s="83"/>
      <c r="M259" s="83"/>
      <c r="N259" s="83"/>
      <c r="O259" s="83"/>
      <c r="P259" s="83"/>
      <c r="Q259" s="83"/>
      <c r="R259" s="83"/>
    </row>
    <row r="260" spans="1:18" ht="15.75" x14ac:dyDescent="0.25">
      <c r="A260" s="16"/>
      <c r="B260" s="44"/>
      <c r="C260" s="44"/>
      <c r="D260" s="44"/>
      <c r="E260" s="44"/>
      <c r="F260" s="45"/>
      <c r="G260" s="83"/>
      <c r="H260" s="83"/>
      <c r="I260" s="83"/>
      <c r="J260" s="83"/>
      <c r="K260" s="83"/>
      <c r="L260" s="83"/>
      <c r="M260" s="83"/>
      <c r="N260" s="83"/>
      <c r="O260" s="83"/>
      <c r="P260" s="83"/>
      <c r="Q260" s="83"/>
      <c r="R260" s="83"/>
    </row>
    <row r="261" spans="1:18" ht="15.75" x14ac:dyDescent="0.25">
      <c r="A261" s="16"/>
      <c r="B261" s="44"/>
      <c r="C261" s="44"/>
      <c r="D261" s="44"/>
      <c r="E261" s="44"/>
      <c r="F261" s="45"/>
      <c r="G261" s="83"/>
      <c r="H261" s="83"/>
      <c r="I261" s="83"/>
      <c r="J261" s="83"/>
      <c r="K261" s="83"/>
      <c r="L261" s="83"/>
      <c r="M261" s="83"/>
      <c r="N261" s="83"/>
      <c r="O261" s="83"/>
      <c r="P261" s="83"/>
      <c r="Q261" s="83"/>
      <c r="R261" s="83"/>
    </row>
    <row r="262" spans="1:18" ht="15.75" x14ac:dyDescent="0.25">
      <c r="A262" s="16"/>
      <c r="B262" s="44"/>
      <c r="C262" s="44"/>
      <c r="D262" s="44"/>
      <c r="E262" s="44"/>
      <c r="F262" s="45"/>
      <c r="G262" s="83"/>
      <c r="H262" s="83"/>
      <c r="I262" s="83"/>
      <c r="J262" s="83"/>
      <c r="K262" s="83"/>
      <c r="L262" s="83"/>
      <c r="M262" s="83"/>
      <c r="N262" s="83"/>
      <c r="O262" s="83"/>
      <c r="P262" s="83"/>
      <c r="Q262" s="83"/>
      <c r="R262" s="83"/>
    </row>
    <row r="263" spans="1:18" ht="15.75" x14ac:dyDescent="0.25">
      <c r="A263" s="16"/>
      <c r="B263" s="44"/>
      <c r="C263" s="44"/>
      <c r="D263" s="44"/>
      <c r="E263" s="44"/>
      <c r="F263" s="45"/>
      <c r="G263" s="83"/>
      <c r="H263" s="83"/>
      <c r="I263" s="83"/>
      <c r="J263" s="83"/>
      <c r="K263" s="83"/>
      <c r="L263" s="83"/>
      <c r="M263" s="83"/>
      <c r="N263" s="83"/>
      <c r="O263" s="83"/>
      <c r="P263" s="83"/>
      <c r="Q263" s="83"/>
      <c r="R263" s="83"/>
    </row>
    <row r="264" spans="1:18" ht="15.75" x14ac:dyDescent="0.25">
      <c r="A264" s="16"/>
      <c r="B264" s="44"/>
      <c r="C264" s="44"/>
      <c r="D264" s="44"/>
      <c r="E264" s="44"/>
      <c r="F264" s="45"/>
      <c r="G264" s="83"/>
      <c r="H264" s="83"/>
      <c r="I264" s="83"/>
      <c r="J264" s="83"/>
      <c r="K264" s="83"/>
      <c r="L264" s="83"/>
      <c r="M264" s="83"/>
      <c r="N264" s="83"/>
      <c r="O264" s="83"/>
      <c r="P264" s="83"/>
      <c r="Q264" s="83"/>
      <c r="R264" s="83"/>
    </row>
    <row r="265" spans="1:18" ht="15.75" x14ac:dyDescent="0.25">
      <c r="A265" s="16"/>
      <c r="B265" s="44"/>
      <c r="C265" s="44"/>
      <c r="D265" s="44"/>
      <c r="E265" s="44"/>
      <c r="F265" s="45"/>
      <c r="G265" s="83"/>
      <c r="H265" s="83"/>
      <c r="I265" s="83"/>
      <c r="J265" s="83"/>
      <c r="K265" s="83"/>
      <c r="L265" s="83"/>
      <c r="M265" s="83"/>
      <c r="N265" s="83"/>
      <c r="O265" s="83"/>
      <c r="P265" s="83"/>
      <c r="Q265" s="83"/>
      <c r="R265" s="83"/>
    </row>
    <row r="266" spans="1:18" ht="15.75" x14ac:dyDescent="0.25">
      <c r="A266" s="16"/>
      <c r="B266" s="44"/>
      <c r="C266" s="44"/>
      <c r="D266" s="44"/>
      <c r="E266" s="44"/>
      <c r="F266" s="45"/>
      <c r="G266" s="83"/>
      <c r="H266" s="83"/>
      <c r="I266" s="83"/>
      <c r="J266" s="83"/>
      <c r="K266" s="83"/>
      <c r="L266" s="83"/>
      <c r="M266" s="83"/>
      <c r="N266" s="83"/>
      <c r="O266" s="83"/>
      <c r="P266" s="83"/>
      <c r="Q266" s="83"/>
      <c r="R266" s="83"/>
    </row>
    <row r="267" spans="1:18" ht="15.75" x14ac:dyDescent="0.25">
      <c r="A267" s="16"/>
      <c r="B267" s="44"/>
      <c r="C267" s="44"/>
      <c r="D267" s="44"/>
      <c r="E267" s="44"/>
      <c r="F267" s="45"/>
      <c r="G267" s="83"/>
      <c r="H267" s="83"/>
      <c r="I267" s="83"/>
      <c r="J267" s="83"/>
      <c r="K267" s="83"/>
      <c r="L267" s="83"/>
      <c r="M267" s="83"/>
      <c r="N267" s="83"/>
      <c r="O267" s="83"/>
      <c r="P267" s="83"/>
      <c r="Q267" s="83"/>
      <c r="R267" s="83"/>
    </row>
    <row r="268" spans="1:18" ht="15.75" x14ac:dyDescent="0.25">
      <c r="A268" s="16"/>
      <c r="B268" s="44"/>
      <c r="C268" s="44"/>
      <c r="D268" s="44"/>
      <c r="E268" s="44"/>
      <c r="F268" s="45"/>
      <c r="G268" s="83"/>
      <c r="H268" s="83"/>
      <c r="I268" s="83"/>
      <c r="J268" s="83"/>
      <c r="K268" s="83"/>
      <c r="L268" s="83"/>
      <c r="M268" s="83"/>
      <c r="N268" s="83"/>
      <c r="O268" s="83"/>
      <c r="P268" s="83"/>
      <c r="Q268" s="83"/>
      <c r="R268" s="83"/>
    </row>
    <row r="269" spans="1:18" ht="15.75" x14ac:dyDescent="0.25">
      <c r="A269" s="16"/>
      <c r="B269" s="44"/>
      <c r="C269" s="44"/>
      <c r="D269" s="44"/>
      <c r="E269" s="44"/>
      <c r="F269" s="45"/>
      <c r="G269" s="83"/>
      <c r="H269" s="83"/>
      <c r="I269" s="83"/>
      <c r="J269" s="83"/>
      <c r="K269" s="83"/>
      <c r="L269" s="83"/>
      <c r="M269" s="83"/>
      <c r="N269" s="83"/>
      <c r="O269" s="83"/>
      <c r="P269" s="83"/>
      <c r="Q269" s="83"/>
      <c r="R269" s="83"/>
    </row>
    <row r="270" spans="1:18" ht="15.75" x14ac:dyDescent="0.25">
      <c r="A270" s="16"/>
      <c r="B270" s="44"/>
      <c r="C270" s="44"/>
      <c r="D270" s="44"/>
      <c r="E270" s="44"/>
      <c r="F270" s="45"/>
      <c r="G270" s="83"/>
      <c r="H270" s="83"/>
      <c r="I270" s="83"/>
      <c r="J270" s="83"/>
      <c r="K270" s="83"/>
      <c r="L270" s="83"/>
      <c r="M270" s="83"/>
      <c r="N270" s="83"/>
      <c r="O270" s="83"/>
      <c r="P270" s="83"/>
      <c r="Q270" s="83"/>
      <c r="R270" s="83"/>
    </row>
    <row r="271" spans="1:18" ht="15.75" x14ac:dyDescent="0.25">
      <c r="A271" s="16"/>
      <c r="B271" s="44"/>
      <c r="C271" s="44"/>
      <c r="D271" s="44"/>
      <c r="E271" s="44"/>
      <c r="F271" s="45"/>
      <c r="G271" s="83"/>
      <c r="H271" s="83"/>
      <c r="I271" s="83"/>
      <c r="J271" s="83"/>
      <c r="K271" s="83"/>
      <c r="L271" s="83"/>
      <c r="M271" s="83"/>
      <c r="N271" s="83"/>
      <c r="O271" s="83"/>
      <c r="P271" s="83"/>
      <c r="Q271" s="83"/>
      <c r="R271" s="83"/>
    </row>
    <row r="272" spans="1:18" ht="15.75" x14ac:dyDescent="0.25">
      <c r="A272" s="16"/>
      <c r="B272" s="44"/>
      <c r="C272" s="44"/>
      <c r="D272" s="44"/>
      <c r="E272" s="44"/>
      <c r="F272" s="45"/>
      <c r="G272" s="83"/>
      <c r="H272" s="83"/>
      <c r="I272" s="83"/>
      <c r="J272" s="83"/>
      <c r="K272" s="83"/>
      <c r="L272" s="83"/>
      <c r="M272" s="83"/>
      <c r="N272" s="83"/>
      <c r="O272" s="83"/>
      <c r="P272" s="83"/>
      <c r="Q272" s="83"/>
      <c r="R272" s="83"/>
    </row>
    <row r="273" spans="1:18" ht="15.75" x14ac:dyDescent="0.25">
      <c r="A273" s="16"/>
      <c r="B273" s="44"/>
      <c r="C273" s="44"/>
      <c r="D273" s="44"/>
      <c r="E273" s="44"/>
      <c r="F273" s="45"/>
      <c r="G273" s="83"/>
      <c r="H273" s="83"/>
      <c r="I273" s="83"/>
      <c r="J273" s="83"/>
      <c r="K273" s="83"/>
      <c r="L273" s="83"/>
      <c r="M273" s="83"/>
      <c r="N273" s="83"/>
      <c r="O273" s="83"/>
      <c r="P273" s="83"/>
      <c r="Q273" s="83"/>
      <c r="R273" s="83"/>
    </row>
    <row r="274" spans="1:18" ht="15.75" x14ac:dyDescent="0.25">
      <c r="A274" s="16"/>
      <c r="B274" s="44"/>
      <c r="C274" s="44"/>
      <c r="D274" s="44"/>
      <c r="E274" s="44"/>
      <c r="F274" s="45"/>
      <c r="G274" s="83"/>
      <c r="H274" s="83"/>
      <c r="I274" s="83"/>
      <c r="J274" s="83"/>
      <c r="K274" s="83"/>
      <c r="L274" s="83"/>
      <c r="M274" s="83"/>
      <c r="N274" s="83"/>
      <c r="O274" s="83"/>
      <c r="P274" s="83"/>
      <c r="Q274" s="83"/>
      <c r="R274" s="83"/>
    </row>
    <row r="275" spans="1:18" ht="15.75" x14ac:dyDescent="0.25">
      <c r="A275" s="16"/>
      <c r="B275" s="44"/>
      <c r="C275" s="44"/>
      <c r="D275" s="44"/>
      <c r="E275" s="44"/>
      <c r="F275" s="45"/>
      <c r="G275" s="83"/>
      <c r="H275" s="83"/>
      <c r="I275" s="83"/>
      <c r="J275" s="83"/>
      <c r="K275" s="83"/>
      <c r="L275" s="83"/>
      <c r="M275" s="83"/>
      <c r="N275" s="83"/>
      <c r="O275" s="83"/>
      <c r="P275" s="83"/>
      <c r="Q275" s="83"/>
      <c r="R275" s="83"/>
    </row>
    <row r="276" spans="1:18" ht="15.75" x14ac:dyDescent="0.25">
      <c r="A276" s="16"/>
      <c r="B276" s="44"/>
      <c r="C276" s="44"/>
      <c r="D276" s="44"/>
      <c r="E276" s="44"/>
      <c r="F276" s="45"/>
      <c r="G276" s="83"/>
      <c r="H276" s="84"/>
      <c r="I276" s="84"/>
      <c r="J276" s="84"/>
      <c r="K276" s="84"/>
      <c r="L276" s="84"/>
      <c r="M276" s="84"/>
      <c r="N276" s="84"/>
      <c r="O276" s="84"/>
      <c r="P276" s="84"/>
      <c r="Q276" s="84"/>
      <c r="R276" s="84"/>
    </row>
    <row r="277" spans="1:18" ht="15.75" hidden="1" x14ac:dyDescent="0.25">
      <c r="A277" s="17"/>
      <c r="B277" s="17"/>
      <c r="C277" s="17"/>
      <c r="D277" s="17"/>
      <c r="E277" s="17"/>
      <c r="F277" s="31" t="s">
        <v>2949</v>
      </c>
      <c r="G277" s="77">
        <v>27198</v>
      </c>
      <c r="H277" s="77">
        <v>27198</v>
      </c>
      <c r="I277" s="77">
        <v>22665</v>
      </c>
      <c r="J277" s="77">
        <v>13357</v>
      </c>
      <c r="K277" s="77">
        <v>15027</v>
      </c>
      <c r="L277" s="77">
        <v>22810</v>
      </c>
      <c r="M277" s="77">
        <v>21865</v>
      </c>
      <c r="N277" s="77">
        <v>33964</v>
      </c>
      <c r="O277" s="77">
        <v>33715</v>
      </c>
      <c r="P277" s="77">
        <v>36264</v>
      </c>
      <c r="Q277" s="77">
        <v>45840</v>
      </c>
      <c r="R277" s="77">
        <v>20374</v>
      </c>
    </row>
    <row r="278" spans="1:18" ht="15.75" hidden="1" x14ac:dyDescent="0.25">
      <c r="A278" s="17"/>
      <c r="B278" s="17"/>
      <c r="C278" s="17"/>
      <c r="D278" s="17"/>
      <c r="E278" s="17"/>
      <c r="F278" s="31" t="s">
        <v>2949</v>
      </c>
      <c r="G278" s="77">
        <v>0</v>
      </c>
      <c r="H278" s="77">
        <v>0</v>
      </c>
      <c r="I278" s="77">
        <v>0</v>
      </c>
      <c r="J278" s="77">
        <v>0</v>
      </c>
      <c r="K278" s="77">
        <v>0</v>
      </c>
      <c r="L278" s="77">
        <v>0</v>
      </c>
      <c r="M278" s="77">
        <v>0</v>
      </c>
      <c r="N278" s="77">
        <v>0</v>
      </c>
      <c r="O278" s="77">
        <v>0</v>
      </c>
      <c r="P278" s="77">
        <v>0</v>
      </c>
      <c r="Q278" s="77">
        <v>0</v>
      </c>
      <c r="R278" s="77">
        <v>0</v>
      </c>
    </row>
    <row r="279" spans="1:18" ht="15.75" hidden="1" x14ac:dyDescent="0.25">
      <c r="A279" s="17"/>
      <c r="B279" s="17"/>
      <c r="C279" s="17"/>
      <c r="D279" s="17"/>
      <c r="E279" s="17"/>
      <c r="F279" s="31" t="s">
        <v>2949</v>
      </c>
      <c r="G279" s="77">
        <v>0</v>
      </c>
      <c r="H279" s="77">
        <v>0</v>
      </c>
      <c r="I279" s="77">
        <v>0</v>
      </c>
      <c r="J279" s="77">
        <v>0</v>
      </c>
      <c r="K279" s="77">
        <v>0</v>
      </c>
      <c r="L279" s="77">
        <v>0</v>
      </c>
      <c r="M279" s="77">
        <v>0</v>
      </c>
      <c r="N279" s="77">
        <v>0</v>
      </c>
      <c r="O279" s="77">
        <v>0</v>
      </c>
      <c r="P279" s="77">
        <v>0</v>
      </c>
      <c r="Q279" s="77">
        <v>0</v>
      </c>
      <c r="R279" s="77">
        <v>0</v>
      </c>
    </row>
    <row r="280" spans="1:18" ht="15.75" hidden="1" x14ac:dyDescent="0.25">
      <c r="A280" s="17"/>
      <c r="B280" s="17"/>
      <c r="C280" s="17"/>
      <c r="D280" s="17"/>
      <c r="E280" s="17"/>
      <c r="F280" s="31" t="s">
        <v>2949</v>
      </c>
      <c r="G280" s="77">
        <v>0</v>
      </c>
      <c r="H280" s="77">
        <v>0</v>
      </c>
      <c r="I280" s="77">
        <v>0</v>
      </c>
      <c r="J280" s="77">
        <v>0</v>
      </c>
      <c r="K280" s="77">
        <v>0</v>
      </c>
      <c r="L280" s="77">
        <v>0</v>
      </c>
      <c r="M280" s="77">
        <v>0</v>
      </c>
      <c r="N280" s="77">
        <v>0</v>
      </c>
      <c r="O280" s="77">
        <v>0</v>
      </c>
      <c r="P280" s="77">
        <v>0</v>
      </c>
      <c r="Q280" s="77">
        <v>0</v>
      </c>
      <c r="R280" s="77">
        <v>0</v>
      </c>
    </row>
    <row r="281" spans="1:18" ht="15.75" hidden="1" x14ac:dyDescent="0.25">
      <c r="A281" s="17"/>
      <c r="B281" s="17"/>
      <c r="C281" s="17"/>
      <c r="D281" s="17"/>
      <c r="E281" s="17"/>
      <c r="F281" s="31" t="s">
        <v>2949</v>
      </c>
      <c r="G281" s="77">
        <v>0</v>
      </c>
      <c r="H281" s="77">
        <v>0</v>
      </c>
      <c r="I281" s="77">
        <v>0</v>
      </c>
      <c r="J281" s="77">
        <v>0</v>
      </c>
      <c r="K281" s="77">
        <v>0</v>
      </c>
      <c r="L281" s="77">
        <v>0</v>
      </c>
      <c r="M281" s="77">
        <v>0</v>
      </c>
      <c r="N281" s="77">
        <v>0</v>
      </c>
      <c r="O281" s="77">
        <v>0</v>
      </c>
      <c r="P281" s="77">
        <v>0</v>
      </c>
      <c r="Q281" s="77">
        <v>0</v>
      </c>
      <c r="R281" s="77">
        <v>0</v>
      </c>
    </row>
    <row r="282" spans="1:18" ht="15.75" hidden="1" x14ac:dyDescent="0.25">
      <c r="A282" s="17"/>
      <c r="B282" s="17"/>
      <c r="C282" s="17"/>
      <c r="D282" s="17"/>
      <c r="E282" s="17"/>
      <c r="F282" s="31" t="s">
        <v>2949</v>
      </c>
      <c r="G282" s="77">
        <v>164800</v>
      </c>
      <c r="H282" s="77">
        <v>164800</v>
      </c>
      <c r="I282" s="77">
        <v>164800</v>
      </c>
      <c r="J282" s="77">
        <v>98262</v>
      </c>
      <c r="K282" s="77">
        <v>98262</v>
      </c>
      <c r="L282" s="77">
        <v>98262</v>
      </c>
      <c r="M282" s="77">
        <v>98262</v>
      </c>
      <c r="N282" s="77">
        <v>133900</v>
      </c>
      <c r="O282" s="77">
        <v>133900</v>
      </c>
      <c r="P282" s="77">
        <v>113300</v>
      </c>
      <c r="Q282" s="77">
        <v>113300</v>
      </c>
      <c r="R282" s="77">
        <v>103000</v>
      </c>
    </row>
    <row r="283" spans="1:18" ht="15.75" hidden="1" x14ac:dyDescent="0.25">
      <c r="A283" s="17"/>
      <c r="B283" s="17"/>
      <c r="C283" s="17"/>
      <c r="D283" s="17"/>
      <c r="E283" s="17"/>
      <c r="F283" s="31" t="s">
        <v>2949</v>
      </c>
      <c r="G283" s="77">
        <v>84665</v>
      </c>
      <c r="H283" s="77">
        <v>69420</v>
      </c>
      <c r="I283" s="77">
        <v>69420</v>
      </c>
      <c r="J283" s="77">
        <v>42624</v>
      </c>
      <c r="K283" s="77">
        <v>94371</v>
      </c>
      <c r="L283" s="77">
        <v>102418</v>
      </c>
      <c r="M283" s="77">
        <v>32563</v>
      </c>
      <c r="N283" s="77">
        <v>90426</v>
      </c>
      <c r="O283" s="77">
        <v>42313</v>
      </c>
      <c r="P283" s="77">
        <v>106000</v>
      </c>
      <c r="Q283" s="77">
        <v>232249</v>
      </c>
      <c r="R283" s="77">
        <v>54507</v>
      </c>
    </row>
    <row r="284" spans="1:18" ht="15.75" hidden="1" x14ac:dyDescent="0.25">
      <c r="A284" s="17"/>
      <c r="B284" s="17"/>
      <c r="C284" s="17"/>
      <c r="D284" s="17"/>
      <c r="E284" s="17"/>
      <c r="F284" s="31" t="s">
        <v>2949</v>
      </c>
      <c r="G284" s="77">
        <v>8480</v>
      </c>
      <c r="H284" s="77">
        <v>8480</v>
      </c>
      <c r="I284" s="77">
        <v>8480</v>
      </c>
      <c r="J284" s="77">
        <v>8480</v>
      </c>
      <c r="K284" s="77">
        <v>8480</v>
      </c>
      <c r="L284" s="77">
        <v>8480</v>
      </c>
      <c r="M284" s="77">
        <v>8480</v>
      </c>
      <c r="N284" s="77">
        <v>8480</v>
      </c>
      <c r="O284" s="77">
        <v>10600</v>
      </c>
      <c r="P284" s="77">
        <v>10600</v>
      </c>
      <c r="Q284" s="77">
        <v>10600</v>
      </c>
      <c r="R284" s="77">
        <v>10600</v>
      </c>
    </row>
    <row r="285" spans="1:18" ht="15.75" hidden="1" x14ac:dyDescent="0.25">
      <c r="A285" s="17"/>
      <c r="B285" s="17"/>
      <c r="C285" s="17"/>
      <c r="D285" s="17"/>
      <c r="E285" s="17"/>
      <c r="F285" s="31" t="s">
        <v>2949</v>
      </c>
      <c r="G285" s="77">
        <v>0</v>
      </c>
      <c r="H285" s="77">
        <v>0</v>
      </c>
      <c r="I285" s="77">
        <v>0</v>
      </c>
      <c r="J285" s="77">
        <v>0</v>
      </c>
      <c r="K285" s="77">
        <v>0</v>
      </c>
      <c r="L285" s="77">
        <v>0</v>
      </c>
      <c r="M285" s="77">
        <v>0</v>
      </c>
      <c r="N285" s="77">
        <v>0</v>
      </c>
      <c r="O285" s="77">
        <v>0</v>
      </c>
      <c r="P285" s="77">
        <v>0</v>
      </c>
      <c r="Q285" s="77">
        <v>0</v>
      </c>
      <c r="R285" s="77">
        <v>0</v>
      </c>
    </row>
    <row r="286" spans="1:18" ht="15.75" hidden="1" x14ac:dyDescent="0.25">
      <c r="A286" s="17"/>
      <c r="B286" s="17"/>
      <c r="C286" s="17"/>
      <c r="D286" s="17"/>
      <c r="E286" s="17"/>
      <c r="F286" s="31" t="s">
        <v>2949</v>
      </c>
      <c r="G286" s="77">
        <v>0</v>
      </c>
      <c r="H286" s="77">
        <v>0</v>
      </c>
      <c r="I286" s="77">
        <v>0</v>
      </c>
      <c r="J286" s="77">
        <v>0</v>
      </c>
      <c r="K286" s="77">
        <v>0</v>
      </c>
      <c r="L286" s="77">
        <v>0</v>
      </c>
      <c r="M286" s="77">
        <v>0</v>
      </c>
      <c r="N286" s="77">
        <v>0</v>
      </c>
      <c r="O286" s="77">
        <v>0</v>
      </c>
      <c r="P286" s="77">
        <v>0</v>
      </c>
      <c r="Q286" s="77">
        <v>0</v>
      </c>
      <c r="R286" s="77">
        <v>0</v>
      </c>
    </row>
    <row r="287" spans="1:18" ht="15.75" hidden="1" x14ac:dyDescent="0.25">
      <c r="A287" s="17"/>
      <c r="B287" s="17"/>
      <c r="C287" s="17"/>
      <c r="D287" s="17"/>
      <c r="E287" s="17"/>
      <c r="F287" s="31" t="s">
        <v>2949</v>
      </c>
      <c r="G287" s="77">
        <v>242370</v>
      </c>
      <c r="H287" s="77">
        <v>216401</v>
      </c>
      <c r="I287" s="77">
        <v>173121</v>
      </c>
      <c r="J287" s="77">
        <v>138498</v>
      </c>
      <c r="K287" s="77">
        <v>112530</v>
      </c>
      <c r="L287" s="77">
        <v>86561</v>
      </c>
      <c r="M287" s="77">
        <v>86561</v>
      </c>
      <c r="N287" s="77">
        <v>86561</v>
      </c>
      <c r="O287" s="77">
        <v>155810</v>
      </c>
      <c r="P287" s="77">
        <v>155810</v>
      </c>
      <c r="Q287" s="77">
        <v>173121</v>
      </c>
      <c r="R287" s="77">
        <v>129841</v>
      </c>
    </row>
    <row r="288" spans="1:18" ht="15.75" hidden="1" x14ac:dyDescent="0.25">
      <c r="A288" s="17"/>
      <c r="B288" s="17"/>
      <c r="C288" s="17"/>
      <c r="D288" s="17"/>
      <c r="E288" s="17"/>
      <c r="F288" s="31" t="s">
        <v>2949</v>
      </c>
      <c r="G288" s="77">
        <v>82560</v>
      </c>
      <c r="H288" s="77">
        <v>82560</v>
      </c>
      <c r="I288" s="77">
        <v>82560</v>
      </c>
      <c r="J288" s="77">
        <v>63185</v>
      </c>
      <c r="K288" s="77">
        <v>45132</v>
      </c>
      <c r="L288" s="77">
        <v>45132</v>
      </c>
      <c r="M288" s="77">
        <v>45132</v>
      </c>
      <c r="N288" s="77">
        <v>60117</v>
      </c>
      <c r="O288" s="77">
        <v>70137</v>
      </c>
      <c r="P288" s="77">
        <v>80156</v>
      </c>
      <c r="Q288" s="77">
        <v>80156</v>
      </c>
      <c r="R288" s="77">
        <v>70137</v>
      </c>
    </row>
    <row r="289" spans="1:18" ht="15.75" hidden="1" x14ac:dyDescent="0.25">
      <c r="A289" s="17"/>
      <c r="B289" s="17"/>
      <c r="C289" s="17"/>
      <c r="D289" s="17"/>
      <c r="E289" s="17"/>
      <c r="F289" s="31" t="s">
        <v>2949</v>
      </c>
      <c r="G289" s="77">
        <v>65113</v>
      </c>
      <c r="H289" s="77">
        <v>65113</v>
      </c>
      <c r="I289" s="77">
        <v>55096</v>
      </c>
      <c r="J289" s="77">
        <v>35060</v>
      </c>
      <c r="K289" s="77">
        <v>35062</v>
      </c>
      <c r="L289" s="77">
        <v>30054</v>
      </c>
      <c r="M289" s="77">
        <v>30054</v>
      </c>
      <c r="N289" s="77">
        <v>30054</v>
      </c>
      <c r="O289" s="77">
        <v>65113</v>
      </c>
      <c r="P289" s="77">
        <v>65111</v>
      </c>
      <c r="Q289" s="77">
        <v>65111</v>
      </c>
      <c r="R289" s="77">
        <v>45079</v>
      </c>
    </row>
    <row r="290" spans="1:18" ht="15.75" hidden="1" x14ac:dyDescent="0.25">
      <c r="A290" s="17"/>
      <c r="B290" s="17"/>
      <c r="C290" s="17"/>
      <c r="D290" s="17"/>
      <c r="E290" s="17"/>
      <c r="F290" s="31" t="s">
        <v>2949</v>
      </c>
      <c r="G290" s="77">
        <v>279102</v>
      </c>
      <c r="H290" s="77">
        <v>279102</v>
      </c>
      <c r="I290" s="77">
        <v>199360</v>
      </c>
      <c r="J290" s="77">
        <v>97189</v>
      </c>
      <c r="K290" s="77">
        <v>97189</v>
      </c>
      <c r="L290" s="77">
        <v>97189</v>
      </c>
      <c r="M290" s="77">
        <v>92704</v>
      </c>
      <c r="N290" s="77">
        <v>97189</v>
      </c>
      <c r="O290" s="77">
        <v>199360</v>
      </c>
      <c r="P290" s="77">
        <v>249199</v>
      </c>
      <c r="Q290" s="77">
        <v>199360</v>
      </c>
      <c r="R290" s="77">
        <v>179423</v>
      </c>
    </row>
    <row r="291" spans="1:18" ht="15.75" hidden="1" x14ac:dyDescent="0.25">
      <c r="A291" s="17"/>
      <c r="B291" s="17"/>
      <c r="C291" s="17"/>
      <c r="D291" s="17"/>
      <c r="E291" s="17"/>
      <c r="F291" s="31" t="s">
        <v>2949</v>
      </c>
      <c r="G291" s="77">
        <v>1087758</v>
      </c>
      <c r="H291" s="77">
        <v>997112</v>
      </c>
      <c r="I291" s="77">
        <v>861142</v>
      </c>
      <c r="J291" s="77">
        <v>576512</v>
      </c>
      <c r="K291" s="77">
        <v>576512</v>
      </c>
      <c r="L291" s="77">
        <v>528470</v>
      </c>
      <c r="M291" s="77">
        <v>528470</v>
      </c>
      <c r="N291" s="77">
        <v>815819</v>
      </c>
      <c r="O291" s="77">
        <v>861142</v>
      </c>
      <c r="P291" s="77">
        <v>997112</v>
      </c>
      <c r="Q291" s="77">
        <v>997112</v>
      </c>
      <c r="R291" s="77">
        <v>725172</v>
      </c>
    </row>
    <row r="292" spans="1:18" ht="15.75" hidden="1" x14ac:dyDescent="0.25">
      <c r="A292" s="17"/>
      <c r="B292" s="17"/>
      <c r="C292" s="17"/>
      <c r="D292" s="17"/>
      <c r="E292" s="17"/>
      <c r="F292" s="31" t="s">
        <v>2949</v>
      </c>
      <c r="G292" s="77">
        <v>15776</v>
      </c>
      <c r="H292" s="77">
        <v>15776</v>
      </c>
      <c r="I292" s="77">
        <v>15776</v>
      </c>
      <c r="J292" s="77">
        <v>15776</v>
      </c>
      <c r="K292" s="77">
        <v>15776</v>
      </c>
      <c r="L292" s="77">
        <v>15776</v>
      </c>
      <c r="M292" s="77">
        <v>15776</v>
      </c>
      <c r="N292" s="77">
        <v>15776</v>
      </c>
      <c r="O292" s="77">
        <v>15776</v>
      </c>
      <c r="P292" s="77">
        <v>15776</v>
      </c>
      <c r="Q292" s="77">
        <v>15776</v>
      </c>
      <c r="R292" s="77">
        <v>15776</v>
      </c>
    </row>
    <row r="293" spans="1:18" ht="15.75" hidden="1" x14ac:dyDescent="0.25">
      <c r="A293" s="17"/>
      <c r="B293" s="17"/>
      <c r="C293" s="17"/>
      <c r="D293" s="17"/>
      <c r="E293" s="17"/>
      <c r="F293" s="31" t="s">
        <v>2949</v>
      </c>
      <c r="G293" s="77">
        <v>32754</v>
      </c>
      <c r="H293" s="77">
        <v>27295</v>
      </c>
      <c r="I293" s="77">
        <v>27295</v>
      </c>
      <c r="J293" s="77">
        <v>28661</v>
      </c>
      <c r="K293" s="77">
        <v>22928</v>
      </c>
      <c r="L293" s="77">
        <v>4586</v>
      </c>
      <c r="M293" s="77">
        <v>4586</v>
      </c>
      <c r="N293" s="77">
        <v>3440</v>
      </c>
      <c r="O293" s="77">
        <v>13102</v>
      </c>
      <c r="P293" s="77">
        <v>21836</v>
      </c>
      <c r="Q293" s="77">
        <v>28661</v>
      </c>
      <c r="R293" s="77">
        <v>28661</v>
      </c>
    </row>
    <row r="294" spans="1:18" ht="15.75" hidden="1" x14ac:dyDescent="0.25">
      <c r="A294" s="17"/>
      <c r="B294" s="17"/>
      <c r="C294" s="17"/>
      <c r="D294" s="17"/>
      <c r="E294" s="17"/>
      <c r="F294" s="31" t="s">
        <v>2949</v>
      </c>
      <c r="G294" s="77">
        <v>42000</v>
      </c>
      <c r="H294" s="77">
        <v>31500</v>
      </c>
      <c r="I294" s="77">
        <v>24150</v>
      </c>
      <c r="J294" s="77">
        <v>17063</v>
      </c>
      <c r="K294" s="77">
        <v>18900</v>
      </c>
      <c r="L294" s="77">
        <v>8820</v>
      </c>
      <c r="M294" s="77">
        <v>8820</v>
      </c>
      <c r="N294" s="77">
        <v>10500</v>
      </c>
      <c r="O294" s="77">
        <v>21000</v>
      </c>
      <c r="P294" s="77">
        <v>31500</v>
      </c>
      <c r="Q294" s="77">
        <v>31500</v>
      </c>
      <c r="R294" s="77">
        <v>23100</v>
      </c>
    </row>
    <row r="295" spans="1:18" ht="15.75" hidden="1" x14ac:dyDescent="0.25">
      <c r="A295" s="17"/>
      <c r="B295" s="17"/>
      <c r="C295" s="17"/>
      <c r="D295" s="17"/>
      <c r="E295" s="17"/>
      <c r="F295" s="31" t="s">
        <v>2949</v>
      </c>
      <c r="G295" s="77">
        <v>12720</v>
      </c>
      <c r="H295" s="77">
        <v>9328</v>
      </c>
      <c r="I295" s="77">
        <v>8162</v>
      </c>
      <c r="J295" s="77">
        <v>8162</v>
      </c>
      <c r="K295" s="77">
        <v>8162</v>
      </c>
      <c r="L295" s="77">
        <v>4664</v>
      </c>
      <c r="M295" s="77">
        <v>4664</v>
      </c>
      <c r="N295" s="77">
        <v>13992</v>
      </c>
      <c r="O295" s="77">
        <v>17490</v>
      </c>
      <c r="P295" s="77">
        <v>17490</v>
      </c>
      <c r="Q295" s="77">
        <v>17490</v>
      </c>
      <c r="R295" s="77">
        <v>17490</v>
      </c>
    </row>
    <row r="296" spans="1:18" ht="15.75" hidden="1" x14ac:dyDescent="0.25">
      <c r="A296" s="17"/>
      <c r="B296" s="17"/>
      <c r="C296" s="17"/>
      <c r="D296" s="17"/>
      <c r="E296" s="17"/>
      <c r="F296" s="31" t="s">
        <v>2949</v>
      </c>
      <c r="G296" s="77">
        <v>178080</v>
      </c>
      <c r="H296" s="77">
        <v>178080</v>
      </c>
      <c r="I296" s="77">
        <v>166950</v>
      </c>
      <c r="J296" s="77">
        <v>76130</v>
      </c>
      <c r="K296" s="77">
        <v>57097</v>
      </c>
      <c r="L296" s="77">
        <v>57097</v>
      </c>
      <c r="M296" s="77">
        <v>66780</v>
      </c>
      <c r="N296" s="77">
        <v>89040</v>
      </c>
      <c r="O296" s="77">
        <v>166950</v>
      </c>
      <c r="P296" s="77">
        <v>166950</v>
      </c>
      <c r="Q296" s="77">
        <v>150255</v>
      </c>
      <c r="R296" s="77">
        <v>120204</v>
      </c>
    </row>
    <row r="297" spans="1:18" ht="15.75" hidden="1" x14ac:dyDescent="0.25">
      <c r="A297" s="17"/>
      <c r="B297" s="17"/>
      <c r="C297" s="17"/>
      <c r="D297" s="17"/>
      <c r="E297" s="17"/>
      <c r="F297" s="31" t="s">
        <v>2949</v>
      </c>
      <c r="G297" s="77">
        <v>233200</v>
      </c>
      <c r="H297" s="77">
        <v>206149</v>
      </c>
      <c r="I297" s="77">
        <v>165360</v>
      </c>
      <c r="J297" s="77">
        <v>77168</v>
      </c>
      <c r="K297" s="77">
        <v>77168</v>
      </c>
      <c r="L297" s="77">
        <v>66144</v>
      </c>
      <c r="M297" s="77">
        <v>66144</v>
      </c>
      <c r="N297" s="77">
        <v>66144</v>
      </c>
      <c r="O297" s="77">
        <v>132288</v>
      </c>
      <c r="P297" s="77">
        <v>154336</v>
      </c>
      <c r="Q297" s="77">
        <v>154336</v>
      </c>
      <c r="R297" s="77">
        <v>110240</v>
      </c>
    </row>
    <row r="298" spans="1:18" ht="15.75" hidden="1" x14ac:dyDescent="0.25">
      <c r="A298" s="17"/>
      <c r="B298" s="17"/>
      <c r="C298" s="17"/>
      <c r="D298" s="17"/>
      <c r="E298" s="17"/>
      <c r="F298" s="31" t="s">
        <v>2949</v>
      </c>
      <c r="G298" s="77">
        <v>4536</v>
      </c>
      <c r="H298" s="77">
        <v>0</v>
      </c>
      <c r="I298" s="77">
        <v>9072</v>
      </c>
      <c r="J298" s="77">
        <v>0</v>
      </c>
      <c r="K298" s="77">
        <v>0</v>
      </c>
      <c r="L298" s="77">
        <v>0</v>
      </c>
      <c r="M298" s="77">
        <v>0</v>
      </c>
      <c r="N298" s="77">
        <v>4536</v>
      </c>
      <c r="O298" s="77">
        <v>0</v>
      </c>
      <c r="P298" s="77">
        <v>4536</v>
      </c>
      <c r="Q298" s="77">
        <v>4536</v>
      </c>
      <c r="R298" s="77">
        <v>4536</v>
      </c>
    </row>
    <row r="299" spans="1:18" ht="15.75" hidden="1" x14ac:dyDescent="0.25">
      <c r="A299" s="17"/>
      <c r="B299" s="17"/>
      <c r="C299" s="17"/>
      <c r="D299" s="17"/>
      <c r="E299" s="17"/>
      <c r="F299" s="31" t="s">
        <v>2949</v>
      </c>
      <c r="G299" s="77">
        <v>0</v>
      </c>
      <c r="H299" s="77">
        <v>10400</v>
      </c>
      <c r="I299" s="77">
        <v>0</v>
      </c>
      <c r="J299" s="77">
        <v>0</v>
      </c>
      <c r="K299" s="77">
        <v>10400</v>
      </c>
      <c r="L299" s="77">
        <v>0</v>
      </c>
      <c r="M299" s="77">
        <v>5200</v>
      </c>
      <c r="N299" s="77">
        <v>0</v>
      </c>
      <c r="O299" s="77">
        <v>10400</v>
      </c>
      <c r="P299" s="77">
        <v>0</v>
      </c>
      <c r="Q299" s="77">
        <v>10400</v>
      </c>
      <c r="R299" s="77">
        <v>5200</v>
      </c>
    </row>
    <row r="300" spans="1:18" ht="15.75" hidden="1" x14ac:dyDescent="0.25">
      <c r="A300" s="17"/>
      <c r="B300" s="17"/>
      <c r="C300" s="17"/>
      <c r="D300" s="17"/>
      <c r="E300" s="17"/>
      <c r="F300" s="31" t="s">
        <v>2949</v>
      </c>
      <c r="G300" s="77">
        <v>10400</v>
      </c>
      <c r="H300" s="77">
        <v>10400</v>
      </c>
      <c r="I300" s="77">
        <v>0</v>
      </c>
      <c r="J300" s="77">
        <v>10400</v>
      </c>
      <c r="K300" s="77">
        <v>0</v>
      </c>
      <c r="L300" s="77">
        <v>10400</v>
      </c>
      <c r="M300" s="77">
        <v>0</v>
      </c>
      <c r="N300" s="77">
        <v>0</v>
      </c>
      <c r="O300" s="77">
        <v>10400</v>
      </c>
      <c r="P300" s="77">
        <v>0</v>
      </c>
      <c r="Q300" s="77">
        <v>10400</v>
      </c>
      <c r="R300" s="77">
        <v>5200</v>
      </c>
    </row>
    <row r="301" spans="1:18" ht="15.75" hidden="1" x14ac:dyDescent="0.25">
      <c r="A301" s="17"/>
      <c r="B301" s="17"/>
      <c r="C301" s="17"/>
      <c r="D301" s="17"/>
      <c r="E301" s="17"/>
      <c r="F301" s="31" t="s">
        <v>2949</v>
      </c>
      <c r="G301" s="77">
        <v>0</v>
      </c>
      <c r="H301" s="77">
        <v>0</v>
      </c>
      <c r="I301" s="77">
        <v>0</v>
      </c>
      <c r="J301" s="77">
        <v>0</v>
      </c>
      <c r="K301" s="77">
        <v>0</v>
      </c>
      <c r="L301" s="77">
        <v>0</v>
      </c>
      <c r="M301" s="77">
        <v>0</v>
      </c>
      <c r="N301" s="77">
        <v>0</v>
      </c>
      <c r="O301" s="77">
        <v>0</v>
      </c>
      <c r="P301" s="77">
        <v>0</v>
      </c>
      <c r="Q301" s="77">
        <v>0</v>
      </c>
      <c r="R301" s="77">
        <v>0</v>
      </c>
    </row>
    <row r="302" spans="1:18" ht="15.75" hidden="1" x14ac:dyDescent="0.25">
      <c r="A302" s="17"/>
      <c r="B302" s="17"/>
      <c r="C302" s="17"/>
      <c r="D302" s="17"/>
      <c r="E302" s="17"/>
      <c r="F302" s="32" t="s">
        <v>2950</v>
      </c>
      <c r="G302" s="77">
        <v>261183949652816</v>
      </c>
      <c r="H302" s="77">
        <v>281627788793544</v>
      </c>
      <c r="I302" s="77">
        <v>178301627964847</v>
      </c>
      <c r="J302" s="77">
        <v>162167467151438</v>
      </c>
      <c r="K302" s="77">
        <v>180249151416095</v>
      </c>
      <c r="L302" s="77">
        <v>285016990614151</v>
      </c>
      <c r="M302" s="77">
        <v>201028984743695</v>
      </c>
      <c r="N302" s="77">
        <v>29360266901504</v>
      </c>
      <c r="O302" s="77">
        <v>331010663146018</v>
      </c>
      <c r="P302" s="77">
        <v>386766502347657</v>
      </c>
      <c r="Q302" s="77">
        <v>279920341549415</v>
      </c>
      <c r="R302" s="77">
        <v>469922180751233</v>
      </c>
    </row>
    <row r="303" spans="1:18" ht="15.75" hidden="1" x14ac:dyDescent="0.25">
      <c r="A303" s="17"/>
      <c r="B303" s="17"/>
      <c r="C303" s="17"/>
      <c r="D303" s="17"/>
      <c r="E303" s="17"/>
      <c r="F303" s="32" t="s">
        <v>2950</v>
      </c>
      <c r="G303" s="77"/>
      <c r="H303" s="77"/>
      <c r="I303" s="77"/>
      <c r="J303" s="77"/>
      <c r="K303" s="77"/>
      <c r="L303" s="77"/>
      <c r="M303" s="77"/>
      <c r="N303" s="77"/>
      <c r="O303" s="77"/>
      <c r="P303" s="77"/>
      <c r="Q303" s="77"/>
      <c r="R303" s="77"/>
    </row>
    <row r="304" spans="1:18" ht="15.75" hidden="1" x14ac:dyDescent="0.25">
      <c r="A304" s="17"/>
      <c r="B304" s="17"/>
      <c r="C304" s="17"/>
      <c r="D304" s="17"/>
      <c r="E304" s="17"/>
      <c r="F304" s="32" t="s">
        <v>2950</v>
      </c>
      <c r="G304" s="77"/>
      <c r="H304" s="77"/>
      <c r="I304" s="77"/>
      <c r="J304" s="77"/>
      <c r="K304" s="77"/>
      <c r="L304" s="77"/>
      <c r="M304" s="77"/>
      <c r="N304" s="77"/>
      <c r="O304" s="77"/>
      <c r="P304" s="77"/>
      <c r="Q304" s="77"/>
      <c r="R304" s="77"/>
    </row>
    <row r="305" spans="1:18" ht="15.75" hidden="1" x14ac:dyDescent="0.25">
      <c r="A305" s="17"/>
      <c r="B305" s="17"/>
      <c r="C305" s="17"/>
      <c r="D305" s="17"/>
      <c r="E305" s="17"/>
      <c r="F305" s="32" t="s">
        <v>2950</v>
      </c>
      <c r="G305" s="77">
        <v>0</v>
      </c>
      <c r="H305" s="77">
        <v>20000</v>
      </c>
      <c r="I305" s="77">
        <v>15000</v>
      </c>
      <c r="J305" s="77">
        <v>10000</v>
      </c>
      <c r="K305" s="77">
        <v>7000</v>
      </c>
      <c r="L305" s="77">
        <v>7737</v>
      </c>
      <c r="M305" s="77">
        <v>0</v>
      </c>
      <c r="N305" s="77">
        <v>0</v>
      </c>
      <c r="O305" s="77">
        <v>0</v>
      </c>
      <c r="P305" s="77">
        <v>0</v>
      </c>
      <c r="Q305" s="77">
        <v>0</v>
      </c>
      <c r="R305" s="77">
        <v>0</v>
      </c>
    </row>
    <row r="306" spans="1:18" ht="15.75" hidden="1" x14ac:dyDescent="0.25">
      <c r="A306" s="17"/>
      <c r="B306" s="17"/>
      <c r="C306" s="17"/>
      <c r="D306" s="17"/>
      <c r="E306" s="17"/>
      <c r="F306" s="32" t="s">
        <v>2950</v>
      </c>
      <c r="G306" s="77"/>
      <c r="H306" s="77"/>
      <c r="I306" s="77"/>
      <c r="J306" s="77"/>
      <c r="K306" s="77"/>
      <c r="L306" s="77"/>
      <c r="M306" s="77"/>
      <c r="N306" s="77"/>
      <c r="O306" s="77"/>
      <c r="P306" s="77"/>
      <c r="Q306" s="77"/>
      <c r="R306" s="77"/>
    </row>
    <row r="307" spans="1:18" ht="15.75" hidden="1" x14ac:dyDescent="0.25">
      <c r="A307" s="17"/>
      <c r="B307" s="17"/>
      <c r="C307" s="17"/>
      <c r="D307" s="17"/>
      <c r="E307" s="17"/>
      <c r="F307" s="32" t="s">
        <v>2950</v>
      </c>
      <c r="G307" s="77">
        <v>1788807375</v>
      </c>
      <c r="H307" s="77">
        <v>1654395975</v>
      </c>
      <c r="I307" s="77">
        <v>1684844775</v>
      </c>
      <c r="J307" s="77">
        <v>1399874175</v>
      </c>
      <c r="K307" s="77">
        <v>1477126575</v>
      </c>
      <c r="L307" s="77">
        <v>1637132175</v>
      </c>
      <c r="M307" s="77">
        <v>1451363175</v>
      </c>
      <c r="N307" s="77">
        <v>1542561975</v>
      </c>
      <c r="O307" s="77">
        <v>2140034175</v>
      </c>
      <c r="P307" s="77">
        <v>1840659975</v>
      </c>
      <c r="Q307" s="77">
        <v>1610376975</v>
      </c>
      <c r="R307" s="77">
        <v>635597775</v>
      </c>
    </row>
    <row r="308" spans="1:18" ht="15.75" hidden="1" x14ac:dyDescent="0.25">
      <c r="A308" s="17"/>
      <c r="B308" s="17"/>
      <c r="C308" s="17"/>
      <c r="D308" s="17"/>
      <c r="E308" s="17"/>
      <c r="F308" s="32" t="s">
        <v>2950</v>
      </c>
      <c r="G308" s="77"/>
      <c r="H308" s="77"/>
      <c r="I308" s="77"/>
      <c r="J308" s="77"/>
      <c r="K308" s="77"/>
      <c r="L308" s="77"/>
      <c r="M308" s="77"/>
      <c r="N308" s="77"/>
      <c r="O308" s="77"/>
      <c r="P308" s="77"/>
      <c r="Q308" s="77"/>
      <c r="R308" s="77"/>
    </row>
    <row r="309" spans="1:18" ht="15.75" hidden="1" x14ac:dyDescent="0.25">
      <c r="A309" s="17"/>
      <c r="B309" s="17"/>
      <c r="C309" s="17"/>
      <c r="D309" s="17"/>
      <c r="E309" s="17"/>
      <c r="F309" s="32" t="s">
        <v>2950</v>
      </c>
      <c r="G309" s="77"/>
      <c r="H309" s="77"/>
      <c r="I309" s="77"/>
      <c r="J309" s="77"/>
      <c r="K309" s="77"/>
      <c r="L309" s="77"/>
      <c r="M309" s="77"/>
      <c r="N309" s="77"/>
      <c r="O309" s="77"/>
      <c r="P309" s="77"/>
      <c r="Q309" s="77"/>
      <c r="R309" s="77"/>
    </row>
    <row r="310" spans="1:18" ht="15.75" hidden="1" x14ac:dyDescent="0.25">
      <c r="A310" s="17"/>
      <c r="B310" s="17"/>
      <c r="C310" s="17"/>
      <c r="D310" s="17"/>
      <c r="E310" s="17"/>
      <c r="F310" s="32" t="s">
        <v>2950</v>
      </c>
      <c r="G310" s="77"/>
      <c r="H310" s="77"/>
      <c r="I310" s="77"/>
      <c r="J310" s="77"/>
      <c r="K310" s="77"/>
      <c r="L310" s="77"/>
      <c r="M310" s="77"/>
      <c r="N310" s="77"/>
      <c r="O310" s="77"/>
      <c r="P310" s="77"/>
      <c r="Q310" s="77"/>
      <c r="R310" s="77"/>
    </row>
    <row r="311" spans="1:18" ht="15.75" hidden="1" x14ac:dyDescent="0.25">
      <c r="A311" s="17"/>
      <c r="B311" s="17"/>
      <c r="C311" s="17"/>
      <c r="D311" s="17"/>
      <c r="E311" s="17"/>
      <c r="F311" s="32" t="s">
        <v>2950</v>
      </c>
      <c r="G311" s="77"/>
      <c r="H311" s="77"/>
      <c r="I311" s="77"/>
      <c r="J311" s="77"/>
      <c r="K311" s="77"/>
      <c r="L311" s="77"/>
      <c r="M311" s="77"/>
      <c r="N311" s="77"/>
      <c r="O311" s="77"/>
      <c r="P311" s="77"/>
      <c r="Q311" s="77"/>
      <c r="R311" s="77"/>
    </row>
    <row r="312" spans="1:18" ht="15.75" hidden="1" x14ac:dyDescent="0.25">
      <c r="A312" s="17"/>
      <c r="B312" s="17"/>
      <c r="C312" s="17"/>
      <c r="D312" s="17"/>
      <c r="E312" s="17"/>
      <c r="F312" s="32" t="s">
        <v>2950</v>
      </c>
      <c r="G312" s="77">
        <v>0</v>
      </c>
      <c r="H312" s="77">
        <v>200000</v>
      </c>
      <c r="I312" s="77">
        <v>200000</v>
      </c>
      <c r="J312" s="77">
        <v>160000</v>
      </c>
      <c r="K312" s="77">
        <v>130000</v>
      </c>
      <c r="L312" s="77">
        <v>130000</v>
      </c>
      <c r="M312" s="77">
        <v>0</v>
      </c>
      <c r="N312" s="77">
        <v>0</v>
      </c>
      <c r="O312" s="77">
        <v>0</v>
      </c>
      <c r="P312" s="77">
        <v>0</v>
      </c>
      <c r="Q312" s="77">
        <v>0</v>
      </c>
      <c r="R312" s="77">
        <v>0</v>
      </c>
    </row>
    <row r="313" spans="1:18" ht="15.75" hidden="1" x14ac:dyDescent="0.25">
      <c r="A313" s="17"/>
      <c r="B313" s="17"/>
      <c r="C313" s="17"/>
      <c r="D313" s="17"/>
      <c r="E313" s="17"/>
      <c r="F313" s="32" t="s">
        <v>2950</v>
      </c>
      <c r="G313" s="77">
        <v>567888629814259</v>
      </c>
      <c r="H313" s="77">
        <v>567888629814259</v>
      </c>
      <c r="I313" s="77">
        <v>567888629814259</v>
      </c>
      <c r="J313" s="77">
        <v>567888629814259</v>
      </c>
      <c r="K313" s="77">
        <v>567888629814259</v>
      </c>
      <c r="L313" s="77">
        <v>567888629814259</v>
      </c>
      <c r="M313" s="77">
        <v>567888629814259</v>
      </c>
      <c r="N313" s="77">
        <v>567888629814259</v>
      </c>
      <c r="O313" s="77">
        <v>567888629814259</v>
      </c>
      <c r="P313" s="77">
        <v>567888629814259</v>
      </c>
      <c r="Q313" s="77">
        <v>567888629814259</v>
      </c>
      <c r="R313" s="77">
        <v>567888629814259</v>
      </c>
    </row>
    <row r="314" spans="1:18" ht="15.75" hidden="1" x14ac:dyDescent="0.25">
      <c r="A314" s="17"/>
      <c r="B314" s="17"/>
      <c r="C314" s="17"/>
      <c r="D314" s="17"/>
      <c r="E314" s="17"/>
      <c r="F314" s="32" t="s">
        <v>2950</v>
      </c>
      <c r="G314" s="77">
        <v>628502061841607</v>
      </c>
      <c r="H314" s="77">
        <v>51493502686616</v>
      </c>
      <c r="I314" s="77">
        <v>21558828700829</v>
      </c>
      <c r="J314" s="77">
        <v>500980894219344</v>
      </c>
      <c r="K314" s="77">
        <v>355327074936753</v>
      </c>
      <c r="L314" s="77">
        <v>409125824453115</v>
      </c>
      <c r="M314" s="77">
        <v>618550035303347</v>
      </c>
      <c r="N314" s="77">
        <v>467978437620019</v>
      </c>
      <c r="O314" s="77">
        <v>485751998137435</v>
      </c>
      <c r="P314" s="77">
        <v>428026300839807</v>
      </c>
      <c r="Q314" s="77">
        <v>446523913619594</v>
      </c>
      <c r="R314" s="77">
        <v>43521413849156</v>
      </c>
    </row>
    <row r="315" spans="1:18" ht="15.75" hidden="1" x14ac:dyDescent="0.25">
      <c r="A315" s="17"/>
      <c r="B315" s="17"/>
      <c r="C315" s="17"/>
      <c r="D315" s="17"/>
      <c r="E315" s="17"/>
      <c r="F315" s="32" t="s">
        <v>2950</v>
      </c>
      <c r="G315" s="77">
        <v>0</v>
      </c>
      <c r="H315" s="77">
        <v>200000</v>
      </c>
      <c r="I315" s="77">
        <v>170000</v>
      </c>
      <c r="J315" s="77">
        <v>140000</v>
      </c>
      <c r="K315" s="77">
        <v>140000</v>
      </c>
      <c r="L315" s="77">
        <v>140000</v>
      </c>
      <c r="M315" s="77">
        <v>0</v>
      </c>
      <c r="N315" s="77">
        <v>0</v>
      </c>
      <c r="O315" s="77">
        <v>0</v>
      </c>
      <c r="P315" s="77">
        <v>0</v>
      </c>
      <c r="Q315" s="77">
        <v>0</v>
      </c>
      <c r="R315" s="77">
        <v>0</v>
      </c>
    </row>
    <row r="316" spans="1:18" ht="15.75" hidden="1" x14ac:dyDescent="0.25">
      <c r="A316" s="17"/>
      <c r="B316" s="17"/>
      <c r="C316" s="17"/>
      <c r="D316" s="17"/>
      <c r="E316" s="17"/>
      <c r="F316" s="32" t="s">
        <v>2950</v>
      </c>
      <c r="G316" s="77">
        <v>151892602056508</v>
      </c>
      <c r="H316" s="77">
        <v>129707891467333</v>
      </c>
      <c r="I316" s="77">
        <v>78043051082689</v>
      </c>
      <c r="J316" s="77">
        <v>220781153412157</v>
      </c>
      <c r="K316" s="77">
        <v>304228268499621</v>
      </c>
      <c r="L316" s="77">
        <v>656892804338624</v>
      </c>
      <c r="M316" s="77">
        <v>823461074703704</v>
      </c>
      <c r="N316" s="77">
        <v>810348682014815</v>
      </c>
      <c r="O316" s="77">
        <v>841070352965926</v>
      </c>
      <c r="P316" s="77">
        <v>870460686242815</v>
      </c>
      <c r="Q316" s="77">
        <v>905242873147749</v>
      </c>
      <c r="R316" s="77">
        <v>51096017425898</v>
      </c>
    </row>
    <row r="317" spans="1:18" ht="15.75" hidden="1" x14ac:dyDescent="0.25">
      <c r="A317" s="17"/>
      <c r="B317" s="17"/>
      <c r="C317" s="17"/>
      <c r="D317" s="17"/>
      <c r="E317" s="17"/>
      <c r="F317" s="32" t="s">
        <v>2950</v>
      </c>
      <c r="G317" s="77">
        <v>0</v>
      </c>
      <c r="H317" s="77">
        <v>16500</v>
      </c>
      <c r="I317" s="77">
        <v>16500</v>
      </c>
      <c r="J317" s="77">
        <v>16500</v>
      </c>
      <c r="K317" s="77">
        <v>0</v>
      </c>
      <c r="L317" s="77">
        <v>0</v>
      </c>
      <c r="M317" s="77">
        <v>0</v>
      </c>
      <c r="N317" s="77">
        <v>0</v>
      </c>
      <c r="O317" s="77">
        <v>0</v>
      </c>
      <c r="P317" s="77">
        <v>0</v>
      </c>
      <c r="Q317" s="77">
        <v>0</v>
      </c>
      <c r="R317" s="77">
        <v>0</v>
      </c>
    </row>
    <row r="318" spans="1:18" ht="15.75" hidden="1" x14ac:dyDescent="0.25">
      <c r="A318" s="17"/>
      <c r="B318" s="17"/>
      <c r="C318" s="17"/>
      <c r="D318" s="17"/>
      <c r="E318" s="17"/>
      <c r="F318" s="32" t="s">
        <v>2950</v>
      </c>
      <c r="G318" s="77">
        <v>0</v>
      </c>
      <c r="H318" s="77">
        <v>25000</v>
      </c>
      <c r="I318" s="77">
        <v>25000</v>
      </c>
      <c r="J318" s="77">
        <v>26250</v>
      </c>
      <c r="K318" s="77">
        <v>21000</v>
      </c>
      <c r="L318" s="77">
        <v>4200</v>
      </c>
      <c r="M318" s="77">
        <v>0</v>
      </c>
      <c r="N318" s="77">
        <v>0</v>
      </c>
      <c r="O318" s="77">
        <v>0</v>
      </c>
      <c r="P318" s="77">
        <v>0</v>
      </c>
      <c r="Q318" s="77">
        <v>0</v>
      </c>
      <c r="R318" s="77">
        <v>0</v>
      </c>
    </row>
    <row r="319" spans="1:18" ht="15.75" hidden="1" x14ac:dyDescent="0.25">
      <c r="A319" s="17"/>
      <c r="B319" s="17"/>
      <c r="C319" s="17"/>
      <c r="D319" s="17"/>
      <c r="E319" s="17"/>
      <c r="F319" s="32" t="s">
        <v>2950</v>
      </c>
      <c r="G319" s="77">
        <v>165322549450549</v>
      </c>
      <c r="H319" s="77">
        <v>295273978021978</v>
      </c>
      <c r="I319" s="77">
        <v>93529978021978</v>
      </c>
      <c r="J319" s="77">
        <v>711534065934066</v>
      </c>
      <c r="K319" s="77">
        <v>104839120879121</v>
      </c>
      <c r="L319" s="77">
        <v>694562637362638</v>
      </c>
      <c r="M319" s="77">
        <v>623642637362636</v>
      </c>
      <c r="N319" s="77">
        <v>146804835164835</v>
      </c>
      <c r="O319" s="77">
        <v>245136263736264</v>
      </c>
      <c r="P319" s="77">
        <v>280344263736264</v>
      </c>
      <c r="Q319" s="77">
        <v>287252571428571</v>
      </c>
      <c r="R319" s="77">
        <v>188093571428571</v>
      </c>
    </row>
    <row r="320" spans="1:18" ht="15.75" hidden="1" x14ac:dyDescent="0.25">
      <c r="A320" s="17"/>
      <c r="B320" s="17"/>
      <c r="C320" s="17"/>
      <c r="D320" s="17"/>
      <c r="E320" s="17"/>
      <c r="F320" s="32" t="s">
        <v>2950</v>
      </c>
      <c r="G320" s="77">
        <v>711098292352355</v>
      </c>
      <c r="H320" s="77">
        <v>390118728581676</v>
      </c>
      <c r="I320" s="77">
        <v>246928732513374</v>
      </c>
      <c r="J320" s="77">
        <v>255396491973432</v>
      </c>
      <c r="K320" s="77">
        <v>749754336104626</v>
      </c>
      <c r="L320" s="77">
        <v>414442026854715</v>
      </c>
      <c r="M320" s="77">
        <v>307209143222902</v>
      </c>
      <c r="N320" s="77">
        <v>176003514371283</v>
      </c>
      <c r="O320" s="77">
        <v>278711182511519</v>
      </c>
      <c r="P320" s="77">
        <v>255911257686233</v>
      </c>
      <c r="Q320" s="77">
        <v>693050967618966</v>
      </c>
      <c r="R320" s="77">
        <v>324885564799107</v>
      </c>
    </row>
    <row r="321" spans="1:18" ht="15.75" hidden="1" x14ac:dyDescent="0.25">
      <c r="A321" s="17"/>
      <c r="B321" s="17"/>
      <c r="C321" s="17"/>
      <c r="D321" s="17"/>
      <c r="E321" s="17"/>
      <c r="F321" s="32" t="s">
        <v>2950</v>
      </c>
      <c r="G321" s="77" t="s">
        <v>3605</v>
      </c>
      <c r="H321" s="77" t="s">
        <v>3606</v>
      </c>
      <c r="I321" s="77" t="s">
        <v>3607</v>
      </c>
      <c r="J321" s="77">
        <v>50666</v>
      </c>
      <c r="K321" s="77" t="s">
        <v>3608</v>
      </c>
      <c r="L321" s="77">
        <v>37873</v>
      </c>
      <c r="M321" s="77" t="s">
        <v>3609</v>
      </c>
      <c r="N321" s="77" t="s">
        <v>3610</v>
      </c>
      <c r="O321" s="77" t="s">
        <v>3611</v>
      </c>
      <c r="P321" s="77">
        <v>152053</v>
      </c>
      <c r="Q321" s="77" t="s">
        <v>3612</v>
      </c>
      <c r="R321" s="77" t="s">
        <v>3613</v>
      </c>
    </row>
    <row r="322" spans="1:18" ht="15.75" hidden="1" x14ac:dyDescent="0.25">
      <c r="A322" s="17"/>
      <c r="B322" s="17"/>
      <c r="C322" s="17"/>
      <c r="D322" s="17"/>
      <c r="E322" s="17"/>
      <c r="F322" s="32" t="s">
        <v>2950</v>
      </c>
      <c r="G322" s="77">
        <v>0</v>
      </c>
      <c r="H322" s="77">
        <v>170000</v>
      </c>
      <c r="I322" s="77">
        <v>150000</v>
      </c>
      <c r="J322" s="77">
        <v>100000</v>
      </c>
      <c r="K322" s="77">
        <v>70000</v>
      </c>
      <c r="L322" s="77">
        <v>60000</v>
      </c>
      <c r="M322" s="77">
        <v>0</v>
      </c>
      <c r="N322" s="77">
        <v>0</v>
      </c>
      <c r="O322" s="77">
        <v>0</v>
      </c>
      <c r="P322" s="77">
        <v>0</v>
      </c>
      <c r="Q322" s="77">
        <v>0</v>
      </c>
      <c r="R322" s="77">
        <v>0</v>
      </c>
    </row>
    <row r="323" spans="1:18" ht="15.75" hidden="1" x14ac:dyDescent="0.25">
      <c r="A323" s="17"/>
      <c r="B323" s="17"/>
      <c r="C323" s="17"/>
      <c r="D323" s="17"/>
      <c r="E323" s="17"/>
      <c r="F323" s="32" t="s">
        <v>2950</v>
      </c>
      <c r="G323" s="77"/>
      <c r="H323" s="77"/>
      <c r="I323" s="77"/>
      <c r="J323" s="77"/>
      <c r="K323" s="77"/>
      <c r="L323" s="77"/>
      <c r="M323" s="77"/>
      <c r="N323" s="77"/>
      <c r="O323" s="77"/>
      <c r="P323" s="77"/>
      <c r="Q323" s="77"/>
      <c r="R323" s="77"/>
    </row>
    <row r="324" spans="1:18" ht="15.75" hidden="1" x14ac:dyDescent="0.25">
      <c r="A324" s="17"/>
      <c r="B324" s="17"/>
      <c r="C324" s="17"/>
      <c r="D324" s="17"/>
      <c r="E324" s="17"/>
      <c r="F324" s="32" t="s">
        <v>2950</v>
      </c>
      <c r="G324" s="77"/>
      <c r="H324" s="77"/>
      <c r="I324" s="77"/>
      <c r="J324" s="77"/>
      <c r="K324" s="77"/>
      <c r="L324" s="77"/>
      <c r="M324" s="77"/>
      <c r="N324" s="77"/>
      <c r="O324" s="77"/>
      <c r="P324" s="77"/>
      <c r="Q324" s="77"/>
      <c r="R324" s="77"/>
    </row>
    <row r="325" spans="1:18" ht="15.75" hidden="1" x14ac:dyDescent="0.25">
      <c r="A325" s="17"/>
      <c r="B325" s="17"/>
      <c r="C325" s="17"/>
      <c r="D325" s="17"/>
      <c r="E325" s="17"/>
      <c r="F325" s="32" t="s">
        <v>2950</v>
      </c>
      <c r="G325" s="77"/>
      <c r="H325" s="77"/>
      <c r="I325" s="77"/>
      <c r="J325" s="77"/>
      <c r="K325" s="77"/>
      <c r="L325" s="77"/>
      <c r="M325" s="77"/>
      <c r="N325" s="77"/>
      <c r="O325" s="77"/>
      <c r="P325" s="77"/>
      <c r="Q325" s="77"/>
      <c r="R325" s="77"/>
    </row>
    <row r="326" spans="1:18" ht="15.75" hidden="1" x14ac:dyDescent="0.25">
      <c r="A326" s="17"/>
      <c r="B326" s="17"/>
      <c r="C326" s="17"/>
      <c r="D326" s="17"/>
      <c r="E326" s="17"/>
      <c r="F326" s="32" t="s">
        <v>2950</v>
      </c>
      <c r="G326" s="77"/>
      <c r="H326" s="77"/>
      <c r="I326" s="77"/>
      <c r="J326" s="77"/>
      <c r="K326" s="77"/>
      <c r="L326" s="77"/>
      <c r="M326" s="77"/>
      <c r="N326" s="77"/>
      <c r="O326" s="77"/>
      <c r="P326" s="77"/>
      <c r="Q326" s="77"/>
      <c r="R326" s="77"/>
    </row>
    <row r="327" spans="1:18" ht="15.75" hidden="1" x14ac:dyDescent="0.25">
      <c r="A327" s="17"/>
      <c r="B327" s="17"/>
      <c r="C327" s="17"/>
      <c r="D327" s="17"/>
      <c r="E327" s="17"/>
      <c r="F327" s="18" t="s">
        <v>3604</v>
      </c>
      <c r="G327" s="78"/>
      <c r="H327" s="78"/>
      <c r="I327" s="78"/>
      <c r="J327" s="78"/>
      <c r="K327" s="78"/>
      <c r="L327" s="78"/>
      <c r="M327" s="78"/>
      <c r="N327" s="78"/>
      <c r="O327" s="78"/>
      <c r="P327" s="78"/>
      <c r="Q327" s="78"/>
      <c r="R327" s="78"/>
    </row>
    <row r="328" spans="1:18" ht="15.75" hidden="1" x14ac:dyDescent="0.25">
      <c r="A328" s="17"/>
      <c r="B328" s="17"/>
      <c r="C328" s="17"/>
      <c r="D328" s="17"/>
      <c r="E328" s="17"/>
      <c r="F328" s="18" t="s">
        <v>3604</v>
      </c>
      <c r="G328" s="78"/>
      <c r="H328" s="78"/>
      <c r="I328" s="78"/>
      <c r="J328" s="78"/>
      <c r="K328" s="78"/>
      <c r="L328" s="78"/>
      <c r="M328" s="78"/>
      <c r="N328" s="78"/>
      <c r="O328" s="78"/>
      <c r="P328" s="78"/>
      <c r="Q328" s="78"/>
      <c r="R328" s="78"/>
    </row>
    <row r="329" spans="1:18" ht="15.75" hidden="1" x14ac:dyDescent="0.25">
      <c r="A329" s="17"/>
      <c r="B329" s="17"/>
      <c r="C329" s="17"/>
      <c r="D329" s="17"/>
      <c r="E329" s="17"/>
      <c r="F329" s="18" t="s">
        <v>3604</v>
      </c>
      <c r="G329" s="78"/>
      <c r="H329" s="78"/>
      <c r="I329" s="78"/>
      <c r="J329" s="78"/>
      <c r="K329" s="78"/>
      <c r="L329" s="78"/>
      <c r="M329" s="78"/>
      <c r="N329" s="78"/>
      <c r="O329" s="78"/>
      <c r="P329" s="78"/>
      <c r="Q329" s="78"/>
      <c r="R329" s="78"/>
    </row>
    <row r="330" spans="1:18" ht="15.75" hidden="1" x14ac:dyDescent="0.25">
      <c r="A330" s="17"/>
      <c r="B330" s="17"/>
      <c r="C330" s="17"/>
      <c r="D330" s="17"/>
      <c r="E330" s="17"/>
      <c r="F330" s="18" t="s">
        <v>3604</v>
      </c>
      <c r="G330" s="78"/>
      <c r="H330" s="78"/>
      <c r="I330" s="78"/>
      <c r="J330" s="78"/>
      <c r="K330" s="78"/>
      <c r="L330" s="78"/>
      <c r="M330" s="78"/>
      <c r="N330" s="78"/>
      <c r="O330" s="78"/>
      <c r="P330" s="78"/>
      <c r="Q330" s="78"/>
      <c r="R330" s="78"/>
    </row>
    <row r="331" spans="1:18" ht="15.75" hidden="1" x14ac:dyDescent="0.25">
      <c r="A331" s="17"/>
      <c r="B331" s="17"/>
      <c r="C331" s="17"/>
      <c r="D331" s="17"/>
      <c r="E331" s="17"/>
      <c r="F331" s="18" t="s">
        <v>3604</v>
      </c>
      <c r="G331" s="78"/>
      <c r="H331" s="78"/>
      <c r="I331" s="78"/>
      <c r="J331" s="78"/>
      <c r="K331" s="78"/>
      <c r="L331" s="78"/>
      <c r="M331" s="78"/>
      <c r="N331" s="78"/>
      <c r="O331" s="78"/>
      <c r="P331" s="78"/>
      <c r="Q331" s="78"/>
      <c r="R331" s="78"/>
    </row>
    <row r="332" spans="1:18" ht="15.75" hidden="1" x14ac:dyDescent="0.25">
      <c r="A332" s="17"/>
      <c r="B332" s="17"/>
      <c r="C332" s="17"/>
      <c r="D332" s="17"/>
      <c r="E332" s="17"/>
      <c r="F332" s="18" t="s">
        <v>3604</v>
      </c>
      <c r="G332" s="78"/>
      <c r="H332" s="78"/>
      <c r="I332" s="78"/>
      <c r="J332" s="78"/>
      <c r="K332" s="78"/>
      <c r="L332" s="78"/>
      <c r="M332" s="78"/>
      <c r="N332" s="78"/>
      <c r="O332" s="78"/>
      <c r="P332" s="78"/>
      <c r="Q332" s="78"/>
      <c r="R332" s="78"/>
    </row>
    <row r="333" spans="1:18" ht="15.75" hidden="1" x14ac:dyDescent="0.25">
      <c r="A333" s="17"/>
      <c r="B333" s="17"/>
      <c r="C333" s="17"/>
      <c r="D333" s="17"/>
      <c r="E333" s="17"/>
      <c r="F333" s="18" t="s">
        <v>3604</v>
      </c>
      <c r="G333" s="78"/>
      <c r="H333" s="78"/>
      <c r="I333" s="78"/>
      <c r="J333" s="78"/>
      <c r="K333" s="78"/>
      <c r="L333" s="78"/>
      <c r="M333" s="78"/>
      <c r="N333" s="78"/>
      <c r="O333" s="78"/>
      <c r="P333" s="78"/>
      <c r="Q333" s="78"/>
      <c r="R333" s="78"/>
    </row>
    <row r="334" spans="1:18" ht="15.75" hidden="1" x14ac:dyDescent="0.25">
      <c r="A334" s="17"/>
      <c r="B334" s="17"/>
      <c r="C334" s="17"/>
      <c r="D334" s="17"/>
      <c r="E334" s="17"/>
      <c r="F334" s="18" t="s">
        <v>3604</v>
      </c>
      <c r="G334" s="78"/>
      <c r="H334" s="78"/>
      <c r="I334" s="78"/>
      <c r="J334" s="78"/>
      <c r="K334" s="78"/>
      <c r="L334" s="78"/>
      <c r="M334" s="78"/>
      <c r="N334" s="78"/>
      <c r="O334" s="78"/>
      <c r="P334" s="78"/>
      <c r="Q334" s="78"/>
      <c r="R334" s="78"/>
    </row>
    <row r="335" spans="1:18" ht="15.75" hidden="1" x14ac:dyDescent="0.25">
      <c r="A335" s="17"/>
      <c r="B335" s="17"/>
      <c r="C335" s="17"/>
      <c r="D335" s="17"/>
      <c r="E335" s="17"/>
      <c r="F335" s="18" t="s">
        <v>3604</v>
      </c>
      <c r="G335" s="78"/>
      <c r="H335" s="78"/>
      <c r="I335" s="78"/>
      <c r="J335" s="78"/>
      <c r="K335" s="78"/>
      <c r="L335" s="78"/>
      <c r="M335" s="78"/>
      <c r="N335" s="78"/>
      <c r="O335" s="78"/>
      <c r="P335" s="78"/>
      <c r="Q335" s="78"/>
      <c r="R335" s="78"/>
    </row>
    <row r="336" spans="1:18" ht="15.75" hidden="1" x14ac:dyDescent="0.25">
      <c r="A336" s="17"/>
      <c r="B336" s="17"/>
      <c r="C336" s="17"/>
      <c r="D336" s="17"/>
      <c r="E336" s="17"/>
      <c r="F336" s="18" t="s">
        <v>3604</v>
      </c>
      <c r="G336" s="78"/>
      <c r="H336" s="78"/>
      <c r="I336" s="78"/>
      <c r="J336" s="78"/>
      <c r="K336" s="78"/>
      <c r="L336" s="78"/>
      <c r="M336" s="78"/>
      <c r="N336" s="78"/>
      <c r="O336" s="78"/>
      <c r="P336" s="78"/>
      <c r="Q336" s="78"/>
      <c r="R336" s="78"/>
    </row>
    <row r="337" spans="1:18" ht="15.75" hidden="1" x14ac:dyDescent="0.25">
      <c r="A337" s="17"/>
      <c r="B337" s="17"/>
      <c r="C337" s="17"/>
      <c r="D337" s="17"/>
      <c r="E337" s="17"/>
      <c r="F337" s="18" t="s">
        <v>3604</v>
      </c>
      <c r="G337" s="78"/>
      <c r="H337" s="78"/>
      <c r="I337" s="78"/>
      <c r="J337" s="78"/>
      <c r="K337" s="78"/>
      <c r="L337" s="78"/>
      <c r="M337" s="78"/>
      <c r="N337" s="78"/>
      <c r="O337" s="78"/>
      <c r="P337" s="78"/>
      <c r="Q337" s="78"/>
      <c r="R337" s="78"/>
    </row>
    <row r="338" spans="1:18" ht="15.75" hidden="1" x14ac:dyDescent="0.25">
      <c r="A338" s="17"/>
      <c r="B338" s="17"/>
      <c r="C338" s="17"/>
      <c r="D338" s="17"/>
      <c r="E338" s="17"/>
      <c r="F338" s="18" t="s">
        <v>3604</v>
      </c>
      <c r="G338" s="78"/>
      <c r="H338" s="78"/>
      <c r="I338" s="78"/>
      <c r="J338" s="78"/>
      <c r="K338" s="78"/>
      <c r="L338" s="78"/>
      <c r="M338" s="78"/>
      <c r="N338" s="78"/>
      <c r="O338" s="78"/>
      <c r="P338" s="78"/>
      <c r="Q338" s="78"/>
      <c r="R338" s="78"/>
    </row>
    <row r="339" spans="1:18" ht="15.75" hidden="1" x14ac:dyDescent="0.25">
      <c r="A339" s="17"/>
      <c r="B339" s="17"/>
      <c r="C339" s="17"/>
      <c r="D339" s="17"/>
      <c r="E339" s="17"/>
      <c r="F339" s="18" t="s">
        <v>3604</v>
      </c>
      <c r="G339" s="78"/>
      <c r="H339" s="78"/>
      <c r="I339" s="78"/>
      <c r="J339" s="78"/>
      <c r="K339" s="78"/>
      <c r="L339" s="78"/>
      <c r="M339" s="78"/>
      <c r="N339" s="78"/>
      <c r="O339" s="78"/>
      <c r="P339" s="78"/>
      <c r="Q339" s="78"/>
      <c r="R339" s="78"/>
    </row>
    <row r="340" spans="1:18" ht="15.75" hidden="1" x14ac:dyDescent="0.25">
      <c r="A340" s="17"/>
      <c r="B340" s="17"/>
      <c r="C340" s="17"/>
      <c r="D340" s="17"/>
      <c r="E340" s="17"/>
      <c r="F340" s="18" t="s">
        <v>3604</v>
      </c>
      <c r="G340" s="78"/>
      <c r="H340" s="78"/>
      <c r="I340" s="78"/>
      <c r="J340" s="78"/>
      <c r="K340" s="78"/>
      <c r="L340" s="78"/>
      <c r="M340" s="78"/>
      <c r="N340" s="78"/>
      <c r="O340" s="78"/>
      <c r="P340" s="78"/>
      <c r="Q340" s="78"/>
      <c r="R340" s="78"/>
    </row>
    <row r="341" spans="1:18" ht="15.75" hidden="1" x14ac:dyDescent="0.25">
      <c r="A341" s="17"/>
      <c r="B341" s="17"/>
      <c r="C341" s="17"/>
      <c r="D341" s="17"/>
      <c r="E341" s="17"/>
      <c r="F341" s="18" t="s">
        <v>3604</v>
      </c>
      <c r="G341" s="78"/>
      <c r="H341" s="78"/>
      <c r="I341" s="78"/>
      <c r="J341" s="78"/>
      <c r="K341" s="78"/>
      <c r="L341" s="78"/>
      <c r="M341" s="78"/>
      <c r="N341" s="78"/>
      <c r="O341" s="78"/>
      <c r="P341" s="78"/>
      <c r="Q341" s="78"/>
      <c r="R341" s="78"/>
    </row>
    <row r="342" spans="1:18" ht="15.75" hidden="1" x14ac:dyDescent="0.25">
      <c r="A342" s="17"/>
      <c r="B342" s="17"/>
      <c r="C342" s="17"/>
      <c r="D342" s="17"/>
      <c r="E342" s="17"/>
      <c r="F342" s="18" t="s">
        <v>3604</v>
      </c>
      <c r="G342" s="78"/>
      <c r="H342" s="78"/>
      <c r="I342" s="78"/>
      <c r="J342" s="78"/>
      <c r="K342" s="78"/>
      <c r="L342" s="78"/>
      <c r="M342" s="78"/>
      <c r="N342" s="78"/>
      <c r="O342" s="78"/>
      <c r="P342" s="78"/>
      <c r="Q342" s="78"/>
      <c r="R342" s="78"/>
    </row>
    <row r="343" spans="1:18" ht="15.75" hidden="1" x14ac:dyDescent="0.25">
      <c r="A343" s="17"/>
      <c r="B343" s="17"/>
      <c r="C343" s="17"/>
      <c r="D343" s="17"/>
      <c r="E343" s="17"/>
      <c r="F343" s="18" t="s">
        <v>3604</v>
      </c>
      <c r="G343" s="78"/>
      <c r="H343" s="78"/>
      <c r="I343" s="78"/>
      <c r="J343" s="78"/>
      <c r="K343" s="78"/>
      <c r="L343" s="78"/>
      <c r="M343" s="78"/>
      <c r="N343" s="78"/>
      <c r="O343" s="78"/>
      <c r="P343" s="78"/>
      <c r="Q343" s="78"/>
      <c r="R343" s="78"/>
    </row>
    <row r="344" spans="1:18" ht="15.75" hidden="1" x14ac:dyDescent="0.25">
      <c r="A344" s="17"/>
      <c r="B344" s="17"/>
      <c r="C344" s="17"/>
      <c r="D344" s="17"/>
      <c r="E344" s="17"/>
      <c r="F344" s="18" t="s">
        <v>3604</v>
      </c>
      <c r="G344" s="78"/>
      <c r="H344" s="78"/>
      <c r="I344" s="78"/>
      <c r="J344" s="78"/>
      <c r="K344" s="78"/>
      <c r="L344" s="78"/>
      <c r="M344" s="78"/>
      <c r="N344" s="78"/>
      <c r="O344" s="78"/>
      <c r="P344" s="78"/>
      <c r="Q344" s="78"/>
      <c r="R344" s="78"/>
    </row>
    <row r="345" spans="1:18" ht="15.75" hidden="1" x14ac:dyDescent="0.25">
      <c r="A345" s="17"/>
      <c r="B345" s="17"/>
      <c r="C345" s="17"/>
      <c r="D345" s="17"/>
      <c r="E345" s="17"/>
      <c r="F345" s="18" t="s">
        <v>3604</v>
      </c>
      <c r="G345" s="78"/>
      <c r="H345" s="78"/>
      <c r="I345" s="78"/>
      <c r="J345" s="78"/>
      <c r="K345" s="78"/>
      <c r="L345" s="78"/>
      <c r="M345" s="78"/>
      <c r="N345" s="78"/>
      <c r="O345" s="78"/>
      <c r="P345" s="78"/>
      <c r="Q345" s="78"/>
      <c r="R345" s="78"/>
    </row>
    <row r="346" spans="1:18" ht="15.75" hidden="1" x14ac:dyDescent="0.25">
      <c r="A346" s="17"/>
      <c r="B346" s="17"/>
      <c r="C346" s="17"/>
      <c r="D346" s="17"/>
      <c r="E346" s="17"/>
      <c r="F346" s="18" t="s">
        <v>3604</v>
      </c>
      <c r="G346" s="78"/>
      <c r="H346" s="78"/>
      <c r="I346" s="78"/>
      <c r="J346" s="78"/>
      <c r="K346" s="78"/>
      <c r="L346" s="78"/>
      <c r="M346" s="78"/>
      <c r="N346" s="78"/>
      <c r="O346" s="78"/>
      <c r="P346" s="78"/>
      <c r="Q346" s="78"/>
      <c r="R346" s="78"/>
    </row>
    <row r="347" spans="1:18" ht="15.75" hidden="1" x14ac:dyDescent="0.25">
      <c r="A347" s="17"/>
      <c r="B347" s="17"/>
      <c r="C347" s="17"/>
      <c r="D347" s="17"/>
      <c r="E347" s="17"/>
      <c r="F347" s="18" t="s">
        <v>3604</v>
      </c>
      <c r="G347" s="78"/>
      <c r="H347" s="81"/>
      <c r="I347" s="81"/>
      <c r="J347" s="81"/>
      <c r="K347" s="81"/>
      <c r="L347" s="81"/>
      <c r="M347" s="81"/>
      <c r="N347" s="81"/>
      <c r="O347" s="81"/>
      <c r="P347" s="81"/>
      <c r="Q347" s="81"/>
      <c r="R347" s="81"/>
    </row>
    <row r="348" spans="1:18" ht="15.75" hidden="1" x14ac:dyDescent="0.25">
      <c r="A348" s="17"/>
      <c r="B348" s="17"/>
      <c r="C348" s="17"/>
      <c r="D348" s="17"/>
      <c r="E348" s="17"/>
      <c r="F348" s="18" t="s">
        <v>3604</v>
      </c>
      <c r="G348" s="78"/>
      <c r="H348" s="82"/>
      <c r="I348" s="82"/>
      <c r="J348" s="82"/>
      <c r="K348" s="82"/>
      <c r="L348" s="82"/>
      <c r="M348" s="82"/>
      <c r="N348" s="82"/>
      <c r="O348" s="82"/>
      <c r="P348" s="82"/>
      <c r="Q348" s="82"/>
      <c r="R348" s="82"/>
    </row>
    <row r="349" spans="1:18" ht="15.75" hidden="1" x14ac:dyDescent="0.25">
      <c r="A349" s="17"/>
      <c r="B349" s="17"/>
      <c r="C349" s="17"/>
      <c r="D349" s="17"/>
      <c r="E349" s="17"/>
      <c r="F349" s="18" t="s">
        <v>3604</v>
      </c>
      <c r="G349" s="78"/>
      <c r="H349" s="85"/>
      <c r="I349" s="85"/>
      <c r="J349" s="85"/>
      <c r="K349" s="85"/>
      <c r="L349" s="85"/>
      <c r="M349" s="85"/>
      <c r="N349" s="85"/>
      <c r="O349" s="85"/>
      <c r="P349" s="85"/>
      <c r="Q349" s="85"/>
      <c r="R349" s="85"/>
    </row>
    <row r="350" spans="1:18" ht="15.75" hidden="1" x14ac:dyDescent="0.25">
      <c r="A350" s="17"/>
      <c r="B350" s="17"/>
      <c r="C350" s="17"/>
      <c r="D350" s="17"/>
      <c r="E350" s="17"/>
      <c r="F350" s="18" t="s">
        <v>3604</v>
      </c>
      <c r="G350" s="78"/>
      <c r="H350" s="85"/>
      <c r="I350" s="85"/>
      <c r="J350" s="85"/>
      <c r="K350" s="85"/>
      <c r="L350" s="85"/>
      <c r="M350" s="85"/>
      <c r="N350" s="85"/>
      <c r="O350" s="85"/>
      <c r="P350" s="85"/>
      <c r="Q350" s="85"/>
      <c r="R350" s="85"/>
    </row>
    <row r="351" spans="1:18" ht="15.75" hidden="1" x14ac:dyDescent="0.25">
      <c r="A351" s="17"/>
      <c r="B351" s="17"/>
      <c r="C351" s="17"/>
      <c r="D351" s="17"/>
      <c r="E351" s="17"/>
      <c r="F351" s="18" t="s">
        <v>3604</v>
      </c>
      <c r="G351" s="78"/>
      <c r="H351" s="85"/>
      <c r="I351" s="85"/>
      <c r="J351" s="85"/>
      <c r="K351" s="85"/>
      <c r="L351" s="85"/>
      <c r="M351" s="85"/>
      <c r="N351" s="85"/>
      <c r="O351" s="85"/>
      <c r="P351" s="85"/>
      <c r="Q351" s="85"/>
      <c r="R351" s="85"/>
    </row>
  </sheetData>
  <autoFilter ref="A1:R351" xr:uid="{24C859EB-F52B-427E-9C0E-8BF450D716C5}">
    <filterColumn colId="5">
      <customFilters>
        <customFilter val="UF*"/>
      </customFilters>
    </filterColumn>
  </autoFilter>
  <conditionalFormatting sqref="F127:F151 F227:F251">
    <cfRule type="expression" dxfId="9" priority="10">
      <formula>S127=0</formula>
    </cfRule>
  </conditionalFormatting>
  <conditionalFormatting sqref="E127:E151 E227:E251">
    <cfRule type="expression" dxfId="8" priority="9">
      <formula>S127=0</formula>
    </cfRule>
  </conditionalFormatting>
  <conditionalFormatting sqref="D127:D151 D227:D251">
    <cfRule type="expression" dxfId="7" priority="8">
      <formula>S127=0</formula>
    </cfRule>
  </conditionalFormatting>
  <conditionalFormatting sqref="C127:C151 C227:C251">
    <cfRule type="expression" dxfId="6" priority="7">
      <formula>S127=0</formula>
    </cfRule>
  </conditionalFormatting>
  <conditionalFormatting sqref="B127:B151 B227:B251">
    <cfRule type="expression" dxfId="5" priority="6">
      <formula>S127=0</formula>
    </cfRule>
  </conditionalFormatting>
  <conditionalFormatting sqref="E327:E351">
    <cfRule type="expression" dxfId="4" priority="5">
      <formula>S327=0</formula>
    </cfRule>
  </conditionalFormatting>
  <conditionalFormatting sqref="D327:D351">
    <cfRule type="expression" dxfId="3" priority="4">
      <formula>S327=0</formula>
    </cfRule>
  </conditionalFormatting>
  <conditionalFormatting sqref="C327:C351">
    <cfRule type="expression" dxfId="2" priority="3">
      <formula>S327=0</formula>
    </cfRule>
  </conditionalFormatting>
  <conditionalFormatting sqref="B327:B351">
    <cfRule type="expression" dxfId="1" priority="2">
      <formula>S327=0</formula>
    </cfRule>
  </conditionalFormatting>
  <conditionalFormatting sqref="F327:F351">
    <cfRule type="expression" dxfId="0" priority="1">
      <formula>S327=0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E1277D-F298-4D07-9E52-5284F3F39E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FY</vt:lpstr>
      <vt:lpstr>SKU FY</vt:lpstr>
      <vt:lpstr>MAIN</vt:lpstr>
      <vt:lpstr>Snapshot (Last Cycle)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Rhaiem, Youssef /TN/EXT</dc:creator>
  <cp:keywords/>
  <dc:description/>
  <cp:lastModifiedBy>YBR</cp:lastModifiedBy>
  <cp:revision/>
  <dcterms:created xsi:type="dcterms:W3CDTF">2015-06-05T18:17:20Z</dcterms:created>
  <dcterms:modified xsi:type="dcterms:W3CDTF">2024-06-30T14:20:34Z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e3dcb88-8425-4e1d-b1a3-bd5572915bbc_Enabled">
    <vt:lpwstr>true</vt:lpwstr>
  </property>
  <property fmtid="{D5CDD505-2E9C-101B-9397-08002B2CF9AE}" pid="3" name="MSIP_Label_9e3dcb88-8425-4e1d-b1a3-bd5572915bbc_SetDate">
    <vt:lpwstr>2023-11-09T07:15:52Z</vt:lpwstr>
  </property>
  <property fmtid="{D5CDD505-2E9C-101B-9397-08002B2CF9AE}" pid="4" name="MSIP_Label_9e3dcb88-8425-4e1d-b1a3-bd5572915bbc_Method">
    <vt:lpwstr>Privileged</vt:lpwstr>
  </property>
  <property fmtid="{D5CDD505-2E9C-101B-9397-08002B2CF9AE}" pid="5" name="MSIP_Label_9e3dcb88-8425-4e1d-b1a3-bd5572915bbc_Name">
    <vt:lpwstr>Internal</vt:lpwstr>
  </property>
  <property fmtid="{D5CDD505-2E9C-101B-9397-08002B2CF9AE}" pid="6" name="MSIP_Label_9e3dcb88-8425-4e1d-b1a3-bd5572915bbc_SiteId">
    <vt:lpwstr>aca3c8d6-aa71-4e1a-a10e-03572fc58c0b</vt:lpwstr>
  </property>
  <property fmtid="{D5CDD505-2E9C-101B-9397-08002B2CF9AE}" pid="7" name="MSIP_Label_9e3dcb88-8425-4e1d-b1a3-bd5572915bbc_ActionId">
    <vt:lpwstr>918e8746-1770-4dc8-b043-628362560b1f</vt:lpwstr>
  </property>
  <property fmtid="{D5CDD505-2E9C-101B-9397-08002B2CF9AE}" pid="8" name="MSIP_Label_9e3dcb88-8425-4e1d-b1a3-bd5572915bbc_ContentBits">
    <vt:lpwstr>1</vt:lpwstr>
  </property>
</Properties>
</file>